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gif" ContentType="image/gif"/>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showHorizontalScroll="0" xWindow="0" yWindow="15" windowWidth="12120" windowHeight="8865"/>
  </bookViews>
  <sheets>
    <sheet name="Leningscalculator 1" sheetId="3" r:id="rId1"/>
    <sheet name="Leningscalculator 2" sheetId="5" r:id="rId2"/>
  </sheets>
  <definedNames>
    <definedName name="_xlnm.Print_Titles" localSheetId="0">'Leningscalculator 1'!$18:$18</definedName>
    <definedName name="_xlnm.Print_Titles" localSheetId="1">'Leningscalculator 2'!$18:$18</definedName>
    <definedName name="Beg_Bal" localSheetId="0">'Leningscalculator 1'!$C$19:$C$378</definedName>
    <definedName name="Beg_Bal" localSheetId="1">'Leningscalculator 2'!$C$19:$C$378</definedName>
    <definedName name="Data" localSheetId="0">'Leningscalculator 1'!$A$19:$G$378</definedName>
    <definedName name="Data" localSheetId="1">'Leningscalculator 2'!$A$19:$G$378</definedName>
    <definedName name="End_Bal" localSheetId="0">'Leningscalculator 1'!$G$19:$G$378</definedName>
    <definedName name="End_Bal" localSheetId="1">'Leningscalculator 2'!$G$19:$G$378</definedName>
    <definedName name="Full_Print" localSheetId="0">'Leningscalculator 1'!$A$1:$J$378</definedName>
    <definedName name="Full_Print" localSheetId="1">'Leningscalculator 2'!$A$1:$J$378</definedName>
    <definedName name="Header_Row" localSheetId="0">ROW('Leningscalculator 1'!$18:$18)</definedName>
    <definedName name="Header_Row" localSheetId="1">ROW('Leningscalculator 2'!$18:$18)</definedName>
    <definedName name="Int" localSheetId="0">'Leningscalculator 1'!$F$19:$F$378</definedName>
    <definedName name="Int" localSheetId="1">'Leningscalculator 2'!$F$19:$F$378</definedName>
    <definedName name="Interest_Rate" localSheetId="0">'Leningscalculator 1'!$D$5</definedName>
    <definedName name="Interest_Rate" localSheetId="1">'Leningscalculator 2'!$D$5</definedName>
    <definedName name="Jaarlijk_rente_percentage" localSheetId="0">'Leningscalculator 1'!$H$19:$H$378</definedName>
    <definedName name="Jaarlijk_rente_percentage" localSheetId="1">'Leningscalculator 2'!$H$19:$H$378</definedName>
    <definedName name="Last_Row" localSheetId="0">IF('Leningscalculator 1'!Values_Entered,'Leningscalculator 1'!Header_Row+[0]!Number_of_Payments,'Leningscalculator 1'!Header_Row)</definedName>
    <definedName name="Last_Row" localSheetId="1">IF('Leningscalculator 2'!Values_Entered,'Leningscalculator 2'!Header_Row+'Leningscalculator 2'!Number_of_Payments,'Leningscalculator 2'!Header_Row)</definedName>
    <definedName name="Last_Row">IF(Values_Entered,Header_Row+Number_of_Payments,'Leningscalculator 1'!Header_Row)</definedName>
    <definedName name="Last_Row_extra" localSheetId="1">IF('Leningscalculator 2'!Values_Entered_extra,'Leningscalculator 2'!Header_Row+'Leningscalculator 2'!Number_of_Payment_extra,'Leningscalculator 2'!Header_Row)</definedName>
    <definedName name="Last_Row_extra">IF(Values_Entered_extra,'Leningscalculator 1'!Header_Row+Number_of_Payment_extra,'Leningscalculator 1'!Header_Row)</definedName>
    <definedName name="Last_Row2" localSheetId="1">IF('Leningscalculator 2'!Values_Entered2,'Leningscalculator 2'!Header_Row+'Leningscalculator 2'!Number_of_Payment2,'Leningscalculator 2'!Header_Row)</definedName>
    <definedName name="Last_Row2">IF(Values_Entered2,'Leningscalculator 1'!Header_Row+Number_of_Payment2,'Leningscalculator 1'!Header_Row)</definedName>
    <definedName name="Loan_Amount" localSheetId="0">'Leningscalculator 1'!$D$4</definedName>
    <definedName name="Loan_Amount" localSheetId="1">'Leningscalculator 2'!$D$4</definedName>
    <definedName name="Loan_Start" localSheetId="0">'Leningscalculator 1'!$D$7</definedName>
    <definedName name="Loan_Start" localSheetId="1">'Leningscalculator 2'!$D$7</definedName>
    <definedName name="Loan_Years" localSheetId="0">'Leningscalculator 1'!$D$6</definedName>
    <definedName name="Loan_Years" localSheetId="1">'Leningscalculator 2'!$D$6</definedName>
    <definedName name="Maandelijkse_aflossing" localSheetId="0">'Leningscalculator 1'!$D$19:$D$378</definedName>
    <definedName name="Maandelijkse_aflossing" localSheetId="1">'Leningscalculator 2'!$D$19:$D$378</definedName>
    <definedName name="Maandelijkse_rente_percentage" localSheetId="1">'Leningscalculator 2'!$I$19:$I$378</definedName>
    <definedName name="Maandelijkse_rente_percentage">'Leningscalculator 1'!$I$19:$I$378</definedName>
    <definedName name="Max_Interest_Rate" localSheetId="1">'Leningscalculator 2'!$D$8</definedName>
    <definedName name="Max_Interest_Rate">'Leningscalculator 1'!$D$8</definedName>
    <definedName name="Number_of_Payment_extra" localSheetId="1">MATCH(0.01,'Leningscalculator 2'!End_Bal,-1)+1</definedName>
    <definedName name="Number_of_Payment_extra">MATCH(0.01,'Leningscalculator 1'!End_Bal,-1)+1</definedName>
    <definedName name="Number_of_Payment2" localSheetId="1">MATCH(0.01,'Leningscalculator 2'!End_Bal,-1)+1</definedName>
    <definedName name="Number_of_Payment2">MATCH(0.01,'Leningscalculator 1'!End_Bal,-1)+1</definedName>
    <definedName name="Number_of_Payments" localSheetId="1">MATCH(0.01,'Leningscalculator 2'!End_Bal,-1)+1</definedName>
    <definedName name="Number_of_Payments">MATCH(0.01,'Leningscalculator 1'!End_Bal,-1)+1</definedName>
    <definedName name="Pay_Date" localSheetId="0">'Leningscalculator 1'!$B$19:$B$378</definedName>
    <definedName name="Pay_Date" localSheetId="1">'Leningscalculator 2'!$B$19:$B$378</definedName>
    <definedName name="Pay_Num" localSheetId="0">'Leningscalculator 1'!$A$19:$A$378</definedName>
    <definedName name="Pay_Num" localSheetId="1">'Leningscalculator 2'!$A$19:$A$378</definedName>
    <definedName name="Payment_Date" localSheetId="0">DATE(YEAR('Leningscalculator 1'!Loan_Start),MONTH('Leningscalculator 1'!Loan_Start)+Payment_Number,DAY('Leningscalculator 1'!Loan_Start))</definedName>
    <definedName name="Payment_Date" localSheetId="1">DATE(YEAR('Leningscalculator 2'!Loan_Start),MONTH('Leningscalculator 2'!Loan_Start)+Payment_Number,DAY('Leningscalculator 2'!Loan_Start))</definedName>
    <definedName name="Payment_Date">DATE(YEAR(Loan_Start),MONTH('Leningscalculator 1'!Loan_Start)+Payment_Number,DAY('Leningscalculator 1'!Loan_Start))</definedName>
    <definedName name="Payment_Date_extra" localSheetId="1">DATE(YEAR('Leningscalculator 2'!Loan_Start),MONTH('Leningscalculator 2'!Loan_Start)+Payment_Number,DAY('Leningscalculator 2'!Loan_Start))</definedName>
    <definedName name="Payment_Date_extra">DATE(YEAR('Leningscalculator 1'!Loan_Start),MONTH('Leningscalculator 1'!Loan_Start)+Payment_Number,DAY('Leningscalculator 1'!Loan_Start))</definedName>
    <definedName name="Payment_Date1" localSheetId="1">DATE(YEAR('Leningscalculator 2'!Loan_Start),MONTH('Leningscalculator 2'!Loan_Start)+Payment_Number,DAY('Leningscalculator 2'!Loan_Start))</definedName>
    <definedName name="Payment_Date1">DATE(YEAR('Leningscalculator 1'!Loan_Start),MONTH('Leningscalculator 1'!Loan_Start)+Payment_Number,DAY('Leningscalculator 1'!Loan_Start))</definedName>
    <definedName name="Payment_Date2" localSheetId="1">DATE(YEAR('Leningscalculator 2'!Loan_Start),MONTH('Leningscalculator 2'!Loan_Start)+Payment_Number,DAY('Leningscalculator 2'!Loan_Start))</definedName>
    <definedName name="Payment_Date2">DATE(YEAR('Leningscalculator 1'!Loan_Start),MONTH('Leningscalculator 1'!Loan_Start)+Payment_Number,DAY('Leningscalculator 1'!Loan_Start))</definedName>
    <definedName name="Princ" localSheetId="0">'Leningscalculator 1'!$E$19:$E$378</definedName>
    <definedName name="Princ" localSheetId="1">'Leningscalculator 2'!$E$19:$E$378</definedName>
    <definedName name="Print_Area_Reset" localSheetId="0">OFFSET('Leningscalculator 1'!Full_Print,0,0,'Leningscalculator 1'!Last_Row)</definedName>
    <definedName name="Print_Area_Reset" localSheetId="1">OFFSET('Leningscalculator 2'!Full_Print,0,0,'Leningscalculator 2'!Last_Row)</definedName>
    <definedName name="Print_Area_Reset">OFFSET(Full_Print,0,0,Last_Row)</definedName>
    <definedName name="Print_Area_Reset_extra" localSheetId="1">OFFSET('Leningscalculator 2'!Full_Print,0,0,'Leningscalculator 2'!Last_Row_extra)</definedName>
    <definedName name="Print_Area_Reset_extra">OFFSET('Leningscalculator 1'!Full_Print,0,0,Last_Row_extra)</definedName>
    <definedName name="Print_Area_Reset2" localSheetId="1">OFFSET('Leningscalculator 2'!Full_Print,0,0,'Leningscalculator 2'!Last_Row2)</definedName>
    <definedName name="Print_Area_Reset2">OFFSET('Leningscalculator 1'!Full_Print,0,0,Last_Row2)</definedName>
    <definedName name="Scheduled_Extra_Payments" localSheetId="0">'Leningscalculator 1'!$D$11</definedName>
    <definedName name="Scheduled_Extra_Payments" localSheetId="1">'Leningscalculator 2'!$D$11</definedName>
    <definedName name="Scheduled_Interest_Rate" localSheetId="0">'Leningscalculator 1'!$D$5</definedName>
    <definedName name="Scheduled_Interest_Rate" localSheetId="1">'Leningscalculator 2'!$D$5</definedName>
    <definedName name="Scheduled_Monthly_Payment" localSheetId="0">'Leningscalculator 1'!$D$13</definedName>
    <definedName name="Scheduled_Monthly_Payment" localSheetId="1">'Leningscalculator 2'!$D$13</definedName>
    <definedName name="Total_Interest" localSheetId="0">'Leningscalculator 1'!$D$15</definedName>
    <definedName name="Total_Interest" localSheetId="1">'Leningscalculator 2'!$D$15</definedName>
    <definedName name="Values_Entered" localSheetId="0">IF('Leningscalculator 1'!Loan_Amount*'Leningscalculator 1'!Interest_Rate*'Leningscalculator 1'!Loan_Years*'Leningscalculator 1'!Loan_Start&gt;0,1,0)</definedName>
    <definedName name="Values_Entered" localSheetId="1">IF('Leningscalculator 2'!Loan_Amount*'Leningscalculator 2'!Interest_Rate*'Leningscalculator 2'!Loan_Years*'Leningscalculator 2'!Loan_Start&gt;0,1,0)</definedName>
    <definedName name="Values_Entered">IF(Loan_Amount*Interest_Rate*Loan_Years*'Leningscalculator 1'!Loan_Start&gt;0,1,0)</definedName>
    <definedName name="Values_Entered_extra" localSheetId="1">IF('Leningscalculator 2'!Loan_Amount*'Leningscalculator 2'!Interest_Rate*'Leningscalculator 2'!Loan_Years*'Leningscalculator 2'!Loan_Start&gt;0,1,0)</definedName>
    <definedName name="Values_Entered_extra">IF('Leningscalculator 1'!Loan_Amount*'Leningscalculator 1'!Interest_Rate*'Leningscalculator 1'!Loan_Years*'Leningscalculator 1'!Loan_Start&gt;0,1,0)</definedName>
    <definedName name="Values_Entered2" localSheetId="1">IF('Leningscalculator 2'!Loan_Amount*'Leningscalculator 2'!Interest_Rate*'Leningscalculator 2'!Loan_Years*'Leningscalculator 2'!Loan_Start&gt;0,1,0)</definedName>
    <definedName name="Values_Entered2">IF('Leningscalculator 1'!Loan_Amount*'Leningscalculator 1'!Interest_Rate*'Leningscalculator 1'!Loan_Years*'Leningscalculator 1'!Loan_Start&gt;0,1,0)</definedName>
  </definedNames>
  <calcPr calcId="125725"/>
</workbook>
</file>

<file path=xl/calcChain.xml><?xml version="1.0" encoding="utf-8"?>
<calcChain xmlns="http://schemas.openxmlformats.org/spreadsheetml/2006/main">
  <c r="N5" i="3"/>
  <c r="N6" s="1"/>
  <c r="N7" s="1"/>
  <c r="N8" s="1"/>
  <c r="N9" s="1"/>
  <c r="N10" s="1"/>
  <c r="N11" s="1"/>
  <c r="N12" s="1"/>
  <c r="N13" s="1"/>
  <c r="N14" s="1"/>
  <c r="N15" s="1"/>
  <c r="N16" s="1"/>
  <c r="N17" s="1"/>
  <c r="N4"/>
  <c r="N3"/>
  <c r="L5"/>
  <c r="L6" s="1"/>
  <c r="L7" s="1"/>
  <c r="L8" s="1"/>
  <c r="L9" s="1"/>
  <c r="L10" s="1"/>
  <c r="L11" s="1"/>
  <c r="L12" s="1"/>
  <c r="L13" s="1"/>
  <c r="L14" s="1"/>
  <c r="L15" s="1"/>
  <c r="L16" s="1"/>
  <c r="L17" s="1"/>
  <c r="L4"/>
  <c r="L3"/>
  <c r="L3" i="5"/>
  <c r="L4" s="1"/>
  <c r="L5" s="1"/>
  <c r="L6" s="1"/>
  <c r="L7" s="1"/>
  <c r="L8" s="1"/>
  <c r="L9" s="1"/>
  <c r="L10" s="1"/>
  <c r="L11" s="1"/>
  <c r="L12" s="1"/>
  <c r="L13" s="1"/>
  <c r="L14" s="1"/>
  <c r="L15" s="1"/>
  <c r="L16" s="1"/>
  <c r="L17" s="1"/>
  <c r="N3" s="1"/>
  <c r="N4" s="1"/>
  <c r="N5" s="1"/>
  <c r="N6" s="1"/>
  <c r="N7" s="1"/>
  <c r="N8" s="1"/>
  <c r="N9" s="1"/>
  <c r="N10" s="1"/>
  <c r="N11" s="1"/>
  <c r="N12" s="1"/>
  <c r="N13" s="1"/>
  <c r="N14" s="1"/>
  <c r="N15" s="1"/>
  <c r="N16" s="1"/>
  <c r="N17" s="1"/>
  <c r="C19"/>
  <c r="A19"/>
  <c r="D14"/>
  <c r="D19" l="1"/>
  <c r="A20"/>
  <c r="B19"/>
  <c r="H115"/>
  <c r="I115" s="1"/>
  <c r="H19"/>
  <c r="H20" s="1"/>
  <c r="I20" s="1"/>
  <c r="H31"/>
  <c r="H21"/>
  <c r="I19"/>
  <c r="F19" s="1"/>
  <c r="E19" s="1"/>
  <c r="G19" s="1"/>
  <c r="C20" s="1"/>
  <c r="B20"/>
  <c r="H116"/>
  <c r="H19" i="3"/>
  <c r="D14"/>
  <c r="C19"/>
  <c r="A19"/>
  <c r="F20" i="5" l="1"/>
  <c r="A21"/>
  <c r="H151"/>
  <c r="H22"/>
  <c r="I21"/>
  <c r="H32"/>
  <c r="I31"/>
  <c r="H117"/>
  <c r="I116"/>
  <c r="H127"/>
  <c r="H139"/>
  <c r="H43"/>
  <c r="D20"/>
  <c r="E20" s="1"/>
  <c r="G20" s="1"/>
  <c r="I19" i="3"/>
  <c r="D19" s="1"/>
  <c r="H31"/>
  <c r="H32" s="1"/>
  <c r="H33" s="1"/>
  <c r="H34" s="1"/>
  <c r="H35" s="1"/>
  <c r="H36" s="1"/>
  <c r="H37" s="1"/>
  <c r="H38" s="1"/>
  <c r="H39" s="1"/>
  <c r="H40" s="1"/>
  <c r="H41" s="1"/>
  <c r="H42" s="1"/>
  <c r="I42" s="1"/>
  <c r="H20"/>
  <c r="I20" s="1"/>
  <c r="H43"/>
  <c r="I43" s="1"/>
  <c r="B19"/>
  <c r="A20"/>
  <c r="A21" s="1"/>
  <c r="A22" i="5" l="1"/>
  <c r="B21"/>
  <c r="C21"/>
  <c r="D21" s="1"/>
  <c r="H55"/>
  <c r="H140"/>
  <c r="I139"/>
  <c r="H187"/>
  <c r="H152"/>
  <c r="I151"/>
  <c r="H44"/>
  <c r="I43"/>
  <c r="I127"/>
  <c r="H128"/>
  <c r="I117"/>
  <c r="H118"/>
  <c r="H33"/>
  <c r="I32"/>
  <c r="H23"/>
  <c r="I22"/>
  <c r="H163"/>
  <c r="H175"/>
  <c r="F19" i="3"/>
  <c r="I35"/>
  <c r="I39"/>
  <c r="I37"/>
  <c r="I31"/>
  <c r="I38"/>
  <c r="I40"/>
  <c r="I34"/>
  <c r="I32"/>
  <c r="I41"/>
  <c r="I36"/>
  <c r="I33"/>
  <c r="E19"/>
  <c r="G19" s="1"/>
  <c r="C20" s="1"/>
  <c r="A22"/>
  <c r="H21"/>
  <c r="I21" s="1"/>
  <c r="H55"/>
  <c r="I55" s="1"/>
  <c r="H44"/>
  <c r="I44" s="1"/>
  <c r="B20"/>
  <c r="B21" s="1"/>
  <c r="H22"/>
  <c r="I22" s="1"/>
  <c r="F21" i="5" l="1"/>
  <c r="A23"/>
  <c r="B22"/>
  <c r="E21"/>
  <c r="G21" s="1"/>
  <c r="C22" s="1"/>
  <c r="H164"/>
  <c r="I163"/>
  <c r="H24"/>
  <c r="I23"/>
  <c r="H34"/>
  <c r="I33"/>
  <c r="H45"/>
  <c r="I44"/>
  <c r="H153"/>
  <c r="I152"/>
  <c r="H188"/>
  <c r="I187"/>
  <c r="H141"/>
  <c r="I140"/>
  <c r="H56"/>
  <c r="I55"/>
  <c r="H176"/>
  <c r="I175"/>
  <c r="H119"/>
  <c r="I118"/>
  <c r="H129"/>
  <c r="I128"/>
  <c r="H199"/>
  <c r="H211"/>
  <c r="H67"/>
  <c r="B22" i="3"/>
  <c r="A23"/>
  <c r="A24" s="1"/>
  <c r="H45"/>
  <c r="I45" s="1"/>
  <c r="H56"/>
  <c r="I56" s="1"/>
  <c r="H67"/>
  <c r="I67" s="1"/>
  <c r="H23"/>
  <c r="I23" s="1"/>
  <c r="F22" i="5" l="1"/>
  <c r="D22"/>
  <c r="A24"/>
  <c r="B23"/>
  <c r="H79"/>
  <c r="H212"/>
  <c r="I211"/>
  <c r="H200"/>
  <c r="I199"/>
  <c r="I129"/>
  <c r="H130"/>
  <c r="I119"/>
  <c r="H120"/>
  <c r="H177"/>
  <c r="I176"/>
  <c r="H57"/>
  <c r="I56"/>
  <c r="H142"/>
  <c r="I141"/>
  <c r="H189"/>
  <c r="I188"/>
  <c r="H154"/>
  <c r="I153"/>
  <c r="H46"/>
  <c r="I45"/>
  <c r="H35"/>
  <c r="I34"/>
  <c r="H25"/>
  <c r="I24"/>
  <c r="H165"/>
  <c r="I164"/>
  <c r="H68"/>
  <c r="I67"/>
  <c r="H223"/>
  <c r="B23" i="3"/>
  <c r="B24" s="1"/>
  <c r="A25"/>
  <c r="H79"/>
  <c r="I79" s="1"/>
  <c r="H46"/>
  <c r="I46" s="1"/>
  <c r="H57"/>
  <c r="I57" s="1"/>
  <c r="H24"/>
  <c r="I24" s="1"/>
  <c r="A25" i="5" l="1"/>
  <c r="B24"/>
  <c r="E22"/>
  <c r="G22" s="1"/>
  <c r="C23" s="1"/>
  <c r="H235"/>
  <c r="H247"/>
  <c r="H224"/>
  <c r="I223"/>
  <c r="H69"/>
  <c r="I68"/>
  <c r="H166"/>
  <c r="I165"/>
  <c r="H26"/>
  <c r="I25"/>
  <c r="H36"/>
  <c r="I35"/>
  <c r="H47"/>
  <c r="I46"/>
  <c r="H155"/>
  <c r="I154"/>
  <c r="H190"/>
  <c r="I189"/>
  <c r="H143"/>
  <c r="I142"/>
  <c r="H58"/>
  <c r="I57"/>
  <c r="H178"/>
  <c r="I177"/>
  <c r="H201"/>
  <c r="I200"/>
  <c r="H213"/>
  <c r="I212"/>
  <c r="H80"/>
  <c r="I79"/>
  <c r="H259"/>
  <c r="H121"/>
  <c r="I120"/>
  <c r="H131"/>
  <c r="I130"/>
  <c r="H91"/>
  <c r="H103"/>
  <c r="A26" i="3"/>
  <c r="B25"/>
  <c r="H47"/>
  <c r="I47" s="1"/>
  <c r="H91"/>
  <c r="I91" s="1"/>
  <c r="H58"/>
  <c r="I58" s="1"/>
  <c r="H25"/>
  <c r="I25" s="1"/>
  <c r="D23" i="5" l="1"/>
  <c r="F23"/>
  <c r="A26"/>
  <c r="B25"/>
  <c r="H92"/>
  <c r="I91"/>
  <c r="I131"/>
  <c r="H132"/>
  <c r="I121"/>
  <c r="H122"/>
  <c r="H104"/>
  <c r="I103"/>
  <c r="H271"/>
  <c r="H283"/>
  <c r="H260"/>
  <c r="I259"/>
  <c r="H81"/>
  <c r="I80"/>
  <c r="H214"/>
  <c r="I213"/>
  <c r="H202"/>
  <c r="I201"/>
  <c r="H179"/>
  <c r="I178"/>
  <c r="H59"/>
  <c r="I58"/>
  <c r="H144"/>
  <c r="I143"/>
  <c r="H191"/>
  <c r="I190"/>
  <c r="H156"/>
  <c r="I155"/>
  <c r="H48"/>
  <c r="I47"/>
  <c r="H37"/>
  <c r="I36"/>
  <c r="H27"/>
  <c r="I26"/>
  <c r="H167"/>
  <c r="I166"/>
  <c r="H70"/>
  <c r="I69"/>
  <c r="H225"/>
  <c r="I224"/>
  <c r="H236"/>
  <c r="I235"/>
  <c r="H295"/>
  <c r="H248"/>
  <c r="I247"/>
  <c r="A27" i="3"/>
  <c r="B26"/>
  <c r="H103"/>
  <c r="H48"/>
  <c r="I48" s="1"/>
  <c r="H59"/>
  <c r="I59" s="1"/>
  <c r="H26"/>
  <c r="I26" s="1"/>
  <c r="E23" i="5" l="1"/>
  <c r="G23" s="1"/>
  <c r="C24" s="1"/>
  <c r="A27"/>
  <c r="B26"/>
  <c r="H307"/>
  <c r="H319"/>
  <c r="H296"/>
  <c r="I295"/>
  <c r="H237"/>
  <c r="I236"/>
  <c r="H226"/>
  <c r="I225"/>
  <c r="H71"/>
  <c r="I70"/>
  <c r="H168"/>
  <c r="I167"/>
  <c r="H28"/>
  <c r="I27"/>
  <c r="H38"/>
  <c r="I37"/>
  <c r="H49"/>
  <c r="I48"/>
  <c r="H157"/>
  <c r="I156"/>
  <c r="H192"/>
  <c r="I191"/>
  <c r="H145"/>
  <c r="I144"/>
  <c r="H60"/>
  <c r="I59"/>
  <c r="H180"/>
  <c r="I179"/>
  <c r="H203"/>
  <c r="I202"/>
  <c r="H215"/>
  <c r="I214"/>
  <c r="H82"/>
  <c r="I81"/>
  <c r="H261"/>
  <c r="I260"/>
  <c r="H272"/>
  <c r="I271"/>
  <c r="H105"/>
  <c r="I104"/>
  <c r="H93"/>
  <c r="I92"/>
  <c r="H249"/>
  <c r="I248"/>
  <c r="H331"/>
  <c r="H367"/>
  <c r="H284"/>
  <c r="I283"/>
  <c r="H123"/>
  <c r="I122"/>
  <c r="H133"/>
  <c r="I132"/>
  <c r="A28" i="3"/>
  <c r="B27"/>
  <c r="H104"/>
  <c r="I103"/>
  <c r="H49"/>
  <c r="I49" s="1"/>
  <c r="H115"/>
  <c r="H60"/>
  <c r="I60" s="1"/>
  <c r="H27"/>
  <c r="I27" s="1"/>
  <c r="A28" i="5" l="1"/>
  <c r="B27"/>
  <c r="D24"/>
  <c r="F24"/>
  <c r="I133"/>
  <c r="H134"/>
  <c r="I123"/>
  <c r="H124"/>
  <c r="H343"/>
  <c r="H355"/>
  <c r="H332"/>
  <c r="I331"/>
  <c r="H250"/>
  <c r="I249"/>
  <c r="H94"/>
  <c r="I93"/>
  <c r="H106"/>
  <c r="I105"/>
  <c r="H273"/>
  <c r="I272"/>
  <c r="H262"/>
  <c r="I261"/>
  <c r="H83"/>
  <c r="I82"/>
  <c r="H216"/>
  <c r="I215"/>
  <c r="H204"/>
  <c r="I203"/>
  <c r="H181"/>
  <c r="I180"/>
  <c r="H61"/>
  <c r="I60"/>
  <c r="H146"/>
  <c r="I145"/>
  <c r="H193"/>
  <c r="I192"/>
  <c r="H158"/>
  <c r="I157"/>
  <c r="H50"/>
  <c r="I49"/>
  <c r="H39"/>
  <c r="I38"/>
  <c r="I28"/>
  <c r="H29"/>
  <c r="H169"/>
  <c r="I168"/>
  <c r="H72"/>
  <c r="I71"/>
  <c r="H227"/>
  <c r="I226"/>
  <c r="H238"/>
  <c r="I237"/>
  <c r="H297"/>
  <c r="I296"/>
  <c r="H308"/>
  <c r="I307"/>
  <c r="H285"/>
  <c r="I284"/>
  <c r="H368"/>
  <c r="I367"/>
  <c r="H320"/>
  <c r="I319"/>
  <c r="A29" i="3"/>
  <c r="B28"/>
  <c r="H116"/>
  <c r="I115"/>
  <c r="H105"/>
  <c r="I104"/>
  <c r="H50"/>
  <c r="I50" s="1"/>
  <c r="H61"/>
  <c r="I61" s="1"/>
  <c r="H28"/>
  <c r="I28" s="1"/>
  <c r="E24" i="5" l="1"/>
  <c r="G24" s="1"/>
  <c r="C25" s="1"/>
  <c r="A29"/>
  <c r="B28"/>
  <c r="H321"/>
  <c r="I320"/>
  <c r="H369"/>
  <c r="I368"/>
  <c r="H286"/>
  <c r="I285"/>
  <c r="H309"/>
  <c r="I308"/>
  <c r="H298"/>
  <c r="I297"/>
  <c r="H239"/>
  <c r="I238"/>
  <c r="H228"/>
  <c r="I227"/>
  <c r="H73"/>
  <c r="I72"/>
  <c r="H170"/>
  <c r="I169"/>
  <c r="H40"/>
  <c r="I39"/>
  <c r="H51"/>
  <c r="I50"/>
  <c r="H159"/>
  <c r="I158"/>
  <c r="H194"/>
  <c r="I193"/>
  <c r="H147"/>
  <c r="I146"/>
  <c r="H62"/>
  <c r="I61"/>
  <c r="H182"/>
  <c r="I181"/>
  <c r="H205"/>
  <c r="I204"/>
  <c r="H217"/>
  <c r="I216"/>
  <c r="H84"/>
  <c r="I83"/>
  <c r="H263"/>
  <c r="I262"/>
  <c r="H274"/>
  <c r="I273"/>
  <c r="H107"/>
  <c r="I106"/>
  <c r="H95"/>
  <c r="I94"/>
  <c r="H251"/>
  <c r="I250"/>
  <c r="H333"/>
  <c r="I332"/>
  <c r="H344"/>
  <c r="I343"/>
  <c r="H30"/>
  <c r="I30" s="1"/>
  <c r="I29"/>
  <c r="H356"/>
  <c r="I355"/>
  <c r="H125"/>
  <c r="I124"/>
  <c r="H135"/>
  <c r="I134"/>
  <c r="B29" i="3"/>
  <c r="A30"/>
  <c r="H106"/>
  <c r="I105"/>
  <c r="H117"/>
  <c r="I116"/>
  <c r="H62"/>
  <c r="I62" s="1"/>
  <c r="H51"/>
  <c r="I51" s="1"/>
  <c r="H139"/>
  <c r="H29"/>
  <c r="I29" s="1"/>
  <c r="A30" i="5" l="1"/>
  <c r="B29"/>
  <c r="D25"/>
  <c r="F25"/>
  <c r="H345"/>
  <c r="I344"/>
  <c r="H334"/>
  <c r="I333"/>
  <c r="H252"/>
  <c r="I251"/>
  <c r="H96"/>
  <c r="I95"/>
  <c r="H108"/>
  <c r="I107"/>
  <c r="H275"/>
  <c r="I274"/>
  <c r="H264"/>
  <c r="I263"/>
  <c r="H85"/>
  <c r="I84"/>
  <c r="H218"/>
  <c r="I217"/>
  <c r="H206"/>
  <c r="I205"/>
  <c r="H183"/>
  <c r="I182"/>
  <c r="H63"/>
  <c r="I62"/>
  <c r="H148"/>
  <c r="I147"/>
  <c r="H195"/>
  <c r="I194"/>
  <c r="H160"/>
  <c r="I159"/>
  <c r="H52"/>
  <c r="I51"/>
  <c r="H41"/>
  <c r="I40"/>
  <c r="H171"/>
  <c r="I170"/>
  <c r="H74"/>
  <c r="I73"/>
  <c r="H229"/>
  <c r="I228"/>
  <c r="H240"/>
  <c r="I239"/>
  <c r="H299"/>
  <c r="I298"/>
  <c r="H310"/>
  <c r="I309"/>
  <c r="H287"/>
  <c r="I286"/>
  <c r="H370"/>
  <c r="I369"/>
  <c r="H322"/>
  <c r="I321"/>
  <c r="H136"/>
  <c r="I135"/>
  <c r="I125"/>
  <c r="H126"/>
  <c r="I126" s="1"/>
  <c r="H357"/>
  <c r="I356"/>
  <c r="B30" i="3"/>
  <c r="A31"/>
  <c r="H140"/>
  <c r="I139"/>
  <c r="H118"/>
  <c r="I117"/>
  <c r="H107"/>
  <c r="I106"/>
  <c r="H151"/>
  <c r="H52"/>
  <c r="I52" s="1"/>
  <c r="H63"/>
  <c r="I63" s="1"/>
  <c r="H30"/>
  <c r="A31" i="5" l="1"/>
  <c r="B30"/>
  <c r="E25"/>
  <c r="G25" s="1"/>
  <c r="C26" s="1"/>
  <c r="H358"/>
  <c r="I357"/>
  <c r="H137"/>
  <c r="I136"/>
  <c r="H323"/>
  <c r="I322"/>
  <c r="H371"/>
  <c r="I370"/>
  <c r="H288"/>
  <c r="I287"/>
  <c r="H311"/>
  <c r="I310"/>
  <c r="H300"/>
  <c r="I299"/>
  <c r="H241"/>
  <c r="I240"/>
  <c r="H230"/>
  <c r="I229"/>
  <c r="H75"/>
  <c r="I74"/>
  <c r="H172"/>
  <c r="I171"/>
  <c r="H42"/>
  <c r="I42" s="1"/>
  <c r="I41"/>
  <c r="H53"/>
  <c r="I52"/>
  <c r="H161"/>
  <c r="I160"/>
  <c r="H196"/>
  <c r="I195"/>
  <c r="H149"/>
  <c r="I148"/>
  <c r="H64"/>
  <c r="I63"/>
  <c r="H184"/>
  <c r="I183"/>
  <c r="H207"/>
  <c r="I206"/>
  <c r="H219"/>
  <c r="I218"/>
  <c r="H86"/>
  <c r="I85"/>
  <c r="H265"/>
  <c r="I264"/>
  <c r="H276"/>
  <c r="I275"/>
  <c r="H109"/>
  <c r="I108"/>
  <c r="H97"/>
  <c r="I96"/>
  <c r="H253"/>
  <c r="I252"/>
  <c r="H335"/>
  <c r="I334"/>
  <c r="H346"/>
  <c r="I345"/>
  <c r="B31" i="3"/>
  <c r="A32"/>
  <c r="H108"/>
  <c r="I107"/>
  <c r="H119"/>
  <c r="I118"/>
  <c r="H141"/>
  <c r="I140"/>
  <c r="H152"/>
  <c r="I151"/>
  <c r="I30"/>
  <c r="H64"/>
  <c r="I64" s="1"/>
  <c r="H53"/>
  <c r="I53" s="1"/>
  <c r="D26" i="5" l="1"/>
  <c r="F26"/>
  <c r="A32"/>
  <c r="B31"/>
  <c r="H347"/>
  <c r="I346"/>
  <c r="H336"/>
  <c r="I335"/>
  <c r="H254"/>
  <c r="I253"/>
  <c r="H98"/>
  <c r="I97"/>
  <c r="H110"/>
  <c r="I109"/>
  <c r="H277"/>
  <c r="I276"/>
  <c r="H266"/>
  <c r="I265"/>
  <c r="H87"/>
  <c r="I86"/>
  <c r="H220"/>
  <c r="I219"/>
  <c r="H208"/>
  <c r="I207"/>
  <c r="H185"/>
  <c r="I184"/>
  <c r="H65"/>
  <c r="I64"/>
  <c r="H150"/>
  <c r="I150" s="1"/>
  <c r="I149"/>
  <c r="H197"/>
  <c r="I196"/>
  <c r="H162"/>
  <c r="I162" s="1"/>
  <c r="I161"/>
  <c r="H54"/>
  <c r="I54" s="1"/>
  <c r="I53"/>
  <c r="H173"/>
  <c r="I172"/>
  <c r="H76"/>
  <c r="I75"/>
  <c r="H231"/>
  <c r="I230"/>
  <c r="H242"/>
  <c r="I241"/>
  <c r="H301"/>
  <c r="I300"/>
  <c r="H312"/>
  <c r="I311"/>
  <c r="H289"/>
  <c r="I288"/>
  <c r="H372"/>
  <c r="I371"/>
  <c r="H324"/>
  <c r="I323"/>
  <c r="H138"/>
  <c r="I138" s="1"/>
  <c r="I137"/>
  <c r="H359"/>
  <c r="I358"/>
  <c r="B32" i="3"/>
  <c r="A33"/>
  <c r="H153"/>
  <c r="I152"/>
  <c r="H142"/>
  <c r="I141"/>
  <c r="H120"/>
  <c r="I119"/>
  <c r="H109"/>
  <c r="I108"/>
  <c r="H175"/>
  <c r="H54"/>
  <c r="H65"/>
  <c r="I65" s="1"/>
  <c r="H68"/>
  <c r="I68" s="1"/>
  <c r="A33" i="5" l="1"/>
  <c r="B32"/>
  <c r="E26"/>
  <c r="G26" s="1"/>
  <c r="C27" s="1"/>
  <c r="H360"/>
  <c r="I359"/>
  <c r="H325"/>
  <c r="I324"/>
  <c r="H373"/>
  <c r="I372"/>
  <c r="H290"/>
  <c r="I289"/>
  <c r="H313"/>
  <c r="I312"/>
  <c r="H302"/>
  <c r="I301"/>
  <c r="H243"/>
  <c r="I242"/>
  <c r="H232"/>
  <c r="I231"/>
  <c r="H77"/>
  <c r="I76"/>
  <c r="H174"/>
  <c r="I174" s="1"/>
  <c r="I173"/>
  <c r="H198"/>
  <c r="I198" s="1"/>
  <c r="I197"/>
  <c r="H66"/>
  <c r="I66" s="1"/>
  <c r="I65"/>
  <c r="H186"/>
  <c r="I186" s="1"/>
  <c r="I185"/>
  <c r="H209"/>
  <c r="I208"/>
  <c r="H221"/>
  <c r="I220"/>
  <c r="H88"/>
  <c r="I87"/>
  <c r="H267"/>
  <c r="I266"/>
  <c r="H278"/>
  <c r="I277"/>
  <c r="H111"/>
  <c r="I110"/>
  <c r="H99"/>
  <c r="I98"/>
  <c r="H255"/>
  <c r="I254"/>
  <c r="H337"/>
  <c r="I336"/>
  <c r="H348"/>
  <c r="I347"/>
  <c r="A34" i="3"/>
  <c r="B33"/>
  <c r="H176"/>
  <c r="I175"/>
  <c r="I54"/>
  <c r="H110"/>
  <c r="I109"/>
  <c r="H121"/>
  <c r="I120"/>
  <c r="H143"/>
  <c r="I142"/>
  <c r="H154"/>
  <c r="I153"/>
  <c r="H66"/>
  <c r="I66" s="1"/>
  <c r="H69"/>
  <c r="I69" s="1"/>
  <c r="F27" i="5" l="1"/>
  <c r="D27"/>
  <c r="E27" s="1"/>
  <c r="G27" s="1"/>
  <c r="C28" s="1"/>
  <c r="A34"/>
  <c r="B33"/>
  <c r="H349"/>
  <c r="I348"/>
  <c r="H338"/>
  <c r="I337"/>
  <c r="H256"/>
  <c r="I255"/>
  <c r="H100"/>
  <c r="I99"/>
  <c r="H112"/>
  <c r="I111"/>
  <c r="H279"/>
  <c r="I278"/>
  <c r="H268"/>
  <c r="I267"/>
  <c r="H89"/>
  <c r="I88"/>
  <c r="H222"/>
  <c r="I222" s="1"/>
  <c r="I221"/>
  <c r="H210"/>
  <c r="I210" s="1"/>
  <c r="I209"/>
  <c r="H78"/>
  <c r="I78" s="1"/>
  <c r="I77"/>
  <c r="H233"/>
  <c r="I232"/>
  <c r="H244"/>
  <c r="I243"/>
  <c r="H303"/>
  <c r="I302"/>
  <c r="H314"/>
  <c r="I313"/>
  <c r="H291"/>
  <c r="I290"/>
  <c r="H374"/>
  <c r="I373"/>
  <c r="H326"/>
  <c r="I325"/>
  <c r="H361"/>
  <c r="I360"/>
  <c r="A35" i="3"/>
  <c r="B34"/>
  <c r="H155"/>
  <c r="I154"/>
  <c r="H144"/>
  <c r="I143"/>
  <c r="H122"/>
  <c r="I121"/>
  <c r="H111"/>
  <c r="I110"/>
  <c r="H177"/>
  <c r="I176"/>
  <c r="H70"/>
  <c r="I70" s="1"/>
  <c r="F28" i="5" l="1"/>
  <c r="D28"/>
  <c r="E28" s="1"/>
  <c r="G28" s="1"/>
  <c r="C29" s="1"/>
  <c r="A35"/>
  <c r="B34"/>
  <c r="H362"/>
  <c r="I361"/>
  <c r="H327"/>
  <c r="I326"/>
  <c r="H375"/>
  <c r="I374"/>
  <c r="H292"/>
  <c r="I291"/>
  <c r="H315"/>
  <c r="I314"/>
  <c r="H304"/>
  <c r="I303"/>
  <c r="H245"/>
  <c r="I244"/>
  <c r="H234"/>
  <c r="I234" s="1"/>
  <c r="I233"/>
  <c r="H90"/>
  <c r="I90" s="1"/>
  <c r="I89"/>
  <c r="H269"/>
  <c r="I268"/>
  <c r="H280"/>
  <c r="I279"/>
  <c r="H113"/>
  <c r="I112"/>
  <c r="H101"/>
  <c r="I100"/>
  <c r="H257"/>
  <c r="I256"/>
  <c r="H339"/>
  <c r="I338"/>
  <c r="H350"/>
  <c r="I349"/>
  <c r="A36" i="3"/>
  <c r="B35"/>
  <c r="H178"/>
  <c r="I177"/>
  <c r="H112"/>
  <c r="I111"/>
  <c r="H123"/>
  <c r="I122"/>
  <c r="H145"/>
  <c r="I144"/>
  <c r="H156"/>
  <c r="I155"/>
  <c r="H71"/>
  <c r="I71" s="1"/>
  <c r="D29" i="5" l="1"/>
  <c r="E29" s="1"/>
  <c r="G29" s="1"/>
  <c r="C30" s="1"/>
  <c r="F29"/>
  <c r="A36"/>
  <c r="B35"/>
  <c r="H351"/>
  <c r="I350"/>
  <c r="H340"/>
  <c r="I339"/>
  <c r="H258"/>
  <c r="I258" s="1"/>
  <c r="I257"/>
  <c r="H102"/>
  <c r="I102" s="1"/>
  <c r="I101"/>
  <c r="H114"/>
  <c r="I114" s="1"/>
  <c r="I113"/>
  <c r="H281"/>
  <c r="I280"/>
  <c r="H270"/>
  <c r="I270" s="1"/>
  <c r="I269"/>
  <c r="H246"/>
  <c r="I246" s="1"/>
  <c r="I245"/>
  <c r="H305"/>
  <c r="I304"/>
  <c r="H316"/>
  <c r="I315"/>
  <c r="H293"/>
  <c r="I292"/>
  <c r="H376"/>
  <c r="I375"/>
  <c r="H328"/>
  <c r="I327"/>
  <c r="H363"/>
  <c r="I362"/>
  <c r="A37" i="3"/>
  <c r="B36"/>
  <c r="H157"/>
  <c r="I156"/>
  <c r="H146"/>
  <c r="I145"/>
  <c r="H124"/>
  <c r="I123"/>
  <c r="H113"/>
  <c r="I112"/>
  <c r="H179"/>
  <c r="I178"/>
  <c r="H72"/>
  <c r="I72" s="1"/>
  <c r="F30" i="5" l="1"/>
  <c r="D30"/>
  <c r="E30" s="1"/>
  <c r="G30" s="1"/>
  <c r="C31" s="1"/>
  <c r="A37"/>
  <c r="B36"/>
  <c r="H364"/>
  <c r="I363"/>
  <c r="H329"/>
  <c r="I328"/>
  <c r="H377"/>
  <c r="I376"/>
  <c r="H294"/>
  <c r="I294" s="1"/>
  <c r="I293"/>
  <c r="H317"/>
  <c r="I316"/>
  <c r="H306"/>
  <c r="I306" s="1"/>
  <c r="I305"/>
  <c r="H282"/>
  <c r="I282" s="1"/>
  <c r="I281"/>
  <c r="H341"/>
  <c r="I340"/>
  <c r="H352"/>
  <c r="I351"/>
  <c r="A38" i="3"/>
  <c r="B37"/>
  <c r="H180"/>
  <c r="I179"/>
  <c r="H114"/>
  <c r="I114" s="1"/>
  <c r="I113"/>
  <c r="H125"/>
  <c r="I124"/>
  <c r="H147"/>
  <c r="I146"/>
  <c r="H158"/>
  <c r="I157"/>
  <c r="H73"/>
  <c r="I73" s="1"/>
  <c r="F31" i="5" l="1"/>
  <c r="D31"/>
  <c r="E31" s="1"/>
  <c r="G31" s="1"/>
  <c r="C32" s="1"/>
  <c r="B37"/>
  <c r="A38"/>
  <c r="H353"/>
  <c r="I352"/>
  <c r="H342"/>
  <c r="I342" s="1"/>
  <c r="I341"/>
  <c r="H318"/>
  <c r="I318" s="1"/>
  <c r="I317"/>
  <c r="H378"/>
  <c r="I378" s="1"/>
  <c r="I377"/>
  <c r="H330"/>
  <c r="I330" s="1"/>
  <c r="I329"/>
  <c r="H365"/>
  <c r="I364"/>
  <c r="B38" i="3"/>
  <c r="A39"/>
  <c r="H159"/>
  <c r="I158"/>
  <c r="H148"/>
  <c r="I147"/>
  <c r="H126"/>
  <c r="I126" s="1"/>
  <c r="I125"/>
  <c r="H181"/>
  <c r="I180"/>
  <c r="H74"/>
  <c r="I74" s="1"/>
  <c r="F32" i="5" l="1"/>
  <c r="D32"/>
  <c r="E32" s="1"/>
  <c r="G32" s="1"/>
  <c r="C33" s="1"/>
  <c r="A39"/>
  <c r="B38"/>
  <c r="H366"/>
  <c r="I366" s="1"/>
  <c r="I365"/>
  <c r="H354"/>
  <c r="I354" s="1"/>
  <c r="I353"/>
  <c r="B39" i="3"/>
  <c r="A40"/>
  <c r="H182"/>
  <c r="I181"/>
  <c r="H149"/>
  <c r="I148"/>
  <c r="H160"/>
  <c r="I159"/>
  <c r="H75"/>
  <c r="I75" s="1"/>
  <c r="F33" i="5" l="1"/>
  <c r="D33"/>
  <c r="E33" s="1"/>
  <c r="G33" s="1"/>
  <c r="C34" s="1"/>
  <c r="A40"/>
  <c r="B39"/>
  <c r="B40" i="3"/>
  <c r="A41"/>
  <c r="H161"/>
  <c r="I160"/>
  <c r="H150"/>
  <c r="I150" s="1"/>
  <c r="I149"/>
  <c r="H183"/>
  <c r="I182"/>
  <c r="H76"/>
  <c r="I76" s="1"/>
  <c r="F34" i="5" l="1"/>
  <c r="D34"/>
  <c r="E34" s="1"/>
  <c r="G34" s="1"/>
  <c r="C35" s="1"/>
  <c r="A41"/>
  <c r="B40"/>
  <c r="A42" i="3"/>
  <c r="B41"/>
  <c r="H184"/>
  <c r="I183"/>
  <c r="H162"/>
  <c r="I162" s="1"/>
  <c r="I161"/>
  <c r="H77"/>
  <c r="I77" s="1"/>
  <c r="F35" i="5" l="1"/>
  <c r="D35"/>
  <c r="E35" s="1"/>
  <c r="G35" s="1"/>
  <c r="C36" s="1"/>
  <c r="A42"/>
  <c r="B41"/>
  <c r="A43" i="3"/>
  <c r="B42"/>
  <c r="H185"/>
  <c r="I184"/>
  <c r="H78"/>
  <c r="I78" s="1"/>
  <c r="F36" i="5" l="1"/>
  <c r="D36"/>
  <c r="E36" s="1"/>
  <c r="G36" s="1"/>
  <c r="C37" s="1"/>
  <c r="A43"/>
  <c r="B42"/>
  <c r="A44" i="3"/>
  <c r="B43"/>
  <c r="H186"/>
  <c r="I186" s="1"/>
  <c r="I185"/>
  <c r="F37" i="5" l="1"/>
  <c r="D37"/>
  <c r="E37" s="1"/>
  <c r="G37" s="1"/>
  <c r="C38" s="1"/>
  <c r="A44"/>
  <c r="B43"/>
  <c r="A45" i="3"/>
  <c r="B44"/>
  <c r="H80"/>
  <c r="I80" s="1"/>
  <c r="F38" i="5" l="1"/>
  <c r="D38"/>
  <c r="E38" s="1"/>
  <c r="G38" s="1"/>
  <c r="C39" s="1"/>
  <c r="A45"/>
  <c r="B44"/>
  <c r="B45" i="3"/>
  <c r="A46"/>
  <c r="H81"/>
  <c r="I81" s="1"/>
  <c r="F39" i="5" l="1"/>
  <c r="D39"/>
  <c r="E39" s="1"/>
  <c r="G39" s="1"/>
  <c r="C40" s="1"/>
  <c r="A46"/>
  <c r="B45"/>
  <c r="B46" i="3"/>
  <c r="A47"/>
  <c r="H82"/>
  <c r="I82" s="1"/>
  <c r="F40" i="5" l="1"/>
  <c r="D40"/>
  <c r="E40" s="1"/>
  <c r="G40" s="1"/>
  <c r="C41" s="1"/>
  <c r="A47"/>
  <c r="B46"/>
  <c r="B47" i="3"/>
  <c r="A48"/>
  <c r="H83"/>
  <c r="I83" s="1"/>
  <c r="F41" i="5" l="1"/>
  <c r="D41"/>
  <c r="E41" s="1"/>
  <c r="G41" s="1"/>
  <c r="C42" s="1"/>
  <c r="A48"/>
  <c r="B47"/>
  <c r="A49" i="3"/>
  <c r="B48"/>
  <c r="H84"/>
  <c r="I84" s="1"/>
  <c r="F42" i="5" l="1"/>
  <c r="D42"/>
  <c r="E42" s="1"/>
  <c r="G42" s="1"/>
  <c r="C43" s="1"/>
  <c r="A49"/>
  <c r="B48"/>
  <c r="A50" i="3"/>
  <c r="B49"/>
  <c r="H85"/>
  <c r="I85" s="1"/>
  <c r="F43" i="5" l="1"/>
  <c r="D43"/>
  <c r="E43" s="1"/>
  <c r="G43" s="1"/>
  <c r="C44" s="1"/>
  <c r="A50"/>
  <c r="B49"/>
  <c r="A51" i="3"/>
  <c r="B50"/>
  <c r="H86"/>
  <c r="I86" s="1"/>
  <c r="F44" i="5" l="1"/>
  <c r="D44"/>
  <c r="E44" s="1"/>
  <c r="G44" s="1"/>
  <c r="C45" s="1"/>
  <c r="A51"/>
  <c r="B50"/>
  <c r="A52" i="3"/>
  <c r="B51"/>
  <c r="H87"/>
  <c r="I87" s="1"/>
  <c r="F45" i="5" l="1"/>
  <c r="D45"/>
  <c r="E45" s="1"/>
  <c r="G45" s="1"/>
  <c r="C46" s="1"/>
  <c r="A52"/>
  <c r="B51"/>
  <c r="A53" i="3"/>
  <c r="B52"/>
  <c r="H88"/>
  <c r="I88" s="1"/>
  <c r="F46" i="5" l="1"/>
  <c r="D46"/>
  <c r="E46" s="1"/>
  <c r="G46" s="1"/>
  <c r="C47" s="1"/>
  <c r="A53"/>
  <c r="B52"/>
  <c r="A54" i="3"/>
  <c r="B53"/>
  <c r="H89"/>
  <c r="I89" s="1"/>
  <c r="F47" i="5" l="1"/>
  <c r="D47"/>
  <c r="E47" s="1"/>
  <c r="G47" s="1"/>
  <c r="C48" s="1"/>
  <c r="A54"/>
  <c r="B53"/>
  <c r="A55" i="3"/>
  <c r="B54"/>
  <c r="H90"/>
  <c r="I90" s="1"/>
  <c r="F48" i="5" l="1"/>
  <c r="D48"/>
  <c r="E48" s="1"/>
  <c r="G48" s="1"/>
  <c r="C49" s="1"/>
  <c r="A55"/>
  <c r="B54"/>
  <c r="A56" i="3"/>
  <c r="B55"/>
  <c r="F49" i="5" l="1"/>
  <c r="D49"/>
  <c r="E49" s="1"/>
  <c r="G49" s="1"/>
  <c r="C50" s="1"/>
  <c r="A56"/>
  <c r="B55"/>
  <c r="B56" i="3"/>
  <c r="A57"/>
  <c r="H92"/>
  <c r="I92" s="1"/>
  <c r="F50" i="5" l="1"/>
  <c r="D50"/>
  <c r="E50" s="1"/>
  <c r="G50" s="1"/>
  <c r="C51" s="1"/>
  <c r="A57"/>
  <c r="B56"/>
  <c r="B57" i="3"/>
  <c r="A58"/>
  <c r="H93"/>
  <c r="I93" s="1"/>
  <c r="F51" i="5" l="1"/>
  <c r="D51"/>
  <c r="E51" s="1"/>
  <c r="G51" s="1"/>
  <c r="C52" s="1"/>
  <c r="A58"/>
  <c r="B57"/>
  <c r="A59" i="3"/>
  <c r="B58"/>
  <c r="H94"/>
  <c r="I94" s="1"/>
  <c r="F52" i="5" l="1"/>
  <c r="D52"/>
  <c r="E52" s="1"/>
  <c r="G52" s="1"/>
  <c r="C53" s="1"/>
  <c r="A59"/>
  <c r="B58"/>
  <c r="A60" i="3"/>
  <c r="B59"/>
  <c r="H95"/>
  <c r="I95" s="1"/>
  <c r="F53" i="5" l="1"/>
  <c r="D53"/>
  <c r="E53" s="1"/>
  <c r="G53" s="1"/>
  <c r="C54" s="1"/>
  <c r="A60"/>
  <c r="B59"/>
  <c r="A61" i="3"/>
  <c r="B60"/>
  <c r="H96"/>
  <c r="I96" s="1"/>
  <c r="F54" i="5" l="1"/>
  <c r="D54"/>
  <c r="E54" s="1"/>
  <c r="G54" s="1"/>
  <c r="C55" s="1"/>
  <c r="A61"/>
  <c r="B60"/>
  <c r="A62" i="3"/>
  <c r="B61"/>
  <c r="H97"/>
  <c r="I97" s="1"/>
  <c r="F55" i="5" l="1"/>
  <c r="D55"/>
  <c r="E55" s="1"/>
  <c r="G55" s="1"/>
  <c r="C56" s="1"/>
  <c r="A62"/>
  <c r="B61"/>
  <c r="A63" i="3"/>
  <c r="B62"/>
  <c r="H98"/>
  <c r="I98" s="1"/>
  <c r="F56" i="5" l="1"/>
  <c r="D56"/>
  <c r="E56" s="1"/>
  <c r="G56" s="1"/>
  <c r="C57" s="1"/>
  <c r="A63"/>
  <c r="B62"/>
  <c r="B63" i="3"/>
  <c r="A64"/>
  <c r="H99"/>
  <c r="I99" s="1"/>
  <c r="F57" i="5" l="1"/>
  <c r="D57"/>
  <c r="E57" s="1"/>
  <c r="G57" s="1"/>
  <c r="C58" s="1"/>
  <c r="A64"/>
  <c r="B63"/>
  <c r="B64" i="3"/>
  <c r="A65"/>
  <c r="H100"/>
  <c r="I100" s="1"/>
  <c r="F58" i="5" l="1"/>
  <c r="D58"/>
  <c r="E58" s="1"/>
  <c r="G58" s="1"/>
  <c r="C59" s="1"/>
  <c r="A65"/>
  <c r="B64"/>
  <c r="B65" i="3"/>
  <c r="A66"/>
  <c r="H101"/>
  <c r="I101" s="1"/>
  <c r="F59" i="5" l="1"/>
  <c r="G59"/>
  <c r="C60" s="1"/>
  <c r="D59"/>
  <c r="E59" s="1"/>
  <c r="A66"/>
  <c r="B65"/>
  <c r="B66" i="3"/>
  <c r="A67"/>
  <c r="H102"/>
  <c r="F60" i="5" l="1"/>
  <c r="D60"/>
  <c r="E60" s="1"/>
  <c r="G60" s="1"/>
  <c r="C61" s="1"/>
  <c r="A67"/>
  <c r="B66"/>
  <c r="A68" i="3"/>
  <c r="B67"/>
  <c r="I102"/>
  <c r="F61" i="5" l="1"/>
  <c r="D61"/>
  <c r="E61" s="1"/>
  <c r="G61" s="1"/>
  <c r="C62" s="1"/>
  <c r="A68"/>
  <c r="B67"/>
  <c r="A69" i="3"/>
  <c r="B68"/>
  <c r="F20"/>
  <c r="D20"/>
  <c r="F62" i="5" l="1"/>
  <c r="D62"/>
  <c r="E62" s="1"/>
  <c r="G62" s="1"/>
  <c r="C63" s="1"/>
  <c r="A69"/>
  <c r="B68"/>
  <c r="E20" i="3"/>
  <c r="G20" s="1"/>
  <c r="C21" s="1"/>
  <c r="F21" s="1"/>
  <c r="A70"/>
  <c r="B69"/>
  <c r="F63" i="5" l="1"/>
  <c r="D63"/>
  <c r="E63" s="1"/>
  <c r="G63" s="1"/>
  <c r="C64" s="1"/>
  <c r="A70"/>
  <c r="B69"/>
  <c r="D21" i="3"/>
  <c r="A71"/>
  <c r="B70"/>
  <c r="F64" i="5" l="1"/>
  <c r="D64"/>
  <c r="E64" s="1"/>
  <c r="G64" s="1"/>
  <c r="C65" s="1"/>
  <c r="A71"/>
  <c r="B70"/>
  <c r="E21" i="3"/>
  <c r="G21" s="1"/>
  <c r="C22" s="1"/>
  <c r="F22" s="1"/>
  <c r="B71"/>
  <c r="A72"/>
  <c r="F65" i="5" l="1"/>
  <c r="D65"/>
  <c r="E65" s="1"/>
  <c r="G65" s="1"/>
  <c r="C66" s="1"/>
  <c r="A72"/>
  <c r="B71"/>
  <c r="D22" i="3"/>
  <c r="E22" s="1"/>
  <c r="G22" s="1"/>
  <c r="C23" s="1"/>
  <c r="F23" s="1"/>
  <c r="B72"/>
  <c r="A73"/>
  <c r="F66" i="5" l="1"/>
  <c r="D66"/>
  <c r="E66" s="1"/>
  <c r="G66" s="1"/>
  <c r="C67" s="1"/>
  <c r="A73"/>
  <c r="B72"/>
  <c r="D23" i="3"/>
  <c r="E23" s="1"/>
  <c r="G23" s="1"/>
  <c r="C24" s="1"/>
  <c r="F24" s="1"/>
  <c r="A74"/>
  <c r="B73"/>
  <c r="F67" i="5" l="1"/>
  <c r="D67"/>
  <c r="E67" s="1"/>
  <c r="G67" s="1"/>
  <c r="C68" s="1"/>
  <c r="A74"/>
  <c r="B73"/>
  <c r="D24" i="3"/>
  <c r="E24" s="1"/>
  <c r="G24" s="1"/>
  <c r="C25" s="1"/>
  <c r="F25" s="1"/>
  <c r="A75"/>
  <c r="B74"/>
  <c r="F68" i="5" l="1"/>
  <c r="D68"/>
  <c r="E68" s="1"/>
  <c r="G68" s="1"/>
  <c r="C69" s="1"/>
  <c r="A75"/>
  <c r="B74"/>
  <c r="D25" i="3"/>
  <c r="E25" s="1"/>
  <c r="G25" s="1"/>
  <c r="C26" s="1"/>
  <c r="D26" s="1"/>
  <c r="B75"/>
  <c r="A76"/>
  <c r="F69" i="5" l="1"/>
  <c r="D69"/>
  <c r="E69" s="1"/>
  <c r="G69" s="1"/>
  <c r="C70" s="1"/>
  <c r="A76"/>
  <c r="B75"/>
  <c r="F26" i="3"/>
  <c r="E26" s="1"/>
  <c r="G26" s="1"/>
  <c r="C27" s="1"/>
  <c r="A77"/>
  <c r="B76"/>
  <c r="F70" i="5" l="1"/>
  <c r="D70"/>
  <c r="E70" s="1"/>
  <c r="G70" s="1"/>
  <c r="C71" s="1"/>
  <c r="A77"/>
  <c r="B76"/>
  <c r="D27" i="3"/>
  <c r="F27"/>
  <c r="B77"/>
  <c r="A78"/>
  <c r="F71" i="5" l="1"/>
  <c r="D71"/>
  <c r="E71" s="1"/>
  <c r="G71" s="1"/>
  <c r="C72" s="1"/>
  <c r="A78"/>
  <c r="B77"/>
  <c r="E27" i="3"/>
  <c r="G27" s="1"/>
  <c r="C28" s="1"/>
  <c r="B78"/>
  <c r="A79"/>
  <c r="F72" i="5" l="1"/>
  <c r="D72"/>
  <c r="E72" s="1"/>
  <c r="G72" s="1"/>
  <c r="C73" s="1"/>
  <c r="A79"/>
  <c r="B78"/>
  <c r="F28" i="3"/>
  <c r="D28"/>
  <c r="A80"/>
  <c r="B79"/>
  <c r="F73" i="5" l="1"/>
  <c r="D73"/>
  <c r="E73" s="1"/>
  <c r="G73" s="1"/>
  <c r="C74" s="1"/>
  <c r="A80"/>
  <c r="B79"/>
  <c r="E28" i="3"/>
  <c r="G28" s="1"/>
  <c r="C29" s="1"/>
  <c r="F29" s="1"/>
  <c r="B80"/>
  <c r="A81"/>
  <c r="F74" i="5" l="1"/>
  <c r="D74"/>
  <c r="E74" s="1"/>
  <c r="G74" s="1"/>
  <c r="C75" s="1"/>
  <c r="A81"/>
  <c r="B80"/>
  <c r="D29" i="3"/>
  <c r="E29" s="1"/>
  <c r="G29" s="1"/>
  <c r="C30" s="1"/>
  <c r="A82"/>
  <c r="B81"/>
  <c r="F75" i="5" l="1"/>
  <c r="D75"/>
  <c r="E75" s="1"/>
  <c r="G75" s="1"/>
  <c r="C76" s="1"/>
  <c r="A82"/>
  <c r="B81"/>
  <c r="F30" i="3"/>
  <c r="D30"/>
  <c r="B82"/>
  <c r="A83"/>
  <c r="F76" i="5" l="1"/>
  <c r="D76"/>
  <c r="E76" s="1"/>
  <c r="G76" s="1"/>
  <c r="C77" s="1"/>
  <c r="A83"/>
  <c r="B82"/>
  <c r="E30" i="3"/>
  <c r="G30" s="1"/>
  <c r="C31" s="1"/>
  <c r="D31" s="1"/>
  <c r="B83"/>
  <c r="A84"/>
  <c r="F77" i="5" l="1"/>
  <c r="D77"/>
  <c r="E77" s="1"/>
  <c r="G77" s="1"/>
  <c r="C78" s="1"/>
  <c r="A84"/>
  <c r="B83"/>
  <c r="F31" i="3"/>
  <c r="E31" s="1"/>
  <c r="G31" s="1"/>
  <c r="C32" s="1"/>
  <c r="F32" s="1"/>
  <c r="B84"/>
  <c r="A85"/>
  <c r="F78" i="5" l="1"/>
  <c r="D78"/>
  <c r="E78" s="1"/>
  <c r="G78" s="1"/>
  <c r="C79" s="1"/>
  <c r="A85"/>
  <c r="B84"/>
  <c r="D32" i="3"/>
  <c r="B85"/>
  <c r="A86"/>
  <c r="F79" i="5" l="1"/>
  <c r="D79"/>
  <c r="E79" s="1"/>
  <c r="G79" s="1"/>
  <c r="C80" s="1"/>
  <c r="B85"/>
  <c r="A86"/>
  <c r="E32" i="3"/>
  <c r="G32" s="1"/>
  <c r="C33" s="1"/>
  <c r="F33" s="1"/>
  <c r="A87"/>
  <c r="B86"/>
  <c r="F80" i="5" l="1"/>
  <c r="D80"/>
  <c r="E80" s="1"/>
  <c r="G80" s="1"/>
  <c r="C81" s="1"/>
  <c r="A87"/>
  <c r="B86"/>
  <c r="D33" i="3"/>
  <c r="B87"/>
  <c r="A88"/>
  <c r="F81" i="5" l="1"/>
  <c r="D81"/>
  <c r="E81" s="1"/>
  <c r="G81" s="1"/>
  <c r="C82" s="1"/>
  <c r="A88"/>
  <c r="B87"/>
  <c r="E33" i="3"/>
  <c r="G33" s="1"/>
  <c r="C34" s="1"/>
  <c r="F34" s="1"/>
  <c r="B88"/>
  <c r="A89"/>
  <c r="F82" i="5" l="1"/>
  <c r="D82"/>
  <c r="E82" s="1"/>
  <c r="G82" s="1"/>
  <c r="C83" s="1"/>
  <c r="A89"/>
  <c r="B88"/>
  <c r="D34" i="3"/>
  <c r="E34" s="1"/>
  <c r="G34" s="1"/>
  <c r="C35" s="1"/>
  <c r="F35" s="1"/>
  <c r="A90"/>
  <c r="B89"/>
  <c r="F83" i="5" l="1"/>
  <c r="D83"/>
  <c r="E83" s="1"/>
  <c r="G83" s="1"/>
  <c r="C84" s="1"/>
  <c r="A90"/>
  <c r="B89"/>
  <c r="D35" i="3"/>
  <c r="E35" s="1"/>
  <c r="G35" s="1"/>
  <c r="C36" s="1"/>
  <c r="F36" s="1"/>
  <c r="B90"/>
  <c r="A91"/>
  <c r="F84" i="5" l="1"/>
  <c r="D84"/>
  <c r="E84" s="1"/>
  <c r="G84" s="1"/>
  <c r="C85" s="1"/>
  <c r="A91"/>
  <c r="B90"/>
  <c r="D36" i="3"/>
  <c r="E36" s="1"/>
  <c r="G36" s="1"/>
  <c r="C37" s="1"/>
  <c r="F37" s="1"/>
  <c r="A92"/>
  <c r="B91"/>
  <c r="F85" i="5" l="1"/>
  <c r="D85"/>
  <c r="E85" s="1"/>
  <c r="G85" s="1"/>
  <c r="C86" s="1"/>
  <c r="A92"/>
  <c r="B91"/>
  <c r="D37" i="3"/>
  <c r="E37" s="1"/>
  <c r="G37" s="1"/>
  <c r="C38" s="1"/>
  <c r="D38" s="1"/>
  <c r="B92"/>
  <c r="A93"/>
  <c r="F86" i="5" l="1"/>
  <c r="G86"/>
  <c r="C87" s="1"/>
  <c r="D86"/>
  <c r="E86" s="1"/>
  <c r="A93"/>
  <c r="B92"/>
  <c r="F38" i="3"/>
  <c r="E38" s="1"/>
  <c r="G38" s="1"/>
  <c r="C39" s="1"/>
  <c r="F39" s="1"/>
  <c r="A94"/>
  <c r="B93"/>
  <c r="F87" i="5" l="1"/>
  <c r="D87"/>
  <c r="E87" s="1"/>
  <c r="G87" s="1"/>
  <c r="C88" s="1"/>
  <c r="A94"/>
  <c r="B93"/>
  <c r="D39" i="3"/>
  <c r="E39" s="1"/>
  <c r="G39" s="1"/>
  <c r="C40" s="1"/>
  <c r="D40" s="1"/>
  <c r="A95"/>
  <c r="B94"/>
  <c r="F88" i="5" l="1"/>
  <c r="D88"/>
  <c r="E88" s="1"/>
  <c r="G88" s="1"/>
  <c r="C89" s="1"/>
  <c r="A95"/>
  <c r="B94"/>
  <c r="F40" i="3"/>
  <c r="E40" s="1"/>
  <c r="G40" s="1"/>
  <c r="C41" s="1"/>
  <c r="D41" s="1"/>
  <c r="B95"/>
  <c r="A96"/>
  <c r="F89" i="5" l="1"/>
  <c r="D89"/>
  <c r="E89" s="1"/>
  <c r="G89" s="1"/>
  <c r="C90" s="1"/>
  <c r="A96"/>
  <c r="B95"/>
  <c r="F41" i="3"/>
  <c r="E41" s="1"/>
  <c r="G41" s="1"/>
  <c r="C42" s="1"/>
  <c r="F42" s="1"/>
  <c r="B96"/>
  <c r="A97"/>
  <c r="F90" i="5" l="1"/>
  <c r="D90"/>
  <c r="E90" s="1"/>
  <c r="G90" s="1"/>
  <c r="C91" s="1"/>
  <c r="A97"/>
  <c r="B96"/>
  <c r="D42" i="3"/>
  <c r="E42" s="1"/>
  <c r="G42" s="1"/>
  <c r="C43" s="1"/>
  <c r="F43" s="1"/>
  <c r="B97"/>
  <c r="A98"/>
  <c r="F91" i="5" l="1"/>
  <c r="D91"/>
  <c r="E91" s="1"/>
  <c r="G91" s="1"/>
  <c r="C92" s="1"/>
  <c r="A98"/>
  <c r="B97"/>
  <c r="D43" i="3"/>
  <c r="E43" s="1"/>
  <c r="G43" s="1"/>
  <c r="C44" s="1"/>
  <c r="F44" s="1"/>
  <c r="A99"/>
  <c r="B98"/>
  <c r="F92" i="5" l="1"/>
  <c r="D92"/>
  <c r="E92" s="1"/>
  <c r="G92" s="1"/>
  <c r="C93" s="1"/>
  <c r="A99"/>
  <c r="B98"/>
  <c r="D44" i="3"/>
  <c r="E44" s="1"/>
  <c r="G44" s="1"/>
  <c r="C45" s="1"/>
  <c r="D45" s="1"/>
  <c r="B99"/>
  <c r="A100"/>
  <c r="F93" i="5" l="1"/>
  <c r="D93"/>
  <c r="E93" s="1"/>
  <c r="G93" s="1"/>
  <c r="C94" s="1"/>
  <c r="A100"/>
  <c r="B99"/>
  <c r="F45" i="3"/>
  <c r="E45" s="1"/>
  <c r="G45" s="1"/>
  <c r="C46" s="1"/>
  <c r="F46" s="1"/>
  <c r="B100"/>
  <c r="A101"/>
  <c r="F94" i="5" l="1"/>
  <c r="D94"/>
  <c r="E94" s="1"/>
  <c r="G94" s="1"/>
  <c r="C95" s="1"/>
  <c r="A101"/>
  <c r="B100"/>
  <c r="D46" i="3"/>
  <c r="E46" s="1"/>
  <c r="G46" s="1"/>
  <c r="C47" s="1"/>
  <c r="D47" s="1"/>
  <c r="A102"/>
  <c r="B101"/>
  <c r="F95" i="5" l="1"/>
  <c r="D95"/>
  <c r="E95" s="1"/>
  <c r="G95" s="1"/>
  <c r="C96" s="1"/>
  <c r="A102"/>
  <c r="B101"/>
  <c r="F47" i="3"/>
  <c r="E47" s="1"/>
  <c r="G47" s="1"/>
  <c r="C48" s="1"/>
  <c r="F48" s="1"/>
  <c r="A103"/>
  <c r="B102"/>
  <c r="F96" i="5" l="1"/>
  <c r="D96"/>
  <c r="E96" s="1"/>
  <c r="G96" s="1"/>
  <c r="C97" s="1"/>
  <c r="A103"/>
  <c r="B102"/>
  <c r="D48" i="3"/>
  <c r="E48" s="1"/>
  <c r="G48" s="1"/>
  <c r="C49" s="1"/>
  <c r="D49" s="1"/>
  <c r="B103"/>
  <c r="A104"/>
  <c r="F97" i="5" l="1"/>
  <c r="D97"/>
  <c r="E97" s="1"/>
  <c r="G97" s="1"/>
  <c r="C98" s="1"/>
  <c r="A104"/>
  <c r="B103"/>
  <c r="F49" i="3"/>
  <c r="E49" s="1"/>
  <c r="G49" s="1"/>
  <c r="C50" s="1"/>
  <c r="F50" s="1"/>
  <c r="A105"/>
  <c r="B104"/>
  <c r="F98" i="5" l="1"/>
  <c r="D98"/>
  <c r="E98" s="1"/>
  <c r="G98" s="1"/>
  <c r="C99" s="1"/>
  <c r="A105"/>
  <c r="B104"/>
  <c r="D50" i="3"/>
  <c r="E50" s="1"/>
  <c r="G50" s="1"/>
  <c r="C51" s="1"/>
  <c r="D51" s="1"/>
  <c r="A106"/>
  <c r="B105"/>
  <c r="F99" i="5" l="1"/>
  <c r="D99"/>
  <c r="E99" s="1"/>
  <c r="G99" s="1"/>
  <c r="C100" s="1"/>
  <c r="A106"/>
  <c r="B105"/>
  <c r="F51" i="3"/>
  <c r="E51" s="1"/>
  <c r="G51" s="1"/>
  <c r="C52" s="1"/>
  <c r="F52" s="1"/>
  <c r="A107"/>
  <c r="B106"/>
  <c r="F100" i="5" l="1"/>
  <c r="D100"/>
  <c r="E100" s="1"/>
  <c r="G100" s="1"/>
  <c r="C101" s="1"/>
  <c r="A107"/>
  <c r="B106"/>
  <c r="D52" i="3"/>
  <c r="E52" s="1"/>
  <c r="G52" s="1"/>
  <c r="C53" s="1"/>
  <c r="D53" s="1"/>
  <c r="B107"/>
  <c r="A108"/>
  <c r="F101" i="5" l="1"/>
  <c r="D101"/>
  <c r="E101" s="1"/>
  <c r="G101" s="1"/>
  <c r="C102" s="1"/>
  <c r="A108"/>
  <c r="B107"/>
  <c r="F53" i="3"/>
  <c r="E53" s="1"/>
  <c r="G53" s="1"/>
  <c r="C54" s="1"/>
  <c r="F54" s="1"/>
  <c r="A109"/>
  <c r="B108"/>
  <c r="F102" i="5" l="1"/>
  <c r="D102"/>
  <c r="E102" s="1"/>
  <c r="G102" s="1"/>
  <c r="C103" s="1"/>
  <c r="A109"/>
  <c r="B108"/>
  <c r="D54" i="3"/>
  <c r="E54" s="1"/>
  <c r="G54" s="1"/>
  <c r="C55" s="1"/>
  <c r="D55" s="1"/>
  <c r="A110"/>
  <c r="B109"/>
  <c r="F103" i="5" l="1"/>
  <c r="D103"/>
  <c r="E103" s="1"/>
  <c r="G103" s="1"/>
  <c r="C104" s="1"/>
  <c r="A110"/>
  <c r="B109"/>
  <c r="F55" i="3"/>
  <c r="E55" s="1"/>
  <c r="G55" s="1"/>
  <c r="C56" s="1"/>
  <c r="D56" s="1"/>
  <c r="B110"/>
  <c r="A111"/>
  <c r="F104" i="5" l="1"/>
  <c r="D104"/>
  <c r="E104" s="1"/>
  <c r="G104" s="1"/>
  <c r="C105" s="1"/>
  <c r="A111"/>
  <c r="B110"/>
  <c r="F56" i="3"/>
  <c r="E56" s="1"/>
  <c r="G56" s="1"/>
  <c r="C57" s="1"/>
  <c r="F57" s="1"/>
  <c r="B111"/>
  <c r="A112"/>
  <c r="F105" i="5" l="1"/>
  <c r="D105"/>
  <c r="E105" s="1"/>
  <c r="G105" s="1"/>
  <c r="C106" s="1"/>
  <c r="A112"/>
  <c r="B111"/>
  <c r="D57" i="3"/>
  <c r="E57" s="1"/>
  <c r="G57" s="1"/>
  <c r="C58" s="1"/>
  <c r="D58" s="1"/>
  <c r="A113"/>
  <c r="B112"/>
  <c r="F106" i="5" l="1"/>
  <c r="D106"/>
  <c r="E106" s="1"/>
  <c r="G106" s="1"/>
  <c r="C107" s="1"/>
  <c r="A113"/>
  <c r="B112"/>
  <c r="F58" i="3"/>
  <c r="E58" s="1"/>
  <c r="G58" s="1"/>
  <c r="C59" s="1"/>
  <c r="F59" s="1"/>
  <c r="B113"/>
  <c r="A114"/>
  <c r="F107" i="5" l="1"/>
  <c r="D107"/>
  <c r="E107" s="1"/>
  <c r="G107" s="1"/>
  <c r="C108" s="1"/>
  <c r="A114"/>
  <c r="B113"/>
  <c r="D59" i="3"/>
  <c r="E59" s="1"/>
  <c r="G59" s="1"/>
  <c r="C60" s="1"/>
  <c r="F60" s="1"/>
  <c r="B114"/>
  <c r="A115"/>
  <c r="F108" i="5" l="1"/>
  <c r="D108"/>
  <c r="E108" s="1"/>
  <c r="G108" s="1"/>
  <c r="C109" s="1"/>
  <c r="A115"/>
  <c r="B114"/>
  <c r="D60" i="3"/>
  <c r="E60" s="1"/>
  <c r="G60" s="1"/>
  <c r="C61" s="1"/>
  <c r="F61" s="1"/>
  <c r="B115"/>
  <c r="A116"/>
  <c r="F109" i="5" l="1"/>
  <c r="D109"/>
  <c r="E109" s="1"/>
  <c r="G109" s="1"/>
  <c r="C110" s="1"/>
  <c r="A116"/>
  <c r="B115"/>
  <c r="D61" i="3"/>
  <c r="E61" s="1"/>
  <c r="G61" s="1"/>
  <c r="C62" s="1"/>
  <c r="F62" s="1"/>
  <c r="B116"/>
  <c r="A117"/>
  <c r="F110" i="5" l="1"/>
  <c r="D110"/>
  <c r="E110" s="1"/>
  <c r="G110" s="1"/>
  <c r="C111" s="1"/>
  <c r="A117"/>
  <c r="B116"/>
  <c r="D62" i="3"/>
  <c r="E62" s="1"/>
  <c r="G62" s="1"/>
  <c r="C63" s="1"/>
  <c r="F63" s="1"/>
  <c r="B117"/>
  <c r="A118"/>
  <c r="F111" i="5" l="1"/>
  <c r="D111"/>
  <c r="E111" s="1"/>
  <c r="G111" s="1"/>
  <c r="C112" s="1"/>
  <c r="B117"/>
  <c r="A118"/>
  <c r="D63" i="3"/>
  <c r="E63" s="1"/>
  <c r="G63" s="1"/>
  <c r="C64" s="1"/>
  <c r="F64" s="1"/>
  <c r="B118"/>
  <c r="A119"/>
  <c r="F112" i="5" l="1"/>
  <c r="D112"/>
  <c r="E112" s="1"/>
  <c r="G112" s="1"/>
  <c r="C113" s="1"/>
  <c r="A119"/>
  <c r="B118"/>
  <c r="D64" i="3"/>
  <c r="E64" s="1"/>
  <c r="G64" s="1"/>
  <c r="C65" s="1"/>
  <c r="F65" s="1"/>
  <c r="B119"/>
  <c r="A120"/>
  <c r="F113" i="5" l="1"/>
  <c r="D113"/>
  <c r="E113" s="1"/>
  <c r="G113" s="1"/>
  <c r="C114" s="1"/>
  <c r="B119"/>
  <c r="A120"/>
  <c r="D65" i="3"/>
  <c r="E65" s="1"/>
  <c r="G65" s="1"/>
  <c r="C66" s="1"/>
  <c r="F66" s="1"/>
  <c r="B120"/>
  <c r="A121"/>
  <c r="F114" i="5" l="1"/>
  <c r="D114"/>
  <c r="E114" s="1"/>
  <c r="G114" s="1"/>
  <c r="C115" s="1"/>
  <c r="A121"/>
  <c r="B120"/>
  <c r="D66" i="3"/>
  <c r="E66" s="1"/>
  <c r="G66" s="1"/>
  <c r="C67" s="1"/>
  <c r="F67" s="1"/>
  <c r="B121"/>
  <c r="A122"/>
  <c r="F115" i="5" l="1"/>
  <c r="D115"/>
  <c r="E115" s="1"/>
  <c r="G115" s="1"/>
  <c r="C116" s="1"/>
  <c r="B121"/>
  <c r="A122"/>
  <c r="D67" i="3"/>
  <c r="E67" s="1"/>
  <c r="G67" s="1"/>
  <c r="C68" s="1"/>
  <c r="F68" s="1"/>
  <c r="B122"/>
  <c r="A123"/>
  <c r="F116" i="5" l="1"/>
  <c r="D116"/>
  <c r="E116" s="1"/>
  <c r="G116" s="1"/>
  <c r="C117" s="1"/>
  <c r="A123"/>
  <c r="B122"/>
  <c r="D68" i="3"/>
  <c r="E68" s="1"/>
  <c r="G68" s="1"/>
  <c r="C69" s="1"/>
  <c r="F69" s="1"/>
  <c r="B123"/>
  <c r="A124"/>
  <c r="F117" i="5" l="1"/>
  <c r="D117"/>
  <c r="E117" s="1"/>
  <c r="G117" s="1"/>
  <c r="C118" s="1"/>
  <c r="B123"/>
  <c r="A124"/>
  <c r="D69" i="3"/>
  <c r="E69" s="1"/>
  <c r="G69" s="1"/>
  <c r="C70" s="1"/>
  <c r="F70" s="1"/>
  <c r="B124"/>
  <c r="A125"/>
  <c r="F118" i="5" l="1"/>
  <c r="D118"/>
  <c r="E118" s="1"/>
  <c r="G118" s="1"/>
  <c r="C119" s="1"/>
  <c r="A125"/>
  <c r="B124"/>
  <c r="D70" i="3"/>
  <c r="E70" s="1"/>
  <c r="G70" s="1"/>
  <c r="C71" s="1"/>
  <c r="D71" s="1"/>
  <c r="B125"/>
  <c r="A126"/>
  <c r="F119" i="5" l="1"/>
  <c r="D119"/>
  <c r="E119" s="1"/>
  <c r="G119" s="1"/>
  <c r="C120" s="1"/>
  <c r="B125"/>
  <c r="A126"/>
  <c r="F71" i="3"/>
  <c r="E71" s="1"/>
  <c r="G71" s="1"/>
  <c r="C72" s="1"/>
  <c r="D72" s="1"/>
  <c r="A127"/>
  <c r="B126"/>
  <c r="F120" i="5" l="1"/>
  <c r="D120"/>
  <c r="E120" s="1"/>
  <c r="G120" s="1"/>
  <c r="C121" s="1"/>
  <c r="A127"/>
  <c r="B126"/>
  <c r="F72" i="3"/>
  <c r="E72" s="1"/>
  <c r="G72" s="1"/>
  <c r="C73" s="1"/>
  <c r="F73" s="1"/>
  <c r="A128"/>
  <c r="B127"/>
  <c r="F121" i="5" l="1"/>
  <c r="D121"/>
  <c r="E121" s="1"/>
  <c r="G121" s="1"/>
  <c r="C122" s="1"/>
  <c r="B127"/>
  <c r="A128"/>
  <c r="D73" i="3"/>
  <c r="E73" s="1"/>
  <c r="G73" s="1"/>
  <c r="C74" s="1"/>
  <c r="D74" s="1"/>
  <c r="B128"/>
  <c r="A129"/>
  <c r="F122" i="5" l="1"/>
  <c r="D122"/>
  <c r="E122" s="1"/>
  <c r="G122" s="1"/>
  <c r="C123" s="1"/>
  <c r="A129"/>
  <c r="B128"/>
  <c r="F74" i="3"/>
  <c r="E74" s="1"/>
  <c r="G74" s="1"/>
  <c r="C75" s="1"/>
  <c r="D75" s="1"/>
  <c r="B129"/>
  <c r="A130"/>
  <c r="F123" i="5" l="1"/>
  <c r="D123"/>
  <c r="E123" s="1"/>
  <c r="G123" s="1"/>
  <c r="C124" s="1"/>
  <c r="B129"/>
  <c r="A130"/>
  <c r="F75" i="3"/>
  <c r="E75" s="1"/>
  <c r="G75" s="1"/>
  <c r="C76" s="1"/>
  <c r="F76" s="1"/>
  <c r="B130"/>
  <c r="A131"/>
  <c r="F124" i="5" l="1"/>
  <c r="D124"/>
  <c r="E124" s="1"/>
  <c r="G124" s="1"/>
  <c r="C125" s="1"/>
  <c r="A131"/>
  <c r="B130"/>
  <c r="D76" i="3"/>
  <c r="E76" s="1"/>
  <c r="G76" s="1"/>
  <c r="C77" s="1"/>
  <c r="D77" s="1"/>
  <c r="A132"/>
  <c r="B131"/>
  <c r="F125" i="5" l="1"/>
  <c r="D125"/>
  <c r="E125" s="1"/>
  <c r="G125" s="1"/>
  <c r="C126" s="1"/>
  <c r="B131"/>
  <c r="A132"/>
  <c r="F77" i="3"/>
  <c r="E77" s="1"/>
  <c r="G77" s="1"/>
  <c r="C78" s="1"/>
  <c r="D78" s="1"/>
  <c r="B132"/>
  <c r="A133"/>
  <c r="F126" i="5" l="1"/>
  <c r="D126"/>
  <c r="E126" s="1"/>
  <c r="G126" s="1"/>
  <c r="C127" s="1"/>
  <c r="A133"/>
  <c r="B132"/>
  <c r="F78" i="3"/>
  <c r="E78" s="1"/>
  <c r="G78" s="1"/>
  <c r="C79" s="1"/>
  <c r="D79" s="1"/>
  <c r="A134"/>
  <c r="B133"/>
  <c r="F127" i="5" l="1"/>
  <c r="D127"/>
  <c r="E127" s="1"/>
  <c r="G127" s="1"/>
  <c r="C128" s="1"/>
  <c r="B133"/>
  <c r="A134"/>
  <c r="F79" i="3"/>
  <c r="E79" s="1"/>
  <c r="G79" s="1"/>
  <c r="C80" s="1"/>
  <c r="F80" s="1"/>
  <c r="B134"/>
  <c r="A135"/>
  <c r="F128" i="5" l="1"/>
  <c r="D128"/>
  <c r="E128" s="1"/>
  <c r="G128" s="1"/>
  <c r="C129" s="1"/>
  <c r="A135"/>
  <c r="B134"/>
  <c r="D80" i="3"/>
  <c r="E80" s="1"/>
  <c r="G80" s="1"/>
  <c r="C81" s="1"/>
  <c r="D81" s="1"/>
  <c r="B135"/>
  <c r="A136"/>
  <c r="F129" i="5" l="1"/>
  <c r="D129"/>
  <c r="E129" s="1"/>
  <c r="G129" s="1"/>
  <c r="C130" s="1"/>
  <c r="B135"/>
  <c r="A136"/>
  <c r="F81" i="3"/>
  <c r="E81" s="1"/>
  <c r="G81" s="1"/>
  <c r="C82" s="1"/>
  <c r="D82" s="1"/>
  <c r="B136"/>
  <c r="A137"/>
  <c r="F130" i="5" l="1"/>
  <c r="D130"/>
  <c r="E130" s="1"/>
  <c r="G130" s="1"/>
  <c r="C131" s="1"/>
  <c r="A137"/>
  <c r="B136"/>
  <c r="F82" i="3"/>
  <c r="E82" s="1"/>
  <c r="G82" s="1"/>
  <c r="C83" s="1"/>
  <c r="F83" s="1"/>
  <c r="A138"/>
  <c r="B137"/>
  <c r="F131" i="5" l="1"/>
  <c r="G131"/>
  <c r="C132" s="1"/>
  <c r="D131"/>
  <c r="E131" s="1"/>
  <c r="B137"/>
  <c r="A138"/>
  <c r="D83" i="3"/>
  <c r="E83" s="1"/>
  <c r="G83" s="1"/>
  <c r="C84" s="1"/>
  <c r="F84" s="1"/>
  <c r="B138"/>
  <c r="A139"/>
  <c r="F132" i="5" l="1"/>
  <c r="D132"/>
  <c r="E132" s="1"/>
  <c r="G132" s="1"/>
  <c r="C133" s="1"/>
  <c r="A139"/>
  <c r="B138"/>
  <c r="D84" i="3"/>
  <c r="E84" s="1"/>
  <c r="G84" s="1"/>
  <c r="C85" s="1"/>
  <c r="D85" s="1"/>
  <c r="B139"/>
  <c r="A140"/>
  <c r="F133" i="5" l="1"/>
  <c r="D133"/>
  <c r="E133" s="1"/>
  <c r="G133" s="1"/>
  <c r="C134" s="1"/>
  <c r="B139"/>
  <c r="A140"/>
  <c r="F85" i="3"/>
  <c r="E85" s="1"/>
  <c r="G85" s="1"/>
  <c r="C86" s="1"/>
  <c r="F86" s="1"/>
  <c r="B140"/>
  <c r="A141"/>
  <c r="F134" i="5" l="1"/>
  <c r="D134"/>
  <c r="E134" s="1"/>
  <c r="G134" s="1"/>
  <c r="C135" s="1"/>
  <c r="A141"/>
  <c r="B140"/>
  <c r="D86" i="3"/>
  <c r="E86" s="1"/>
  <c r="G86" s="1"/>
  <c r="C87" s="1"/>
  <c r="D87" s="1"/>
  <c r="B141"/>
  <c r="A142"/>
  <c r="F135" i="5" l="1"/>
  <c r="D135"/>
  <c r="E135" s="1"/>
  <c r="G135" s="1"/>
  <c r="C136" s="1"/>
  <c r="B141"/>
  <c r="A142"/>
  <c r="F87" i="3"/>
  <c r="E87" s="1"/>
  <c r="G87" s="1"/>
  <c r="C88" s="1"/>
  <c r="F88" s="1"/>
  <c r="B142"/>
  <c r="A143"/>
  <c r="F136" i="5" l="1"/>
  <c r="D136"/>
  <c r="E136" s="1"/>
  <c r="G136" s="1"/>
  <c r="C137" s="1"/>
  <c r="A143"/>
  <c r="B142"/>
  <c r="D88" i="3"/>
  <c r="E88" s="1"/>
  <c r="G88" s="1"/>
  <c r="C89" s="1"/>
  <c r="F89" s="1"/>
  <c r="A144"/>
  <c r="B143"/>
  <c r="F137" i="5" l="1"/>
  <c r="D137"/>
  <c r="E137" s="1"/>
  <c r="G137" s="1"/>
  <c r="C138" s="1"/>
  <c r="B143"/>
  <c r="A144"/>
  <c r="D89" i="3"/>
  <c r="E89" s="1"/>
  <c r="G89" s="1"/>
  <c r="C90" s="1"/>
  <c r="F90" s="1"/>
  <c r="B144"/>
  <c r="A145"/>
  <c r="F138" i="5" l="1"/>
  <c r="D138"/>
  <c r="E138" s="1"/>
  <c r="G138" s="1"/>
  <c r="C139" s="1"/>
  <c r="A145"/>
  <c r="B144"/>
  <c r="D90" i="3"/>
  <c r="E90" s="1"/>
  <c r="G90" s="1"/>
  <c r="C91" s="1"/>
  <c r="D91" s="1"/>
  <c r="B145"/>
  <c r="A146"/>
  <c r="F139" i="5" l="1"/>
  <c r="D139"/>
  <c r="E139" s="1"/>
  <c r="G139" s="1"/>
  <c r="C140" s="1"/>
  <c r="B145"/>
  <c r="A146"/>
  <c r="F91" i="3"/>
  <c r="E91" s="1"/>
  <c r="G91" s="1"/>
  <c r="C92" s="1"/>
  <c r="F92" s="1"/>
  <c r="B146"/>
  <c r="A147"/>
  <c r="F140" i="5" l="1"/>
  <c r="D140"/>
  <c r="E140" s="1"/>
  <c r="G140" s="1"/>
  <c r="C141" s="1"/>
  <c r="B146"/>
  <c r="A147"/>
  <c r="D92" i="3"/>
  <c r="E92" s="1"/>
  <c r="G92" s="1"/>
  <c r="C93" s="1"/>
  <c r="D93" s="1"/>
  <c r="A148"/>
  <c r="B147"/>
  <c r="F141" i="5" l="1"/>
  <c r="D141"/>
  <c r="E141" s="1"/>
  <c r="G141" s="1"/>
  <c r="C142" s="1"/>
  <c r="B147"/>
  <c r="A148"/>
  <c r="F93" i="3"/>
  <c r="E93" s="1"/>
  <c r="G93" s="1"/>
  <c r="C94" s="1"/>
  <c r="D94" s="1"/>
  <c r="B148"/>
  <c r="A149"/>
  <c r="F142" i="5" l="1"/>
  <c r="D142"/>
  <c r="E142" s="1"/>
  <c r="G142" s="1"/>
  <c r="C143" s="1"/>
  <c r="A149"/>
  <c r="B148"/>
  <c r="F94" i="3"/>
  <c r="E94" s="1"/>
  <c r="G94" s="1"/>
  <c r="C95" s="1"/>
  <c r="F95" s="1"/>
  <c r="B149"/>
  <c r="A150"/>
  <c r="F143" i="5" l="1"/>
  <c r="D143"/>
  <c r="E143" s="1"/>
  <c r="G143" s="1"/>
  <c r="C144" s="1"/>
  <c r="B149"/>
  <c r="A150"/>
  <c r="D95" i="3"/>
  <c r="E95" s="1"/>
  <c r="G95" s="1"/>
  <c r="C96" s="1"/>
  <c r="D96" s="1"/>
  <c r="A151"/>
  <c r="B150"/>
  <c r="F144" i="5" l="1"/>
  <c r="D144"/>
  <c r="E144" s="1"/>
  <c r="G144" s="1"/>
  <c r="C145" s="1"/>
  <c r="A151"/>
  <c r="B150"/>
  <c r="F96" i="3"/>
  <c r="E96" s="1"/>
  <c r="G96" s="1"/>
  <c r="C97" s="1"/>
  <c r="F97" s="1"/>
  <c r="A152"/>
  <c r="B151"/>
  <c r="F145" i="5" l="1"/>
  <c r="D145"/>
  <c r="E145" s="1"/>
  <c r="G145" s="1"/>
  <c r="C146" s="1"/>
  <c r="B151"/>
  <c r="A152"/>
  <c r="D97" i="3"/>
  <c r="E97" s="1"/>
  <c r="G97" s="1"/>
  <c r="C98" s="1"/>
  <c r="F98" s="1"/>
  <c r="B152"/>
  <c r="A153"/>
  <c r="F146" i="5" l="1"/>
  <c r="D146"/>
  <c r="E146" s="1"/>
  <c r="G146" s="1"/>
  <c r="C147" s="1"/>
  <c r="A153"/>
  <c r="B152"/>
  <c r="D98" i="3"/>
  <c r="E98" s="1"/>
  <c r="G98" s="1"/>
  <c r="C99" s="1"/>
  <c r="D99" s="1"/>
  <c r="B153"/>
  <c r="A154"/>
  <c r="F147" i="5" l="1"/>
  <c r="D147"/>
  <c r="E147" s="1"/>
  <c r="G147" s="1"/>
  <c r="C148" s="1"/>
  <c r="B153"/>
  <c r="A154"/>
  <c r="F99" i="3"/>
  <c r="E99" s="1"/>
  <c r="G99" s="1"/>
  <c r="C100" s="1"/>
  <c r="F100" s="1"/>
  <c r="B154"/>
  <c r="A155"/>
  <c r="F148" i="5" l="1"/>
  <c r="D148"/>
  <c r="E148" s="1"/>
  <c r="G148" s="1"/>
  <c r="C149" s="1"/>
  <c r="A155"/>
  <c r="B154"/>
  <c r="D100" i="3"/>
  <c r="E100" s="1"/>
  <c r="G100" s="1"/>
  <c r="C101" s="1"/>
  <c r="F101" s="1"/>
  <c r="B155"/>
  <c r="A156"/>
  <c r="F149" i="5" l="1"/>
  <c r="G149"/>
  <c r="C150" s="1"/>
  <c r="D149"/>
  <c r="E149" s="1"/>
  <c r="B155"/>
  <c r="A156"/>
  <c r="D101" i="3"/>
  <c r="E101" s="1"/>
  <c r="G101" s="1"/>
  <c r="C102" s="1"/>
  <c r="F102" s="1"/>
  <c r="B156"/>
  <c r="A157"/>
  <c r="F150" i="5" l="1"/>
  <c r="D150"/>
  <c r="E150" s="1"/>
  <c r="G150" s="1"/>
  <c r="C151" s="1"/>
  <c r="A157"/>
  <c r="B156"/>
  <c r="D102" i="3"/>
  <c r="E102" s="1"/>
  <c r="G102" s="1"/>
  <c r="C103" s="1"/>
  <c r="F103" s="1"/>
  <c r="B157"/>
  <c r="A158"/>
  <c r="F151" i="5" l="1"/>
  <c r="D151"/>
  <c r="E151" s="1"/>
  <c r="G151" s="1"/>
  <c r="C152" s="1"/>
  <c r="B157"/>
  <c r="A158"/>
  <c r="D103" i="3"/>
  <c r="E103" s="1"/>
  <c r="G103" s="1"/>
  <c r="C104" s="1"/>
  <c r="F104" s="1"/>
  <c r="B158"/>
  <c r="A159"/>
  <c r="F152" i="5" l="1"/>
  <c r="D152"/>
  <c r="E152" s="1"/>
  <c r="G152" s="1"/>
  <c r="C153" s="1"/>
  <c r="A159"/>
  <c r="B158"/>
  <c r="D104" i="3"/>
  <c r="E104" s="1"/>
  <c r="G104" s="1"/>
  <c r="C105" s="1"/>
  <c r="F105" s="1"/>
  <c r="A160"/>
  <c r="B159"/>
  <c r="F153" i="5" l="1"/>
  <c r="D153"/>
  <c r="E153" s="1"/>
  <c r="G153" s="1"/>
  <c r="C154" s="1"/>
  <c r="B159"/>
  <c r="A160"/>
  <c r="D105" i="3"/>
  <c r="E105" s="1"/>
  <c r="G105" s="1"/>
  <c r="C106" s="1"/>
  <c r="D106" s="1"/>
  <c r="B160"/>
  <c r="A161"/>
  <c r="F154" i="5" l="1"/>
  <c r="D154"/>
  <c r="E154" s="1"/>
  <c r="G154" s="1"/>
  <c r="C155" s="1"/>
  <c r="A161"/>
  <c r="B160"/>
  <c r="F106" i="3"/>
  <c r="E106" s="1"/>
  <c r="G106" s="1"/>
  <c r="C107" s="1"/>
  <c r="D107" s="1"/>
  <c r="B161"/>
  <c r="A162"/>
  <c r="F155" i="5" l="1"/>
  <c r="D155"/>
  <c r="E155" s="1"/>
  <c r="G155" s="1"/>
  <c r="C156" s="1"/>
  <c r="B161"/>
  <c r="A162"/>
  <c r="F107" i="3"/>
  <c r="E107" s="1"/>
  <c r="G107" s="1"/>
  <c r="C108" s="1"/>
  <c r="F108" s="1"/>
  <c r="B162"/>
  <c r="A163"/>
  <c r="F156" i="5" l="1"/>
  <c r="D156"/>
  <c r="E156" s="1"/>
  <c r="G156" s="1"/>
  <c r="C157" s="1"/>
  <c r="A163"/>
  <c r="B162"/>
  <c r="D108" i="3"/>
  <c r="E108" s="1"/>
  <c r="G108" s="1"/>
  <c r="C109" s="1"/>
  <c r="F109" s="1"/>
  <c r="A164"/>
  <c r="B163"/>
  <c r="F157" i="5" l="1"/>
  <c r="D157"/>
  <c r="E157" s="1"/>
  <c r="G157" s="1"/>
  <c r="C158" s="1"/>
  <c r="B163"/>
  <c r="A164"/>
  <c r="D109" i="3"/>
  <c r="E109" s="1"/>
  <c r="G109" s="1"/>
  <c r="C110" s="1"/>
  <c r="D110" s="1"/>
  <c r="B164"/>
  <c r="A165"/>
  <c r="F158" i="5" l="1"/>
  <c r="D158"/>
  <c r="E158" s="1"/>
  <c r="G158" s="1"/>
  <c r="C159" s="1"/>
  <c r="A165"/>
  <c r="B164"/>
  <c r="F110" i="3"/>
  <c r="E110" s="1"/>
  <c r="G110" s="1"/>
  <c r="C111" s="1"/>
  <c r="D111" s="1"/>
  <c r="B165"/>
  <c r="A166"/>
  <c r="F159" i="5" l="1"/>
  <c r="D159"/>
  <c r="E159" s="1"/>
  <c r="G159" s="1"/>
  <c r="C160" s="1"/>
  <c r="B165"/>
  <c r="A166"/>
  <c r="F111" i="3"/>
  <c r="E111" s="1"/>
  <c r="G111" s="1"/>
  <c r="C112" s="1"/>
  <c r="F112" s="1"/>
  <c r="B166"/>
  <c r="A167"/>
  <c r="F160" i="5" l="1"/>
  <c r="D160"/>
  <c r="E160" s="1"/>
  <c r="G160" s="1"/>
  <c r="C161" s="1"/>
  <c r="A167"/>
  <c r="B166"/>
  <c r="D112" i="3"/>
  <c r="E112" s="1"/>
  <c r="G112" s="1"/>
  <c r="C113" s="1"/>
  <c r="F113" s="1"/>
  <c r="B167"/>
  <c r="A168"/>
  <c r="F161" i="5" l="1"/>
  <c r="D161"/>
  <c r="E161" s="1"/>
  <c r="G161" s="1"/>
  <c r="C162" s="1"/>
  <c r="B167"/>
  <c r="A168"/>
  <c r="D113" i="3"/>
  <c r="E113" s="1"/>
  <c r="G113" s="1"/>
  <c r="C114" s="1"/>
  <c r="D114" s="1"/>
  <c r="B168"/>
  <c r="A169"/>
  <c r="F162" i="5" l="1"/>
  <c r="D162"/>
  <c r="E162" s="1"/>
  <c r="G162" s="1"/>
  <c r="C163" s="1"/>
  <c r="A169"/>
  <c r="B168"/>
  <c r="F114" i="3"/>
  <c r="E114" s="1"/>
  <c r="G114" s="1"/>
  <c r="C115" s="1"/>
  <c r="D115" s="1"/>
  <c r="B169"/>
  <c r="A170"/>
  <c r="F163" i="5" l="1"/>
  <c r="D163"/>
  <c r="E163" s="1"/>
  <c r="G163" s="1"/>
  <c r="C164" s="1"/>
  <c r="B169"/>
  <c r="A170"/>
  <c r="F115" i="3"/>
  <c r="E115" s="1"/>
  <c r="G115" s="1"/>
  <c r="C116" s="1"/>
  <c r="F116" s="1"/>
  <c r="B170"/>
  <c r="A171"/>
  <c r="F164" i="5" l="1"/>
  <c r="D164"/>
  <c r="E164" s="1"/>
  <c r="G164" s="1"/>
  <c r="C165" s="1"/>
  <c r="A171"/>
  <c r="B170"/>
  <c r="D116" i="3"/>
  <c r="E116" s="1"/>
  <c r="G116" s="1"/>
  <c r="C117" s="1"/>
  <c r="F117" s="1"/>
  <c r="B171"/>
  <c r="A172"/>
  <c r="F165" i="5" l="1"/>
  <c r="D165"/>
  <c r="E165" s="1"/>
  <c r="G165" s="1"/>
  <c r="C166" s="1"/>
  <c r="B171"/>
  <c r="A172"/>
  <c r="D117" i="3"/>
  <c r="E117" s="1"/>
  <c r="G117" s="1"/>
  <c r="C118" s="1"/>
  <c r="D118" s="1"/>
  <c r="B172"/>
  <c r="A173"/>
  <c r="F166" i="5" l="1"/>
  <c r="D166"/>
  <c r="E166" s="1"/>
  <c r="G166" s="1"/>
  <c r="C167" s="1"/>
  <c r="A173"/>
  <c r="B172"/>
  <c r="F118" i="3"/>
  <c r="E118" s="1"/>
  <c r="G118" s="1"/>
  <c r="C119" s="1"/>
  <c r="D119" s="1"/>
  <c r="B173"/>
  <c r="A174"/>
  <c r="F167" i="5" l="1"/>
  <c r="D167"/>
  <c r="E167" s="1"/>
  <c r="G167" s="1"/>
  <c r="C168" s="1"/>
  <c r="B173"/>
  <c r="A174"/>
  <c r="F119" i="3"/>
  <c r="E119" s="1"/>
  <c r="G119" s="1"/>
  <c r="C120" s="1"/>
  <c r="F120" s="1"/>
  <c r="B174"/>
  <c r="A175"/>
  <c r="F168" i="5" l="1"/>
  <c r="D168"/>
  <c r="E168" s="1"/>
  <c r="G168" s="1"/>
  <c r="C169" s="1"/>
  <c r="A175"/>
  <c r="B174"/>
  <c r="D120" i="3"/>
  <c r="E120" s="1"/>
  <c r="G120" s="1"/>
  <c r="C121" s="1"/>
  <c r="F121" s="1"/>
  <c r="B175"/>
  <c r="A176"/>
  <c r="F169" i="5" l="1"/>
  <c r="D169"/>
  <c r="E169" s="1"/>
  <c r="G169" s="1"/>
  <c r="C170" s="1"/>
  <c r="B175"/>
  <c r="A176"/>
  <c r="D121" i="3"/>
  <c r="E121" s="1"/>
  <c r="G121" s="1"/>
  <c r="C122" s="1"/>
  <c r="D122" s="1"/>
  <c r="B176"/>
  <c r="A177"/>
  <c r="F170" i="5" l="1"/>
  <c r="D170"/>
  <c r="E170" s="1"/>
  <c r="G170" s="1"/>
  <c r="C171" s="1"/>
  <c r="A177"/>
  <c r="B176"/>
  <c r="F122" i="3"/>
  <c r="E122" s="1"/>
  <c r="G122" s="1"/>
  <c r="C123" s="1"/>
  <c r="D123" s="1"/>
  <c r="B177"/>
  <c r="A178"/>
  <c r="F171" i="5" l="1"/>
  <c r="D171"/>
  <c r="E171" s="1"/>
  <c r="G171" s="1"/>
  <c r="C172" s="1"/>
  <c r="B177"/>
  <c r="A178"/>
  <c r="F123" i="3"/>
  <c r="E123" s="1"/>
  <c r="G123" s="1"/>
  <c r="C124" s="1"/>
  <c r="F124" s="1"/>
  <c r="B178"/>
  <c r="A179"/>
  <c r="F172" i="5" l="1"/>
  <c r="D172"/>
  <c r="E172" s="1"/>
  <c r="G172" s="1"/>
  <c r="C173" s="1"/>
  <c r="A179"/>
  <c r="B178"/>
  <c r="D124" i="3"/>
  <c r="E124" s="1"/>
  <c r="G124" s="1"/>
  <c r="C125" s="1"/>
  <c r="F125" s="1"/>
  <c r="B179"/>
  <c r="A180"/>
  <c r="F173" i="5" l="1"/>
  <c r="D173"/>
  <c r="E173" s="1"/>
  <c r="G173" s="1"/>
  <c r="C174" s="1"/>
  <c r="B179"/>
  <c r="A180"/>
  <c r="D125" i="3"/>
  <c r="E125" s="1"/>
  <c r="G125" s="1"/>
  <c r="C126" s="1"/>
  <c r="D126" s="1"/>
  <c r="B180"/>
  <c r="A181"/>
  <c r="F174" i="5" l="1"/>
  <c r="D174"/>
  <c r="E174" s="1"/>
  <c r="G174" s="1"/>
  <c r="C175" s="1"/>
  <c r="A181"/>
  <c r="B180"/>
  <c r="F126" i="3"/>
  <c r="E126" s="1"/>
  <c r="G126" s="1"/>
  <c r="C127" s="1"/>
  <c r="B181"/>
  <c r="A182"/>
  <c r="F175" i="5" l="1"/>
  <c r="D175"/>
  <c r="E175" s="1"/>
  <c r="G175" s="1"/>
  <c r="C176" s="1"/>
  <c r="B181"/>
  <c r="A182"/>
  <c r="B182" i="3"/>
  <c r="A183"/>
  <c r="F176" i="5" l="1"/>
  <c r="D176"/>
  <c r="E176" s="1"/>
  <c r="G176" s="1"/>
  <c r="C177" s="1"/>
  <c r="A183"/>
  <c r="B182"/>
  <c r="B183" i="3"/>
  <c r="A184"/>
  <c r="F177" i="5" l="1"/>
  <c r="D177"/>
  <c r="E177" s="1"/>
  <c r="G177" s="1"/>
  <c r="C178" s="1"/>
  <c r="B183"/>
  <c r="A184"/>
  <c r="B184" i="3"/>
  <c r="A185"/>
  <c r="F178" i="5" l="1"/>
  <c r="D178"/>
  <c r="E178" s="1"/>
  <c r="G178" s="1"/>
  <c r="C179" s="1"/>
  <c r="A185"/>
  <c r="B184"/>
  <c r="B185" i="3"/>
  <c r="A186"/>
  <c r="F179" i="5" l="1"/>
  <c r="D179"/>
  <c r="E179" s="1"/>
  <c r="G179" s="1"/>
  <c r="C180" s="1"/>
  <c r="B185"/>
  <c r="A186"/>
  <c r="B186" i="3"/>
  <c r="A187"/>
  <c r="F180" i="5" l="1"/>
  <c r="D180"/>
  <c r="E180" s="1"/>
  <c r="G180" s="1"/>
  <c r="C181" s="1"/>
  <c r="A187"/>
  <c r="B186"/>
  <c r="B187" i="3"/>
  <c r="A188"/>
  <c r="F181" i="5" l="1"/>
  <c r="D181"/>
  <c r="E181" s="1"/>
  <c r="G181" s="1"/>
  <c r="C182" s="1"/>
  <c r="B187"/>
  <c r="A188"/>
  <c r="B188" i="3"/>
  <c r="A189"/>
  <c r="F182" i="5" l="1"/>
  <c r="D182"/>
  <c r="E182" s="1"/>
  <c r="G182" s="1"/>
  <c r="C183" s="1"/>
  <c r="A189"/>
  <c r="B188"/>
  <c r="A190" i="3"/>
  <c r="B189"/>
  <c r="F183" i="5" l="1"/>
  <c r="D183"/>
  <c r="E183" s="1"/>
  <c r="G183" s="1"/>
  <c r="C184" s="1"/>
  <c r="B189"/>
  <c r="A190"/>
  <c r="B190" i="3"/>
  <c r="A191"/>
  <c r="F184" i="5" l="1"/>
  <c r="D184"/>
  <c r="E184" s="1"/>
  <c r="G184" s="1"/>
  <c r="C185" s="1"/>
  <c r="A191"/>
  <c r="B190"/>
  <c r="B191" i="3"/>
  <c r="A192"/>
  <c r="F185" i="5" l="1"/>
  <c r="D185"/>
  <c r="E185" s="1"/>
  <c r="G185" s="1"/>
  <c r="C186" s="1"/>
  <c r="B191"/>
  <c r="A192"/>
  <c r="A193" i="3"/>
  <c r="B192"/>
  <c r="F186" i="5" l="1"/>
  <c r="D186"/>
  <c r="E186" s="1"/>
  <c r="G186" s="1"/>
  <c r="C187" s="1"/>
  <c r="A193"/>
  <c r="B192"/>
  <c r="A194" i="3"/>
  <c r="B193"/>
  <c r="F187" i="5" l="1"/>
  <c r="D187"/>
  <c r="E187" s="1"/>
  <c r="G187" s="1"/>
  <c r="C188" s="1"/>
  <c r="B193"/>
  <c r="A194"/>
  <c r="A195" i="3"/>
  <c r="B194"/>
  <c r="F188" i="5" l="1"/>
  <c r="D188"/>
  <c r="E188" s="1"/>
  <c r="G188" s="1"/>
  <c r="C189" s="1"/>
  <c r="A195"/>
  <c r="B194"/>
  <c r="B195" i="3"/>
  <c r="A196"/>
  <c r="F189" i="5" l="1"/>
  <c r="D189"/>
  <c r="E189" s="1"/>
  <c r="G189" s="1"/>
  <c r="C190" s="1"/>
  <c r="B195"/>
  <c r="A196"/>
  <c r="B196" i="3"/>
  <c r="A197"/>
  <c r="F190" i="5" l="1"/>
  <c r="D190"/>
  <c r="E190" s="1"/>
  <c r="G190" s="1"/>
  <c r="C191" s="1"/>
  <c r="A197"/>
  <c r="B196"/>
  <c r="A198" i="3"/>
  <c r="B197"/>
  <c r="F191" i="5" l="1"/>
  <c r="D191"/>
  <c r="E191" s="1"/>
  <c r="G191" s="1"/>
  <c r="C192" s="1"/>
  <c r="B197"/>
  <c r="A198"/>
  <c r="A199" i="3"/>
  <c r="B198"/>
  <c r="F192" i="5" l="1"/>
  <c r="D192"/>
  <c r="E192" s="1"/>
  <c r="G192" s="1"/>
  <c r="C193" s="1"/>
  <c r="A199"/>
  <c r="B198"/>
  <c r="B199" i="3"/>
  <c r="A200"/>
  <c r="F193" i="5" l="1"/>
  <c r="D193"/>
  <c r="E193" s="1"/>
  <c r="G193" s="1"/>
  <c r="C194" s="1"/>
  <c r="B199"/>
  <c r="A200"/>
  <c r="B200" i="3"/>
  <c r="A201"/>
  <c r="F194" i="5" l="1"/>
  <c r="G194"/>
  <c r="C195" s="1"/>
  <c r="D194"/>
  <c r="E194" s="1"/>
  <c r="A201"/>
  <c r="B200"/>
  <c r="A202" i="3"/>
  <c r="B201"/>
  <c r="F195" i="5" l="1"/>
  <c r="G195"/>
  <c r="C196" s="1"/>
  <c r="D195"/>
  <c r="E195" s="1"/>
  <c r="B201"/>
  <c r="A202"/>
  <c r="B202" i="3"/>
  <c r="A203"/>
  <c r="F196" i="5" l="1"/>
  <c r="G196"/>
  <c r="C197" s="1"/>
  <c r="D196"/>
  <c r="E196" s="1"/>
  <c r="A203"/>
  <c r="B202"/>
  <c r="B203" i="3"/>
  <c r="A204"/>
  <c r="B203" i="5" l="1"/>
  <c r="A204"/>
  <c r="F197"/>
  <c r="D197"/>
  <c r="E197" s="1"/>
  <c r="G197" s="1"/>
  <c r="C198" s="1"/>
  <c r="B204" i="3"/>
  <c r="A205"/>
  <c r="F198" i="5" l="1"/>
  <c r="D198"/>
  <c r="E198" s="1"/>
  <c r="G198" s="1"/>
  <c r="C199" s="1"/>
  <c r="A205"/>
  <c r="B204"/>
  <c r="B205" i="3"/>
  <c r="A206"/>
  <c r="F199" i="5" l="1"/>
  <c r="D199"/>
  <c r="E199" s="1"/>
  <c r="G199" s="1"/>
  <c r="C200" s="1"/>
  <c r="B205"/>
  <c r="A206"/>
  <c r="B206" i="3"/>
  <c r="A207"/>
  <c r="F200" i="5" l="1"/>
  <c r="D200"/>
  <c r="E200" s="1"/>
  <c r="G200" s="1"/>
  <c r="C201" s="1"/>
  <c r="A207"/>
  <c r="B206"/>
  <c r="B207" i="3"/>
  <c r="A208"/>
  <c r="F201" i="5" l="1"/>
  <c r="D201"/>
  <c r="E201" s="1"/>
  <c r="G201" s="1"/>
  <c r="C202" s="1"/>
  <c r="B207"/>
  <c r="A208"/>
  <c r="B208" i="3"/>
  <c r="A209"/>
  <c r="F202" i="5" l="1"/>
  <c r="D202"/>
  <c r="E202" s="1"/>
  <c r="G202" s="1"/>
  <c r="C203" s="1"/>
  <c r="A209"/>
  <c r="B208"/>
  <c r="B209" i="3"/>
  <c r="A210"/>
  <c r="F203" i="5" l="1"/>
  <c r="D203"/>
  <c r="E203" s="1"/>
  <c r="G203" s="1"/>
  <c r="C204" s="1"/>
  <c r="B209"/>
  <c r="A210"/>
  <c r="B210" i="3"/>
  <c r="A211"/>
  <c r="F204" i="5" l="1"/>
  <c r="D204"/>
  <c r="E204" s="1"/>
  <c r="G204" s="1"/>
  <c r="C205" s="1"/>
  <c r="B210"/>
  <c r="A211"/>
  <c r="B211" i="3"/>
  <c r="A212"/>
  <c r="F205" i="5" l="1"/>
  <c r="D205"/>
  <c r="E205" s="1"/>
  <c r="G205" s="1"/>
  <c r="C206" s="1"/>
  <c r="B211"/>
  <c r="A212"/>
  <c r="B212" i="3"/>
  <c r="A213"/>
  <c r="F206" i="5" l="1"/>
  <c r="D206"/>
  <c r="E206" s="1"/>
  <c r="G206" s="1"/>
  <c r="C207" s="1"/>
  <c r="A213"/>
  <c r="B212"/>
  <c r="B213" i="3"/>
  <c r="A214"/>
  <c r="F207" i="5" l="1"/>
  <c r="D207"/>
  <c r="E207" s="1"/>
  <c r="G207" s="1"/>
  <c r="C208" s="1"/>
  <c r="B213"/>
  <c r="A214"/>
  <c r="B214" i="3"/>
  <c r="A215"/>
  <c r="F208" i="5" l="1"/>
  <c r="D208"/>
  <c r="E208" s="1"/>
  <c r="G208" s="1"/>
  <c r="C209" s="1"/>
  <c r="A215"/>
  <c r="B214"/>
  <c r="B215" i="3"/>
  <c r="A216"/>
  <c r="F209" i="5" l="1"/>
  <c r="D209"/>
  <c r="E209" s="1"/>
  <c r="G209" s="1"/>
  <c r="C210" s="1"/>
  <c r="B215"/>
  <c r="A216"/>
  <c r="B216" i="3"/>
  <c r="A217"/>
  <c r="F210" i="5" l="1"/>
  <c r="D210"/>
  <c r="E210" s="1"/>
  <c r="G210" s="1"/>
  <c r="C211" s="1"/>
  <c r="A217"/>
  <c r="B216"/>
  <c r="B217" i="3"/>
  <c r="A218"/>
  <c r="F211" i="5" l="1"/>
  <c r="D211"/>
  <c r="E211" s="1"/>
  <c r="G211" s="1"/>
  <c r="C212" s="1"/>
  <c r="B217"/>
  <c r="A218"/>
  <c r="B218" i="3"/>
  <c r="A219"/>
  <c r="F212" i="5" l="1"/>
  <c r="D212"/>
  <c r="E212" s="1"/>
  <c r="G212" s="1"/>
  <c r="C213" s="1"/>
  <c r="A219"/>
  <c r="B218"/>
  <c r="B219" i="3"/>
  <c r="A220"/>
  <c r="F213" i="5" l="1"/>
  <c r="D213"/>
  <c r="E213" s="1"/>
  <c r="G213" s="1"/>
  <c r="C214" s="1"/>
  <c r="B219"/>
  <c r="A220"/>
  <c r="B220" i="3"/>
  <c r="A221"/>
  <c r="F214" i="5" l="1"/>
  <c r="D214"/>
  <c r="E214" s="1"/>
  <c r="G214" s="1"/>
  <c r="C215" s="1"/>
  <c r="A221"/>
  <c r="B220"/>
  <c r="B221" i="3"/>
  <c r="A222"/>
  <c r="F215" i="5" l="1"/>
  <c r="D215"/>
  <c r="E215" s="1"/>
  <c r="G215" s="1"/>
  <c r="C216" s="1"/>
  <c r="B221"/>
  <c r="A222"/>
  <c r="B222" i="3"/>
  <c r="A223"/>
  <c r="F216" i="5" l="1"/>
  <c r="D216"/>
  <c r="E216" s="1"/>
  <c r="G216" s="1"/>
  <c r="C217" s="1"/>
  <c r="A223"/>
  <c r="B222"/>
  <c r="B223" i="3"/>
  <c r="A224"/>
  <c r="F217" i="5" l="1"/>
  <c r="D217"/>
  <c r="E217" s="1"/>
  <c r="G217" s="1"/>
  <c r="C218" s="1"/>
  <c r="B223"/>
  <c r="A224"/>
  <c r="B224" i="3"/>
  <c r="A225"/>
  <c r="F218" i="5" l="1"/>
  <c r="D218"/>
  <c r="E218" s="1"/>
  <c r="G218" s="1"/>
  <c r="C219" s="1"/>
  <c r="A225"/>
  <c r="B224"/>
  <c r="B225" i="3"/>
  <c r="A226"/>
  <c r="F219" i="5" l="1"/>
  <c r="D219"/>
  <c r="E219" s="1"/>
  <c r="G219" s="1"/>
  <c r="C220" s="1"/>
  <c r="B225"/>
  <c r="A226"/>
  <c r="B226" i="3"/>
  <c r="A227"/>
  <c r="F220" i="5" l="1"/>
  <c r="D220"/>
  <c r="E220" s="1"/>
  <c r="G220" s="1"/>
  <c r="C221" s="1"/>
  <c r="A227"/>
  <c r="B226"/>
  <c r="B227" i="3"/>
  <c r="A228"/>
  <c r="F221" i="5" l="1"/>
  <c r="D221"/>
  <c r="E221" s="1"/>
  <c r="G221" s="1"/>
  <c r="C222" s="1"/>
  <c r="B227"/>
  <c r="A228"/>
  <c r="B228" i="3"/>
  <c r="A229"/>
  <c r="F222" i="5" l="1"/>
  <c r="D222"/>
  <c r="E222" s="1"/>
  <c r="G222" s="1"/>
  <c r="C223" s="1"/>
  <c r="A229"/>
  <c r="B228"/>
  <c r="B229" i="3"/>
  <c r="A230"/>
  <c r="F223" i="5" l="1"/>
  <c r="D223"/>
  <c r="E223" s="1"/>
  <c r="G223" s="1"/>
  <c r="C224" s="1"/>
  <c r="B229"/>
  <c r="A230"/>
  <c r="B230" i="3"/>
  <c r="A231"/>
  <c r="F224" i="5" l="1"/>
  <c r="D224"/>
  <c r="E224" s="1"/>
  <c r="G224" s="1"/>
  <c r="C225" s="1"/>
  <c r="A231"/>
  <c r="B230"/>
  <c r="B231" i="3"/>
  <c r="A232"/>
  <c r="F225" i="5" l="1"/>
  <c r="D225"/>
  <c r="E225" s="1"/>
  <c r="G225" s="1"/>
  <c r="C226" s="1"/>
  <c r="B231"/>
  <c r="A232"/>
  <c r="B232" i="3"/>
  <c r="A233"/>
  <c r="F226" i="5" l="1"/>
  <c r="D226"/>
  <c r="E226" s="1"/>
  <c r="G226" s="1"/>
  <c r="C227" s="1"/>
  <c r="A233"/>
  <c r="B232"/>
  <c r="B233" i="3"/>
  <c r="A234"/>
  <c r="F227" i="5" l="1"/>
  <c r="D227"/>
  <c r="E227" s="1"/>
  <c r="G227" s="1"/>
  <c r="C228" s="1"/>
  <c r="B233"/>
  <c r="A234"/>
  <c r="B234" i="3"/>
  <c r="A235"/>
  <c r="F228" i="5" l="1"/>
  <c r="D228"/>
  <c r="E228" s="1"/>
  <c r="G228" s="1"/>
  <c r="C229" s="1"/>
  <c r="A235"/>
  <c r="B234"/>
  <c r="A236" i="3"/>
  <c r="B235"/>
  <c r="F229" i="5" l="1"/>
  <c r="D229"/>
  <c r="E229" s="1"/>
  <c r="G229" s="1"/>
  <c r="C230" s="1"/>
  <c r="B235"/>
  <c r="A236"/>
  <c r="B236" i="3"/>
  <c r="A237"/>
  <c r="F230" i="5" l="1"/>
  <c r="D230"/>
  <c r="E230" s="1"/>
  <c r="G230" s="1"/>
  <c r="C231" s="1"/>
  <c r="A237"/>
  <c r="B236"/>
  <c r="B237" i="3"/>
  <c r="A238"/>
  <c r="F231" i="5" l="1"/>
  <c r="D231"/>
  <c r="E231" s="1"/>
  <c r="G231" s="1"/>
  <c r="C232" s="1"/>
  <c r="B237"/>
  <c r="A238"/>
  <c r="B238" i="3"/>
  <c r="A239"/>
  <c r="F232" i="5" l="1"/>
  <c r="D232"/>
  <c r="E232" s="1"/>
  <c r="G232" s="1"/>
  <c r="C233" s="1"/>
  <c r="A239"/>
  <c r="B238"/>
  <c r="A240" i="3"/>
  <c r="B239"/>
  <c r="F233" i="5" l="1"/>
  <c r="D233"/>
  <c r="E233" s="1"/>
  <c r="G233" s="1"/>
  <c r="C234" s="1"/>
  <c r="B239"/>
  <c r="A240"/>
  <c r="A241" i="3"/>
  <c r="B240"/>
  <c r="F234" i="5" l="1"/>
  <c r="D234"/>
  <c r="E234" s="1"/>
  <c r="G234" s="1"/>
  <c r="C235" s="1"/>
  <c r="A241"/>
  <c r="B240"/>
  <c r="B241" i="3"/>
  <c r="A242"/>
  <c r="F235" i="5" l="1"/>
  <c r="D235"/>
  <c r="E235" s="1"/>
  <c r="G235" s="1"/>
  <c r="C236" s="1"/>
  <c r="B241"/>
  <c r="A242"/>
  <c r="B242" i="3"/>
  <c r="A243"/>
  <c r="F236" i="5" l="1"/>
  <c r="D236"/>
  <c r="B242"/>
  <c r="A243"/>
  <c r="B243" i="3"/>
  <c r="A244"/>
  <c r="A244" i="5" l="1"/>
  <c r="B243"/>
  <c r="E236"/>
  <c r="G236" s="1"/>
  <c r="C237" s="1"/>
  <c r="A245" i="3"/>
  <c r="B244"/>
  <c r="F237" i="5" l="1"/>
  <c r="D237"/>
  <c r="E237" s="1"/>
  <c r="G237" s="1"/>
  <c r="C238" s="1"/>
  <c r="B244"/>
  <c r="A245"/>
  <c r="A246" i="3"/>
  <c r="B245"/>
  <c r="F238" i="5" l="1"/>
  <c r="D238"/>
  <c r="E238" s="1"/>
  <c r="G238" s="1"/>
  <c r="C239" s="1"/>
  <c r="A246"/>
  <c r="B245"/>
  <c r="B246" i="3"/>
  <c r="A247"/>
  <c r="F239" i="5" l="1"/>
  <c r="G239"/>
  <c r="C240" s="1"/>
  <c r="D239"/>
  <c r="E239" s="1"/>
  <c r="B246"/>
  <c r="A247"/>
  <c r="B247" i="3"/>
  <c r="A248"/>
  <c r="F240" i="5" l="1"/>
  <c r="G240"/>
  <c r="C241" s="1"/>
  <c r="D240"/>
  <c r="E240" s="1"/>
  <c r="A248"/>
  <c r="B247"/>
  <c r="B248" i="3"/>
  <c r="A249"/>
  <c r="F241" i="5" l="1"/>
  <c r="D241"/>
  <c r="E241" s="1"/>
  <c r="G241" s="1"/>
  <c r="C242" s="1"/>
  <c r="B248"/>
  <c r="A249"/>
  <c r="B249" i="3"/>
  <c r="A250"/>
  <c r="F242" i="5" l="1"/>
  <c r="D242"/>
  <c r="E242" s="1"/>
  <c r="G242" s="1"/>
  <c r="C243" s="1"/>
  <c r="A250"/>
  <c r="B249"/>
  <c r="A251" i="3"/>
  <c r="B250"/>
  <c r="F243" i="5" l="1"/>
  <c r="D243"/>
  <c r="E243" s="1"/>
  <c r="G243" s="1"/>
  <c r="C244" s="1"/>
  <c r="B250"/>
  <c r="A251"/>
  <c r="A252" i="3"/>
  <c r="B251"/>
  <c r="F244" i="5" l="1"/>
  <c r="D244"/>
  <c r="E244" s="1"/>
  <c r="G244" s="1"/>
  <c r="C245" s="1"/>
  <c r="A252"/>
  <c r="B251"/>
  <c r="B252" i="3"/>
  <c r="A253"/>
  <c r="F245" i="5" l="1"/>
  <c r="D245"/>
  <c r="E245" s="1"/>
  <c r="G245" s="1"/>
  <c r="C246" s="1"/>
  <c r="B252"/>
  <c r="A253"/>
  <c r="A254" i="3"/>
  <c r="B253"/>
  <c r="F246" i="5" l="1"/>
  <c r="D246"/>
  <c r="E246" s="1"/>
  <c r="G246" s="1"/>
  <c r="C247" s="1"/>
  <c r="A254"/>
  <c r="B253"/>
  <c r="B254" i="3"/>
  <c r="A255"/>
  <c r="F247" i="5" l="1"/>
  <c r="D247"/>
  <c r="E247" s="1"/>
  <c r="G247" s="1"/>
  <c r="C248" s="1"/>
  <c r="B254"/>
  <c r="A255"/>
  <c r="B255" i="3"/>
  <c r="A256"/>
  <c r="F248" i="5" l="1"/>
  <c r="D248"/>
  <c r="E248" s="1"/>
  <c r="G248" s="1"/>
  <c r="C249" s="1"/>
  <c r="A256"/>
  <c r="B255"/>
  <c r="B256" i="3"/>
  <c r="A257"/>
  <c r="F249" i="5" l="1"/>
  <c r="D249"/>
  <c r="E249" s="1"/>
  <c r="G249" s="1"/>
  <c r="C250" s="1"/>
  <c r="B256"/>
  <c r="A257"/>
  <c r="B257" i="3"/>
  <c r="A258"/>
  <c r="F250" i="5" l="1"/>
  <c r="D250"/>
  <c r="E250" s="1"/>
  <c r="G250" s="1"/>
  <c r="C251" s="1"/>
  <c r="A258"/>
  <c r="B257"/>
  <c r="B258" i="3"/>
  <c r="A259"/>
  <c r="F251" i="5" l="1"/>
  <c r="D251"/>
  <c r="E251" s="1"/>
  <c r="G251" s="1"/>
  <c r="C252" s="1"/>
  <c r="B258"/>
  <c r="A259"/>
  <c r="B259" i="3"/>
  <c r="A260"/>
  <c r="F252" i="5" l="1"/>
  <c r="D252"/>
  <c r="E252" s="1"/>
  <c r="G252" s="1"/>
  <c r="C253" s="1"/>
  <c r="A260"/>
  <c r="B259"/>
  <c r="B260" i="3"/>
  <c r="A261"/>
  <c r="F253" i="5" l="1"/>
  <c r="D253"/>
  <c r="E253" s="1"/>
  <c r="G253" s="1"/>
  <c r="C254" s="1"/>
  <c r="B260"/>
  <c r="A261"/>
  <c r="A262" i="3"/>
  <c r="B261"/>
  <c r="F254" i="5" l="1"/>
  <c r="D254"/>
  <c r="E254" s="1"/>
  <c r="G254" s="1"/>
  <c r="C255" s="1"/>
  <c r="A262"/>
  <c r="B261"/>
  <c r="B262" i="3"/>
  <c r="A263"/>
  <c r="F255" i="5" l="1"/>
  <c r="D255"/>
  <c r="E255" s="1"/>
  <c r="G255" s="1"/>
  <c r="C256" s="1"/>
  <c r="B262"/>
  <c r="A263"/>
  <c r="B263" i="3"/>
  <c r="A264"/>
  <c r="F256" i="5" l="1"/>
  <c r="D256"/>
  <c r="E256" s="1"/>
  <c r="G256" s="1"/>
  <c r="C257" s="1"/>
  <c r="A264"/>
  <c r="B263"/>
  <c r="B264" i="3"/>
  <c r="A265"/>
  <c r="F257" i="5" l="1"/>
  <c r="D257"/>
  <c r="E257" s="1"/>
  <c r="G257" s="1"/>
  <c r="C258" s="1"/>
  <c r="B264"/>
  <c r="A265"/>
  <c r="B265" i="3"/>
  <c r="A266"/>
  <c r="F258" i="5" l="1"/>
  <c r="D258"/>
  <c r="E258" s="1"/>
  <c r="G258" s="1"/>
  <c r="C259" s="1"/>
  <c r="A266"/>
  <c r="B265"/>
  <c r="B266" i="3"/>
  <c r="A267"/>
  <c r="F259" i="5" l="1"/>
  <c r="D259"/>
  <c r="E259" s="1"/>
  <c r="G259" s="1"/>
  <c r="C260" s="1"/>
  <c r="B266"/>
  <c r="A267"/>
  <c r="A268" i="3"/>
  <c r="B267"/>
  <c r="F260" i="5" l="1"/>
  <c r="D260"/>
  <c r="E260" s="1"/>
  <c r="G260" s="1"/>
  <c r="C261" s="1"/>
  <c r="A268"/>
  <c r="B267"/>
  <c r="B268" i="3"/>
  <c r="A269"/>
  <c r="F261" i="5" l="1"/>
  <c r="D261"/>
  <c r="E261" s="1"/>
  <c r="G261" s="1"/>
  <c r="C262" s="1"/>
  <c r="B268"/>
  <c r="A269"/>
  <c r="B269" i="3"/>
  <c r="A270"/>
  <c r="F262" i="5" l="1"/>
  <c r="D262"/>
  <c r="E262" s="1"/>
  <c r="G262" s="1"/>
  <c r="C263" s="1"/>
  <c r="A270"/>
  <c r="B269"/>
  <c r="B270" i="3"/>
  <c r="A271"/>
  <c r="F263" i="5" l="1"/>
  <c r="D263"/>
  <c r="E263" s="1"/>
  <c r="G263" s="1"/>
  <c r="C264" s="1"/>
  <c r="B270"/>
  <c r="A271"/>
  <c r="A272" i="3"/>
  <c r="B271"/>
  <c r="F264" i="5" l="1"/>
  <c r="D264"/>
  <c r="E264" s="1"/>
  <c r="G264" s="1"/>
  <c r="C265" s="1"/>
  <c r="A272"/>
  <c r="B271"/>
  <c r="B272" i="3"/>
  <c r="A273"/>
  <c r="F265" i="5" l="1"/>
  <c r="D265"/>
  <c r="E265" s="1"/>
  <c r="G265" s="1"/>
  <c r="C266" s="1"/>
  <c r="B272"/>
  <c r="A273"/>
  <c r="B273" i="3"/>
  <c r="A274"/>
  <c r="F266" i="5" l="1"/>
  <c r="D266"/>
  <c r="E266" s="1"/>
  <c r="G266" s="1"/>
  <c r="C267" s="1"/>
  <c r="A274"/>
  <c r="B273"/>
  <c r="B274" i="3"/>
  <c r="A275"/>
  <c r="F267" i="5" l="1"/>
  <c r="D267"/>
  <c r="E267" s="1"/>
  <c r="G267" s="1"/>
  <c r="C268" s="1"/>
  <c r="B274"/>
  <c r="A275"/>
  <c r="A276" i="3"/>
  <c r="B275"/>
  <c r="F268" i="5" l="1"/>
  <c r="D268"/>
  <c r="E268" s="1"/>
  <c r="G268" s="1"/>
  <c r="C269" s="1"/>
  <c r="A276"/>
  <c r="B275"/>
  <c r="B276" i="3"/>
  <c r="A277"/>
  <c r="F269" i="5" l="1"/>
  <c r="D269"/>
  <c r="E269" s="1"/>
  <c r="G269" s="1"/>
  <c r="C270" s="1"/>
  <c r="B276"/>
  <c r="A277"/>
  <c r="B277" i="3"/>
  <c r="A278"/>
  <c r="F270" i="5" l="1"/>
  <c r="D270"/>
  <c r="E270" s="1"/>
  <c r="G270" s="1"/>
  <c r="C271" s="1"/>
  <c r="A278"/>
  <c r="B277"/>
  <c r="B278" i="3"/>
  <c r="A279"/>
  <c r="F271" i="5" l="1"/>
  <c r="D271"/>
  <c r="E271" s="1"/>
  <c r="G271" s="1"/>
  <c r="C272" s="1"/>
  <c r="B278"/>
  <c r="A279"/>
  <c r="A280" i="3"/>
  <c r="B279"/>
  <c r="F272" i="5" l="1"/>
  <c r="D272"/>
  <c r="E272" s="1"/>
  <c r="G272" s="1"/>
  <c r="C273" s="1"/>
  <c r="A280"/>
  <c r="B279"/>
  <c r="B280" i="3"/>
  <c r="A281"/>
  <c r="F273" i="5" l="1"/>
  <c r="D273"/>
  <c r="E273" s="1"/>
  <c r="G273" s="1"/>
  <c r="C274" s="1"/>
  <c r="B280"/>
  <c r="A281"/>
  <c r="B281" i="3"/>
  <c r="A282"/>
  <c r="F274" i="5" l="1"/>
  <c r="D274"/>
  <c r="E274" s="1"/>
  <c r="G274" s="1"/>
  <c r="C275" s="1"/>
  <c r="A282"/>
  <c r="B281"/>
  <c r="B282" i="3"/>
  <c r="A283"/>
  <c r="F275" i="5" l="1"/>
  <c r="D275"/>
  <c r="E275" s="1"/>
  <c r="G275" s="1"/>
  <c r="C276" s="1"/>
  <c r="B282"/>
  <c r="A283"/>
  <c r="A284" i="3"/>
  <c r="B283"/>
  <c r="F276" i="5" l="1"/>
  <c r="D276"/>
  <c r="E276" s="1"/>
  <c r="G276" s="1"/>
  <c r="C277" s="1"/>
  <c r="A284"/>
  <c r="B283"/>
  <c r="B284" i="3"/>
  <c r="A285"/>
  <c r="F277" i="5" l="1"/>
  <c r="D277"/>
  <c r="E277" s="1"/>
  <c r="G277" s="1"/>
  <c r="C278" s="1"/>
  <c r="B284"/>
  <c r="A285"/>
  <c r="B285" i="3"/>
  <c r="A286"/>
  <c r="F278" i="5" l="1"/>
  <c r="D278"/>
  <c r="E278" s="1"/>
  <c r="G278" s="1"/>
  <c r="C279" s="1"/>
  <c r="A286"/>
  <c r="B285"/>
  <c r="B286" i="3"/>
  <c r="A287"/>
  <c r="F279" i="5" l="1"/>
  <c r="D279"/>
  <c r="E279" s="1"/>
  <c r="G279" s="1"/>
  <c r="C280" s="1"/>
  <c r="B286"/>
  <c r="A287"/>
  <c r="A288" i="3"/>
  <c r="B287"/>
  <c r="F280" i="5" l="1"/>
  <c r="D280"/>
  <c r="E280" s="1"/>
  <c r="G280" s="1"/>
  <c r="C281" s="1"/>
  <c r="A288"/>
  <c r="B287"/>
  <c r="B288" i="3"/>
  <c r="A289"/>
  <c r="F281" i="5" l="1"/>
  <c r="D281"/>
  <c r="E281" s="1"/>
  <c r="G281" s="1"/>
  <c r="C282" s="1"/>
  <c r="B288"/>
  <c r="A289"/>
  <c r="B289" i="3"/>
  <c r="A290"/>
  <c r="F282" i="5" l="1"/>
  <c r="D282"/>
  <c r="E282" s="1"/>
  <c r="G282" s="1"/>
  <c r="C283" s="1"/>
  <c r="B289"/>
  <c r="A290"/>
  <c r="B290" i="3"/>
  <c r="A291"/>
  <c r="F283" i="5" l="1"/>
  <c r="G283"/>
  <c r="C284" s="1"/>
  <c r="D283"/>
  <c r="E283" s="1"/>
  <c r="B290"/>
  <c r="A291"/>
  <c r="A292" i="3"/>
  <c r="B291"/>
  <c r="F284" i="5" l="1"/>
  <c r="G284"/>
  <c r="C285" s="1"/>
  <c r="D284"/>
  <c r="E284" s="1"/>
  <c r="A292"/>
  <c r="B291"/>
  <c r="B292" i="3"/>
  <c r="A293"/>
  <c r="F285" i="5" l="1"/>
  <c r="D285"/>
  <c r="E285" s="1"/>
  <c r="G285" s="1"/>
  <c r="C286" s="1"/>
  <c r="B292"/>
  <c r="A293"/>
  <c r="B293" i="3"/>
  <c r="A294"/>
  <c r="F286" i="5" l="1"/>
  <c r="D286"/>
  <c r="E286" s="1"/>
  <c r="G286" s="1"/>
  <c r="C287" s="1"/>
  <c r="A294"/>
  <c r="B293"/>
  <c r="B294" i="3"/>
  <c r="A295"/>
  <c r="F287" i="5" l="1"/>
  <c r="D287"/>
  <c r="E287" s="1"/>
  <c r="G287" s="1"/>
  <c r="C288" s="1"/>
  <c r="B294"/>
  <c r="A295"/>
  <c r="A296" i="3"/>
  <c r="B295"/>
  <c r="F288" i="5" l="1"/>
  <c r="D288"/>
  <c r="E288" s="1"/>
  <c r="G288" s="1"/>
  <c r="C289" s="1"/>
  <c r="A296"/>
  <c r="B295"/>
  <c r="B296" i="3"/>
  <c r="A297"/>
  <c r="F289" i="5" l="1"/>
  <c r="D289"/>
  <c r="E289" s="1"/>
  <c r="G289" s="1"/>
  <c r="C290" s="1"/>
  <c r="B296"/>
  <c r="A297"/>
  <c r="B297" i="3"/>
  <c r="A298"/>
  <c r="F290" i="5" l="1"/>
  <c r="D290"/>
  <c r="E290" s="1"/>
  <c r="G290" s="1"/>
  <c r="C291" s="1"/>
  <c r="A298"/>
  <c r="B297"/>
  <c r="B298" i="3"/>
  <c r="A299"/>
  <c r="F291" i="5" l="1"/>
  <c r="D291"/>
  <c r="E291" s="1"/>
  <c r="G291" s="1"/>
  <c r="C292" s="1"/>
  <c r="B298"/>
  <c r="A299"/>
  <c r="A300" i="3"/>
  <c r="B299"/>
  <c r="F292" i="5" l="1"/>
  <c r="D292"/>
  <c r="E292" s="1"/>
  <c r="G292" s="1"/>
  <c r="C293" s="1"/>
  <c r="A300"/>
  <c r="B299"/>
  <c r="B300" i="3"/>
  <c r="A301"/>
  <c r="F293" i="5" l="1"/>
  <c r="D293"/>
  <c r="E293" s="1"/>
  <c r="G293" s="1"/>
  <c r="C294" s="1"/>
  <c r="B300"/>
  <c r="A301"/>
  <c r="B301" i="3"/>
  <c r="A302"/>
  <c r="F294" i="5" l="1"/>
  <c r="D294"/>
  <c r="E294" s="1"/>
  <c r="G294" s="1"/>
  <c r="C295" s="1"/>
  <c r="A302"/>
  <c r="B301"/>
  <c r="B302" i="3"/>
  <c r="A303"/>
  <c r="F295" i="5" l="1"/>
  <c r="D295"/>
  <c r="E295" s="1"/>
  <c r="G295" s="1"/>
  <c r="C296" s="1"/>
  <c r="B302"/>
  <c r="A303"/>
  <c r="B303" i="3"/>
  <c r="A304"/>
  <c r="F296" i="5" l="1"/>
  <c r="D296"/>
  <c r="E296" s="1"/>
  <c r="G296" s="1"/>
  <c r="C297" s="1"/>
  <c r="A304"/>
  <c r="B303"/>
  <c r="B304" i="3"/>
  <c r="A305"/>
  <c r="F297" i="5" l="1"/>
  <c r="D297"/>
  <c r="E297" s="1"/>
  <c r="G297" s="1"/>
  <c r="C298" s="1"/>
  <c r="B304"/>
  <c r="A305"/>
  <c r="B305" i="3"/>
  <c r="A306"/>
  <c r="F298" i="5" l="1"/>
  <c r="D298"/>
  <c r="E298" s="1"/>
  <c r="G298" s="1"/>
  <c r="C299" s="1"/>
  <c r="A306"/>
  <c r="B305"/>
  <c r="B306" i="3"/>
  <c r="A307"/>
  <c r="F299" i="5" l="1"/>
  <c r="D299"/>
  <c r="E299" s="1"/>
  <c r="G299" s="1"/>
  <c r="C300" s="1"/>
  <c r="B306"/>
  <c r="A307"/>
  <c r="B307" i="3"/>
  <c r="A308"/>
  <c r="F300" i="5" l="1"/>
  <c r="D300"/>
  <c r="E300" s="1"/>
  <c r="G300" s="1"/>
  <c r="C301" s="1"/>
  <c r="A308"/>
  <c r="B307"/>
  <c r="B308" i="3"/>
  <c r="A309"/>
  <c r="F301" i="5" l="1"/>
  <c r="D301"/>
  <c r="E301" s="1"/>
  <c r="G301" s="1"/>
  <c r="C302" s="1"/>
  <c r="B308"/>
  <c r="A309"/>
  <c r="B309" i="3"/>
  <c r="A310"/>
  <c r="F302" i="5" l="1"/>
  <c r="D302"/>
  <c r="E302" s="1"/>
  <c r="G302" s="1"/>
  <c r="C303" s="1"/>
  <c r="A310"/>
  <c r="B309"/>
  <c r="B310" i="3"/>
  <c r="A311"/>
  <c r="F303" i="5" l="1"/>
  <c r="D303"/>
  <c r="E303" s="1"/>
  <c r="G303" s="1"/>
  <c r="C304" s="1"/>
  <c r="B310"/>
  <c r="A311"/>
  <c r="B311" i="3"/>
  <c r="A312"/>
  <c r="F304" i="5" l="1"/>
  <c r="D304"/>
  <c r="E304" s="1"/>
  <c r="G304" s="1"/>
  <c r="C305" s="1"/>
  <c r="A312"/>
  <c r="B311"/>
  <c r="B312" i="3"/>
  <c r="A313"/>
  <c r="F305" i="5" l="1"/>
  <c r="D305"/>
  <c r="E305" s="1"/>
  <c r="G305" s="1"/>
  <c r="C306" s="1"/>
  <c r="B312"/>
  <c r="A313"/>
  <c r="B313" i="3"/>
  <c r="A314"/>
  <c r="F306" i="5" l="1"/>
  <c r="D306"/>
  <c r="E306" s="1"/>
  <c r="G306" s="1"/>
  <c r="C307" s="1"/>
  <c r="A314"/>
  <c r="B313"/>
  <c r="B314" i="3"/>
  <c r="A315"/>
  <c r="F307" i="5" l="1"/>
  <c r="D307"/>
  <c r="E307" s="1"/>
  <c r="G307" s="1"/>
  <c r="C308" s="1"/>
  <c r="B314"/>
  <c r="A315"/>
  <c r="B315" i="3"/>
  <c r="A316"/>
  <c r="F308" i="5" l="1"/>
  <c r="D308"/>
  <c r="E308" s="1"/>
  <c r="G308" s="1"/>
  <c r="C309" s="1"/>
  <c r="B315"/>
  <c r="A316"/>
  <c r="B316" i="3"/>
  <c r="A317"/>
  <c r="F309" i="5" l="1"/>
  <c r="D309"/>
  <c r="E309" s="1"/>
  <c r="G309" s="1"/>
  <c r="C310" s="1"/>
  <c r="B316"/>
  <c r="A317"/>
  <c r="B317" i="3"/>
  <c r="A318"/>
  <c r="F310" i="5" l="1"/>
  <c r="D310"/>
  <c r="E310" s="1"/>
  <c r="G310" s="1"/>
  <c r="C311" s="1"/>
  <c r="A318"/>
  <c r="B317"/>
  <c r="B318" i="3"/>
  <c r="A319"/>
  <c r="F311" i="5" l="1"/>
  <c r="D311"/>
  <c r="E311" s="1"/>
  <c r="G311" s="1"/>
  <c r="C312" s="1"/>
  <c r="B318"/>
  <c r="A319"/>
  <c r="B319" i="3"/>
  <c r="A320"/>
  <c r="F312" i="5" l="1"/>
  <c r="D312"/>
  <c r="E312" s="1"/>
  <c r="G312" s="1"/>
  <c r="C313" s="1"/>
  <c r="A320"/>
  <c r="B319"/>
  <c r="B320" i="3"/>
  <c r="A321"/>
  <c r="F313" i="5" l="1"/>
  <c r="D313"/>
  <c r="E313" s="1"/>
  <c r="G313" s="1"/>
  <c r="C314" s="1"/>
  <c r="B320"/>
  <c r="A321"/>
  <c r="B321" i="3"/>
  <c r="A322"/>
  <c r="F314" i="5" l="1"/>
  <c r="D314"/>
  <c r="E314" s="1"/>
  <c r="G314" s="1"/>
  <c r="C315" s="1"/>
  <c r="A322"/>
  <c r="B321"/>
  <c r="B322" i="3"/>
  <c r="A323"/>
  <c r="F315" i="5" l="1"/>
  <c r="D315"/>
  <c r="E315" s="1"/>
  <c r="G315" s="1"/>
  <c r="C316" s="1"/>
  <c r="B322"/>
  <c r="A323"/>
  <c r="B323" i="3"/>
  <c r="A324"/>
  <c r="F316" i="5" l="1"/>
  <c r="D316"/>
  <c r="E316" s="1"/>
  <c r="G316" s="1"/>
  <c r="C317" s="1"/>
  <c r="A324"/>
  <c r="B323"/>
  <c r="B324" i="3"/>
  <c r="A325"/>
  <c r="F317" i="5" l="1"/>
  <c r="D317"/>
  <c r="E317" s="1"/>
  <c r="G317" s="1"/>
  <c r="C318" s="1"/>
  <c r="B324"/>
  <c r="A325"/>
  <c r="B325" i="3"/>
  <c r="A326"/>
  <c r="F318" i="5" l="1"/>
  <c r="D318"/>
  <c r="E318" s="1"/>
  <c r="G318" s="1"/>
  <c r="C319" s="1"/>
  <c r="A326"/>
  <c r="B325"/>
  <c r="B326" i="3"/>
  <c r="A327"/>
  <c r="F319" i="5" l="1"/>
  <c r="D319"/>
  <c r="E319" s="1"/>
  <c r="G319" s="1"/>
  <c r="C320" s="1"/>
  <c r="B326"/>
  <c r="A327"/>
  <c r="B327" i="3"/>
  <c r="A328"/>
  <c r="F320" i="5" l="1"/>
  <c r="D320"/>
  <c r="E320" s="1"/>
  <c r="G320" s="1"/>
  <c r="C321" s="1"/>
  <c r="A328"/>
  <c r="B327"/>
  <c r="B328" i="3"/>
  <c r="A329"/>
  <c r="F321" i="5" l="1"/>
  <c r="D321"/>
  <c r="E321" s="1"/>
  <c r="G321" s="1"/>
  <c r="C322" s="1"/>
  <c r="B328"/>
  <c r="A329"/>
  <c r="B329" i="3"/>
  <c r="A330"/>
  <c r="F322" i="5" l="1"/>
  <c r="D322"/>
  <c r="E322" s="1"/>
  <c r="G322" s="1"/>
  <c r="C323" s="1"/>
  <c r="A330"/>
  <c r="B329"/>
  <c r="A331" i="3"/>
  <c r="B330"/>
  <c r="F323" i="5" l="1"/>
  <c r="D323"/>
  <c r="E323" s="1"/>
  <c r="G323" s="1"/>
  <c r="C324" s="1"/>
  <c r="B330"/>
  <c r="A331"/>
  <c r="B331" i="3"/>
  <c r="A332"/>
  <c r="F324" i="5" l="1"/>
  <c r="D324"/>
  <c r="E324" s="1"/>
  <c r="G324" s="1"/>
  <c r="C325" s="1"/>
  <c r="A332"/>
  <c r="B331"/>
  <c r="B332" i="3"/>
  <c r="A333"/>
  <c r="F325" i="5" l="1"/>
  <c r="D325"/>
  <c r="E325" s="1"/>
  <c r="G325" s="1"/>
  <c r="C326" s="1"/>
  <c r="B332"/>
  <c r="A333"/>
  <c r="B333" i="3"/>
  <c r="A334"/>
  <c r="F326" i="5" l="1"/>
  <c r="D326"/>
  <c r="E326" s="1"/>
  <c r="G326" s="1"/>
  <c r="C327" s="1"/>
  <c r="A334"/>
  <c r="B333"/>
  <c r="B334" i="3"/>
  <c r="A335"/>
  <c r="F327" i="5" l="1"/>
  <c r="G327"/>
  <c r="C328" s="1"/>
  <c r="D327"/>
  <c r="E327" s="1"/>
  <c r="B334"/>
  <c r="A335"/>
  <c r="B335" i="3"/>
  <c r="A336"/>
  <c r="A336" i="5" l="1"/>
  <c r="B335"/>
  <c r="F328"/>
  <c r="G328"/>
  <c r="C329" s="1"/>
  <c r="D328"/>
  <c r="E328" s="1"/>
  <c r="B336" i="3"/>
  <c r="A337"/>
  <c r="F329" i="5" l="1"/>
  <c r="D329"/>
  <c r="E329" s="1"/>
  <c r="G329" s="1"/>
  <c r="C330" s="1"/>
  <c r="B336"/>
  <c r="A337"/>
  <c r="B337" i="3"/>
  <c r="A338"/>
  <c r="F330" i="5" l="1"/>
  <c r="D330"/>
  <c r="E330" s="1"/>
  <c r="G330" s="1"/>
  <c r="C331" s="1"/>
  <c r="A338"/>
  <c r="B337"/>
  <c r="B338" i="3"/>
  <c r="A339"/>
  <c r="F331" i="5" l="1"/>
  <c r="D331"/>
  <c r="E331" s="1"/>
  <c r="G331" s="1"/>
  <c r="C332" s="1"/>
  <c r="B338"/>
  <c r="A339"/>
  <c r="B339" i="3"/>
  <c r="A340"/>
  <c r="F332" i="5" l="1"/>
  <c r="D332"/>
  <c r="E332" s="1"/>
  <c r="G332" s="1"/>
  <c r="C333" s="1"/>
  <c r="A340"/>
  <c r="B339"/>
  <c r="B340" i="3"/>
  <c r="A341"/>
  <c r="F333" i="5" l="1"/>
  <c r="D333"/>
  <c r="E333" s="1"/>
  <c r="G333" s="1"/>
  <c r="C334" s="1"/>
  <c r="B340"/>
  <c r="A341"/>
  <c r="B341" i="3"/>
  <c r="A342"/>
  <c r="F334" i="5" l="1"/>
  <c r="D334"/>
  <c r="E334" s="1"/>
  <c r="G334" s="1"/>
  <c r="C335" s="1"/>
  <c r="A342"/>
  <c r="B341"/>
  <c r="B342" i="3"/>
  <c r="A343"/>
  <c r="F335" i="5" l="1"/>
  <c r="D335"/>
  <c r="E335" s="1"/>
  <c r="G335" s="1"/>
  <c r="C336" s="1"/>
  <c r="B342"/>
  <c r="A343"/>
  <c r="B343" i="3"/>
  <c r="A344"/>
  <c r="F336" i="5" l="1"/>
  <c r="D336"/>
  <c r="E336" s="1"/>
  <c r="G336" s="1"/>
  <c r="C337" s="1"/>
  <c r="A344"/>
  <c r="B343"/>
  <c r="A345" i="3"/>
  <c r="B344"/>
  <c r="F337" i="5" l="1"/>
  <c r="D337"/>
  <c r="E337" s="1"/>
  <c r="G337" s="1"/>
  <c r="C338" s="1"/>
  <c r="B344"/>
  <c r="A345"/>
  <c r="B345" i="3"/>
  <c r="A346"/>
  <c r="F338" i="5" l="1"/>
  <c r="D338"/>
  <c r="E338" s="1"/>
  <c r="G338" s="1"/>
  <c r="C339" s="1"/>
  <c r="A346"/>
  <c r="B345"/>
  <c r="B346" i="3"/>
  <c r="A347"/>
  <c r="F339" i="5" l="1"/>
  <c r="D339"/>
  <c r="E339" s="1"/>
  <c r="G339" s="1"/>
  <c r="C340" s="1"/>
  <c r="B346"/>
  <c r="A347"/>
  <c r="B347" i="3"/>
  <c r="A348"/>
  <c r="F340" i="5" l="1"/>
  <c r="D340"/>
  <c r="E340" s="1"/>
  <c r="G340" s="1"/>
  <c r="C341" s="1"/>
  <c r="A348"/>
  <c r="B347"/>
  <c r="B348" i="3"/>
  <c r="A349"/>
  <c r="F341" i="5" l="1"/>
  <c r="D341"/>
  <c r="E341" s="1"/>
  <c r="G341" s="1"/>
  <c r="C342" s="1"/>
  <c r="B348"/>
  <c r="A349"/>
  <c r="B349" i="3"/>
  <c r="A350"/>
  <c r="F342" i="5" l="1"/>
  <c r="D342"/>
  <c r="E342" s="1"/>
  <c r="G342" s="1"/>
  <c r="C343" s="1"/>
  <c r="A350"/>
  <c r="B349"/>
  <c r="B350" i="3"/>
  <c r="A351"/>
  <c r="F343" i="5" l="1"/>
  <c r="D343"/>
  <c r="E343" s="1"/>
  <c r="G343" s="1"/>
  <c r="C344" s="1"/>
  <c r="B350"/>
  <c r="A351"/>
  <c r="B351" i="3"/>
  <c r="A352"/>
  <c r="F344" i="5" l="1"/>
  <c r="D344"/>
  <c r="E344" s="1"/>
  <c r="G344" s="1"/>
  <c r="C345" s="1"/>
  <c r="A352"/>
  <c r="B351"/>
  <c r="B352" i="3"/>
  <c r="A353"/>
  <c r="F345" i="5" l="1"/>
  <c r="D345"/>
  <c r="E345" s="1"/>
  <c r="G345" s="1"/>
  <c r="C346" s="1"/>
  <c r="B352"/>
  <c r="A353"/>
  <c r="A354" i="3"/>
  <c r="B353"/>
  <c r="F346" i="5" l="1"/>
  <c r="D346"/>
  <c r="E346" s="1"/>
  <c r="G346" s="1"/>
  <c r="C347" s="1"/>
  <c r="B353"/>
  <c r="A354"/>
  <c r="B354" i="3"/>
  <c r="A355"/>
  <c r="F347" i="5" l="1"/>
  <c r="D347"/>
  <c r="E347" s="1"/>
  <c r="G347" s="1"/>
  <c r="C348" s="1"/>
  <c r="B354"/>
  <c r="A355"/>
  <c r="B355" i="3"/>
  <c r="A356"/>
  <c r="F348" i="5" l="1"/>
  <c r="D348"/>
  <c r="E348" s="1"/>
  <c r="G348" s="1"/>
  <c r="C349" s="1"/>
  <c r="A356"/>
  <c r="B355"/>
  <c r="B356" i="3"/>
  <c r="A357"/>
  <c r="F349" i="5" l="1"/>
  <c r="D349"/>
  <c r="E349" s="1"/>
  <c r="G349" s="1"/>
  <c r="C350" s="1"/>
  <c r="B356"/>
  <c r="A357"/>
  <c r="B357" i="3"/>
  <c r="A358"/>
  <c r="F350" i="5" l="1"/>
  <c r="D350"/>
  <c r="E350" s="1"/>
  <c r="G350" s="1"/>
  <c r="C351" s="1"/>
  <c r="A358"/>
  <c r="B357"/>
  <c r="B358" i="3"/>
  <c r="A359"/>
  <c r="F351" i="5" l="1"/>
  <c r="D351"/>
  <c r="E351" s="1"/>
  <c r="G351" s="1"/>
  <c r="C352" s="1"/>
  <c r="B358"/>
  <c r="A359"/>
  <c r="B359" i="3"/>
  <c r="A360"/>
  <c r="F352" i="5" l="1"/>
  <c r="D352"/>
  <c r="E352" s="1"/>
  <c r="G352" s="1"/>
  <c r="C353" s="1"/>
  <c r="A360"/>
  <c r="B359"/>
  <c r="B360" i="3"/>
  <c r="A361"/>
  <c r="F353" i="5" l="1"/>
  <c r="D353"/>
  <c r="E353" s="1"/>
  <c r="G353" s="1"/>
  <c r="C354" s="1"/>
  <c r="B360"/>
  <c r="A361"/>
  <c r="A362" i="3"/>
  <c r="B361"/>
  <c r="F354" i="5" l="1"/>
  <c r="D354"/>
  <c r="E354" s="1"/>
  <c r="G354" s="1"/>
  <c r="C355" s="1"/>
  <c r="A362"/>
  <c r="B361"/>
  <c r="A363" i="3"/>
  <c r="B362"/>
  <c r="F355" i="5" l="1"/>
  <c r="D355"/>
  <c r="E355" s="1"/>
  <c r="G355" s="1"/>
  <c r="C356" s="1"/>
  <c r="B362"/>
  <c r="A363"/>
  <c r="A364" i="3"/>
  <c r="B363"/>
  <c r="F356" i="5" l="1"/>
  <c r="D356"/>
  <c r="E356" s="1"/>
  <c r="G356" s="1"/>
  <c r="C357" s="1"/>
  <c r="A364"/>
  <c r="B363"/>
  <c r="B364" i="3"/>
  <c r="A365"/>
  <c r="F357" i="5" l="1"/>
  <c r="D357"/>
  <c r="E357" s="1"/>
  <c r="G357" s="1"/>
  <c r="C358" s="1"/>
  <c r="B364"/>
  <c r="A365"/>
  <c r="B365" i="3"/>
  <c r="A366"/>
  <c r="F358" i="5" l="1"/>
  <c r="D358"/>
  <c r="E358" s="1"/>
  <c r="G358" s="1"/>
  <c r="C359" s="1"/>
  <c r="A366"/>
  <c r="B365"/>
  <c r="B366" i="3"/>
  <c r="A367"/>
  <c r="F359" i="5" l="1"/>
  <c r="D359"/>
  <c r="E359" s="1"/>
  <c r="G359" s="1"/>
  <c r="C360" s="1"/>
  <c r="B366"/>
  <c r="A367"/>
  <c r="B367" i="3"/>
  <c r="A368"/>
  <c r="F360" i="5" l="1"/>
  <c r="D360"/>
  <c r="E360" s="1"/>
  <c r="G360" s="1"/>
  <c r="C361" s="1"/>
  <c r="A368"/>
  <c r="B367"/>
  <c r="A369" i="3"/>
  <c r="B368"/>
  <c r="F361" i="5" l="1"/>
  <c r="D361"/>
  <c r="E361" s="1"/>
  <c r="G361" s="1"/>
  <c r="C362" s="1"/>
  <c r="B368"/>
  <c r="A369"/>
  <c r="B369" i="3"/>
  <c r="A370"/>
  <c r="F362" i="5" l="1"/>
  <c r="D362"/>
  <c r="E362" s="1"/>
  <c r="G362" s="1"/>
  <c r="C363" s="1"/>
  <c r="A370"/>
  <c r="B369"/>
  <c r="B370" i="3"/>
  <c r="A371"/>
  <c r="F363" i="5" l="1"/>
  <c r="D363"/>
  <c r="E363" s="1"/>
  <c r="G363" s="1"/>
  <c r="C364" s="1"/>
  <c r="B370"/>
  <c r="A371"/>
  <c r="A372" i="3"/>
  <c r="B371"/>
  <c r="F364" i="5" l="1"/>
  <c r="D364"/>
  <c r="E364" s="1"/>
  <c r="G364" s="1"/>
  <c r="C365" s="1"/>
  <c r="A372"/>
  <c r="B371"/>
  <c r="B372" i="3"/>
  <c r="A373"/>
  <c r="F365" i="5" l="1"/>
  <c r="D365"/>
  <c r="E365" s="1"/>
  <c r="G365" s="1"/>
  <c r="C366" s="1"/>
  <c r="B372"/>
  <c r="A373"/>
  <c r="B373" i="3"/>
  <c r="A374"/>
  <c r="F366" i="5" l="1"/>
  <c r="D366"/>
  <c r="E366" s="1"/>
  <c r="G366" s="1"/>
  <c r="C367" s="1"/>
  <c r="A374"/>
  <c r="B373"/>
  <c r="B374" i="3"/>
  <c r="A375"/>
  <c r="F367" i="5" l="1"/>
  <c r="D367"/>
  <c r="E367" s="1"/>
  <c r="G367" s="1"/>
  <c r="C368" s="1"/>
  <c r="B374"/>
  <c r="A375"/>
  <c r="B375" i="3"/>
  <c r="A376"/>
  <c r="F368" i="5" l="1"/>
  <c r="D368"/>
  <c r="E368" s="1"/>
  <c r="G368" s="1"/>
  <c r="C369" s="1"/>
  <c r="A376"/>
  <c r="B375"/>
  <c r="B376" i="3"/>
  <c r="A377"/>
  <c r="F369" i="5" l="1"/>
  <c r="D369"/>
  <c r="E369" s="1"/>
  <c r="G369" s="1"/>
  <c r="C370" s="1"/>
  <c r="B376"/>
  <c r="A377"/>
  <c r="B377" i="3"/>
  <c r="A378"/>
  <c r="H163"/>
  <c r="H164" s="1"/>
  <c r="H187"/>
  <c r="I187" s="1"/>
  <c r="H127"/>
  <c r="H128" s="1"/>
  <c r="F370" i="5" l="1"/>
  <c r="D370"/>
  <c r="E370" s="1"/>
  <c r="G370" s="1"/>
  <c r="C371" s="1"/>
  <c r="A378"/>
  <c r="B377"/>
  <c r="B378" i="3"/>
  <c r="I127"/>
  <c r="F127" s="1"/>
  <c r="H188"/>
  <c r="I188" s="1"/>
  <c r="H199"/>
  <c r="I128"/>
  <c r="H129"/>
  <c r="I164"/>
  <c r="H165"/>
  <c r="I163"/>
  <c r="F371" i="5" l="1"/>
  <c r="D371"/>
  <c r="E371" s="1"/>
  <c r="G371" s="1"/>
  <c r="C372" s="1"/>
  <c r="B378"/>
  <c r="H189" i="3"/>
  <c r="H190" s="1"/>
  <c r="D127"/>
  <c r="E127" s="1"/>
  <c r="G127" s="1"/>
  <c r="C128" s="1"/>
  <c r="D128" s="1"/>
  <c r="I199"/>
  <c r="H200"/>
  <c r="I189"/>
  <c r="H166"/>
  <c r="I165"/>
  <c r="H235"/>
  <c r="I129"/>
  <c r="H130"/>
  <c r="H211"/>
  <c r="H223"/>
  <c r="F372" i="5" l="1"/>
  <c r="D372"/>
  <c r="E372" s="1"/>
  <c r="G372" s="1"/>
  <c r="C373" s="1"/>
  <c r="I235" i="3"/>
  <c r="H236"/>
  <c r="I190"/>
  <c r="H191"/>
  <c r="F128"/>
  <c r="E128" s="1"/>
  <c r="G128" s="1"/>
  <c r="C129" s="1"/>
  <c r="I223"/>
  <c r="H224"/>
  <c r="I211"/>
  <c r="H212"/>
  <c r="I130"/>
  <c r="H131"/>
  <c r="H271"/>
  <c r="H247"/>
  <c r="H259"/>
  <c r="I166"/>
  <c r="H167"/>
  <c r="H201"/>
  <c r="I200"/>
  <c r="F373" i="5" l="1"/>
  <c r="D373"/>
  <c r="E373" s="1"/>
  <c r="G373" s="1"/>
  <c r="C374" s="1"/>
  <c r="F129" i="3"/>
  <c r="D129"/>
  <c r="H168"/>
  <c r="I167"/>
  <c r="I259"/>
  <c r="H260"/>
  <c r="H307"/>
  <c r="I271"/>
  <c r="H272"/>
  <c r="I201"/>
  <c r="H202"/>
  <c r="I247"/>
  <c r="H248"/>
  <c r="H283"/>
  <c r="H295"/>
  <c r="H132"/>
  <c r="I131"/>
  <c r="H213"/>
  <c r="I212"/>
  <c r="H225"/>
  <c r="I224"/>
  <c r="I191"/>
  <c r="H192"/>
  <c r="I236"/>
  <c r="H237"/>
  <c r="F374" i="5" l="1"/>
  <c r="D374"/>
  <c r="E374" s="1"/>
  <c r="G374" s="1"/>
  <c r="C375" s="1"/>
  <c r="I225" i="3"/>
  <c r="H226"/>
  <c r="I213"/>
  <c r="H214"/>
  <c r="H296"/>
  <c r="I295"/>
  <c r="I248"/>
  <c r="H249"/>
  <c r="I202"/>
  <c r="H203"/>
  <c r="H273"/>
  <c r="I272"/>
  <c r="H343"/>
  <c r="H308"/>
  <c r="I307"/>
  <c r="I260"/>
  <c r="H261"/>
  <c r="E129"/>
  <c r="G129" s="1"/>
  <c r="C130" s="1"/>
  <c r="I237"/>
  <c r="H238"/>
  <c r="I192"/>
  <c r="H193"/>
  <c r="I132"/>
  <c r="H133"/>
  <c r="I283"/>
  <c r="H284"/>
  <c r="H319"/>
  <c r="H331"/>
  <c r="I168"/>
  <c r="H169"/>
  <c r="F375" i="5" l="1"/>
  <c r="D375"/>
  <c r="E375" s="1"/>
  <c r="G375" s="1"/>
  <c r="C376" s="1"/>
  <c r="I319" i="3"/>
  <c r="H320"/>
  <c r="F130"/>
  <c r="D130"/>
  <c r="I308"/>
  <c r="H309"/>
  <c r="I343"/>
  <c r="H344"/>
  <c r="I273"/>
  <c r="H274"/>
  <c r="I296"/>
  <c r="H297"/>
  <c r="H170"/>
  <c r="I169"/>
  <c r="I331"/>
  <c r="H332"/>
  <c r="H285"/>
  <c r="I284"/>
  <c r="H134"/>
  <c r="I133"/>
  <c r="I193"/>
  <c r="H194"/>
  <c r="I238"/>
  <c r="H239"/>
  <c r="I261"/>
  <c r="H262"/>
  <c r="H355"/>
  <c r="H367"/>
  <c r="I203"/>
  <c r="H204"/>
  <c r="I249"/>
  <c r="H250"/>
  <c r="I214"/>
  <c r="H215"/>
  <c r="I226"/>
  <c r="H227"/>
  <c r="F376" i="5" l="1"/>
  <c r="D376"/>
  <c r="E376" s="1"/>
  <c r="G376" s="1"/>
  <c r="C377" s="1"/>
  <c r="I355" i="3"/>
  <c r="H356"/>
  <c r="I332"/>
  <c r="H333"/>
  <c r="H298"/>
  <c r="I297"/>
  <c r="I274"/>
  <c r="H275"/>
  <c r="I344"/>
  <c r="H345"/>
  <c r="H310"/>
  <c r="I309"/>
  <c r="I227"/>
  <c r="H228"/>
  <c r="I215"/>
  <c r="H216"/>
  <c r="H251"/>
  <c r="I250"/>
  <c r="H205"/>
  <c r="I204"/>
  <c r="H368"/>
  <c r="I367"/>
  <c r="I262"/>
  <c r="H263"/>
  <c r="H240"/>
  <c r="I239"/>
  <c r="H195"/>
  <c r="I194"/>
  <c r="I134"/>
  <c r="H135"/>
  <c r="I285"/>
  <c r="H286"/>
  <c r="I170"/>
  <c r="H171"/>
  <c r="E130"/>
  <c r="G130" s="1"/>
  <c r="C131" s="1"/>
  <c r="I320"/>
  <c r="H321"/>
  <c r="F377" i="5" l="1"/>
  <c r="D377"/>
  <c r="E377" s="1"/>
  <c r="G377" s="1"/>
  <c r="C378" s="1"/>
  <c r="F131" i="3"/>
  <c r="D131"/>
  <c r="I195"/>
  <c r="H196"/>
  <c r="I240"/>
  <c r="H241"/>
  <c r="I368"/>
  <c r="H369"/>
  <c r="I205"/>
  <c r="H206"/>
  <c r="I251"/>
  <c r="H252"/>
  <c r="I310"/>
  <c r="H311"/>
  <c r="I298"/>
  <c r="H299"/>
  <c r="I321"/>
  <c r="H322"/>
  <c r="H172"/>
  <c r="I171"/>
  <c r="I286"/>
  <c r="H287"/>
  <c r="H136"/>
  <c r="I135"/>
  <c r="I263"/>
  <c r="H264"/>
  <c r="H217"/>
  <c r="I216"/>
  <c r="H229"/>
  <c r="I228"/>
  <c r="H346"/>
  <c r="I345"/>
  <c r="I275"/>
  <c r="H276"/>
  <c r="I333"/>
  <c r="H334"/>
  <c r="I356"/>
  <c r="H357"/>
  <c r="D15" i="5" l="1"/>
  <c r="F378"/>
  <c r="D16" s="1"/>
  <c r="D378"/>
  <c r="I357" i="3"/>
  <c r="H358"/>
  <c r="I334"/>
  <c r="H335"/>
  <c r="H277"/>
  <c r="I276"/>
  <c r="I264"/>
  <c r="H265"/>
  <c r="I136"/>
  <c r="H137"/>
  <c r="I172"/>
  <c r="H173"/>
  <c r="H300"/>
  <c r="I299"/>
  <c r="I311"/>
  <c r="H312"/>
  <c r="I252"/>
  <c r="H253"/>
  <c r="I206"/>
  <c r="H207"/>
  <c r="I369"/>
  <c r="H370"/>
  <c r="I241"/>
  <c r="H242"/>
  <c r="H197"/>
  <c r="I196"/>
  <c r="E131"/>
  <c r="G131" s="1"/>
  <c r="C132" s="1"/>
  <c r="I346"/>
  <c r="H347"/>
  <c r="I229"/>
  <c r="H230"/>
  <c r="I217"/>
  <c r="H218"/>
  <c r="I287"/>
  <c r="H288"/>
  <c r="I322"/>
  <c r="H323"/>
  <c r="D11" i="5" l="1"/>
  <c r="D12"/>
  <c r="D13"/>
  <c r="E378"/>
  <c r="G378" s="1"/>
  <c r="I323" i="3"/>
  <c r="H324"/>
  <c r="I288"/>
  <c r="H289"/>
  <c r="I218"/>
  <c r="H219"/>
  <c r="I230"/>
  <c r="H231"/>
  <c r="I347"/>
  <c r="H348"/>
  <c r="F132"/>
  <c r="D132"/>
  <c r="I197"/>
  <c r="H198"/>
  <c r="I198" s="1"/>
  <c r="I300"/>
  <c r="H301"/>
  <c r="I277"/>
  <c r="H278"/>
  <c r="I242"/>
  <c r="H243"/>
  <c r="I370"/>
  <c r="H371"/>
  <c r="I207"/>
  <c r="H208"/>
  <c r="I253"/>
  <c r="H254"/>
  <c r="I312"/>
  <c r="H313"/>
  <c r="H174"/>
  <c r="I174" s="1"/>
  <c r="I173"/>
  <c r="H138"/>
  <c r="I138" s="1"/>
  <c r="I137"/>
  <c r="I265"/>
  <c r="H266"/>
  <c r="I335"/>
  <c r="H336"/>
  <c r="I358"/>
  <c r="H359"/>
  <c r="E132" l="1"/>
  <c r="G132" s="1"/>
  <c r="C133" s="1"/>
  <c r="F133" s="1"/>
  <c r="I359"/>
  <c r="H360"/>
  <c r="I336"/>
  <c r="H337"/>
  <c r="I266"/>
  <c r="H267"/>
  <c r="I313"/>
  <c r="H314"/>
  <c r="H255"/>
  <c r="I254"/>
  <c r="H209"/>
  <c r="I208"/>
  <c r="H372"/>
  <c r="I371"/>
  <c r="I243"/>
  <c r="H244"/>
  <c r="I278"/>
  <c r="H279"/>
  <c r="H302"/>
  <c r="I301"/>
  <c r="I348"/>
  <c r="H349"/>
  <c r="I231"/>
  <c r="H232"/>
  <c r="I219"/>
  <c r="H220"/>
  <c r="I289"/>
  <c r="H290"/>
  <c r="I324"/>
  <c r="H325"/>
  <c r="D133" l="1"/>
  <c r="E133" s="1"/>
  <c r="G133" s="1"/>
  <c r="C134" s="1"/>
  <c r="I279"/>
  <c r="H280"/>
  <c r="I244"/>
  <c r="H245"/>
  <c r="I314"/>
  <c r="H315"/>
  <c r="I267"/>
  <c r="H268"/>
  <c r="I337"/>
  <c r="H338"/>
  <c r="I360"/>
  <c r="H361"/>
  <c r="I325"/>
  <c r="H326"/>
  <c r="I290"/>
  <c r="H291"/>
  <c r="H221"/>
  <c r="I220"/>
  <c r="H233"/>
  <c r="I232"/>
  <c r="H350"/>
  <c r="I349"/>
  <c r="I302"/>
  <c r="H303"/>
  <c r="I372"/>
  <c r="H373"/>
  <c r="I209"/>
  <c r="H210"/>
  <c r="I210" s="1"/>
  <c r="I255"/>
  <c r="H256"/>
  <c r="F134" l="1"/>
  <c r="D134"/>
  <c r="I256"/>
  <c r="H257"/>
  <c r="I373"/>
  <c r="H374"/>
  <c r="H304"/>
  <c r="I303"/>
  <c r="I291"/>
  <c r="H292"/>
  <c r="I326"/>
  <c r="H327"/>
  <c r="I361"/>
  <c r="H362"/>
  <c r="I338"/>
  <c r="H339"/>
  <c r="H269"/>
  <c r="I268"/>
  <c r="H316"/>
  <c r="I315"/>
  <c r="I245"/>
  <c r="H246"/>
  <c r="I246" s="1"/>
  <c r="H281"/>
  <c r="I280"/>
  <c r="I350"/>
  <c r="H351"/>
  <c r="I233"/>
  <c r="H234"/>
  <c r="I234" s="1"/>
  <c r="I221"/>
  <c r="H222"/>
  <c r="I222" s="1"/>
  <c r="E134" l="1"/>
  <c r="G134" s="1"/>
  <c r="C135" s="1"/>
  <c r="F135" s="1"/>
  <c r="I339"/>
  <c r="H340"/>
  <c r="I362"/>
  <c r="H363"/>
  <c r="I327"/>
  <c r="H328"/>
  <c r="I292"/>
  <c r="H293"/>
  <c r="I374"/>
  <c r="H375"/>
  <c r="I257"/>
  <c r="H258"/>
  <c r="I351"/>
  <c r="H352"/>
  <c r="I281"/>
  <c r="H282"/>
  <c r="I282" s="1"/>
  <c r="I316"/>
  <c r="H317"/>
  <c r="I269"/>
  <c r="H270"/>
  <c r="I270" s="1"/>
  <c r="I304"/>
  <c r="H305"/>
  <c r="D135" l="1"/>
  <c r="E135" s="1"/>
  <c r="G135" s="1"/>
  <c r="C136" s="1"/>
  <c r="H306"/>
  <c r="I306" s="1"/>
  <c r="I305"/>
  <c r="H318"/>
  <c r="I318" s="1"/>
  <c r="I317"/>
  <c r="I352"/>
  <c r="H353"/>
  <c r="I258"/>
  <c r="I375"/>
  <c r="H376"/>
  <c r="I293"/>
  <c r="H294"/>
  <c r="I294" s="1"/>
  <c r="I328"/>
  <c r="H329"/>
  <c r="I363"/>
  <c r="H364"/>
  <c r="H341"/>
  <c r="I340"/>
  <c r="F136" l="1"/>
  <c r="D136"/>
  <c r="H354"/>
  <c r="I354" s="1"/>
  <c r="I353"/>
  <c r="I364"/>
  <c r="H365"/>
  <c r="I329"/>
  <c r="H330"/>
  <c r="I330" s="1"/>
  <c r="I376"/>
  <c r="H377"/>
  <c r="I341"/>
  <c r="H342"/>
  <c r="I342" s="1"/>
  <c r="E136" l="1"/>
  <c r="G136" s="1"/>
  <c r="C137" s="1"/>
  <c r="F137" s="1"/>
  <c r="H378"/>
  <c r="I378" s="1"/>
  <c r="I377"/>
  <c r="I365"/>
  <c r="H366"/>
  <c r="I366" s="1"/>
  <c r="D137" l="1"/>
  <c r="E137" s="1"/>
  <c r="G137" s="1"/>
  <c r="C138" s="1"/>
  <c r="F138" s="1"/>
  <c r="D138" l="1"/>
  <c r="E138" s="1"/>
  <c r="G138" s="1"/>
  <c r="C139" s="1"/>
  <c r="D139" s="1"/>
  <c r="F139" l="1"/>
  <c r="E139" s="1"/>
  <c r="G139" s="1"/>
  <c r="C140" s="1"/>
  <c r="D140" l="1"/>
  <c r="F140"/>
  <c r="E140" l="1"/>
  <c r="G140" s="1"/>
  <c r="C141" s="1"/>
  <c r="D141" l="1"/>
  <c r="F141"/>
  <c r="E141" l="1"/>
  <c r="G141" s="1"/>
  <c r="C142" s="1"/>
  <c r="D142" l="1"/>
  <c r="F142"/>
  <c r="E142" l="1"/>
  <c r="G142" s="1"/>
  <c r="C143" s="1"/>
  <c r="F143" l="1"/>
  <c r="D143"/>
  <c r="E143" l="1"/>
  <c r="G143" s="1"/>
  <c r="C144" s="1"/>
  <c r="F144" s="1"/>
  <c r="D144" l="1"/>
  <c r="E144" s="1"/>
  <c r="G144" s="1"/>
  <c r="C145" s="1"/>
  <c r="D145" l="1"/>
  <c r="F145"/>
  <c r="E145" l="1"/>
  <c r="G145" s="1"/>
  <c r="C146" s="1"/>
  <c r="D146" s="1"/>
  <c r="F146" l="1"/>
  <c r="E146" s="1"/>
  <c r="G146" s="1"/>
  <c r="C147" s="1"/>
  <c r="D147" s="1"/>
  <c r="F147" l="1"/>
  <c r="E147" s="1"/>
  <c r="G147" s="1"/>
  <c r="C148" s="1"/>
  <c r="D148" s="1"/>
  <c r="F148" l="1"/>
  <c r="E148" s="1"/>
  <c r="G148" s="1"/>
  <c r="C149" s="1"/>
  <c r="D149" l="1"/>
  <c r="F149"/>
  <c r="E149" l="1"/>
  <c r="G149" s="1"/>
  <c r="C150" s="1"/>
  <c r="F150" l="1"/>
  <c r="D150"/>
  <c r="E150" l="1"/>
  <c r="G150" s="1"/>
  <c r="C151" s="1"/>
  <c r="F151" s="1"/>
  <c r="D151" l="1"/>
  <c r="E151" s="1"/>
  <c r="G151" s="1"/>
  <c r="C152" s="1"/>
  <c r="D152" l="1"/>
  <c r="F152"/>
  <c r="E152" l="1"/>
  <c r="G152" s="1"/>
  <c r="C153" s="1"/>
  <c r="F153" s="1"/>
  <c r="D153" l="1"/>
  <c r="E153" s="1"/>
  <c r="G153" s="1"/>
  <c r="C154" s="1"/>
  <c r="D154" s="1"/>
  <c r="F154" l="1"/>
  <c r="E154" s="1"/>
  <c r="G154" s="1"/>
  <c r="C155" s="1"/>
  <c r="F155" s="1"/>
  <c r="D155" l="1"/>
  <c r="E155" s="1"/>
  <c r="G155" s="1"/>
  <c r="C156" s="1"/>
  <c r="D156" s="1"/>
  <c r="F156" l="1"/>
  <c r="E156" s="1"/>
  <c r="G156" s="1"/>
  <c r="C157" s="1"/>
  <c r="D157" s="1"/>
  <c r="F157" l="1"/>
  <c r="E157" s="1"/>
  <c r="G157" s="1"/>
  <c r="C158" s="1"/>
  <c r="F158" l="1"/>
  <c r="D158"/>
  <c r="E158" l="1"/>
  <c r="G158" s="1"/>
  <c r="C159" s="1"/>
  <c r="F159" s="1"/>
  <c r="D159" l="1"/>
  <c r="E159" s="1"/>
  <c r="G159" s="1"/>
  <c r="C160" s="1"/>
  <c r="F160" l="1"/>
  <c r="D160"/>
  <c r="E160" l="1"/>
  <c r="G160" s="1"/>
  <c r="C161" s="1"/>
  <c r="F161" s="1"/>
  <c r="D161" l="1"/>
  <c r="E161" s="1"/>
  <c r="G161" s="1"/>
  <c r="C162" s="1"/>
  <c r="D162" s="1"/>
  <c r="F162" l="1"/>
  <c r="E162" s="1"/>
  <c r="G162" s="1"/>
  <c r="C163" s="1"/>
  <c r="F163" s="1"/>
  <c r="D163" l="1"/>
  <c r="E163" s="1"/>
  <c r="G163" s="1"/>
  <c r="C164" s="1"/>
  <c r="F164" s="1"/>
  <c r="D164" l="1"/>
  <c r="E164" s="1"/>
  <c r="G164" s="1"/>
  <c r="C165" s="1"/>
  <c r="D165" s="1"/>
  <c r="F165" l="1"/>
  <c r="E165" s="1"/>
  <c r="G165" s="1"/>
  <c r="C166" s="1"/>
  <c r="D166" s="1"/>
  <c r="F166" l="1"/>
  <c r="E166" s="1"/>
  <c r="G166" s="1"/>
  <c r="C167" s="1"/>
  <c r="F167" s="1"/>
  <c r="D167" l="1"/>
  <c r="E167" s="1"/>
  <c r="G167" s="1"/>
  <c r="C168" s="1"/>
  <c r="F168" s="1"/>
  <c r="D168" l="1"/>
  <c r="E168" s="1"/>
  <c r="G168" s="1"/>
  <c r="C169" s="1"/>
  <c r="F169" s="1"/>
  <c r="D169" l="1"/>
  <c r="E169" s="1"/>
  <c r="G169" s="1"/>
  <c r="C170" s="1"/>
  <c r="F170" s="1"/>
  <c r="D170" l="1"/>
  <c r="E170" s="1"/>
  <c r="G170" s="1"/>
  <c r="C171" s="1"/>
  <c r="F171" s="1"/>
  <c r="D171" l="1"/>
  <c r="E171" s="1"/>
  <c r="G171" s="1"/>
  <c r="C172" s="1"/>
  <c r="D172" s="1"/>
  <c r="F172" l="1"/>
  <c r="E172" s="1"/>
  <c r="G172" s="1"/>
  <c r="C173" s="1"/>
  <c r="D173" s="1"/>
  <c r="F173" l="1"/>
  <c r="E173" s="1"/>
  <c r="G173" s="1"/>
  <c r="C174" s="1"/>
  <c r="F174" s="1"/>
  <c r="D174" l="1"/>
  <c r="E174" s="1"/>
  <c r="G174" s="1"/>
  <c r="C175" s="1"/>
  <c r="F175" s="1"/>
  <c r="D175" l="1"/>
  <c r="E175" s="1"/>
  <c r="G175" s="1"/>
  <c r="C176" s="1"/>
  <c r="F176" s="1"/>
  <c r="D176" l="1"/>
  <c r="E176" s="1"/>
  <c r="G176" s="1"/>
  <c r="C177" s="1"/>
  <c r="D177" s="1"/>
  <c r="F177" l="1"/>
  <c r="E177" s="1"/>
  <c r="G177" s="1"/>
  <c r="C178" s="1"/>
  <c r="F178" s="1"/>
  <c r="D178" l="1"/>
  <c r="E178" s="1"/>
  <c r="G178" s="1"/>
  <c r="C179" s="1"/>
  <c r="D179" s="1"/>
  <c r="F179" l="1"/>
  <c r="E179" s="1"/>
  <c r="G179" s="1"/>
  <c r="C180" s="1"/>
  <c r="F180" s="1"/>
  <c r="D180" l="1"/>
  <c r="E180" s="1"/>
  <c r="G180" s="1"/>
  <c r="C181" s="1"/>
  <c r="D181" s="1"/>
  <c r="F181" l="1"/>
  <c r="E181" s="1"/>
  <c r="G181" s="1"/>
  <c r="C182" s="1"/>
  <c r="F182" s="1"/>
  <c r="D182" l="1"/>
  <c r="E182" s="1"/>
  <c r="G182" s="1"/>
  <c r="C183" s="1"/>
  <c r="D183" s="1"/>
  <c r="F183" l="1"/>
  <c r="E183" s="1"/>
  <c r="G183" s="1"/>
  <c r="C184" s="1"/>
  <c r="F184" s="1"/>
  <c r="D184" l="1"/>
  <c r="E184" s="1"/>
  <c r="G184" s="1"/>
  <c r="C185" s="1"/>
  <c r="D185" s="1"/>
  <c r="F185" l="1"/>
  <c r="E185" s="1"/>
  <c r="G185" s="1"/>
  <c r="C186" s="1"/>
  <c r="D186" l="1"/>
  <c r="F186"/>
  <c r="E186" l="1"/>
  <c r="G186" s="1"/>
  <c r="C187" s="1"/>
  <c r="F187" s="1"/>
  <c r="D187" l="1"/>
  <c r="E187" s="1"/>
  <c r="G187" s="1"/>
  <c r="C188" s="1"/>
  <c r="F188" l="1"/>
  <c r="D188"/>
  <c r="E188" l="1"/>
  <c r="G188" s="1"/>
  <c r="C189" s="1"/>
  <c r="D189" s="1"/>
  <c r="F189" l="1"/>
  <c r="E189" s="1"/>
  <c r="G189" s="1"/>
  <c r="C190" s="1"/>
  <c r="D190" s="1"/>
  <c r="F190" l="1"/>
  <c r="E190" s="1"/>
  <c r="G190" s="1"/>
  <c r="C191" s="1"/>
  <c r="F191" s="1"/>
  <c r="D191" l="1"/>
  <c r="E191" s="1"/>
  <c r="G191" s="1"/>
  <c r="C192" s="1"/>
  <c r="F192" s="1"/>
  <c r="D192" l="1"/>
  <c r="E192" s="1"/>
  <c r="G192" s="1"/>
  <c r="C193" s="1"/>
  <c r="F193" s="1"/>
  <c r="D193" l="1"/>
  <c r="E193" s="1"/>
  <c r="G193" s="1"/>
  <c r="C194" s="1"/>
  <c r="F194" s="1"/>
  <c r="D194" l="1"/>
  <c r="E194" s="1"/>
  <c r="G194" s="1"/>
  <c r="C195" s="1"/>
  <c r="F195" l="1"/>
  <c r="D195"/>
  <c r="E195" l="1"/>
  <c r="G195" s="1"/>
  <c r="C196" s="1"/>
  <c r="F196" s="1"/>
  <c r="D196" l="1"/>
  <c r="E196" s="1"/>
  <c r="G196" s="1"/>
  <c r="C197" s="1"/>
  <c r="F197" s="1"/>
  <c r="D197" l="1"/>
  <c r="E197" s="1"/>
  <c r="G197" s="1"/>
  <c r="C198" s="1"/>
  <c r="F198" s="1"/>
  <c r="D198" l="1"/>
  <c r="E198" s="1"/>
  <c r="G198" s="1"/>
  <c r="C199" s="1"/>
  <c r="F199" s="1"/>
  <c r="D199" l="1"/>
  <c r="E199" s="1"/>
  <c r="G199" s="1"/>
  <c r="C200" s="1"/>
  <c r="F200" s="1"/>
  <c r="D200" l="1"/>
  <c r="E200" s="1"/>
  <c r="G200" s="1"/>
  <c r="C201" s="1"/>
  <c r="F201" s="1"/>
  <c r="D201" l="1"/>
  <c r="E201" s="1"/>
  <c r="G201" s="1"/>
  <c r="C202" s="1"/>
  <c r="F202" s="1"/>
  <c r="D202" l="1"/>
  <c r="E202" s="1"/>
  <c r="G202" s="1"/>
  <c r="C203" s="1"/>
  <c r="F203" s="1"/>
  <c r="D203" l="1"/>
  <c r="E203" s="1"/>
  <c r="G203" s="1"/>
  <c r="C204" s="1"/>
  <c r="F204" s="1"/>
  <c r="D204" l="1"/>
  <c r="E204" s="1"/>
  <c r="G204" s="1"/>
  <c r="C205" s="1"/>
  <c r="F205" s="1"/>
  <c r="D205" l="1"/>
  <c r="E205" s="1"/>
  <c r="G205" s="1"/>
  <c r="C206" s="1"/>
  <c r="F206" s="1"/>
  <c r="D206" l="1"/>
  <c r="E206" s="1"/>
  <c r="G206" s="1"/>
  <c r="C207" s="1"/>
  <c r="F207" s="1"/>
  <c r="D207" l="1"/>
  <c r="E207" s="1"/>
  <c r="G207" s="1"/>
  <c r="C208" s="1"/>
  <c r="F208" s="1"/>
  <c r="D208" l="1"/>
  <c r="E208" s="1"/>
  <c r="G208" s="1"/>
  <c r="C209" s="1"/>
  <c r="F209" s="1"/>
  <c r="D209" l="1"/>
  <c r="E209" s="1"/>
  <c r="G209" s="1"/>
  <c r="C210" s="1"/>
  <c r="F210" s="1"/>
  <c r="D210" l="1"/>
  <c r="E210" s="1"/>
  <c r="G210" s="1"/>
  <c r="C211" s="1"/>
  <c r="F211" s="1"/>
  <c r="D211" l="1"/>
  <c r="E211" s="1"/>
  <c r="G211" s="1"/>
  <c r="C212" s="1"/>
  <c r="F212" s="1"/>
  <c r="D212" l="1"/>
  <c r="E212" s="1"/>
  <c r="G212" s="1"/>
  <c r="C213" s="1"/>
  <c r="F213" s="1"/>
  <c r="D213" l="1"/>
  <c r="E213" s="1"/>
  <c r="G213" s="1"/>
  <c r="C214" s="1"/>
  <c r="F214" s="1"/>
  <c r="D214" l="1"/>
  <c r="E214" s="1"/>
  <c r="G214" s="1"/>
  <c r="C215" s="1"/>
  <c r="F215" s="1"/>
  <c r="D215" l="1"/>
  <c r="E215" s="1"/>
  <c r="G215" s="1"/>
  <c r="C216" s="1"/>
  <c r="F216" s="1"/>
  <c r="D216" l="1"/>
  <c r="E216" s="1"/>
  <c r="G216" s="1"/>
  <c r="C217" s="1"/>
  <c r="F217" s="1"/>
  <c r="D217" l="1"/>
  <c r="E217" s="1"/>
  <c r="G217" s="1"/>
  <c r="C218" s="1"/>
  <c r="F218" s="1"/>
  <c r="D218" l="1"/>
  <c r="E218" s="1"/>
  <c r="G218" s="1"/>
  <c r="C219" s="1"/>
  <c r="F219" s="1"/>
  <c r="D219" l="1"/>
  <c r="E219" s="1"/>
  <c r="G219" s="1"/>
  <c r="C220" s="1"/>
  <c r="F220" s="1"/>
  <c r="D220" l="1"/>
  <c r="E220" s="1"/>
  <c r="G220" s="1"/>
  <c r="C221" s="1"/>
  <c r="F221" s="1"/>
  <c r="D221" l="1"/>
  <c r="E221" s="1"/>
  <c r="G221" s="1"/>
  <c r="C222" s="1"/>
  <c r="F222" s="1"/>
  <c r="D222" l="1"/>
  <c r="E222" s="1"/>
  <c r="G222" s="1"/>
  <c r="C223" s="1"/>
  <c r="F223" s="1"/>
  <c r="D223" l="1"/>
  <c r="E223" s="1"/>
  <c r="G223" s="1"/>
  <c r="C224" s="1"/>
  <c r="F224" s="1"/>
  <c r="D224" l="1"/>
  <c r="E224" s="1"/>
  <c r="G224" s="1"/>
  <c r="C225" s="1"/>
  <c r="F225" s="1"/>
  <c r="D225" l="1"/>
  <c r="E225" s="1"/>
  <c r="G225" s="1"/>
  <c r="C226" s="1"/>
  <c r="F226" s="1"/>
  <c r="D226" l="1"/>
  <c r="E226" s="1"/>
  <c r="G226" s="1"/>
  <c r="C227" s="1"/>
  <c r="F227" s="1"/>
  <c r="D227" l="1"/>
  <c r="E227" s="1"/>
  <c r="G227" s="1"/>
  <c r="C228" s="1"/>
  <c r="F228" s="1"/>
  <c r="D228" l="1"/>
  <c r="E228" s="1"/>
  <c r="G228" s="1"/>
  <c r="C229" s="1"/>
  <c r="F229" s="1"/>
  <c r="D229" l="1"/>
  <c r="E229" s="1"/>
  <c r="G229" s="1"/>
  <c r="C230" s="1"/>
  <c r="F230" s="1"/>
  <c r="D230" l="1"/>
  <c r="E230" s="1"/>
  <c r="G230" s="1"/>
  <c r="C231" s="1"/>
  <c r="F231" s="1"/>
  <c r="D231" l="1"/>
  <c r="E231" s="1"/>
  <c r="G231" s="1"/>
  <c r="C232" s="1"/>
  <c r="F232" s="1"/>
  <c r="D232" l="1"/>
  <c r="E232" s="1"/>
  <c r="G232" s="1"/>
  <c r="C233" s="1"/>
  <c r="F233" s="1"/>
  <c r="D233" l="1"/>
  <c r="E233" s="1"/>
  <c r="G233" s="1"/>
  <c r="C234" s="1"/>
  <c r="F234" s="1"/>
  <c r="D234" l="1"/>
  <c r="E234" s="1"/>
  <c r="G234" s="1"/>
  <c r="C235" s="1"/>
  <c r="F235" s="1"/>
  <c r="D235" l="1"/>
  <c r="E235" s="1"/>
  <c r="G235" s="1"/>
  <c r="C236" s="1"/>
  <c r="F236" s="1"/>
  <c r="D236" l="1"/>
  <c r="E236" s="1"/>
  <c r="G236" s="1"/>
  <c r="C237" s="1"/>
  <c r="F237" s="1"/>
  <c r="D237" l="1"/>
  <c r="E237" s="1"/>
  <c r="G237" s="1"/>
  <c r="C238" s="1"/>
  <c r="F238" s="1"/>
  <c r="D238" l="1"/>
  <c r="E238" s="1"/>
  <c r="G238" s="1"/>
  <c r="C239" s="1"/>
  <c r="F239" s="1"/>
  <c r="D239" l="1"/>
  <c r="E239" s="1"/>
  <c r="G239" s="1"/>
  <c r="C240" s="1"/>
  <c r="F240" s="1"/>
  <c r="D240" l="1"/>
  <c r="E240" s="1"/>
  <c r="G240" s="1"/>
  <c r="C241" s="1"/>
  <c r="F241" s="1"/>
  <c r="D241" l="1"/>
  <c r="E241" s="1"/>
  <c r="G241" s="1"/>
  <c r="C242" s="1"/>
  <c r="F242" s="1"/>
  <c r="D242" l="1"/>
  <c r="E242" s="1"/>
  <c r="G242" s="1"/>
  <c r="C243" s="1"/>
  <c r="F243" s="1"/>
  <c r="D243" l="1"/>
  <c r="E243" s="1"/>
  <c r="G243" s="1"/>
  <c r="C244" s="1"/>
  <c r="F244" s="1"/>
  <c r="D244" l="1"/>
  <c r="E244" s="1"/>
  <c r="G244" s="1"/>
  <c r="C245" s="1"/>
  <c r="F245" s="1"/>
  <c r="D245" l="1"/>
  <c r="E245" s="1"/>
  <c r="G245" s="1"/>
  <c r="C246" s="1"/>
  <c r="F246" s="1"/>
  <c r="D246" l="1"/>
  <c r="E246" s="1"/>
  <c r="G246" s="1"/>
  <c r="C247" s="1"/>
  <c r="F247" s="1"/>
  <c r="D247" l="1"/>
  <c r="E247" s="1"/>
  <c r="G247" s="1"/>
  <c r="C248" s="1"/>
  <c r="F248" s="1"/>
  <c r="D248" l="1"/>
  <c r="E248" s="1"/>
  <c r="G248" s="1"/>
  <c r="C249" s="1"/>
  <c r="F249" s="1"/>
  <c r="D249" l="1"/>
  <c r="E249" s="1"/>
  <c r="G249" s="1"/>
  <c r="C250" s="1"/>
  <c r="F250" s="1"/>
  <c r="D250" l="1"/>
  <c r="E250" s="1"/>
  <c r="G250" s="1"/>
  <c r="C251" s="1"/>
  <c r="F251" s="1"/>
  <c r="D251" l="1"/>
  <c r="E251" s="1"/>
  <c r="G251" s="1"/>
  <c r="C252" s="1"/>
  <c r="F252" s="1"/>
  <c r="D252" l="1"/>
  <c r="E252" s="1"/>
  <c r="G252" s="1"/>
  <c r="C253" s="1"/>
  <c r="F253" s="1"/>
  <c r="D253" l="1"/>
  <c r="E253" s="1"/>
  <c r="G253" s="1"/>
  <c r="C254" s="1"/>
  <c r="F254" s="1"/>
  <c r="D254" l="1"/>
  <c r="E254" s="1"/>
  <c r="G254" s="1"/>
  <c r="C255" s="1"/>
  <c r="F255" s="1"/>
  <c r="D255" l="1"/>
  <c r="E255" s="1"/>
  <c r="G255" s="1"/>
  <c r="C256" s="1"/>
  <c r="F256" s="1"/>
  <c r="D256" l="1"/>
  <c r="E256" s="1"/>
  <c r="G256" s="1"/>
  <c r="C257" s="1"/>
  <c r="F257" s="1"/>
  <c r="D257" l="1"/>
  <c r="E257" s="1"/>
  <c r="G257" s="1"/>
  <c r="C258" s="1"/>
  <c r="F258" s="1"/>
  <c r="D258" l="1"/>
  <c r="E258" s="1"/>
  <c r="G258" s="1"/>
  <c r="C259" s="1"/>
  <c r="F259" s="1"/>
  <c r="D259" l="1"/>
  <c r="E259" s="1"/>
  <c r="G259" s="1"/>
  <c r="C260" s="1"/>
  <c r="F260" s="1"/>
  <c r="D260" l="1"/>
  <c r="E260" s="1"/>
  <c r="G260" s="1"/>
  <c r="C261" s="1"/>
  <c r="F261" s="1"/>
  <c r="D261" l="1"/>
  <c r="E261" s="1"/>
  <c r="G261" s="1"/>
  <c r="C262" s="1"/>
  <c r="F262" s="1"/>
  <c r="D262" l="1"/>
  <c r="E262" s="1"/>
  <c r="G262" s="1"/>
  <c r="C263" s="1"/>
  <c r="F263" s="1"/>
  <c r="D263" l="1"/>
  <c r="E263" s="1"/>
  <c r="G263" s="1"/>
  <c r="C264" s="1"/>
  <c r="F264" s="1"/>
  <c r="D264" l="1"/>
  <c r="E264" s="1"/>
  <c r="G264" s="1"/>
  <c r="C265" s="1"/>
  <c r="F265" s="1"/>
  <c r="D265" l="1"/>
  <c r="E265" s="1"/>
  <c r="G265" s="1"/>
  <c r="C266" s="1"/>
  <c r="F266" s="1"/>
  <c r="D266" l="1"/>
  <c r="E266" s="1"/>
  <c r="G266" s="1"/>
  <c r="C267" s="1"/>
  <c r="F267" s="1"/>
  <c r="D267" l="1"/>
  <c r="E267" s="1"/>
  <c r="G267" s="1"/>
  <c r="C268" s="1"/>
  <c r="F268" s="1"/>
  <c r="D268" l="1"/>
  <c r="E268" s="1"/>
  <c r="G268" s="1"/>
  <c r="C269" s="1"/>
  <c r="F269" s="1"/>
  <c r="D269" l="1"/>
  <c r="E269" s="1"/>
  <c r="G269" s="1"/>
  <c r="C270" s="1"/>
  <c r="F270" s="1"/>
  <c r="D270" l="1"/>
  <c r="E270" s="1"/>
  <c r="G270" s="1"/>
  <c r="C271" s="1"/>
  <c r="F271" s="1"/>
  <c r="D271" l="1"/>
  <c r="E271" s="1"/>
  <c r="G271" s="1"/>
  <c r="C272" s="1"/>
  <c r="F272" s="1"/>
  <c r="D272" l="1"/>
  <c r="E272" s="1"/>
  <c r="G272" s="1"/>
  <c r="C273" s="1"/>
  <c r="F273" s="1"/>
  <c r="D273" l="1"/>
  <c r="E273" s="1"/>
  <c r="G273" s="1"/>
  <c r="C274" s="1"/>
  <c r="F274" s="1"/>
  <c r="D274" l="1"/>
  <c r="E274" s="1"/>
  <c r="G274" s="1"/>
  <c r="C275" s="1"/>
  <c r="F275" s="1"/>
  <c r="D275" l="1"/>
  <c r="E275" s="1"/>
  <c r="G275" s="1"/>
  <c r="C276" s="1"/>
  <c r="F276" s="1"/>
  <c r="D276" l="1"/>
  <c r="E276" s="1"/>
  <c r="G276" s="1"/>
  <c r="C277" s="1"/>
  <c r="F277" s="1"/>
  <c r="D277" l="1"/>
  <c r="E277" s="1"/>
  <c r="G277" s="1"/>
  <c r="C278" s="1"/>
  <c r="F278" s="1"/>
  <c r="D278" l="1"/>
  <c r="E278" s="1"/>
  <c r="G278" s="1"/>
  <c r="C279" s="1"/>
  <c r="F279" s="1"/>
  <c r="D279" l="1"/>
  <c r="E279" s="1"/>
  <c r="G279" s="1"/>
  <c r="C280" s="1"/>
  <c r="F280" s="1"/>
  <c r="D280" l="1"/>
  <c r="E280" s="1"/>
  <c r="G280" s="1"/>
  <c r="C281" s="1"/>
  <c r="F281" s="1"/>
  <c r="D281" l="1"/>
  <c r="E281" s="1"/>
  <c r="G281" s="1"/>
  <c r="C282" s="1"/>
  <c r="F282" s="1"/>
  <c r="D282" l="1"/>
  <c r="E282" s="1"/>
  <c r="G282" s="1"/>
  <c r="C283" s="1"/>
  <c r="F283" s="1"/>
  <c r="D283" l="1"/>
  <c r="E283" s="1"/>
  <c r="G283" s="1"/>
  <c r="C284" s="1"/>
  <c r="F284" s="1"/>
  <c r="D284" l="1"/>
  <c r="E284" s="1"/>
  <c r="G284" s="1"/>
  <c r="C285" s="1"/>
  <c r="F285" s="1"/>
  <c r="D285" l="1"/>
  <c r="E285" s="1"/>
  <c r="G285" s="1"/>
  <c r="C286" s="1"/>
  <c r="F286" s="1"/>
  <c r="D286" l="1"/>
  <c r="E286" s="1"/>
  <c r="G286" s="1"/>
  <c r="C287" s="1"/>
  <c r="F287" s="1"/>
  <c r="D287" l="1"/>
  <c r="E287" s="1"/>
  <c r="G287" s="1"/>
  <c r="C288" s="1"/>
  <c r="F288" s="1"/>
  <c r="D288" l="1"/>
  <c r="E288" s="1"/>
  <c r="G288" s="1"/>
  <c r="C289" s="1"/>
  <c r="F289" s="1"/>
  <c r="D289" l="1"/>
  <c r="E289" s="1"/>
  <c r="G289" s="1"/>
  <c r="C290" s="1"/>
  <c r="D290" s="1"/>
  <c r="F290" l="1"/>
  <c r="E290" s="1"/>
  <c r="G290" s="1"/>
  <c r="C291" s="1"/>
  <c r="D291" s="1"/>
  <c r="F291" l="1"/>
  <c r="E291" s="1"/>
  <c r="G291" s="1"/>
  <c r="C292" s="1"/>
  <c r="D292" s="1"/>
  <c r="F292" l="1"/>
  <c r="E292" s="1"/>
  <c r="G292" s="1"/>
  <c r="C293" s="1"/>
  <c r="D293" s="1"/>
  <c r="F293" l="1"/>
  <c r="E293" s="1"/>
  <c r="G293" s="1"/>
  <c r="C294" s="1"/>
  <c r="D294" s="1"/>
  <c r="F294" l="1"/>
  <c r="E294" s="1"/>
  <c r="G294" s="1"/>
  <c r="C295" s="1"/>
  <c r="D295" s="1"/>
  <c r="F295" l="1"/>
  <c r="E295" s="1"/>
  <c r="G295" s="1"/>
  <c r="C296" s="1"/>
  <c r="D296" s="1"/>
  <c r="F296" l="1"/>
  <c r="E296" s="1"/>
  <c r="G296" s="1"/>
  <c r="C297" s="1"/>
  <c r="D297" s="1"/>
  <c r="F297" l="1"/>
  <c r="E297" s="1"/>
  <c r="G297" s="1"/>
  <c r="C298" s="1"/>
  <c r="D298" s="1"/>
  <c r="F298" l="1"/>
  <c r="E298" s="1"/>
  <c r="G298" s="1"/>
  <c r="C299" s="1"/>
  <c r="D299" s="1"/>
  <c r="F299" l="1"/>
  <c r="E299" s="1"/>
  <c r="G299" s="1"/>
  <c r="C300" s="1"/>
  <c r="D300" s="1"/>
  <c r="F300" l="1"/>
  <c r="E300" s="1"/>
  <c r="G300" s="1"/>
  <c r="C301" s="1"/>
  <c r="D301" s="1"/>
  <c r="F301" l="1"/>
  <c r="E301" s="1"/>
  <c r="G301" s="1"/>
  <c r="C302" s="1"/>
  <c r="D302" s="1"/>
  <c r="F302" l="1"/>
  <c r="E302" s="1"/>
  <c r="G302" s="1"/>
  <c r="C303" s="1"/>
  <c r="D303" s="1"/>
  <c r="F303" l="1"/>
  <c r="E303" s="1"/>
  <c r="G303" s="1"/>
  <c r="C304" s="1"/>
  <c r="D304" s="1"/>
  <c r="F304" l="1"/>
  <c r="E304" s="1"/>
  <c r="G304" s="1"/>
  <c r="C305" s="1"/>
  <c r="D305" s="1"/>
  <c r="F305" l="1"/>
  <c r="E305" s="1"/>
  <c r="G305" s="1"/>
  <c r="C306" s="1"/>
  <c r="D306" s="1"/>
  <c r="F306" l="1"/>
  <c r="E306" s="1"/>
  <c r="G306" s="1"/>
  <c r="C307" s="1"/>
  <c r="D307" s="1"/>
  <c r="F307" l="1"/>
  <c r="E307" s="1"/>
  <c r="G307" s="1"/>
  <c r="C308" s="1"/>
  <c r="D308" s="1"/>
  <c r="F308" l="1"/>
  <c r="E308" s="1"/>
  <c r="G308" s="1"/>
  <c r="C309" s="1"/>
  <c r="D309" s="1"/>
  <c r="F309" l="1"/>
  <c r="E309" s="1"/>
  <c r="G309" s="1"/>
  <c r="C310" s="1"/>
  <c r="D310" s="1"/>
  <c r="F310" l="1"/>
  <c r="E310" s="1"/>
  <c r="G310" s="1"/>
  <c r="C311" s="1"/>
  <c r="D311" s="1"/>
  <c r="F311" l="1"/>
  <c r="E311" s="1"/>
  <c r="G311" s="1"/>
  <c r="C312" s="1"/>
  <c r="D312" s="1"/>
  <c r="F312" l="1"/>
  <c r="E312" s="1"/>
  <c r="G312" s="1"/>
  <c r="C313" s="1"/>
  <c r="D313" s="1"/>
  <c r="F313" l="1"/>
  <c r="E313" s="1"/>
  <c r="G313" s="1"/>
  <c r="C314" s="1"/>
  <c r="D314" s="1"/>
  <c r="F314" l="1"/>
  <c r="E314" s="1"/>
  <c r="G314" s="1"/>
  <c r="C315" s="1"/>
  <c r="D315" s="1"/>
  <c r="F315" l="1"/>
  <c r="E315" s="1"/>
  <c r="G315" s="1"/>
  <c r="C316" s="1"/>
  <c r="D316" s="1"/>
  <c r="F316" l="1"/>
  <c r="E316" s="1"/>
  <c r="G316" s="1"/>
  <c r="C317" s="1"/>
  <c r="D317" s="1"/>
  <c r="F317" l="1"/>
  <c r="E317" s="1"/>
  <c r="G317" s="1"/>
  <c r="C318" s="1"/>
  <c r="D318" s="1"/>
  <c r="F318" l="1"/>
  <c r="E318" s="1"/>
  <c r="G318" s="1"/>
  <c r="C319" s="1"/>
  <c r="D319" s="1"/>
  <c r="F319" l="1"/>
  <c r="E319" s="1"/>
  <c r="G319" s="1"/>
  <c r="C320" s="1"/>
  <c r="D320" s="1"/>
  <c r="F320" l="1"/>
  <c r="E320" s="1"/>
  <c r="G320" s="1"/>
  <c r="C321" s="1"/>
  <c r="D321" s="1"/>
  <c r="F321" l="1"/>
  <c r="E321" s="1"/>
  <c r="G321" s="1"/>
  <c r="C322" s="1"/>
  <c r="D322" s="1"/>
  <c r="F322" l="1"/>
  <c r="E322" s="1"/>
  <c r="G322" s="1"/>
  <c r="C323" s="1"/>
  <c r="D323" s="1"/>
  <c r="F323" l="1"/>
  <c r="E323" s="1"/>
  <c r="G323" s="1"/>
  <c r="C324" s="1"/>
  <c r="D324" s="1"/>
  <c r="F324" l="1"/>
  <c r="E324" s="1"/>
  <c r="G324" s="1"/>
  <c r="C325" s="1"/>
  <c r="D325" s="1"/>
  <c r="F325" l="1"/>
  <c r="E325" s="1"/>
  <c r="G325" s="1"/>
  <c r="C326" s="1"/>
  <c r="D326" s="1"/>
  <c r="F326" l="1"/>
  <c r="E326" s="1"/>
  <c r="G326" s="1"/>
  <c r="C327" s="1"/>
  <c r="D327" s="1"/>
  <c r="F327" l="1"/>
  <c r="E327" s="1"/>
  <c r="G327" s="1"/>
  <c r="C328" s="1"/>
  <c r="D328" s="1"/>
  <c r="F328" l="1"/>
  <c r="E328" s="1"/>
  <c r="G328" s="1"/>
  <c r="C329" s="1"/>
  <c r="D329" s="1"/>
  <c r="F329" l="1"/>
  <c r="E329" s="1"/>
  <c r="G329" s="1"/>
  <c r="C330" s="1"/>
  <c r="D330" s="1"/>
  <c r="F330" l="1"/>
  <c r="E330" s="1"/>
  <c r="G330" s="1"/>
  <c r="C331" s="1"/>
  <c r="D331" s="1"/>
  <c r="F331" l="1"/>
  <c r="E331" s="1"/>
  <c r="G331" s="1"/>
  <c r="C332" s="1"/>
  <c r="D332" s="1"/>
  <c r="F332" l="1"/>
  <c r="E332" s="1"/>
  <c r="G332" s="1"/>
  <c r="C333" s="1"/>
  <c r="D333" s="1"/>
  <c r="F333" l="1"/>
  <c r="E333" s="1"/>
  <c r="G333" s="1"/>
  <c r="C334" s="1"/>
  <c r="D334" s="1"/>
  <c r="F334" l="1"/>
  <c r="E334" s="1"/>
  <c r="G334" s="1"/>
  <c r="C335" s="1"/>
  <c r="D335" s="1"/>
  <c r="F335" l="1"/>
  <c r="E335" s="1"/>
  <c r="G335" s="1"/>
  <c r="C336" s="1"/>
  <c r="D336" s="1"/>
  <c r="F336" l="1"/>
  <c r="E336" s="1"/>
  <c r="G336" s="1"/>
  <c r="C337" s="1"/>
  <c r="D337" s="1"/>
  <c r="F337" l="1"/>
  <c r="E337" s="1"/>
  <c r="G337" s="1"/>
  <c r="C338" s="1"/>
  <c r="D338" s="1"/>
  <c r="F338" l="1"/>
  <c r="E338" s="1"/>
  <c r="G338" s="1"/>
  <c r="C339" s="1"/>
  <c r="D339" s="1"/>
  <c r="F339" l="1"/>
  <c r="E339" s="1"/>
  <c r="G339" s="1"/>
  <c r="C340" s="1"/>
  <c r="D340" s="1"/>
  <c r="F340" l="1"/>
  <c r="E340" s="1"/>
  <c r="G340" s="1"/>
  <c r="C341" s="1"/>
  <c r="D341" s="1"/>
  <c r="F341" l="1"/>
  <c r="E341" s="1"/>
  <c r="G341" s="1"/>
  <c r="C342" s="1"/>
  <c r="D342" s="1"/>
  <c r="F342" l="1"/>
  <c r="E342" s="1"/>
  <c r="G342" s="1"/>
  <c r="C343" s="1"/>
  <c r="D343" s="1"/>
  <c r="F343" l="1"/>
  <c r="E343" s="1"/>
  <c r="G343" s="1"/>
  <c r="C344" s="1"/>
  <c r="D344" s="1"/>
  <c r="F344" l="1"/>
  <c r="E344" s="1"/>
  <c r="G344" s="1"/>
  <c r="C345" s="1"/>
  <c r="D345" s="1"/>
  <c r="F345" l="1"/>
  <c r="E345" s="1"/>
  <c r="G345" s="1"/>
  <c r="C346" s="1"/>
  <c r="D346" s="1"/>
  <c r="F346" l="1"/>
  <c r="E346" s="1"/>
  <c r="G346" s="1"/>
  <c r="C347" s="1"/>
  <c r="D347" s="1"/>
  <c r="F347" l="1"/>
  <c r="E347" s="1"/>
  <c r="G347" s="1"/>
  <c r="C348" s="1"/>
  <c r="D348" s="1"/>
  <c r="F348" l="1"/>
  <c r="E348" s="1"/>
  <c r="G348" s="1"/>
  <c r="C349" s="1"/>
  <c r="D349" s="1"/>
  <c r="F349" l="1"/>
  <c r="E349" s="1"/>
  <c r="G349" s="1"/>
  <c r="C350" s="1"/>
  <c r="F350" s="1"/>
  <c r="D350" l="1"/>
  <c r="E350" s="1"/>
  <c r="G350" s="1"/>
  <c r="C351" s="1"/>
  <c r="F351" s="1"/>
  <c r="D351" l="1"/>
  <c r="E351" s="1"/>
  <c r="G351" s="1"/>
  <c r="C352" s="1"/>
  <c r="F352" s="1"/>
  <c r="D352" l="1"/>
  <c r="E352" s="1"/>
  <c r="G352" s="1"/>
  <c r="C353" s="1"/>
  <c r="F353" s="1"/>
  <c r="D353" l="1"/>
  <c r="E353" s="1"/>
  <c r="G353" s="1"/>
  <c r="C354" s="1"/>
  <c r="F354" s="1"/>
  <c r="D354" l="1"/>
  <c r="E354" s="1"/>
  <c r="G354" s="1"/>
  <c r="C355" s="1"/>
  <c r="F355" s="1"/>
  <c r="D355" l="1"/>
  <c r="E355" s="1"/>
  <c r="G355" s="1"/>
  <c r="C356" s="1"/>
  <c r="F356" s="1"/>
  <c r="D356" l="1"/>
  <c r="E356" s="1"/>
  <c r="G356" s="1"/>
  <c r="C357" s="1"/>
  <c r="F357" s="1"/>
  <c r="D357" l="1"/>
  <c r="E357" s="1"/>
  <c r="G357" s="1"/>
  <c r="C358" s="1"/>
  <c r="F358" s="1"/>
  <c r="D358" l="1"/>
  <c r="E358" s="1"/>
  <c r="G358" s="1"/>
  <c r="C359" s="1"/>
  <c r="F359" s="1"/>
  <c r="D359" l="1"/>
  <c r="E359" s="1"/>
  <c r="G359" s="1"/>
  <c r="C360" s="1"/>
  <c r="F360" s="1"/>
  <c r="D360" l="1"/>
  <c r="E360" s="1"/>
  <c r="G360" s="1"/>
  <c r="C361" s="1"/>
  <c r="F361" s="1"/>
  <c r="D361" l="1"/>
  <c r="E361" s="1"/>
  <c r="G361" s="1"/>
  <c r="C362" s="1"/>
  <c r="F362" s="1"/>
  <c r="D362" l="1"/>
  <c r="E362" s="1"/>
  <c r="G362" s="1"/>
  <c r="C363" s="1"/>
  <c r="F363" s="1"/>
  <c r="D363" l="1"/>
  <c r="E363" s="1"/>
  <c r="G363" s="1"/>
  <c r="C364" s="1"/>
  <c r="F364" s="1"/>
  <c r="D364" l="1"/>
  <c r="E364" s="1"/>
  <c r="G364" s="1"/>
  <c r="C365" s="1"/>
  <c r="F365" s="1"/>
  <c r="D365" l="1"/>
  <c r="E365" s="1"/>
  <c r="G365" s="1"/>
  <c r="C366" s="1"/>
  <c r="F366" s="1"/>
  <c r="D366" l="1"/>
  <c r="E366" s="1"/>
  <c r="G366" s="1"/>
  <c r="C367" s="1"/>
  <c r="F367" s="1"/>
  <c r="D367" l="1"/>
  <c r="E367" s="1"/>
  <c r="G367" s="1"/>
  <c r="C368" s="1"/>
  <c r="F368" s="1"/>
  <c r="D368" l="1"/>
  <c r="E368" s="1"/>
  <c r="G368" s="1"/>
  <c r="C369" s="1"/>
  <c r="F369" s="1"/>
  <c r="D369" l="1"/>
  <c r="E369" s="1"/>
  <c r="G369" s="1"/>
  <c r="C370" s="1"/>
  <c r="F370" s="1"/>
  <c r="D370" l="1"/>
  <c r="E370" s="1"/>
  <c r="G370" s="1"/>
  <c r="C371" s="1"/>
  <c r="F371" l="1"/>
  <c r="D371"/>
  <c r="E371" l="1"/>
  <c r="G371" s="1"/>
  <c r="C372" s="1"/>
  <c r="F372" l="1"/>
  <c r="D372"/>
  <c r="E372" l="1"/>
  <c r="G372" s="1"/>
  <c r="C373" s="1"/>
  <c r="F373" l="1"/>
  <c r="D373"/>
  <c r="E373" l="1"/>
  <c r="G373" s="1"/>
  <c r="C374" s="1"/>
  <c r="F374" l="1"/>
  <c r="D374"/>
  <c r="E374" l="1"/>
  <c r="G374" s="1"/>
  <c r="C375" s="1"/>
  <c r="F375" s="1"/>
  <c r="D375" l="1"/>
  <c r="E375" s="1"/>
  <c r="G375" s="1"/>
  <c r="C376" s="1"/>
  <c r="F376" l="1"/>
  <c r="D376"/>
  <c r="E376" l="1"/>
  <c r="G376" s="1"/>
  <c r="C377" s="1"/>
  <c r="F377" s="1"/>
  <c r="D377" l="1"/>
  <c r="E377" s="1"/>
  <c r="G377" s="1"/>
  <c r="C378" s="1"/>
  <c r="D378" s="1"/>
  <c r="D12" l="1"/>
  <c r="D11"/>
  <c r="D13"/>
  <c r="D16"/>
  <c r="F378"/>
  <c r="E378" s="1"/>
  <c r="G378" s="1"/>
  <c r="D15" l="1"/>
</calcChain>
</file>

<file path=xl/sharedStrings.xml><?xml version="1.0" encoding="utf-8"?>
<sst xmlns="http://schemas.openxmlformats.org/spreadsheetml/2006/main" count="58" uniqueCount="28">
  <si>
    <t>Typ de waarden</t>
  </si>
  <si>
    <t>Instructies</t>
  </si>
  <si>
    <t>Geleend bedrag</t>
  </si>
  <si>
    <t>Looptijd in jaren</t>
  </si>
  <si>
    <t>Begindatum van lening</t>
  </si>
  <si>
    <t>Totaal rentebedrag</t>
  </si>
  <si>
    <t>Nr.</t>
  </si>
  <si>
    <t>Betaald op</t>
  </si>
  <si>
    <t>Rente</t>
  </si>
  <si>
    <t>Eindsaldo</t>
  </si>
  <si>
    <t>Resterend saldo</t>
  </si>
  <si>
    <t>Kapitaal</t>
  </si>
  <si>
    <t>Intrest</t>
  </si>
  <si>
    <t>Aflossing /Maand</t>
  </si>
  <si>
    <t>Jaarlijk rente percentage</t>
  </si>
  <si>
    <t>Maandelijkse rente percentage</t>
  </si>
  <si>
    <t>Jaar</t>
  </si>
  <si>
    <t>Aantal betalingen</t>
  </si>
  <si>
    <t>Totaal afbetaald</t>
  </si>
  <si>
    <t>Start rentepercentage</t>
  </si>
  <si>
    <t>Leningscalculator variabele of vaste rente</t>
  </si>
  <si>
    <t>Variabele rente tabel</t>
  </si>
  <si>
    <t>Maximale maandelijkse betalingen</t>
  </si>
  <si>
    <t>Maximale stijging rentepercentage (cap)</t>
  </si>
  <si>
    <t>Minimale maandelijkse betalingen</t>
  </si>
  <si>
    <r>
      <t xml:space="preserve">De looptijd van de lening moet tussen 1 jaar en 30 jaar liggen. Blauwe vakjes in de variabele rente tabel mag je aanpassen om je lening nog preciezer te maken. De stijging van de rente kan nooit meer zijn dan het dubbele van het rentepercentage bij de aanvang van de lening.
</t>
    </r>
    <r>
      <rPr>
        <b/>
        <sz val="8"/>
        <rFont val="Century Gothic"/>
        <family val="2"/>
      </rPr>
      <t>Snelkoppelingen</t>
    </r>
    <r>
      <rPr>
        <sz val="8"/>
        <color indexed="23"/>
        <rFont val="Century Gothic"/>
        <family val="2"/>
      </rPr>
      <t xml:space="preserve">
Kies 1 van onderstaande leningen of vul de variabele rente tabel manueel in.</t>
    </r>
  </si>
  <si>
    <t>Gemiddelde maandelijkse betalingen</t>
  </si>
  <si>
    <t>Maandelijkse betalingen</t>
  </si>
</sst>
</file>

<file path=xl/styles.xml><?xml version="1.0" encoding="utf-8"?>
<styleSheet xmlns="http://schemas.openxmlformats.org/spreadsheetml/2006/main">
  <numFmts count="6">
    <numFmt numFmtId="164" formatCode="&quot;$&quot;#,##0.00_);\(&quot;$&quot;#,##0.00\)"/>
    <numFmt numFmtId="165" formatCode="_(&quot;$&quot;* #,##0.00_);_(&quot;$&quot;* \(#,##0.00\);_(&quot;$&quot;* &quot;-&quot;??_);_(@_)"/>
    <numFmt numFmtId="166" formatCode="_-[$€-413]\ * #,##0.00_-;_-[$€-413]\ * #,##0.00\-;_-[$€-413]\ * &quot;-&quot;??_-;_-@_-"/>
    <numFmt numFmtId="167" formatCode="m/d/yyyy;@"/>
    <numFmt numFmtId="168" formatCode="d/m/yyyy;@"/>
    <numFmt numFmtId="169" formatCode="0.00000%"/>
  </numFmts>
  <fonts count="11">
    <font>
      <sz val="10"/>
      <name val="Arial"/>
    </font>
    <font>
      <sz val="10"/>
      <name val="Arial"/>
    </font>
    <font>
      <sz val="10"/>
      <name val="Century Gothic"/>
      <family val="2"/>
    </font>
    <font>
      <sz val="16"/>
      <name val="Century Gothic"/>
      <family val="2"/>
    </font>
    <font>
      <sz val="8"/>
      <name val="Century Gothic"/>
      <family val="2"/>
    </font>
    <font>
      <b/>
      <sz val="8"/>
      <name val="Century Gothic"/>
      <family val="2"/>
    </font>
    <font>
      <sz val="8"/>
      <color indexed="23"/>
      <name val="Century Gothic"/>
      <family val="2"/>
    </font>
    <font>
      <sz val="9"/>
      <color indexed="23"/>
      <name val="Century Gothic"/>
      <family val="2"/>
    </font>
    <font>
      <sz val="18"/>
      <name val="Century Gothic"/>
      <family val="2"/>
    </font>
    <font>
      <sz val="11"/>
      <name val="Century Gothic"/>
      <family val="2"/>
    </font>
    <font>
      <sz val="8"/>
      <color theme="0"/>
      <name val="Century Gothic"/>
      <family val="2"/>
    </font>
  </fonts>
  <fills count="7">
    <fill>
      <patternFill patternType="none"/>
    </fill>
    <fill>
      <patternFill patternType="gray125"/>
    </fill>
    <fill>
      <patternFill patternType="solid">
        <fgColor indexed="26"/>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3" tint="0.59999389629810485"/>
        <bgColor indexed="64"/>
      </patternFill>
    </fill>
    <fill>
      <patternFill patternType="solid">
        <fgColor theme="0"/>
        <bgColor indexed="64"/>
      </patternFill>
    </fill>
  </fills>
  <borders count="12">
    <border>
      <left/>
      <right/>
      <top/>
      <bottom/>
      <diagonal/>
    </border>
    <border>
      <left/>
      <right/>
      <top/>
      <bottom style="hair">
        <color indexed="55"/>
      </bottom>
      <diagonal/>
    </border>
    <border>
      <left style="hair">
        <color indexed="55"/>
      </left>
      <right style="hair">
        <color indexed="55"/>
      </right>
      <top style="hair">
        <color indexed="55"/>
      </top>
      <bottom style="hair">
        <color indexed="55"/>
      </bottom>
      <diagonal/>
    </border>
    <border>
      <left/>
      <right style="hair">
        <color indexed="55"/>
      </right>
      <top/>
      <bottom/>
      <diagonal/>
    </border>
    <border>
      <left style="hair">
        <color indexed="64"/>
      </left>
      <right style="hair">
        <color indexed="64"/>
      </right>
      <top style="hair">
        <color indexed="64"/>
      </top>
      <bottom style="hair">
        <color indexed="64"/>
      </bottom>
      <diagonal/>
    </border>
    <border>
      <left style="hair">
        <color indexed="55"/>
      </left>
      <right style="hair">
        <color indexed="55"/>
      </right>
      <top style="hair">
        <color indexed="55"/>
      </top>
      <bottom/>
      <diagonal/>
    </border>
    <border>
      <left/>
      <right/>
      <top/>
      <bottom style="hair">
        <color auto="1"/>
      </bottom>
      <diagonal/>
    </border>
    <border>
      <left style="hair">
        <color indexed="55"/>
      </left>
      <right/>
      <top/>
      <bottom/>
      <diagonal/>
    </border>
    <border>
      <left/>
      <right/>
      <top style="hair">
        <color indexed="55"/>
      </top>
      <bottom/>
      <diagonal/>
    </border>
    <border>
      <left/>
      <right style="hair">
        <color indexed="64"/>
      </right>
      <top/>
      <bottom/>
      <diagonal/>
    </border>
    <border>
      <left style="hair">
        <color indexed="55"/>
      </left>
      <right style="hair">
        <color indexed="55"/>
      </right>
      <top/>
      <bottom style="hair">
        <color indexed="55"/>
      </bottom>
      <diagonal/>
    </border>
    <border>
      <left/>
      <right style="hair">
        <color indexed="64"/>
      </right>
      <top style="hair">
        <color indexed="64"/>
      </top>
      <bottom style="hair">
        <color indexed="64"/>
      </bottom>
      <diagonal/>
    </border>
  </borders>
  <cellStyleXfs count="2">
    <xf numFmtId="0" fontId="0" fillId="0" borderId="0"/>
    <xf numFmtId="165" fontId="1" fillId="0" borderId="0" applyFont="0" applyFill="0" applyBorder="0" applyAlignment="0" applyProtection="0"/>
  </cellStyleXfs>
  <cellXfs count="74">
    <xf numFmtId="0" fontId="0" fillId="0" borderId="0" xfId="0"/>
    <xf numFmtId="0" fontId="2" fillId="0" borderId="1" xfId="0" applyFont="1" applyBorder="1" applyAlignment="1">
      <alignment horizontal="left"/>
    </xf>
    <xf numFmtId="0" fontId="4" fillId="0" borderId="1" xfId="0" applyFont="1" applyBorder="1" applyAlignment="1">
      <alignment horizontal="left"/>
    </xf>
    <xf numFmtId="0" fontId="4" fillId="0" borderId="0" xfId="0" applyFont="1" applyBorder="1" applyAlignment="1">
      <alignment horizontal="left"/>
    </xf>
    <xf numFmtId="0" fontId="2" fillId="0" borderId="0" xfId="0" applyFont="1" applyBorder="1"/>
    <xf numFmtId="0" fontId="5" fillId="0" borderId="0" xfId="0" applyFont="1" applyBorder="1" applyAlignment="1">
      <alignment horizontal="right"/>
    </xf>
    <xf numFmtId="0" fontId="5" fillId="0" borderId="0" xfId="0" applyFont="1" applyBorder="1" applyAlignment="1">
      <alignment horizontal="left"/>
    </xf>
    <xf numFmtId="164" fontId="4" fillId="0" borderId="0" xfId="0" applyNumberFormat="1" applyFont="1" applyFill="1" applyBorder="1" applyAlignment="1">
      <alignment horizontal="left"/>
    </xf>
    <xf numFmtId="0" fontId="4" fillId="0" borderId="0" xfId="0" applyNumberFormat="1" applyFont="1" applyFill="1" applyBorder="1" applyAlignment="1">
      <alignment horizontal="left"/>
    </xf>
    <xf numFmtId="0" fontId="2" fillId="0" borderId="0" xfId="0" applyFont="1" applyBorder="1" applyAlignment="1">
      <alignment wrapText="1"/>
    </xf>
    <xf numFmtId="0" fontId="2" fillId="0" borderId="0" xfId="0" applyFont="1" applyBorder="1" applyAlignment="1">
      <alignment horizontal="center"/>
    </xf>
    <xf numFmtId="167" fontId="0" fillId="0" borderId="0" xfId="0" applyNumberFormat="1"/>
    <xf numFmtId="167" fontId="2" fillId="0" borderId="0" xfId="0" applyNumberFormat="1" applyFont="1" applyBorder="1"/>
    <xf numFmtId="167" fontId="2" fillId="0" borderId="0" xfId="0" applyNumberFormat="1" applyFont="1" applyBorder="1" applyAlignment="1">
      <alignment horizontal="center"/>
    </xf>
    <xf numFmtId="166" fontId="0" fillId="0" borderId="0" xfId="0" applyNumberFormat="1"/>
    <xf numFmtId="166" fontId="2" fillId="0" borderId="0" xfId="0" applyNumberFormat="1" applyFont="1" applyBorder="1"/>
    <xf numFmtId="166" fontId="2" fillId="0" borderId="0" xfId="0" applyNumberFormat="1" applyFont="1" applyBorder="1" applyAlignment="1">
      <alignment horizontal="center"/>
    </xf>
    <xf numFmtId="10" fontId="2" fillId="0" borderId="0" xfId="0" applyNumberFormat="1" applyFont="1" applyBorder="1"/>
    <xf numFmtId="10" fontId="2" fillId="0" borderId="0" xfId="0" applyNumberFormat="1" applyFont="1" applyBorder="1" applyAlignment="1">
      <alignment wrapText="1"/>
    </xf>
    <xf numFmtId="10" fontId="7" fillId="2" borderId="0" xfId="1" applyNumberFormat="1" applyFont="1" applyFill="1" applyBorder="1" applyAlignment="1">
      <alignment horizontal="right"/>
    </xf>
    <xf numFmtId="166" fontId="4" fillId="0" borderId="0" xfId="0" applyNumberFormat="1" applyFont="1" applyFill="1" applyBorder="1" applyAlignment="1"/>
    <xf numFmtId="0" fontId="2" fillId="0" borderId="0" xfId="0" applyNumberFormat="1" applyFont="1" applyBorder="1"/>
    <xf numFmtId="0" fontId="2" fillId="0" borderId="0" xfId="0" applyNumberFormat="1" applyFont="1" applyBorder="1" applyAlignment="1">
      <alignment wrapText="1"/>
    </xf>
    <xf numFmtId="10" fontId="4" fillId="0" borderId="0" xfId="0" applyNumberFormat="1" applyFont="1" applyBorder="1" applyAlignment="1">
      <alignment horizontal="left"/>
    </xf>
    <xf numFmtId="10" fontId="0" fillId="0" borderId="0" xfId="0" applyNumberFormat="1"/>
    <xf numFmtId="10" fontId="2" fillId="0" borderId="0" xfId="0" applyNumberFormat="1" applyFont="1" applyBorder="1" applyAlignment="1">
      <alignment horizontal="center"/>
    </xf>
    <xf numFmtId="14" fontId="4" fillId="0" borderId="0" xfId="0" applyNumberFormat="1" applyFont="1" applyBorder="1" applyAlignment="1">
      <alignment horizontal="left"/>
    </xf>
    <xf numFmtId="0" fontId="5" fillId="0" borderId="1" xfId="0" applyFont="1" applyFill="1" applyBorder="1" applyAlignment="1" applyProtection="1">
      <alignment horizontal="right" wrapText="1"/>
    </xf>
    <xf numFmtId="0" fontId="2" fillId="0" borderId="4" xfId="0" applyNumberFormat="1" applyFont="1" applyBorder="1" applyAlignment="1">
      <alignment horizontal="center" vertical="center"/>
    </xf>
    <xf numFmtId="10" fontId="2" fillId="0" borderId="4" xfId="0" applyNumberFormat="1" applyFont="1" applyBorder="1" applyAlignment="1">
      <alignment horizontal="center" vertical="center"/>
    </xf>
    <xf numFmtId="0" fontId="2" fillId="0" borderId="4" xfId="0" applyNumberFormat="1" applyFont="1" applyBorder="1" applyAlignment="1">
      <alignment horizontal="center"/>
    </xf>
    <xf numFmtId="0" fontId="2" fillId="0" borderId="4" xfId="0" applyNumberFormat="1" applyFont="1" applyBorder="1" applyAlignment="1">
      <alignment horizontal="center" vertical="center"/>
    </xf>
    <xf numFmtId="166" fontId="4" fillId="0" borderId="0" xfId="1" applyNumberFormat="1" applyFont="1" applyFill="1" applyBorder="1" applyAlignment="1"/>
    <xf numFmtId="0" fontId="5" fillId="0" borderId="1" xfId="0" applyFont="1" applyFill="1" applyBorder="1" applyAlignment="1" applyProtection="1">
      <alignment horizontal="center" wrapText="1"/>
    </xf>
    <xf numFmtId="0" fontId="2" fillId="0" borderId="0" xfId="0" applyFont="1" applyBorder="1" applyAlignment="1">
      <alignment horizontal="left"/>
    </xf>
    <xf numFmtId="10" fontId="2" fillId="0" borderId="0" xfId="0" applyNumberFormat="1" applyFont="1" applyBorder="1" applyAlignment="1">
      <alignment horizontal="left"/>
    </xf>
    <xf numFmtId="0" fontId="4" fillId="0" borderId="6" xfId="0" applyFont="1" applyBorder="1" applyAlignment="1">
      <alignment horizontal="left"/>
    </xf>
    <xf numFmtId="0" fontId="4" fillId="0" borderId="0" xfId="0" applyFont="1" applyBorder="1" applyAlignment="1">
      <alignment horizontal="left"/>
    </xf>
    <xf numFmtId="0" fontId="4" fillId="0" borderId="9" xfId="0" applyFont="1" applyBorder="1" applyAlignment="1">
      <alignment horizontal="left"/>
    </xf>
    <xf numFmtId="166" fontId="4" fillId="3" borderId="2" xfId="1" applyNumberFormat="1" applyFont="1" applyFill="1" applyBorder="1" applyAlignment="1"/>
    <xf numFmtId="10" fontId="2" fillId="4" borderId="4" xfId="0" applyNumberFormat="1" applyFont="1" applyFill="1" applyBorder="1" applyAlignment="1" applyProtection="1">
      <alignment horizontal="center"/>
      <protection locked="0"/>
    </xf>
    <xf numFmtId="166" fontId="4" fillId="5" borderId="2" xfId="0" applyNumberFormat="1" applyFont="1" applyFill="1" applyBorder="1" applyAlignment="1" applyProtection="1">
      <protection locked="0"/>
    </xf>
    <xf numFmtId="10" fontId="4" fillId="5" borderId="2" xfId="0" applyNumberFormat="1" applyFont="1" applyFill="1" applyBorder="1" applyAlignment="1" applyProtection="1">
      <alignment horizontal="right"/>
      <protection locked="0"/>
    </xf>
    <xf numFmtId="1" fontId="4" fillId="5" borderId="2" xfId="0" applyNumberFormat="1" applyFont="1" applyFill="1" applyBorder="1" applyAlignment="1" applyProtection="1">
      <alignment horizontal="right"/>
      <protection locked="0"/>
    </xf>
    <xf numFmtId="0" fontId="2" fillId="0" borderId="11" xfId="0" applyNumberFormat="1" applyFont="1" applyBorder="1" applyAlignment="1">
      <alignment horizontal="center"/>
    </xf>
    <xf numFmtId="0" fontId="4" fillId="0" borderId="9" xfId="0" applyNumberFormat="1" applyFont="1" applyBorder="1" applyAlignment="1">
      <alignment horizontal="left"/>
    </xf>
    <xf numFmtId="1" fontId="7" fillId="3" borderId="0" xfId="0" applyNumberFormat="1" applyFont="1" applyFill="1" applyBorder="1" applyAlignment="1">
      <alignment horizontal="right"/>
    </xf>
    <xf numFmtId="167" fontId="7" fillId="3" borderId="0" xfId="0" applyNumberFormat="1" applyFont="1" applyFill="1" applyBorder="1" applyAlignment="1">
      <alignment horizontal="right"/>
    </xf>
    <xf numFmtId="166" fontId="7" fillId="3" borderId="0" xfId="1" applyNumberFormat="1" applyFont="1" applyFill="1" applyBorder="1" applyAlignment="1">
      <alignment horizontal="right"/>
    </xf>
    <xf numFmtId="0" fontId="2" fillId="0" borderId="9" xfId="0" applyFont="1" applyBorder="1" applyAlignment="1">
      <alignment horizontal="left"/>
    </xf>
    <xf numFmtId="166" fontId="7" fillId="3" borderId="8" xfId="1" applyNumberFormat="1" applyFont="1" applyFill="1" applyBorder="1" applyAlignment="1">
      <alignment horizontal="right"/>
    </xf>
    <xf numFmtId="168" fontId="4" fillId="5" borderId="5" xfId="0" applyNumberFormat="1" applyFont="1" applyFill="1" applyBorder="1" applyAlignment="1" applyProtection="1">
      <alignment horizontal="right"/>
      <protection locked="0"/>
    </xf>
    <xf numFmtId="1" fontId="4" fillId="3" borderId="10" xfId="0" applyNumberFormat="1" applyFont="1" applyFill="1" applyBorder="1" applyAlignment="1">
      <alignment horizontal="right"/>
    </xf>
    <xf numFmtId="166" fontId="4" fillId="3" borderId="10" xfId="1" applyNumberFormat="1" applyFont="1" applyFill="1" applyBorder="1" applyAlignment="1"/>
    <xf numFmtId="0" fontId="4" fillId="0" borderId="0" xfId="0" applyFont="1" applyBorder="1" applyAlignment="1">
      <alignment horizontal="left"/>
    </xf>
    <xf numFmtId="166" fontId="4" fillId="4" borderId="2" xfId="1" applyNumberFormat="1" applyFont="1" applyFill="1" applyBorder="1" applyAlignment="1"/>
    <xf numFmtId="10" fontId="2" fillId="5" borderId="4" xfId="0" applyNumberFormat="1" applyFont="1" applyFill="1" applyBorder="1" applyAlignment="1" applyProtection="1">
      <alignment horizontal="center"/>
      <protection locked="0"/>
    </xf>
    <xf numFmtId="10" fontId="4" fillId="0" borderId="1" xfId="0" applyNumberFormat="1" applyFont="1" applyBorder="1" applyAlignment="1">
      <alignment horizontal="right"/>
    </xf>
    <xf numFmtId="169" fontId="4" fillId="0" borderId="0" xfId="0" applyNumberFormat="1" applyFont="1" applyFill="1" applyBorder="1" applyAlignment="1">
      <alignment horizontal="center"/>
    </xf>
    <xf numFmtId="169" fontId="4" fillId="0" borderId="7" xfId="0" applyNumberFormat="1" applyFont="1" applyFill="1" applyBorder="1" applyAlignment="1">
      <alignment horizontal="center"/>
    </xf>
    <xf numFmtId="169" fontId="4" fillId="0" borderId="6" xfId="0" applyNumberFormat="1" applyFont="1" applyBorder="1" applyAlignment="1">
      <alignment horizontal="center"/>
    </xf>
    <xf numFmtId="166" fontId="10" fillId="6" borderId="1" xfId="1" applyNumberFormat="1" applyFont="1" applyFill="1" applyBorder="1" applyAlignment="1"/>
    <xf numFmtId="166" fontId="10" fillId="6" borderId="0" xfId="1" applyNumberFormat="1" applyFont="1" applyFill="1" applyBorder="1" applyAlignment="1"/>
    <xf numFmtId="0" fontId="4" fillId="0" borderId="0" xfId="0" applyFont="1" applyBorder="1" applyAlignment="1">
      <alignment horizontal="left"/>
    </xf>
    <xf numFmtId="0" fontId="4" fillId="0" borderId="3" xfId="0" applyFont="1" applyBorder="1" applyAlignment="1">
      <alignment horizontal="left"/>
    </xf>
    <xf numFmtId="0" fontId="4" fillId="6" borderId="0" xfId="0" applyFont="1" applyFill="1" applyBorder="1" applyAlignment="1">
      <alignment horizontal="left"/>
    </xf>
    <xf numFmtId="0" fontId="9" fillId="0" borderId="4" xfId="0" applyNumberFormat="1" applyFont="1" applyBorder="1" applyAlignment="1">
      <alignment horizontal="center" vertical="center" wrapText="1"/>
    </xf>
    <xf numFmtId="0" fontId="9" fillId="0" borderId="4" xfId="0" applyNumberFormat="1" applyFont="1" applyBorder="1" applyAlignment="1">
      <alignment horizontal="center" vertical="center"/>
    </xf>
    <xf numFmtId="0" fontId="3" fillId="0" borderId="0" xfId="0" applyFont="1" applyBorder="1" applyAlignment="1">
      <alignment horizontal="left"/>
    </xf>
    <xf numFmtId="0" fontId="8" fillId="0" borderId="0" xfId="0" applyFont="1" applyBorder="1" applyAlignment="1">
      <alignment horizontal="left"/>
    </xf>
    <xf numFmtId="0" fontId="8" fillId="0" borderId="9" xfId="0" applyFont="1" applyBorder="1" applyAlignment="1">
      <alignment horizontal="left"/>
    </xf>
    <xf numFmtId="164" fontId="6" fillId="0" borderId="0" xfId="0" applyNumberFormat="1" applyFont="1" applyFill="1" applyBorder="1" applyAlignment="1">
      <alignment horizontal="left" vertical="top" wrapText="1"/>
    </xf>
    <xf numFmtId="164" fontId="6" fillId="0" borderId="9" xfId="0" applyNumberFormat="1" applyFont="1" applyFill="1" applyBorder="1" applyAlignment="1">
      <alignment horizontal="left" vertical="top" wrapText="1"/>
    </xf>
    <xf numFmtId="0" fontId="10" fillId="6" borderId="0" xfId="0" applyFont="1" applyFill="1" applyBorder="1" applyAlignment="1">
      <alignment horizontal="left"/>
    </xf>
  </cellXfs>
  <cellStyles count="2">
    <cellStyle name="Standaard" xfId="0" builtinId="0"/>
    <cellStyle name="Valuta" xfId="1" builtinId="4"/>
  </cellStyles>
  <dxfs count="4">
    <dxf>
      <border>
        <left/>
        <right/>
        <top/>
        <bottom style="thin">
          <color indexed="22"/>
        </bottom>
      </border>
    </dxf>
    <dxf>
      <font>
        <condense val="0"/>
        <extend val="0"/>
        <color indexed="9"/>
      </font>
      <fill>
        <patternFill patternType="none">
          <bgColor indexed="65"/>
        </patternFill>
      </fill>
    </dxf>
    <dxf>
      <border>
        <left/>
        <right/>
        <top/>
        <bottom style="thin">
          <color indexed="22"/>
        </bottom>
      </border>
    </dxf>
    <dxf>
      <font>
        <condense val="0"/>
        <extend val="0"/>
        <color indexed="9"/>
      </font>
      <fill>
        <patternFill patternType="none">
          <bgColor indexed="6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EAEAEA"/>
      <rgbColor rgb="00CCFFFF"/>
      <rgbColor rgb="00660066"/>
      <rgbColor rgb="00FF8080"/>
      <rgbColor rgb="000066CC"/>
      <rgbColor rgb="00CCCCFF"/>
      <rgbColor rgb="00000080"/>
      <rgbColor rgb="00FF00FF"/>
      <rgbColor rgb="00FFFF00"/>
      <rgbColor rgb="0000FFFF"/>
      <rgbColor rgb="00800080"/>
      <rgbColor rgb="00FFE1E2"/>
      <rgbColor rgb="00FDF1DF"/>
      <rgbColor rgb="00FFCC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CC"/>
    </mruColors>
  </colors>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renteopdevoet.be/"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renteopdevoet.be/" TargetMode="External"/></Relationships>
</file>

<file path=xl/drawings/drawing1.xml><?xml version="1.0" encoding="utf-8"?>
<xdr:wsDr xmlns:xdr="http://schemas.openxmlformats.org/drawingml/2006/spreadsheetDrawing" xmlns:a="http://schemas.openxmlformats.org/drawingml/2006/main">
  <xdr:twoCellAnchor>
    <xdr:from>
      <xdr:col>6</xdr:col>
      <xdr:colOff>57150</xdr:colOff>
      <xdr:row>8</xdr:row>
      <xdr:rowOff>142875</xdr:rowOff>
    </xdr:from>
    <xdr:to>
      <xdr:col>9</xdr:col>
      <xdr:colOff>571500</xdr:colOff>
      <xdr:row>10</xdr:row>
      <xdr:rowOff>19050</xdr:rowOff>
    </xdr:to>
    <xdr:sp macro="[0]!Constant_case" textlink="">
      <xdr:nvSpPr>
        <xdr:cNvPr id="2" name="Rond diagonale hoek rechthoek 1"/>
        <xdr:cNvSpPr/>
      </xdr:nvSpPr>
      <xdr:spPr>
        <a:xfrm>
          <a:off x="4772025" y="1819275"/>
          <a:ext cx="1638300" cy="238125"/>
        </a:xfrm>
        <a:prstGeom prst="round2DiagRect">
          <a:avLst/>
        </a:prstGeom>
        <a:solidFill>
          <a:srgbClr val="32CD32"/>
        </a:solidFill>
      </xdr:spPr>
      <xdr:style>
        <a:lnRef idx="3">
          <a:schemeClr val="lt1"/>
        </a:lnRef>
        <a:fillRef idx="1">
          <a:schemeClr val="accent3"/>
        </a:fillRef>
        <a:effectRef idx="1">
          <a:schemeClr val="accent3"/>
        </a:effectRef>
        <a:fontRef idx="minor">
          <a:schemeClr val="lt1"/>
        </a:fontRef>
      </xdr:style>
      <xdr:txBody>
        <a:bodyPr vertOverflow="clip" rtlCol="0" anchor="ctr"/>
        <a:lstStyle/>
        <a:p>
          <a:pPr algn="ctr"/>
          <a:r>
            <a:rPr lang="nl-BE" sz="1100"/>
            <a:t>Constant </a:t>
          </a:r>
          <a:r>
            <a:rPr lang="nl-BE" sz="1100" baseline="0"/>
            <a:t> case</a:t>
          </a:r>
          <a:endParaRPr lang="nl-BE" sz="1100"/>
        </a:p>
      </xdr:txBody>
    </xdr:sp>
    <xdr:clientData/>
  </xdr:twoCellAnchor>
  <xdr:twoCellAnchor>
    <xdr:from>
      <xdr:col>6</xdr:col>
      <xdr:colOff>57150</xdr:colOff>
      <xdr:row>10</xdr:row>
      <xdr:rowOff>85725</xdr:rowOff>
    </xdr:from>
    <xdr:to>
      <xdr:col>9</xdr:col>
      <xdr:colOff>571500</xdr:colOff>
      <xdr:row>11</xdr:row>
      <xdr:rowOff>142875</xdr:rowOff>
    </xdr:to>
    <xdr:sp macro="[0]!Worst_case_1_1_1" textlink="">
      <xdr:nvSpPr>
        <xdr:cNvPr id="3" name="Rond diagonale hoek rechthoek 2"/>
        <xdr:cNvSpPr/>
      </xdr:nvSpPr>
      <xdr:spPr>
        <a:xfrm>
          <a:off x="4772025" y="2124075"/>
          <a:ext cx="1638300" cy="238125"/>
        </a:xfrm>
        <a:prstGeom prst="round2DiagRect">
          <a:avLst/>
        </a:prstGeom>
        <a:solidFill>
          <a:srgbClr val="FF0000"/>
        </a:solidFill>
      </xdr:spPr>
      <xdr:style>
        <a:lnRef idx="3">
          <a:schemeClr val="lt1"/>
        </a:lnRef>
        <a:fillRef idx="1">
          <a:schemeClr val="accent3"/>
        </a:fillRef>
        <a:effectRef idx="1">
          <a:schemeClr val="accent3"/>
        </a:effectRef>
        <a:fontRef idx="minor">
          <a:schemeClr val="lt1"/>
        </a:fontRef>
      </xdr:style>
      <xdr:txBody>
        <a:bodyPr vertOverflow="clip" rtlCol="0" anchor="ctr"/>
        <a:lstStyle/>
        <a:p>
          <a:pPr algn="ctr"/>
          <a:r>
            <a:rPr lang="nl-BE" sz="1100"/>
            <a:t>Worst</a:t>
          </a:r>
          <a:r>
            <a:rPr lang="nl-BE" sz="1100" baseline="0"/>
            <a:t> case 1/1/1</a:t>
          </a:r>
          <a:endParaRPr lang="nl-BE" sz="1100"/>
        </a:p>
      </xdr:txBody>
    </xdr:sp>
    <xdr:clientData/>
  </xdr:twoCellAnchor>
  <xdr:twoCellAnchor>
    <xdr:from>
      <xdr:col>6</xdr:col>
      <xdr:colOff>57150</xdr:colOff>
      <xdr:row>12</xdr:row>
      <xdr:rowOff>28575</xdr:rowOff>
    </xdr:from>
    <xdr:to>
      <xdr:col>9</xdr:col>
      <xdr:colOff>571500</xdr:colOff>
      <xdr:row>13</xdr:row>
      <xdr:rowOff>85725</xdr:rowOff>
    </xdr:to>
    <xdr:sp macro="[0]!Worst_case_3_3_3" textlink="">
      <xdr:nvSpPr>
        <xdr:cNvPr id="4" name="Rond diagonale hoek rechthoek 3"/>
        <xdr:cNvSpPr/>
      </xdr:nvSpPr>
      <xdr:spPr>
        <a:xfrm>
          <a:off x="4772025" y="2428875"/>
          <a:ext cx="1638300" cy="238125"/>
        </a:xfrm>
        <a:prstGeom prst="round2DiagRect">
          <a:avLst/>
        </a:prstGeom>
        <a:solidFill>
          <a:srgbClr val="32CD32"/>
        </a:solidFill>
      </xdr:spPr>
      <xdr:style>
        <a:lnRef idx="3">
          <a:schemeClr val="lt1"/>
        </a:lnRef>
        <a:fillRef idx="1">
          <a:schemeClr val="accent3"/>
        </a:fillRef>
        <a:effectRef idx="1">
          <a:schemeClr val="accent3"/>
        </a:effectRef>
        <a:fontRef idx="minor">
          <a:schemeClr val="lt1"/>
        </a:fontRef>
      </xdr:style>
      <xdr:txBody>
        <a:bodyPr vertOverflow="clip" rtlCol="0" anchor="ctr"/>
        <a:lstStyle/>
        <a:p>
          <a:pPr algn="ctr"/>
          <a:r>
            <a:rPr lang="nl-BE" sz="1100"/>
            <a:t>Worst</a:t>
          </a:r>
          <a:r>
            <a:rPr lang="nl-BE" sz="1100" baseline="0"/>
            <a:t> case 3/3/3</a:t>
          </a:r>
          <a:endParaRPr lang="nl-BE" sz="1100"/>
        </a:p>
      </xdr:txBody>
    </xdr:sp>
    <xdr:clientData/>
  </xdr:twoCellAnchor>
  <xdr:twoCellAnchor>
    <xdr:from>
      <xdr:col>6</xdr:col>
      <xdr:colOff>57150</xdr:colOff>
      <xdr:row>15</xdr:row>
      <xdr:rowOff>66675</xdr:rowOff>
    </xdr:from>
    <xdr:to>
      <xdr:col>9</xdr:col>
      <xdr:colOff>571500</xdr:colOff>
      <xdr:row>16</xdr:row>
      <xdr:rowOff>104775</xdr:rowOff>
    </xdr:to>
    <xdr:sp macro="[0]!Vaste_rentevoet" textlink="">
      <xdr:nvSpPr>
        <xdr:cNvPr id="5" name="Rond diagonale hoek rechthoek 4"/>
        <xdr:cNvSpPr/>
      </xdr:nvSpPr>
      <xdr:spPr>
        <a:xfrm>
          <a:off x="4772025" y="3028950"/>
          <a:ext cx="1638300" cy="238125"/>
        </a:xfrm>
        <a:prstGeom prst="round2DiagRect">
          <a:avLst/>
        </a:prstGeom>
        <a:solidFill>
          <a:srgbClr val="32CD32"/>
        </a:solidFill>
      </xdr:spPr>
      <xdr:style>
        <a:lnRef idx="3">
          <a:schemeClr val="lt1"/>
        </a:lnRef>
        <a:fillRef idx="1">
          <a:schemeClr val="accent3"/>
        </a:fillRef>
        <a:effectRef idx="1">
          <a:schemeClr val="accent3"/>
        </a:effectRef>
        <a:fontRef idx="minor">
          <a:schemeClr val="lt1"/>
        </a:fontRef>
      </xdr:style>
      <xdr:txBody>
        <a:bodyPr vertOverflow="clip" rtlCol="0" anchor="ctr"/>
        <a:lstStyle/>
        <a:p>
          <a:pPr algn="ctr"/>
          <a:r>
            <a:rPr lang="nl-BE" sz="1100"/>
            <a:t>Vaste rentevoet</a:t>
          </a:r>
        </a:p>
      </xdr:txBody>
    </xdr:sp>
    <xdr:clientData/>
  </xdr:twoCellAnchor>
  <xdr:twoCellAnchor editAs="oneCell">
    <xdr:from>
      <xdr:col>5</xdr:col>
      <xdr:colOff>733426</xdr:colOff>
      <xdr:row>0</xdr:row>
      <xdr:rowOff>9524</xdr:rowOff>
    </xdr:from>
    <xdr:to>
      <xdr:col>9</xdr:col>
      <xdr:colOff>2524125</xdr:colOff>
      <xdr:row>1</xdr:row>
      <xdr:rowOff>161039</xdr:rowOff>
    </xdr:to>
    <xdr:pic>
      <xdr:nvPicPr>
        <xdr:cNvPr id="6" name="Afbeelding 5" descr="header.gif">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4676776" y="9524"/>
          <a:ext cx="3686174" cy="570615"/>
        </a:xfrm>
        <a:prstGeom prst="rect">
          <a:avLst/>
        </a:prstGeom>
        <a:solidFill>
          <a:srgbClr val="32CD32"/>
        </a:solidFill>
      </xdr:spPr>
    </xdr:pic>
    <xdr:clientData/>
  </xdr:twoCellAnchor>
  <xdr:twoCellAnchor>
    <xdr:from>
      <xdr:col>6</xdr:col>
      <xdr:colOff>57150</xdr:colOff>
      <xdr:row>13</xdr:row>
      <xdr:rowOff>152400</xdr:rowOff>
    </xdr:from>
    <xdr:to>
      <xdr:col>9</xdr:col>
      <xdr:colOff>571500</xdr:colOff>
      <xdr:row>15</xdr:row>
      <xdr:rowOff>9525</xdr:rowOff>
    </xdr:to>
    <xdr:sp macro="[0]!Worst_case_5_5_5" textlink="">
      <xdr:nvSpPr>
        <xdr:cNvPr id="7" name="Rond diagonale hoek rechthoek 6"/>
        <xdr:cNvSpPr/>
      </xdr:nvSpPr>
      <xdr:spPr>
        <a:xfrm>
          <a:off x="4772025" y="2733675"/>
          <a:ext cx="1638300" cy="238125"/>
        </a:xfrm>
        <a:prstGeom prst="round2DiagRect">
          <a:avLst/>
        </a:prstGeom>
        <a:solidFill>
          <a:srgbClr val="32CD32"/>
        </a:solidFill>
      </xdr:spPr>
      <xdr:style>
        <a:lnRef idx="3">
          <a:schemeClr val="lt1"/>
        </a:lnRef>
        <a:fillRef idx="1">
          <a:schemeClr val="accent3"/>
        </a:fillRef>
        <a:effectRef idx="1">
          <a:schemeClr val="accent3"/>
        </a:effectRef>
        <a:fontRef idx="minor">
          <a:schemeClr val="lt1"/>
        </a:fontRef>
      </xdr:style>
      <xdr:txBody>
        <a:bodyPr vertOverflow="clip" rtlCol="0" anchor="ctr"/>
        <a:lstStyle/>
        <a:p>
          <a:pPr algn="ctr"/>
          <a:r>
            <a:rPr lang="nl-BE" sz="1100"/>
            <a:t>Worst</a:t>
          </a:r>
          <a:r>
            <a:rPr lang="nl-BE" sz="1100" baseline="0"/>
            <a:t> case 5/5/5 </a:t>
          </a:r>
          <a:endParaRPr lang="nl-BE" sz="1100"/>
        </a:p>
      </xdr:txBody>
    </xdr:sp>
    <xdr:clientData/>
  </xdr:twoCellAnchor>
  <xdr:twoCellAnchor>
    <xdr:from>
      <xdr:col>9</xdr:col>
      <xdr:colOff>638175</xdr:colOff>
      <xdr:row>12</xdr:row>
      <xdr:rowOff>28575</xdr:rowOff>
    </xdr:from>
    <xdr:to>
      <xdr:col>9</xdr:col>
      <xdr:colOff>2276475</xdr:colOff>
      <xdr:row>13</xdr:row>
      <xdr:rowOff>85725</xdr:rowOff>
    </xdr:to>
    <xdr:sp macro="[0]!Worst_case_10_5_5" textlink="">
      <xdr:nvSpPr>
        <xdr:cNvPr id="8" name="Rond diagonale hoek rechthoek 7"/>
        <xdr:cNvSpPr/>
      </xdr:nvSpPr>
      <xdr:spPr>
        <a:xfrm>
          <a:off x="6477000" y="2428875"/>
          <a:ext cx="1638300" cy="238125"/>
        </a:xfrm>
        <a:prstGeom prst="round2DiagRect">
          <a:avLst/>
        </a:prstGeom>
        <a:solidFill>
          <a:srgbClr val="32CD32"/>
        </a:solidFill>
      </xdr:spPr>
      <xdr:style>
        <a:lnRef idx="3">
          <a:schemeClr val="lt1"/>
        </a:lnRef>
        <a:fillRef idx="1">
          <a:schemeClr val="accent3"/>
        </a:fillRef>
        <a:effectRef idx="1">
          <a:schemeClr val="accent3"/>
        </a:effectRef>
        <a:fontRef idx="minor">
          <a:schemeClr val="lt1"/>
        </a:fontRef>
      </xdr:style>
      <xdr:txBody>
        <a:bodyPr vertOverflow="clip" rtlCol="0" anchor="ctr"/>
        <a:lstStyle/>
        <a:p>
          <a:pPr algn="ctr"/>
          <a:r>
            <a:rPr lang="nl-BE" sz="1100"/>
            <a:t>Worst</a:t>
          </a:r>
          <a:r>
            <a:rPr lang="nl-BE" sz="1100" baseline="0"/>
            <a:t> case 10/5/5</a:t>
          </a:r>
          <a:endParaRPr lang="nl-BE" sz="1100"/>
        </a:p>
      </xdr:txBody>
    </xdr:sp>
    <xdr:clientData/>
  </xdr:twoCellAnchor>
  <xdr:twoCellAnchor>
    <xdr:from>
      <xdr:col>9</xdr:col>
      <xdr:colOff>638175</xdr:colOff>
      <xdr:row>13</xdr:row>
      <xdr:rowOff>152400</xdr:rowOff>
    </xdr:from>
    <xdr:to>
      <xdr:col>9</xdr:col>
      <xdr:colOff>2276475</xdr:colOff>
      <xdr:row>15</xdr:row>
      <xdr:rowOff>9525</xdr:rowOff>
    </xdr:to>
    <xdr:sp macro="[0]!Worst_case_15_5_5" textlink="">
      <xdr:nvSpPr>
        <xdr:cNvPr id="9" name="Rond diagonale hoek rechthoek 8"/>
        <xdr:cNvSpPr/>
      </xdr:nvSpPr>
      <xdr:spPr>
        <a:xfrm>
          <a:off x="6477000" y="2733675"/>
          <a:ext cx="1638300" cy="238125"/>
        </a:xfrm>
        <a:prstGeom prst="round2DiagRect">
          <a:avLst/>
        </a:prstGeom>
        <a:solidFill>
          <a:srgbClr val="32CD32"/>
        </a:solidFill>
      </xdr:spPr>
      <xdr:style>
        <a:lnRef idx="3">
          <a:schemeClr val="lt1"/>
        </a:lnRef>
        <a:fillRef idx="1">
          <a:schemeClr val="accent3"/>
        </a:fillRef>
        <a:effectRef idx="1">
          <a:schemeClr val="accent3"/>
        </a:effectRef>
        <a:fontRef idx="minor">
          <a:schemeClr val="lt1"/>
        </a:fontRef>
      </xdr:style>
      <xdr:txBody>
        <a:bodyPr vertOverflow="clip" rtlCol="0" anchor="ctr"/>
        <a:lstStyle/>
        <a:p>
          <a:pPr algn="ctr"/>
          <a:r>
            <a:rPr lang="nl-BE" sz="1100"/>
            <a:t>Worst</a:t>
          </a:r>
          <a:r>
            <a:rPr lang="nl-BE" sz="1100" baseline="0"/>
            <a:t> case 15/5/5</a:t>
          </a:r>
          <a:endParaRPr lang="nl-BE" sz="1100"/>
        </a:p>
      </xdr:txBody>
    </xdr:sp>
    <xdr:clientData/>
  </xdr:twoCellAnchor>
  <xdr:twoCellAnchor>
    <xdr:from>
      <xdr:col>9</xdr:col>
      <xdr:colOff>638175</xdr:colOff>
      <xdr:row>15</xdr:row>
      <xdr:rowOff>66675</xdr:rowOff>
    </xdr:from>
    <xdr:to>
      <xdr:col>9</xdr:col>
      <xdr:colOff>2276475</xdr:colOff>
      <xdr:row>16</xdr:row>
      <xdr:rowOff>104775</xdr:rowOff>
    </xdr:to>
    <xdr:sp macro="[0]!Worst_case_20_5_5" textlink="">
      <xdr:nvSpPr>
        <xdr:cNvPr id="10" name="Rond diagonale hoek rechthoek 9"/>
        <xdr:cNvSpPr/>
      </xdr:nvSpPr>
      <xdr:spPr>
        <a:xfrm>
          <a:off x="6477000" y="3028950"/>
          <a:ext cx="1638300" cy="238125"/>
        </a:xfrm>
        <a:prstGeom prst="round2DiagRect">
          <a:avLst/>
        </a:prstGeom>
        <a:solidFill>
          <a:srgbClr val="32CD32"/>
        </a:solidFill>
      </xdr:spPr>
      <xdr:style>
        <a:lnRef idx="3">
          <a:schemeClr val="lt1"/>
        </a:lnRef>
        <a:fillRef idx="1">
          <a:schemeClr val="accent3"/>
        </a:fillRef>
        <a:effectRef idx="1">
          <a:schemeClr val="accent3"/>
        </a:effectRef>
        <a:fontRef idx="minor">
          <a:schemeClr val="lt1"/>
        </a:fontRef>
      </xdr:style>
      <xdr:txBody>
        <a:bodyPr vertOverflow="clip" rtlCol="0" anchor="ctr"/>
        <a:lstStyle/>
        <a:p>
          <a:pPr algn="ctr"/>
          <a:r>
            <a:rPr lang="nl-BE" sz="1100"/>
            <a:t>Worst</a:t>
          </a:r>
          <a:r>
            <a:rPr lang="nl-BE" sz="1100" baseline="0"/>
            <a:t> case 20/5/5</a:t>
          </a:r>
          <a:endParaRPr lang="nl-BE" sz="1100"/>
        </a:p>
      </xdr:txBody>
    </xdr:sp>
    <xdr:clientData/>
  </xdr:twoCellAnchor>
  <xdr:twoCellAnchor>
    <xdr:from>
      <xdr:col>9</xdr:col>
      <xdr:colOff>638175</xdr:colOff>
      <xdr:row>10</xdr:row>
      <xdr:rowOff>85725</xdr:rowOff>
    </xdr:from>
    <xdr:to>
      <xdr:col>9</xdr:col>
      <xdr:colOff>2276475</xdr:colOff>
      <xdr:row>11</xdr:row>
      <xdr:rowOff>142875</xdr:rowOff>
    </xdr:to>
    <xdr:sp macro="[0]!Worst_case_9_3_3" textlink="">
      <xdr:nvSpPr>
        <xdr:cNvPr id="11" name="Rond diagonale hoek rechthoek 10"/>
        <xdr:cNvSpPr/>
      </xdr:nvSpPr>
      <xdr:spPr>
        <a:xfrm>
          <a:off x="6477000" y="2124075"/>
          <a:ext cx="1638300" cy="238125"/>
        </a:xfrm>
        <a:prstGeom prst="round2DiagRect">
          <a:avLst/>
        </a:prstGeom>
        <a:solidFill>
          <a:srgbClr val="32CD32"/>
        </a:solidFill>
      </xdr:spPr>
      <xdr:style>
        <a:lnRef idx="3">
          <a:schemeClr val="lt1"/>
        </a:lnRef>
        <a:fillRef idx="1">
          <a:schemeClr val="accent3"/>
        </a:fillRef>
        <a:effectRef idx="1">
          <a:schemeClr val="accent3"/>
        </a:effectRef>
        <a:fontRef idx="minor">
          <a:schemeClr val="lt1"/>
        </a:fontRef>
      </xdr:style>
      <xdr:txBody>
        <a:bodyPr vertOverflow="clip" rtlCol="0" anchor="ctr"/>
        <a:lstStyle/>
        <a:p>
          <a:pPr algn="ctr"/>
          <a:r>
            <a:rPr lang="nl-BE" sz="1100"/>
            <a:t>Worst</a:t>
          </a:r>
          <a:r>
            <a:rPr lang="nl-BE" sz="1100" baseline="0"/>
            <a:t> case 9/3/3</a:t>
          </a:r>
          <a:endParaRPr lang="nl-BE" sz="1100"/>
        </a:p>
      </xdr:txBody>
    </xdr:sp>
    <xdr:clientData/>
  </xdr:twoCellAnchor>
  <xdr:twoCellAnchor>
    <xdr:from>
      <xdr:col>9</xdr:col>
      <xdr:colOff>638175</xdr:colOff>
      <xdr:row>8</xdr:row>
      <xdr:rowOff>142875</xdr:rowOff>
    </xdr:from>
    <xdr:to>
      <xdr:col>9</xdr:col>
      <xdr:colOff>2276475</xdr:colOff>
      <xdr:row>10</xdr:row>
      <xdr:rowOff>19050</xdr:rowOff>
    </xdr:to>
    <xdr:sp macro="[0]!Worst_case_8_3_3" textlink="">
      <xdr:nvSpPr>
        <xdr:cNvPr id="12" name="Rond diagonale hoek rechthoek 11"/>
        <xdr:cNvSpPr/>
      </xdr:nvSpPr>
      <xdr:spPr>
        <a:xfrm>
          <a:off x="6477000" y="1819275"/>
          <a:ext cx="1638300" cy="238125"/>
        </a:xfrm>
        <a:prstGeom prst="round2DiagRect">
          <a:avLst/>
        </a:prstGeom>
        <a:solidFill>
          <a:srgbClr val="32CD32"/>
        </a:solidFill>
      </xdr:spPr>
      <xdr:style>
        <a:lnRef idx="3">
          <a:schemeClr val="lt1"/>
        </a:lnRef>
        <a:fillRef idx="1">
          <a:schemeClr val="accent3"/>
        </a:fillRef>
        <a:effectRef idx="1">
          <a:schemeClr val="accent3"/>
        </a:effectRef>
        <a:fontRef idx="minor">
          <a:schemeClr val="lt1"/>
        </a:fontRef>
      </xdr:style>
      <xdr:txBody>
        <a:bodyPr vertOverflow="clip" rtlCol="0" anchor="ctr"/>
        <a:lstStyle/>
        <a:p>
          <a:pPr algn="ctr"/>
          <a:r>
            <a:rPr lang="nl-BE" sz="1100"/>
            <a:t>Worst</a:t>
          </a:r>
          <a:r>
            <a:rPr lang="nl-BE" sz="1100" baseline="0"/>
            <a:t> case 8/3/3</a:t>
          </a:r>
          <a:endParaRPr lang="nl-BE"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57150</xdr:colOff>
      <xdr:row>8</xdr:row>
      <xdr:rowOff>142875</xdr:rowOff>
    </xdr:from>
    <xdr:to>
      <xdr:col>9</xdr:col>
      <xdr:colOff>571500</xdr:colOff>
      <xdr:row>10</xdr:row>
      <xdr:rowOff>19050</xdr:rowOff>
    </xdr:to>
    <xdr:sp macro="[0]!Constant_case" textlink="">
      <xdr:nvSpPr>
        <xdr:cNvPr id="2" name="Rond diagonale hoek rechthoek 1"/>
        <xdr:cNvSpPr/>
      </xdr:nvSpPr>
      <xdr:spPr>
        <a:xfrm>
          <a:off x="4772025" y="1819275"/>
          <a:ext cx="1638300" cy="238125"/>
        </a:xfrm>
        <a:prstGeom prst="round2DiagRect">
          <a:avLst/>
        </a:prstGeom>
        <a:solidFill>
          <a:srgbClr val="32CD32"/>
        </a:solidFill>
      </xdr:spPr>
      <xdr:style>
        <a:lnRef idx="3">
          <a:schemeClr val="lt1"/>
        </a:lnRef>
        <a:fillRef idx="1">
          <a:schemeClr val="accent3"/>
        </a:fillRef>
        <a:effectRef idx="1">
          <a:schemeClr val="accent3"/>
        </a:effectRef>
        <a:fontRef idx="minor">
          <a:schemeClr val="lt1"/>
        </a:fontRef>
      </xdr:style>
      <xdr:txBody>
        <a:bodyPr vertOverflow="clip" rtlCol="0" anchor="ctr"/>
        <a:lstStyle/>
        <a:p>
          <a:pPr algn="ctr"/>
          <a:r>
            <a:rPr lang="nl-BE" sz="1100"/>
            <a:t>Constant </a:t>
          </a:r>
          <a:r>
            <a:rPr lang="nl-BE" sz="1100" baseline="0"/>
            <a:t> case</a:t>
          </a:r>
          <a:endParaRPr lang="nl-BE" sz="1100"/>
        </a:p>
      </xdr:txBody>
    </xdr:sp>
    <xdr:clientData/>
  </xdr:twoCellAnchor>
  <xdr:twoCellAnchor>
    <xdr:from>
      <xdr:col>6</xdr:col>
      <xdr:colOff>57150</xdr:colOff>
      <xdr:row>10</xdr:row>
      <xdr:rowOff>85725</xdr:rowOff>
    </xdr:from>
    <xdr:to>
      <xdr:col>9</xdr:col>
      <xdr:colOff>571500</xdr:colOff>
      <xdr:row>11</xdr:row>
      <xdr:rowOff>142875</xdr:rowOff>
    </xdr:to>
    <xdr:sp macro="[0]!Worst_case_1_1_1" textlink="">
      <xdr:nvSpPr>
        <xdr:cNvPr id="3" name="Rond diagonale hoek rechthoek 2"/>
        <xdr:cNvSpPr/>
      </xdr:nvSpPr>
      <xdr:spPr>
        <a:xfrm>
          <a:off x="4772025" y="2124075"/>
          <a:ext cx="1638300" cy="238125"/>
        </a:xfrm>
        <a:prstGeom prst="round2DiagRect">
          <a:avLst/>
        </a:prstGeom>
        <a:solidFill>
          <a:srgbClr val="32CD32"/>
        </a:solidFill>
      </xdr:spPr>
      <xdr:style>
        <a:lnRef idx="3">
          <a:schemeClr val="lt1"/>
        </a:lnRef>
        <a:fillRef idx="1">
          <a:schemeClr val="accent3"/>
        </a:fillRef>
        <a:effectRef idx="1">
          <a:schemeClr val="accent3"/>
        </a:effectRef>
        <a:fontRef idx="minor">
          <a:schemeClr val="lt1"/>
        </a:fontRef>
      </xdr:style>
      <xdr:txBody>
        <a:bodyPr vertOverflow="clip" rtlCol="0" anchor="ctr"/>
        <a:lstStyle/>
        <a:p>
          <a:pPr algn="ctr"/>
          <a:r>
            <a:rPr lang="nl-BE" sz="1100"/>
            <a:t>Worst</a:t>
          </a:r>
          <a:r>
            <a:rPr lang="nl-BE" sz="1100" baseline="0"/>
            <a:t> case 1/1/1</a:t>
          </a:r>
          <a:endParaRPr lang="nl-BE" sz="1100"/>
        </a:p>
      </xdr:txBody>
    </xdr:sp>
    <xdr:clientData/>
  </xdr:twoCellAnchor>
  <xdr:twoCellAnchor>
    <xdr:from>
      <xdr:col>6</xdr:col>
      <xdr:colOff>57150</xdr:colOff>
      <xdr:row>12</xdr:row>
      <xdr:rowOff>28575</xdr:rowOff>
    </xdr:from>
    <xdr:to>
      <xdr:col>9</xdr:col>
      <xdr:colOff>571500</xdr:colOff>
      <xdr:row>13</xdr:row>
      <xdr:rowOff>85725</xdr:rowOff>
    </xdr:to>
    <xdr:sp macro="[0]!Worst_case_3_3_3" textlink="">
      <xdr:nvSpPr>
        <xdr:cNvPr id="4" name="Rond diagonale hoek rechthoek 3"/>
        <xdr:cNvSpPr/>
      </xdr:nvSpPr>
      <xdr:spPr>
        <a:xfrm>
          <a:off x="4772025" y="2428875"/>
          <a:ext cx="1638300" cy="238125"/>
        </a:xfrm>
        <a:prstGeom prst="round2DiagRect">
          <a:avLst/>
        </a:prstGeom>
        <a:solidFill>
          <a:srgbClr val="32CD32"/>
        </a:solidFill>
      </xdr:spPr>
      <xdr:style>
        <a:lnRef idx="3">
          <a:schemeClr val="lt1"/>
        </a:lnRef>
        <a:fillRef idx="1">
          <a:schemeClr val="accent3"/>
        </a:fillRef>
        <a:effectRef idx="1">
          <a:schemeClr val="accent3"/>
        </a:effectRef>
        <a:fontRef idx="minor">
          <a:schemeClr val="lt1"/>
        </a:fontRef>
      </xdr:style>
      <xdr:txBody>
        <a:bodyPr vertOverflow="clip" rtlCol="0" anchor="ctr"/>
        <a:lstStyle/>
        <a:p>
          <a:pPr algn="ctr"/>
          <a:r>
            <a:rPr lang="nl-BE" sz="1100"/>
            <a:t>Worst</a:t>
          </a:r>
          <a:r>
            <a:rPr lang="nl-BE" sz="1100" baseline="0"/>
            <a:t> case 3/3/3</a:t>
          </a:r>
          <a:endParaRPr lang="nl-BE" sz="1100"/>
        </a:p>
      </xdr:txBody>
    </xdr:sp>
    <xdr:clientData/>
  </xdr:twoCellAnchor>
  <xdr:twoCellAnchor>
    <xdr:from>
      <xdr:col>6</xdr:col>
      <xdr:colOff>57150</xdr:colOff>
      <xdr:row>15</xdr:row>
      <xdr:rowOff>66675</xdr:rowOff>
    </xdr:from>
    <xdr:to>
      <xdr:col>9</xdr:col>
      <xdr:colOff>571500</xdr:colOff>
      <xdr:row>16</xdr:row>
      <xdr:rowOff>104775</xdr:rowOff>
    </xdr:to>
    <xdr:sp macro="[0]!Vaste_rentevoet" textlink="">
      <xdr:nvSpPr>
        <xdr:cNvPr id="5" name="Rond diagonale hoek rechthoek 4"/>
        <xdr:cNvSpPr/>
      </xdr:nvSpPr>
      <xdr:spPr>
        <a:xfrm>
          <a:off x="4772025" y="3028950"/>
          <a:ext cx="1638300" cy="238125"/>
        </a:xfrm>
        <a:prstGeom prst="round2DiagRect">
          <a:avLst/>
        </a:prstGeom>
        <a:solidFill>
          <a:srgbClr val="FF0000"/>
        </a:solidFill>
      </xdr:spPr>
      <xdr:style>
        <a:lnRef idx="3">
          <a:schemeClr val="lt1"/>
        </a:lnRef>
        <a:fillRef idx="1">
          <a:schemeClr val="accent3"/>
        </a:fillRef>
        <a:effectRef idx="1">
          <a:schemeClr val="accent3"/>
        </a:effectRef>
        <a:fontRef idx="minor">
          <a:schemeClr val="lt1"/>
        </a:fontRef>
      </xdr:style>
      <xdr:txBody>
        <a:bodyPr vertOverflow="clip" rtlCol="0" anchor="ctr"/>
        <a:lstStyle/>
        <a:p>
          <a:pPr algn="ctr"/>
          <a:r>
            <a:rPr lang="nl-BE" sz="1100"/>
            <a:t>Vaste rentevoet</a:t>
          </a:r>
        </a:p>
      </xdr:txBody>
    </xdr:sp>
    <xdr:clientData/>
  </xdr:twoCellAnchor>
  <xdr:twoCellAnchor editAs="oneCell">
    <xdr:from>
      <xdr:col>5</xdr:col>
      <xdr:colOff>733426</xdr:colOff>
      <xdr:row>0</xdr:row>
      <xdr:rowOff>9524</xdr:rowOff>
    </xdr:from>
    <xdr:to>
      <xdr:col>9</xdr:col>
      <xdr:colOff>2524125</xdr:colOff>
      <xdr:row>1</xdr:row>
      <xdr:rowOff>161039</xdr:rowOff>
    </xdr:to>
    <xdr:pic>
      <xdr:nvPicPr>
        <xdr:cNvPr id="6" name="Afbeelding 5" descr="header.gif">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4676776" y="9524"/>
          <a:ext cx="3686174" cy="570615"/>
        </a:xfrm>
        <a:prstGeom prst="rect">
          <a:avLst/>
        </a:prstGeom>
        <a:solidFill>
          <a:srgbClr val="32CD32"/>
        </a:solidFill>
      </xdr:spPr>
    </xdr:pic>
    <xdr:clientData/>
  </xdr:twoCellAnchor>
  <xdr:twoCellAnchor>
    <xdr:from>
      <xdr:col>6</xdr:col>
      <xdr:colOff>57150</xdr:colOff>
      <xdr:row>13</xdr:row>
      <xdr:rowOff>152400</xdr:rowOff>
    </xdr:from>
    <xdr:to>
      <xdr:col>9</xdr:col>
      <xdr:colOff>571500</xdr:colOff>
      <xdr:row>15</xdr:row>
      <xdr:rowOff>9525</xdr:rowOff>
    </xdr:to>
    <xdr:sp macro="[0]!Worst_case_5_5_5" textlink="">
      <xdr:nvSpPr>
        <xdr:cNvPr id="7" name="Rond diagonale hoek rechthoek 6"/>
        <xdr:cNvSpPr/>
      </xdr:nvSpPr>
      <xdr:spPr>
        <a:xfrm>
          <a:off x="4772025" y="2733675"/>
          <a:ext cx="1638300" cy="238125"/>
        </a:xfrm>
        <a:prstGeom prst="round2DiagRect">
          <a:avLst/>
        </a:prstGeom>
        <a:solidFill>
          <a:srgbClr val="32CD32"/>
        </a:solidFill>
      </xdr:spPr>
      <xdr:style>
        <a:lnRef idx="3">
          <a:schemeClr val="lt1"/>
        </a:lnRef>
        <a:fillRef idx="1">
          <a:schemeClr val="accent3"/>
        </a:fillRef>
        <a:effectRef idx="1">
          <a:schemeClr val="accent3"/>
        </a:effectRef>
        <a:fontRef idx="minor">
          <a:schemeClr val="lt1"/>
        </a:fontRef>
      </xdr:style>
      <xdr:txBody>
        <a:bodyPr vertOverflow="clip" rtlCol="0" anchor="ctr"/>
        <a:lstStyle/>
        <a:p>
          <a:pPr algn="ctr"/>
          <a:r>
            <a:rPr lang="nl-BE" sz="1100"/>
            <a:t>Worst</a:t>
          </a:r>
          <a:r>
            <a:rPr lang="nl-BE" sz="1100" baseline="0"/>
            <a:t> case 5/5/5 </a:t>
          </a:r>
          <a:endParaRPr lang="nl-BE" sz="1100"/>
        </a:p>
      </xdr:txBody>
    </xdr:sp>
    <xdr:clientData/>
  </xdr:twoCellAnchor>
  <xdr:twoCellAnchor>
    <xdr:from>
      <xdr:col>9</xdr:col>
      <xdr:colOff>638175</xdr:colOff>
      <xdr:row>12</xdr:row>
      <xdr:rowOff>28575</xdr:rowOff>
    </xdr:from>
    <xdr:to>
      <xdr:col>9</xdr:col>
      <xdr:colOff>2276475</xdr:colOff>
      <xdr:row>13</xdr:row>
      <xdr:rowOff>85725</xdr:rowOff>
    </xdr:to>
    <xdr:sp macro="[0]!Worst_case_10_5_5" textlink="">
      <xdr:nvSpPr>
        <xdr:cNvPr id="8" name="Rond diagonale hoek rechthoek 7"/>
        <xdr:cNvSpPr/>
      </xdr:nvSpPr>
      <xdr:spPr>
        <a:xfrm>
          <a:off x="6477000" y="2428875"/>
          <a:ext cx="1638300" cy="238125"/>
        </a:xfrm>
        <a:prstGeom prst="round2DiagRect">
          <a:avLst/>
        </a:prstGeom>
        <a:solidFill>
          <a:srgbClr val="32CD32"/>
        </a:solidFill>
      </xdr:spPr>
      <xdr:style>
        <a:lnRef idx="3">
          <a:schemeClr val="lt1"/>
        </a:lnRef>
        <a:fillRef idx="1">
          <a:schemeClr val="accent3"/>
        </a:fillRef>
        <a:effectRef idx="1">
          <a:schemeClr val="accent3"/>
        </a:effectRef>
        <a:fontRef idx="minor">
          <a:schemeClr val="lt1"/>
        </a:fontRef>
      </xdr:style>
      <xdr:txBody>
        <a:bodyPr vertOverflow="clip" rtlCol="0" anchor="ctr"/>
        <a:lstStyle/>
        <a:p>
          <a:pPr algn="ctr"/>
          <a:r>
            <a:rPr lang="nl-BE" sz="1100"/>
            <a:t>Worst</a:t>
          </a:r>
          <a:r>
            <a:rPr lang="nl-BE" sz="1100" baseline="0"/>
            <a:t> case 10/5/5</a:t>
          </a:r>
          <a:endParaRPr lang="nl-BE" sz="1100"/>
        </a:p>
      </xdr:txBody>
    </xdr:sp>
    <xdr:clientData/>
  </xdr:twoCellAnchor>
  <xdr:twoCellAnchor>
    <xdr:from>
      <xdr:col>9</xdr:col>
      <xdr:colOff>638175</xdr:colOff>
      <xdr:row>13</xdr:row>
      <xdr:rowOff>152400</xdr:rowOff>
    </xdr:from>
    <xdr:to>
      <xdr:col>9</xdr:col>
      <xdr:colOff>2276475</xdr:colOff>
      <xdr:row>15</xdr:row>
      <xdr:rowOff>9525</xdr:rowOff>
    </xdr:to>
    <xdr:sp macro="[0]!Worst_case_15_5_5" textlink="">
      <xdr:nvSpPr>
        <xdr:cNvPr id="9" name="Rond diagonale hoek rechthoek 8"/>
        <xdr:cNvSpPr/>
      </xdr:nvSpPr>
      <xdr:spPr>
        <a:xfrm>
          <a:off x="6477000" y="2733675"/>
          <a:ext cx="1638300" cy="238125"/>
        </a:xfrm>
        <a:prstGeom prst="round2DiagRect">
          <a:avLst/>
        </a:prstGeom>
        <a:solidFill>
          <a:srgbClr val="32CD32"/>
        </a:solidFill>
      </xdr:spPr>
      <xdr:style>
        <a:lnRef idx="3">
          <a:schemeClr val="lt1"/>
        </a:lnRef>
        <a:fillRef idx="1">
          <a:schemeClr val="accent3"/>
        </a:fillRef>
        <a:effectRef idx="1">
          <a:schemeClr val="accent3"/>
        </a:effectRef>
        <a:fontRef idx="minor">
          <a:schemeClr val="lt1"/>
        </a:fontRef>
      </xdr:style>
      <xdr:txBody>
        <a:bodyPr vertOverflow="clip" rtlCol="0" anchor="ctr"/>
        <a:lstStyle/>
        <a:p>
          <a:pPr algn="ctr"/>
          <a:r>
            <a:rPr lang="nl-BE" sz="1100"/>
            <a:t>Worst</a:t>
          </a:r>
          <a:r>
            <a:rPr lang="nl-BE" sz="1100" baseline="0"/>
            <a:t> case 15/5/5</a:t>
          </a:r>
          <a:endParaRPr lang="nl-BE" sz="1100"/>
        </a:p>
      </xdr:txBody>
    </xdr:sp>
    <xdr:clientData/>
  </xdr:twoCellAnchor>
  <xdr:twoCellAnchor>
    <xdr:from>
      <xdr:col>9</xdr:col>
      <xdr:colOff>638175</xdr:colOff>
      <xdr:row>15</xdr:row>
      <xdr:rowOff>66675</xdr:rowOff>
    </xdr:from>
    <xdr:to>
      <xdr:col>9</xdr:col>
      <xdr:colOff>2276475</xdr:colOff>
      <xdr:row>16</xdr:row>
      <xdr:rowOff>104775</xdr:rowOff>
    </xdr:to>
    <xdr:sp macro="[0]!Worst_case_20_5_5" textlink="">
      <xdr:nvSpPr>
        <xdr:cNvPr id="10" name="Rond diagonale hoek rechthoek 9"/>
        <xdr:cNvSpPr/>
      </xdr:nvSpPr>
      <xdr:spPr>
        <a:xfrm>
          <a:off x="6477000" y="3028950"/>
          <a:ext cx="1638300" cy="238125"/>
        </a:xfrm>
        <a:prstGeom prst="round2DiagRect">
          <a:avLst/>
        </a:prstGeom>
        <a:solidFill>
          <a:srgbClr val="32CD32"/>
        </a:solidFill>
      </xdr:spPr>
      <xdr:style>
        <a:lnRef idx="3">
          <a:schemeClr val="lt1"/>
        </a:lnRef>
        <a:fillRef idx="1">
          <a:schemeClr val="accent3"/>
        </a:fillRef>
        <a:effectRef idx="1">
          <a:schemeClr val="accent3"/>
        </a:effectRef>
        <a:fontRef idx="minor">
          <a:schemeClr val="lt1"/>
        </a:fontRef>
      </xdr:style>
      <xdr:txBody>
        <a:bodyPr vertOverflow="clip" rtlCol="0" anchor="ctr"/>
        <a:lstStyle/>
        <a:p>
          <a:pPr algn="ctr"/>
          <a:r>
            <a:rPr lang="nl-BE" sz="1100"/>
            <a:t>Worst</a:t>
          </a:r>
          <a:r>
            <a:rPr lang="nl-BE" sz="1100" baseline="0"/>
            <a:t> case 20/5/5</a:t>
          </a:r>
          <a:endParaRPr lang="nl-BE" sz="1100"/>
        </a:p>
      </xdr:txBody>
    </xdr:sp>
    <xdr:clientData/>
  </xdr:twoCellAnchor>
  <xdr:twoCellAnchor>
    <xdr:from>
      <xdr:col>9</xdr:col>
      <xdr:colOff>638175</xdr:colOff>
      <xdr:row>10</xdr:row>
      <xdr:rowOff>85725</xdr:rowOff>
    </xdr:from>
    <xdr:to>
      <xdr:col>9</xdr:col>
      <xdr:colOff>2276475</xdr:colOff>
      <xdr:row>11</xdr:row>
      <xdr:rowOff>142875</xdr:rowOff>
    </xdr:to>
    <xdr:sp macro="[0]!Worst_case_9_3_3" textlink="">
      <xdr:nvSpPr>
        <xdr:cNvPr id="11" name="Rond diagonale hoek rechthoek 10"/>
        <xdr:cNvSpPr/>
      </xdr:nvSpPr>
      <xdr:spPr>
        <a:xfrm>
          <a:off x="6477000" y="2124075"/>
          <a:ext cx="1638300" cy="238125"/>
        </a:xfrm>
        <a:prstGeom prst="round2DiagRect">
          <a:avLst/>
        </a:prstGeom>
        <a:solidFill>
          <a:srgbClr val="32CD32"/>
        </a:solidFill>
      </xdr:spPr>
      <xdr:style>
        <a:lnRef idx="3">
          <a:schemeClr val="lt1"/>
        </a:lnRef>
        <a:fillRef idx="1">
          <a:schemeClr val="accent3"/>
        </a:fillRef>
        <a:effectRef idx="1">
          <a:schemeClr val="accent3"/>
        </a:effectRef>
        <a:fontRef idx="minor">
          <a:schemeClr val="lt1"/>
        </a:fontRef>
      </xdr:style>
      <xdr:txBody>
        <a:bodyPr vertOverflow="clip" rtlCol="0" anchor="ctr"/>
        <a:lstStyle/>
        <a:p>
          <a:pPr algn="ctr"/>
          <a:r>
            <a:rPr lang="nl-BE" sz="1100"/>
            <a:t>Worst</a:t>
          </a:r>
          <a:r>
            <a:rPr lang="nl-BE" sz="1100" baseline="0"/>
            <a:t> case 9/3/3</a:t>
          </a:r>
          <a:endParaRPr lang="nl-BE" sz="1100"/>
        </a:p>
      </xdr:txBody>
    </xdr:sp>
    <xdr:clientData/>
  </xdr:twoCellAnchor>
  <xdr:twoCellAnchor>
    <xdr:from>
      <xdr:col>9</xdr:col>
      <xdr:colOff>638175</xdr:colOff>
      <xdr:row>8</xdr:row>
      <xdr:rowOff>142875</xdr:rowOff>
    </xdr:from>
    <xdr:to>
      <xdr:col>9</xdr:col>
      <xdr:colOff>2276475</xdr:colOff>
      <xdr:row>10</xdr:row>
      <xdr:rowOff>19050</xdr:rowOff>
    </xdr:to>
    <xdr:sp macro="[0]!Worst_case_8_3_3" textlink="">
      <xdr:nvSpPr>
        <xdr:cNvPr id="12" name="Rond diagonale hoek rechthoek 11"/>
        <xdr:cNvSpPr/>
      </xdr:nvSpPr>
      <xdr:spPr>
        <a:xfrm>
          <a:off x="6477000" y="1819275"/>
          <a:ext cx="1638300" cy="238125"/>
        </a:xfrm>
        <a:prstGeom prst="round2DiagRect">
          <a:avLst/>
        </a:prstGeom>
        <a:solidFill>
          <a:srgbClr val="32CD32"/>
        </a:solidFill>
      </xdr:spPr>
      <xdr:style>
        <a:lnRef idx="3">
          <a:schemeClr val="lt1"/>
        </a:lnRef>
        <a:fillRef idx="1">
          <a:schemeClr val="accent3"/>
        </a:fillRef>
        <a:effectRef idx="1">
          <a:schemeClr val="accent3"/>
        </a:effectRef>
        <a:fontRef idx="minor">
          <a:schemeClr val="lt1"/>
        </a:fontRef>
      </xdr:style>
      <xdr:txBody>
        <a:bodyPr vertOverflow="clip" rtlCol="0" anchor="ctr"/>
        <a:lstStyle/>
        <a:p>
          <a:pPr algn="ctr"/>
          <a:r>
            <a:rPr lang="nl-BE" sz="1100"/>
            <a:t>Worst</a:t>
          </a:r>
          <a:r>
            <a:rPr lang="nl-BE" sz="1100" baseline="0"/>
            <a:t> case 8/3/3</a:t>
          </a:r>
          <a:endParaRPr lang="nl-BE" sz="1100"/>
        </a:p>
      </xdr:txBody>
    </xdr:sp>
    <xdr:clientData/>
  </xdr:twoCellAnchor>
</xdr:wsDr>
</file>

<file path=xl/theme/theme1.xml><?xml version="1.0" encoding="utf-8"?>
<a:theme xmlns:a="http://schemas.openxmlformats.org/drawingml/2006/main" name="Office-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Blad1">
    <pageSetUpPr fitToPage="1"/>
  </sheetPr>
  <dimension ref="A1:N390"/>
  <sheetViews>
    <sheetView showGridLines="0" showRowColHeaders="0" tabSelected="1" zoomScaleNormal="100" workbookViewId="0">
      <pane ySplit="18" topLeftCell="A19" activePane="bottomLeft" state="frozenSplit"/>
      <selection pane="bottomLeft" activeCell="D5" sqref="D5"/>
    </sheetView>
  </sheetViews>
  <sheetFormatPr defaultRowHeight="13.5"/>
  <cols>
    <col min="1" max="1" width="5.28515625" style="10" customWidth="1"/>
    <col min="2" max="2" width="14.42578125" style="13" customWidth="1"/>
    <col min="3" max="3" width="12.85546875" style="16" bestFit="1" customWidth="1"/>
    <col min="4" max="5" width="13.28515625" style="16" customWidth="1"/>
    <col min="6" max="6" width="11.5703125" style="16" customWidth="1"/>
    <col min="7" max="7" width="16.85546875" style="16" customWidth="1"/>
    <col min="8" max="8" width="10.85546875" style="16" hidden="1" customWidth="1"/>
    <col min="9" max="9" width="14.5703125" style="25" hidden="1" customWidth="1"/>
    <col min="10" max="10" width="46.28515625" style="16" customWidth="1"/>
    <col min="11" max="11" width="9.140625" style="21" customWidth="1"/>
    <col min="12" max="12" width="9.140625" style="17" customWidth="1"/>
    <col min="13" max="13" width="9.140625" style="21" customWidth="1"/>
    <col min="14" max="14" width="9.140625" style="17" customWidth="1"/>
    <col min="15" max="16384" width="9.140625" style="4"/>
  </cols>
  <sheetData>
    <row r="1" spans="1:14" ht="33" customHeight="1">
      <c r="A1" s="68" t="s">
        <v>20</v>
      </c>
      <c r="B1" s="69"/>
      <c r="C1" s="69"/>
      <c r="D1" s="69"/>
      <c r="E1" s="69"/>
      <c r="F1" s="69"/>
      <c r="G1" s="69"/>
      <c r="H1" s="69"/>
      <c r="I1" s="69"/>
      <c r="J1" s="70"/>
      <c r="K1" s="66" t="s">
        <v>21</v>
      </c>
      <c r="L1" s="67"/>
      <c r="M1" s="67"/>
      <c r="N1" s="67"/>
    </row>
    <row r="2" spans="1:14">
      <c r="A2" s="1"/>
      <c r="B2" s="1"/>
      <c r="C2" s="1"/>
      <c r="D2" s="1"/>
      <c r="E2" s="1"/>
      <c r="F2" s="1"/>
      <c r="G2" s="34"/>
      <c r="H2" s="34"/>
      <c r="I2" s="35"/>
      <c r="J2" s="49"/>
      <c r="K2" s="31" t="s">
        <v>16</v>
      </c>
      <c r="L2" s="29" t="s">
        <v>8</v>
      </c>
      <c r="M2" s="28" t="s">
        <v>16</v>
      </c>
      <c r="N2" s="29" t="s">
        <v>8</v>
      </c>
    </row>
    <row r="3" spans="1:14" ht="14.25">
      <c r="A3" s="3"/>
      <c r="B3" s="3"/>
      <c r="C3" s="3"/>
      <c r="D3" s="5" t="s">
        <v>0</v>
      </c>
      <c r="E3" s="5"/>
      <c r="F3" s="3"/>
      <c r="G3" s="6" t="s">
        <v>1</v>
      </c>
      <c r="H3" s="6"/>
      <c r="I3" s="23"/>
      <c r="J3" s="38"/>
      <c r="K3" s="44">
        <v>1</v>
      </c>
      <c r="L3" s="40">
        <f>Interest_Rate</f>
        <v>0</v>
      </c>
      <c r="M3" s="30">
        <v>16</v>
      </c>
      <c r="N3" s="56">
        <f>IF(AND((Interest_Rate+Max_Interest_Rate)&gt;L17+0.01,(((1+((((1+Interest_Rate)^(1/12))-1)*2))^(1*12))-1)&gt;L17+0.01),L17+0.01,IF(L17&gt;=Interest_Rate+Max_Interest_Rate,L17,IF(((1+((((1+Interest_Rate)^(1/12))-1)*2))^(1*12))-1&gt;Interest_Rate+Max_Interest_Rate,Interest_Rate+Max_Interest_Rate,((1+((((1+Interest_Rate)^(1/12))-1)*2))^(1*12))-1)))</f>
        <v>0</v>
      </c>
    </row>
    <row r="4" spans="1:14" ht="14.25" customHeight="1">
      <c r="A4" s="63" t="s">
        <v>2</v>
      </c>
      <c r="B4" s="63"/>
      <c r="C4" s="64"/>
      <c r="D4" s="41"/>
      <c r="E4" s="20"/>
      <c r="F4" s="3"/>
      <c r="G4" s="71" t="s">
        <v>25</v>
      </c>
      <c r="H4" s="71"/>
      <c r="I4" s="71"/>
      <c r="J4" s="72"/>
      <c r="K4" s="30">
        <v>2</v>
      </c>
      <c r="L4" s="56">
        <f t="shared" ref="L4:L17" si="0">IF(AND((Interest_Rate+Max_Interest_Rate)&gt;L3+0.01,(((1+((((1+Interest_Rate)^(1/12))-1)*2))^(1*12))-1)&gt;L3+0.01),L3+0.01,IF(L3&gt;=Interest_Rate+Max_Interest_Rate,L3,IF(((1+((((1+Interest_Rate)^(1/12))-1)*2))^(1*12))-1&gt;Interest_Rate+Max_Interest_Rate,Interest_Rate+Max_Interest_Rate,((1+((((1+Interest_Rate)^(1/12))-1)*2))^(1*12))-1)))</f>
        <v>0</v>
      </c>
      <c r="M4" s="30">
        <v>17</v>
      </c>
      <c r="N4" s="56">
        <f t="shared" ref="N4:N17" si="1">IF(AND((Interest_Rate+Max_Interest_Rate)&gt;N3+0.01,(((1+((((1+Interest_Rate)^(1/12))-1)*2))^(1*12))-1)&gt;N3+0.01),N3+0.01,IF(N3&gt;=Interest_Rate+Max_Interest_Rate,N3,IF(((1+((((1+Interest_Rate)^(1/12))-1)*2))^(1*12))-1&gt;Interest_Rate+Max_Interest_Rate,Interest_Rate+Max_Interest_Rate,((1+((((1+Interest_Rate)^(1/12))-1)*2))^(1*12))-1)))</f>
        <v>0</v>
      </c>
    </row>
    <row r="5" spans="1:14" ht="14.25">
      <c r="A5" s="63" t="s">
        <v>19</v>
      </c>
      <c r="B5" s="63"/>
      <c r="C5" s="64"/>
      <c r="D5" s="42"/>
      <c r="E5" s="58"/>
      <c r="F5" s="3"/>
      <c r="G5" s="71"/>
      <c r="H5" s="71"/>
      <c r="I5" s="71"/>
      <c r="J5" s="72"/>
      <c r="K5" s="30">
        <v>3</v>
      </c>
      <c r="L5" s="56">
        <f t="shared" si="0"/>
        <v>0</v>
      </c>
      <c r="M5" s="30">
        <v>18</v>
      </c>
      <c r="N5" s="56">
        <f t="shared" si="1"/>
        <v>0</v>
      </c>
    </row>
    <row r="6" spans="1:14" ht="14.25">
      <c r="A6" s="63" t="s">
        <v>3</v>
      </c>
      <c r="B6" s="63"/>
      <c r="C6" s="64"/>
      <c r="D6" s="43"/>
      <c r="E6" s="58"/>
      <c r="F6" s="3"/>
      <c r="G6" s="71"/>
      <c r="H6" s="71"/>
      <c r="I6" s="71"/>
      <c r="J6" s="72"/>
      <c r="K6" s="30">
        <v>4</v>
      </c>
      <c r="L6" s="56">
        <f t="shared" si="0"/>
        <v>0</v>
      </c>
      <c r="M6" s="30">
        <v>19</v>
      </c>
      <c r="N6" s="56">
        <f t="shared" si="1"/>
        <v>0</v>
      </c>
    </row>
    <row r="7" spans="1:14" ht="14.25">
      <c r="A7" s="63" t="s">
        <v>4</v>
      </c>
      <c r="B7" s="63"/>
      <c r="C7" s="64"/>
      <c r="D7" s="51"/>
      <c r="E7" s="59"/>
      <c r="F7" s="3"/>
      <c r="G7" s="71"/>
      <c r="H7" s="71"/>
      <c r="I7" s="71"/>
      <c r="J7" s="72"/>
      <c r="K7" s="30">
        <v>5</v>
      </c>
      <c r="L7" s="56">
        <f t="shared" si="0"/>
        <v>0</v>
      </c>
      <c r="M7" s="30">
        <v>20</v>
      </c>
      <c r="N7" s="56">
        <f t="shared" si="1"/>
        <v>0</v>
      </c>
    </row>
    <row r="8" spans="1:14" ht="14.25">
      <c r="A8" s="63" t="s">
        <v>23</v>
      </c>
      <c r="B8" s="63"/>
      <c r="C8" s="64"/>
      <c r="D8" s="42"/>
      <c r="E8" s="58"/>
      <c r="F8" s="37"/>
      <c r="G8" s="71"/>
      <c r="H8" s="71"/>
      <c r="I8" s="71"/>
      <c r="J8" s="72"/>
      <c r="K8" s="44">
        <v>6</v>
      </c>
      <c r="L8" s="56">
        <f t="shared" si="0"/>
        <v>0</v>
      </c>
      <c r="M8" s="30">
        <v>21</v>
      </c>
      <c r="N8" s="56">
        <f t="shared" si="1"/>
        <v>0</v>
      </c>
    </row>
    <row r="9" spans="1:14" ht="14.25">
      <c r="A9" s="2"/>
      <c r="B9" s="2"/>
      <c r="C9" s="2"/>
      <c r="D9" s="57"/>
      <c r="E9" s="60"/>
      <c r="F9" s="36"/>
      <c r="G9" s="71"/>
      <c r="H9" s="71"/>
      <c r="I9" s="71"/>
      <c r="J9" s="72"/>
      <c r="K9" s="44">
        <v>7</v>
      </c>
      <c r="L9" s="56">
        <f t="shared" si="0"/>
        <v>0</v>
      </c>
      <c r="M9" s="30">
        <v>22</v>
      </c>
      <c r="N9" s="56">
        <f t="shared" si="1"/>
        <v>0</v>
      </c>
    </row>
    <row r="10" spans="1:14" ht="14.25">
      <c r="A10" s="3"/>
      <c r="B10" s="3"/>
      <c r="C10" s="3"/>
      <c r="D10" s="3"/>
      <c r="F10" s="3"/>
      <c r="G10" s="37"/>
      <c r="H10" s="37"/>
      <c r="I10" s="23"/>
      <c r="J10" s="45"/>
      <c r="K10" s="44">
        <v>8</v>
      </c>
      <c r="L10" s="56">
        <f t="shared" si="0"/>
        <v>0</v>
      </c>
      <c r="M10" s="30">
        <v>23</v>
      </c>
      <c r="N10" s="56">
        <f t="shared" si="1"/>
        <v>0</v>
      </c>
    </row>
    <row r="11" spans="1:14" ht="14.25">
      <c r="A11" s="65" t="s">
        <v>24</v>
      </c>
      <c r="B11" s="65"/>
      <c r="C11" s="65"/>
      <c r="D11" s="55" t="str">
        <f>IF(Values_Entered,MIN(Maandelijkse_aflossing),"")</f>
        <v/>
      </c>
      <c r="F11" s="3"/>
      <c r="G11" s="7"/>
      <c r="H11" s="7"/>
      <c r="I11" s="23"/>
      <c r="J11" s="45"/>
      <c r="K11" s="44">
        <v>9</v>
      </c>
      <c r="L11" s="56">
        <f t="shared" si="0"/>
        <v>0</v>
      </c>
      <c r="M11" s="30">
        <v>24</v>
      </c>
      <c r="N11" s="56">
        <f t="shared" si="1"/>
        <v>0</v>
      </c>
    </row>
    <row r="12" spans="1:14" ht="14.25" customHeight="1">
      <c r="A12" s="65" t="s">
        <v>22</v>
      </c>
      <c r="B12" s="65"/>
      <c r="C12" s="65"/>
      <c r="D12" s="55" t="str">
        <f>IF(Values_Entered,MAX(Maandelijkse_aflossing),"")</f>
        <v/>
      </c>
      <c r="F12" s="3"/>
      <c r="G12" s="7"/>
      <c r="H12" s="7"/>
      <c r="I12" s="23"/>
      <c r="J12" s="45"/>
      <c r="K12" s="44">
        <v>10</v>
      </c>
      <c r="L12" s="56">
        <f t="shared" si="0"/>
        <v>0</v>
      </c>
      <c r="M12" s="30">
        <v>25</v>
      </c>
      <c r="N12" s="56">
        <f t="shared" si="1"/>
        <v>0</v>
      </c>
    </row>
    <row r="13" spans="1:14" ht="14.25">
      <c r="A13" s="63" t="s">
        <v>26</v>
      </c>
      <c r="B13" s="63"/>
      <c r="C13" s="63"/>
      <c r="D13" s="53" t="str">
        <f>IF(Values_Entered,AVERAGE(Maandelijkse_aflossing),"")</f>
        <v/>
      </c>
      <c r="E13" s="32"/>
      <c r="F13" s="3"/>
      <c r="G13" s="8"/>
      <c r="H13" s="8"/>
      <c r="I13" s="23"/>
      <c r="J13" s="45"/>
      <c r="K13" s="44">
        <v>11</v>
      </c>
      <c r="L13" s="56">
        <f t="shared" si="0"/>
        <v>0</v>
      </c>
      <c r="M13" s="30">
        <v>26</v>
      </c>
      <c r="N13" s="56">
        <f t="shared" si="1"/>
        <v>0</v>
      </c>
    </row>
    <row r="14" spans="1:14" ht="14.25">
      <c r="A14" s="63" t="s">
        <v>17</v>
      </c>
      <c r="B14" s="63"/>
      <c r="C14" s="64"/>
      <c r="D14" s="52" t="str">
        <f>IF(Values_Entered,Loan_Years*12,"")</f>
        <v/>
      </c>
      <c r="F14" s="37"/>
      <c r="G14" s="7"/>
      <c r="H14" s="7"/>
      <c r="I14" s="23"/>
      <c r="J14" s="45"/>
      <c r="K14" s="44">
        <v>12</v>
      </c>
      <c r="L14" s="56">
        <f t="shared" si="0"/>
        <v>0</v>
      </c>
      <c r="M14" s="30">
        <v>27</v>
      </c>
      <c r="N14" s="56">
        <f t="shared" si="1"/>
        <v>0</v>
      </c>
    </row>
    <row r="15" spans="1:14" ht="15.75" customHeight="1">
      <c r="A15" s="63" t="s">
        <v>5</v>
      </c>
      <c r="B15" s="63"/>
      <c r="C15" s="64"/>
      <c r="D15" s="39" t="str">
        <f>IF(Values_Entered,SUMIF(Beg_Bal,"&gt;0",Int),"")</f>
        <v/>
      </c>
      <c r="F15" s="26"/>
      <c r="G15" s="26"/>
      <c r="H15" s="26"/>
      <c r="I15" s="23"/>
      <c r="J15" s="38"/>
      <c r="K15" s="44">
        <v>13</v>
      </c>
      <c r="L15" s="56">
        <f t="shared" si="0"/>
        <v>0</v>
      </c>
      <c r="M15" s="30">
        <v>28</v>
      </c>
      <c r="N15" s="56">
        <f t="shared" si="1"/>
        <v>0</v>
      </c>
    </row>
    <row r="16" spans="1:14" ht="15.75" customHeight="1">
      <c r="A16" s="63" t="s">
        <v>18</v>
      </c>
      <c r="B16" s="63"/>
      <c r="C16" s="64"/>
      <c r="D16" s="39" t="str">
        <f>IF(Values_Entered,SUMIF(Beg_Bal,"&gt;0",Int)+Loan_Amount,"")</f>
        <v/>
      </c>
      <c r="F16" s="26"/>
      <c r="G16" s="26"/>
      <c r="H16" s="26"/>
      <c r="I16" s="23"/>
      <c r="J16" s="38"/>
      <c r="K16" s="44">
        <v>14</v>
      </c>
      <c r="L16" s="56">
        <f t="shared" si="0"/>
        <v>0</v>
      </c>
      <c r="M16" s="30">
        <v>29</v>
      </c>
      <c r="N16" s="56">
        <f t="shared" si="1"/>
        <v>0</v>
      </c>
    </row>
    <row r="17" spans="1:14" ht="15.75" customHeight="1">
      <c r="A17" s="3"/>
      <c r="B17" s="3"/>
      <c r="C17" s="3"/>
      <c r="D17" s="3"/>
      <c r="E17" s="3"/>
      <c r="F17" s="26"/>
      <c r="G17" s="26"/>
      <c r="H17" s="26"/>
      <c r="I17" s="23"/>
      <c r="J17" s="38"/>
      <c r="K17" s="44">
        <v>15</v>
      </c>
      <c r="L17" s="56">
        <f t="shared" si="0"/>
        <v>0</v>
      </c>
      <c r="M17" s="30">
        <v>30</v>
      </c>
      <c r="N17" s="56">
        <f t="shared" si="1"/>
        <v>0</v>
      </c>
    </row>
    <row r="18" spans="1:14" s="9" customFormat="1" ht="32.25" customHeight="1">
      <c r="A18" s="33" t="s">
        <v>6</v>
      </c>
      <c r="B18" s="33" t="s">
        <v>7</v>
      </c>
      <c r="C18" s="33" t="s">
        <v>10</v>
      </c>
      <c r="D18" s="33" t="s">
        <v>13</v>
      </c>
      <c r="E18" s="33" t="s">
        <v>11</v>
      </c>
      <c r="F18" s="33" t="s">
        <v>12</v>
      </c>
      <c r="G18" s="33" t="s">
        <v>9</v>
      </c>
      <c r="H18" s="27" t="s">
        <v>14</v>
      </c>
      <c r="I18" s="27" t="s">
        <v>15</v>
      </c>
      <c r="K18" s="22"/>
      <c r="L18" s="18"/>
      <c r="M18" s="22"/>
      <c r="N18" s="18"/>
    </row>
    <row r="19" spans="1:14" s="9" customFormat="1" ht="14.25">
      <c r="A19" s="46" t="str">
        <f>IF(Values_Entered,1,"")</f>
        <v/>
      </c>
      <c r="B19" s="47" t="str">
        <f>IF(Pay_Num&lt;&gt;"",Loan_Start,"")</f>
        <v/>
      </c>
      <c r="C19" s="48" t="str">
        <f>IF(Values_Entered,Loan_Amount,"")</f>
        <v/>
      </c>
      <c r="D19" s="48" t="str">
        <f>IF(Values_Entered,-PMT(Maandelijkse_rente_percentage,(Loan_Years*12)-Pay_Num+1,Beg_Bal),"")</f>
        <v/>
      </c>
      <c r="E19" s="48" t="str">
        <f t="shared" ref="E19:E82" si="2">IF(Pay_Num&lt;&gt;"",Maandelijkse_aflossing-Int,"")</f>
        <v/>
      </c>
      <c r="F19" s="48" t="e">
        <f t="shared" ref="F19:F82" si="3">Beg_Bal*Maandelijkse_rente_percentage</f>
        <v>#VALUE!</v>
      </c>
      <c r="G19" s="50" t="str">
        <f>IF(Pay_Num&lt;&gt;"",Beg_Bal-Princ,"")</f>
        <v/>
      </c>
      <c r="H19" s="19">
        <f>L3</f>
        <v>0</v>
      </c>
      <c r="I19" s="19">
        <f t="shared" ref="I19:I82" si="4">((1+Jaarlijk_rente_percentage)^(1/12))-1</f>
        <v>0</v>
      </c>
      <c r="K19" s="22"/>
      <c r="L19" s="18"/>
      <c r="M19" s="22"/>
      <c r="N19" s="18"/>
    </row>
    <row r="20" spans="1:14" s="9" customFormat="1" ht="12.75" customHeight="1">
      <c r="A20" s="46" t="str">
        <f t="shared" ref="A20:A83" si="5">IF(Values_Entered,A19+1,"")</f>
        <v/>
      </c>
      <c r="B20" s="47" t="str">
        <f t="shared" ref="B20:B83" si="6">IF(Pay_Num&lt;&gt;"",DATE(YEAR(B19),MONTH(B19)+1,DAY(B19)),"")</f>
        <v/>
      </c>
      <c r="C20" s="48" t="str">
        <f t="shared" ref="C20" si="7">IF(Pay_Num&lt;&gt;"",G19,"")</f>
        <v/>
      </c>
      <c r="D20" s="48" t="str">
        <f>IF(ISERROR(PMT(Maandelijkse_rente_percentage,(Loan_Years*12)-Pay_Num+1,Beg_Bal)),"",IF(Values_Entered,-PMT(Maandelijkse_rente_percentage,(Loan_Years*12)-Pay_Num+1,Beg_Bal),""))</f>
        <v/>
      </c>
      <c r="E20" s="48" t="str">
        <f t="shared" si="2"/>
        <v/>
      </c>
      <c r="F20" s="48" t="e">
        <f t="shared" si="3"/>
        <v>#VALUE!</v>
      </c>
      <c r="G20" s="48" t="str">
        <f t="shared" ref="G20:G83" si="8">IF(Pay_Num&lt;&gt;"",Beg_Bal-Princ,"")</f>
        <v/>
      </c>
      <c r="H20" s="19">
        <f>H19</f>
        <v>0</v>
      </c>
      <c r="I20" s="19">
        <f t="shared" si="4"/>
        <v>0</v>
      </c>
      <c r="K20" s="22"/>
      <c r="L20" s="18"/>
      <c r="M20" s="22"/>
      <c r="N20" s="18"/>
    </row>
    <row r="21" spans="1:14" s="9" customFormat="1" ht="12.75" customHeight="1">
      <c r="A21" s="46" t="str">
        <f t="shared" si="5"/>
        <v/>
      </c>
      <c r="B21" s="47" t="str">
        <f t="shared" si="6"/>
        <v/>
      </c>
      <c r="C21" s="48" t="str">
        <f t="shared" ref="C21:C84" si="9">IF(Pay_Num&lt;&gt;"",G20,"")</f>
        <v/>
      </c>
      <c r="D21" s="48" t="str">
        <f>IF(ISERROR(PMT(Maandelijkse_rente_percentage,(Loan_Years*12)-Pay_Num+1,Beg_Bal)),"",IF(Values_Entered,-PMT(Maandelijkse_rente_percentage,(Loan_Years*12)-Pay_Num+1,Beg_Bal),""))</f>
        <v/>
      </c>
      <c r="E21" s="48" t="str">
        <f t="shared" si="2"/>
        <v/>
      </c>
      <c r="F21" s="48" t="e">
        <f t="shared" si="3"/>
        <v>#VALUE!</v>
      </c>
      <c r="G21" s="48" t="str">
        <f t="shared" si="8"/>
        <v/>
      </c>
      <c r="H21" s="19">
        <f t="shared" ref="H21:H78" si="10">H20</f>
        <v>0</v>
      </c>
      <c r="I21" s="19">
        <f t="shared" si="4"/>
        <v>0</v>
      </c>
      <c r="K21" s="22"/>
      <c r="L21" s="18"/>
      <c r="M21" s="22"/>
      <c r="N21" s="18"/>
    </row>
    <row r="22" spans="1:14" s="9" customFormat="1" ht="14.25">
      <c r="A22" s="46" t="str">
        <f t="shared" si="5"/>
        <v/>
      </c>
      <c r="B22" s="47" t="str">
        <f t="shared" si="6"/>
        <v/>
      </c>
      <c r="C22" s="48" t="str">
        <f t="shared" si="9"/>
        <v/>
      </c>
      <c r="D22" s="48" t="str">
        <f>IF(ISERROR(PMT(Maandelijkse_rente_percentage,(Loan_Years*12)-Pay_Num+1,Beg_Bal)),"",IF(Values_Entered,-PMT(Maandelijkse_rente_percentage,(Loan_Years*12)-Pay_Num+1,Beg_Bal),""))</f>
        <v/>
      </c>
      <c r="E22" s="48" t="str">
        <f t="shared" si="2"/>
        <v/>
      </c>
      <c r="F22" s="48" t="e">
        <f t="shared" si="3"/>
        <v>#VALUE!</v>
      </c>
      <c r="G22" s="48" t="str">
        <f t="shared" si="8"/>
        <v/>
      </c>
      <c r="H22" s="19">
        <f t="shared" si="10"/>
        <v>0</v>
      </c>
      <c r="I22" s="19">
        <f t="shared" si="4"/>
        <v>0</v>
      </c>
      <c r="K22" s="22"/>
      <c r="L22" s="18"/>
      <c r="M22" s="22"/>
      <c r="N22" s="18"/>
    </row>
    <row r="23" spans="1:14" s="9" customFormat="1" ht="14.25">
      <c r="A23" s="46" t="str">
        <f t="shared" si="5"/>
        <v/>
      </c>
      <c r="B23" s="47" t="str">
        <f t="shared" si="6"/>
        <v/>
      </c>
      <c r="C23" s="48" t="str">
        <f t="shared" si="9"/>
        <v/>
      </c>
      <c r="D23" s="48" t="str">
        <f>IF(ISERROR(PMT(Maandelijkse_rente_percentage,(Loan_Years*12)-Pay_Num+1,Beg_Bal)),"",IF(Values_Entered,-PMT(Maandelijkse_rente_percentage,(Loan_Years*12)-Pay_Num+1,Beg_Bal),""))</f>
        <v/>
      </c>
      <c r="E23" s="48" t="str">
        <f t="shared" si="2"/>
        <v/>
      </c>
      <c r="F23" s="48" t="e">
        <f t="shared" si="3"/>
        <v>#VALUE!</v>
      </c>
      <c r="G23" s="48" t="str">
        <f t="shared" si="8"/>
        <v/>
      </c>
      <c r="H23" s="19">
        <f t="shared" si="10"/>
        <v>0</v>
      </c>
      <c r="I23" s="19">
        <f t="shared" si="4"/>
        <v>0</v>
      </c>
      <c r="K23" s="22"/>
      <c r="L23" s="18"/>
      <c r="M23" s="22"/>
      <c r="N23" s="18"/>
    </row>
    <row r="24" spans="1:14" ht="14.25">
      <c r="A24" s="46" t="str">
        <f t="shared" si="5"/>
        <v/>
      </c>
      <c r="B24" s="47" t="str">
        <f t="shared" si="6"/>
        <v/>
      </c>
      <c r="C24" s="48" t="str">
        <f t="shared" si="9"/>
        <v/>
      </c>
      <c r="D24" s="48" t="str">
        <f>IF(ISERROR(PMT(Maandelijkse_rente_percentage,(Loan_Years*12)-Pay_Num+1,Beg_Bal)),"",IF(Values_Entered,-PMT(Maandelijkse_rente_percentage,(Loan_Years*12)-Pay_Num+1,Beg_Bal),""))</f>
        <v/>
      </c>
      <c r="E24" s="48" t="str">
        <f t="shared" si="2"/>
        <v/>
      </c>
      <c r="F24" s="48" t="e">
        <f t="shared" si="3"/>
        <v>#VALUE!</v>
      </c>
      <c r="G24" s="48" t="str">
        <f t="shared" si="8"/>
        <v/>
      </c>
      <c r="H24" s="19">
        <f t="shared" si="10"/>
        <v>0</v>
      </c>
      <c r="I24" s="19">
        <f t="shared" si="4"/>
        <v>0</v>
      </c>
      <c r="J24" s="4"/>
    </row>
    <row r="25" spans="1:14" ht="14.25">
      <c r="A25" s="46" t="str">
        <f t="shared" si="5"/>
        <v/>
      </c>
      <c r="B25" s="47" t="str">
        <f t="shared" si="6"/>
        <v/>
      </c>
      <c r="C25" s="48" t="str">
        <f t="shared" si="9"/>
        <v/>
      </c>
      <c r="D25" s="48" t="str">
        <f>IF(ISERROR(PMT(Maandelijkse_rente_percentage,(Loan_Years*12)-Pay_Num+1,Beg_Bal)),"",IF(Values_Entered,-PMT(Maandelijkse_rente_percentage,(Loan_Years*12)-Pay_Num+1,Beg_Bal),""))</f>
        <v/>
      </c>
      <c r="E25" s="48" t="str">
        <f t="shared" si="2"/>
        <v/>
      </c>
      <c r="F25" s="48" t="e">
        <f t="shared" si="3"/>
        <v>#VALUE!</v>
      </c>
      <c r="G25" s="48" t="str">
        <f t="shared" si="8"/>
        <v/>
      </c>
      <c r="H25" s="19">
        <f t="shared" si="10"/>
        <v>0</v>
      </c>
      <c r="I25" s="19">
        <f t="shared" si="4"/>
        <v>0</v>
      </c>
      <c r="J25" s="4"/>
    </row>
    <row r="26" spans="1:14" ht="14.25">
      <c r="A26" s="46" t="str">
        <f t="shared" si="5"/>
        <v/>
      </c>
      <c r="B26" s="47" t="str">
        <f t="shared" si="6"/>
        <v/>
      </c>
      <c r="C26" s="48" t="str">
        <f t="shared" si="9"/>
        <v/>
      </c>
      <c r="D26" s="48" t="str">
        <f>IF(ISERROR(PMT(Maandelijkse_rente_percentage,(Loan_Years*12)-Pay_Num+1,Beg_Bal)),"",IF(Values_Entered,-PMT(Maandelijkse_rente_percentage,(Loan_Years*12)-Pay_Num+1,Beg_Bal),""))</f>
        <v/>
      </c>
      <c r="E26" s="48" t="str">
        <f t="shared" si="2"/>
        <v/>
      </c>
      <c r="F26" s="48" t="e">
        <f t="shared" si="3"/>
        <v>#VALUE!</v>
      </c>
      <c r="G26" s="48" t="str">
        <f t="shared" si="8"/>
        <v/>
      </c>
      <c r="H26" s="19">
        <f t="shared" si="10"/>
        <v>0</v>
      </c>
      <c r="I26" s="19">
        <f t="shared" si="4"/>
        <v>0</v>
      </c>
      <c r="J26" s="4"/>
    </row>
    <row r="27" spans="1:14" ht="14.25">
      <c r="A27" s="46" t="str">
        <f t="shared" si="5"/>
        <v/>
      </c>
      <c r="B27" s="47" t="str">
        <f t="shared" si="6"/>
        <v/>
      </c>
      <c r="C27" s="48" t="str">
        <f t="shared" si="9"/>
        <v/>
      </c>
      <c r="D27" s="48" t="str">
        <f>IF(ISERROR(PMT(Maandelijkse_rente_percentage,(Loan_Years*12)-Pay_Num+1,Beg_Bal)),"",IF(Values_Entered,-PMT(Maandelijkse_rente_percentage,(Loan_Years*12)-Pay_Num+1,Beg_Bal),""))</f>
        <v/>
      </c>
      <c r="E27" s="48" t="str">
        <f>IF(Pay_Num&lt;&gt;"",Maandelijkse_aflossing-Int,"")</f>
        <v/>
      </c>
      <c r="F27" s="48" t="e">
        <f t="shared" si="3"/>
        <v>#VALUE!</v>
      </c>
      <c r="G27" s="48" t="str">
        <f t="shared" si="8"/>
        <v/>
      </c>
      <c r="H27" s="19">
        <f t="shared" si="10"/>
        <v>0</v>
      </c>
      <c r="I27" s="19">
        <f t="shared" si="4"/>
        <v>0</v>
      </c>
      <c r="J27" s="4"/>
    </row>
    <row r="28" spans="1:14" ht="14.25">
      <c r="A28" s="46" t="str">
        <f t="shared" si="5"/>
        <v/>
      </c>
      <c r="B28" s="47" t="str">
        <f t="shared" si="6"/>
        <v/>
      </c>
      <c r="C28" s="48" t="str">
        <f t="shared" si="9"/>
        <v/>
      </c>
      <c r="D28" s="48" t="str">
        <f>IF(ISERROR(PMT(Maandelijkse_rente_percentage,(Loan_Years*12)-Pay_Num+1,Beg_Bal)),"",IF(Values_Entered,-PMT(Maandelijkse_rente_percentage,(Loan_Years*12)-Pay_Num+1,Beg_Bal),""))</f>
        <v/>
      </c>
      <c r="E28" s="48" t="str">
        <f t="shared" si="2"/>
        <v/>
      </c>
      <c r="F28" s="48" t="e">
        <f t="shared" si="3"/>
        <v>#VALUE!</v>
      </c>
      <c r="G28" s="48" t="str">
        <f t="shared" si="8"/>
        <v/>
      </c>
      <c r="H28" s="19">
        <f t="shared" si="10"/>
        <v>0</v>
      </c>
      <c r="I28" s="19">
        <f t="shared" si="4"/>
        <v>0</v>
      </c>
      <c r="J28" s="4"/>
    </row>
    <row r="29" spans="1:14" ht="14.25">
      <c r="A29" s="46" t="str">
        <f t="shared" si="5"/>
        <v/>
      </c>
      <c r="B29" s="47" t="str">
        <f t="shared" si="6"/>
        <v/>
      </c>
      <c r="C29" s="48" t="str">
        <f t="shared" si="9"/>
        <v/>
      </c>
      <c r="D29" s="48" t="str">
        <f>IF(ISERROR(PMT(Maandelijkse_rente_percentage,(Loan_Years*12)-Pay_Num+1,Beg_Bal)),"",IF(Values_Entered,-PMT(Maandelijkse_rente_percentage,(Loan_Years*12)-Pay_Num+1,Beg_Bal),""))</f>
        <v/>
      </c>
      <c r="E29" s="48" t="str">
        <f t="shared" si="2"/>
        <v/>
      </c>
      <c r="F29" s="48" t="e">
        <f t="shared" si="3"/>
        <v>#VALUE!</v>
      </c>
      <c r="G29" s="48" t="str">
        <f t="shared" si="8"/>
        <v/>
      </c>
      <c r="H29" s="19">
        <f t="shared" si="10"/>
        <v>0</v>
      </c>
      <c r="I29" s="19">
        <f t="shared" si="4"/>
        <v>0</v>
      </c>
      <c r="J29" s="4"/>
    </row>
    <row r="30" spans="1:14" ht="14.25">
      <c r="A30" s="46" t="str">
        <f t="shared" si="5"/>
        <v/>
      </c>
      <c r="B30" s="47" t="str">
        <f t="shared" si="6"/>
        <v/>
      </c>
      <c r="C30" s="48" t="str">
        <f t="shared" si="9"/>
        <v/>
      </c>
      <c r="D30" s="48" t="str">
        <f>IF(ISERROR(PMT(Maandelijkse_rente_percentage,(Loan_Years*12)-Pay_Num+1,Beg_Bal)),"",IF(Values_Entered,-PMT(Maandelijkse_rente_percentage,(Loan_Years*12)-Pay_Num+1,Beg_Bal),""))</f>
        <v/>
      </c>
      <c r="E30" s="48" t="str">
        <f t="shared" si="2"/>
        <v/>
      </c>
      <c r="F30" s="48" t="e">
        <f t="shared" si="3"/>
        <v>#VALUE!</v>
      </c>
      <c r="G30" s="48" t="str">
        <f t="shared" si="8"/>
        <v/>
      </c>
      <c r="H30" s="19">
        <f t="shared" si="10"/>
        <v>0</v>
      </c>
      <c r="I30" s="19">
        <f t="shared" si="4"/>
        <v>0</v>
      </c>
      <c r="J30" s="4"/>
    </row>
    <row r="31" spans="1:14" ht="14.25">
      <c r="A31" s="46" t="str">
        <f t="shared" si="5"/>
        <v/>
      </c>
      <c r="B31" s="47" t="str">
        <f t="shared" si="6"/>
        <v/>
      </c>
      <c r="C31" s="48" t="str">
        <f t="shared" si="9"/>
        <v/>
      </c>
      <c r="D31" s="48" t="str">
        <f>IF(ISERROR(PMT(Maandelijkse_rente_percentage,(Loan_Years*12)-Pay_Num+1,Beg_Bal)),"",IF(Values_Entered,-PMT(Maandelijkse_rente_percentage,(Loan_Years*12)-Pay_Num+1,Beg_Bal),""))</f>
        <v/>
      </c>
      <c r="E31" s="48" t="str">
        <f t="shared" si="2"/>
        <v/>
      </c>
      <c r="F31" s="48" t="e">
        <f t="shared" si="3"/>
        <v>#VALUE!</v>
      </c>
      <c r="G31" s="48" t="str">
        <f t="shared" si="8"/>
        <v/>
      </c>
      <c r="H31" s="19">
        <f>L4</f>
        <v>0</v>
      </c>
      <c r="I31" s="19">
        <f t="shared" si="4"/>
        <v>0</v>
      </c>
      <c r="J31" s="4"/>
    </row>
    <row r="32" spans="1:14" ht="14.25">
      <c r="A32" s="46" t="str">
        <f t="shared" si="5"/>
        <v/>
      </c>
      <c r="B32" s="47" t="str">
        <f t="shared" si="6"/>
        <v/>
      </c>
      <c r="C32" s="48" t="str">
        <f t="shared" si="9"/>
        <v/>
      </c>
      <c r="D32" s="48" t="str">
        <f>IF(ISERROR(PMT(Maandelijkse_rente_percentage,(Loan_Years*12)-Pay_Num+1,Beg_Bal)),"",IF(Values_Entered,-PMT(Maandelijkse_rente_percentage,(Loan_Years*12)-Pay_Num+1,Beg_Bal),""))</f>
        <v/>
      </c>
      <c r="E32" s="48" t="str">
        <f t="shared" si="2"/>
        <v/>
      </c>
      <c r="F32" s="48" t="e">
        <f t="shared" si="3"/>
        <v>#VALUE!</v>
      </c>
      <c r="G32" s="48" t="str">
        <f t="shared" si="8"/>
        <v/>
      </c>
      <c r="H32" s="19">
        <f t="shared" si="10"/>
        <v>0</v>
      </c>
      <c r="I32" s="19">
        <f t="shared" si="4"/>
        <v>0</v>
      </c>
      <c r="J32" s="4"/>
    </row>
    <row r="33" spans="1:10" ht="14.25">
      <c r="A33" s="46" t="str">
        <f t="shared" si="5"/>
        <v/>
      </c>
      <c r="B33" s="47" t="str">
        <f t="shared" si="6"/>
        <v/>
      </c>
      <c r="C33" s="48" t="str">
        <f t="shared" si="9"/>
        <v/>
      </c>
      <c r="D33" s="48" t="str">
        <f>IF(ISERROR(PMT(Maandelijkse_rente_percentage,(Loan_Years*12)-Pay_Num+1,Beg_Bal)),"",IF(Values_Entered,-PMT(Maandelijkse_rente_percentage,(Loan_Years*12)-Pay_Num+1,Beg_Bal),""))</f>
        <v/>
      </c>
      <c r="E33" s="48" t="str">
        <f t="shared" si="2"/>
        <v/>
      </c>
      <c r="F33" s="48" t="e">
        <f t="shared" si="3"/>
        <v>#VALUE!</v>
      </c>
      <c r="G33" s="48" t="str">
        <f t="shared" si="8"/>
        <v/>
      </c>
      <c r="H33" s="19">
        <f t="shared" si="10"/>
        <v>0</v>
      </c>
      <c r="I33" s="19">
        <f t="shared" si="4"/>
        <v>0</v>
      </c>
      <c r="J33" s="4"/>
    </row>
    <row r="34" spans="1:10" ht="14.25">
      <c r="A34" s="46" t="str">
        <f t="shared" si="5"/>
        <v/>
      </c>
      <c r="B34" s="47" t="str">
        <f t="shared" si="6"/>
        <v/>
      </c>
      <c r="C34" s="48" t="str">
        <f t="shared" si="9"/>
        <v/>
      </c>
      <c r="D34" s="48" t="str">
        <f>IF(ISERROR(PMT(Maandelijkse_rente_percentage,(Loan_Years*12)-Pay_Num+1,Beg_Bal)),"",IF(Values_Entered,-PMT(Maandelijkse_rente_percentage,(Loan_Years*12)-Pay_Num+1,Beg_Bal),""))</f>
        <v/>
      </c>
      <c r="E34" s="48" t="str">
        <f t="shared" si="2"/>
        <v/>
      </c>
      <c r="F34" s="48" t="e">
        <f t="shared" si="3"/>
        <v>#VALUE!</v>
      </c>
      <c r="G34" s="48" t="str">
        <f t="shared" si="8"/>
        <v/>
      </c>
      <c r="H34" s="19">
        <f t="shared" si="10"/>
        <v>0</v>
      </c>
      <c r="I34" s="19">
        <f t="shared" si="4"/>
        <v>0</v>
      </c>
      <c r="J34" s="4"/>
    </row>
    <row r="35" spans="1:10" ht="14.25">
      <c r="A35" s="46" t="str">
        <f t="shared" si="5"/>
        <v/>
      </c>
      <c r="B35" s="47" t="str">
        <f t="shared" si="6"/>
        <v/>
      </c>
      <c r="C35" s="48" t="str">
        <f t="shared" si="9"/>
        <v/>
      </c>
      <c r="D35" s="48" t="str">
        <f>IF(ISERROR(PMT(Maandelijkse_rente_percentage,(Loan_Years*12)-Pay_Num+1,Beg_Bal)),"",IF(Values_Entered,-PMT(Maandelijkse_rente_percentage,(Loan_Years*12)-Pay_Num+1,Beg_Bal),""))</f>
        <v/>
      </c>
      <c r="E35" s="48" t="str">
        <f t="shared" si="2"/>
        <v/>
      </c>
      <c r="F35" s="48" t="e">
        <f t="shared" si="3"/>
        <v>#VALUE!</v>
      </c>
      <c r="G35" s="48" t="str">
        <f t="shared" si="8"/>
        <v/>
      </c>
      <c r="H35" s="19">
        <f t="shared" si="10"/>
        <v>0</v>
      </c>
      <c r="I35" s="19">
        <f t="shared" si="4"/>
        <v>0</v>
      </c>
      <c r="J35" s="4"/>
    </row>
    <row r="36" spans="1:10" ht="14.25">
      <c r="A36" s="46" t="str">
        <f t="shared" si="5"/>
        <v/>
      </c>
      <c r="B36" s="47" t="str">
        <f t="shared" si="6"/>
        <v/>
      </c>
      <c r="C36" s="48" t="str">
        <f t="shared" si="9"/>
        <v/>
      </c>
      <c r="D36" s="48" t="str">
        <f>IF(ISERROR(PMT(Maandelijkse_rente_percentage,(Loan_Years*12)-Pay_Num+1,Beg_Bal)),"",IF(Values_Entered,-PMT(Maandelijkse_rente_percentage,(Loan_Years*12)-Pay_Num+1,Beg_Bal),""))</f>
        <v/>
      </c>
      <c r="E36" s="48" t="str">
        <f t="shared" si="2"/>
        <v/>
      </c>
      <c r="F36" s="48" t="e">
        <f t="shared" si="3"/>
        <v>#VALUE!</v>
      </c>
      <c r="G36" s="48" t="str">
        <f t="shared" si="8"/>
        <v/>
      </c>
      <c r="H36" s="19">
        <f t="shared" si="10"/>
        <v>0</v>
      </c>
      <c r="I36" s="19">
        <f t="shared" si="4"/>
        <v>0</v>
      </c>
      <c r="J36" s="4"/>
    </row>
    <row r="37" spans="1:10" ht="14.25">
      <c r="A37" s="46" t="str">
        <f t="shared" si="5"/>
        <v/>
      </c>
      <c r="B37" s="47" t="str">
        <f t="shared" si="6"/>
        <v/>
      </c>
      <c r="C37" s="48" t="str">
        <f t="shared" si="9"/>
        <v/>
      </c>
      <c r="D37" s="48" t="str">
        <f>IF(ISERROR(PMT(Maandelijkse_rente_percentage,(Loan_Years*12)-Pay_Num+1,Beg_Bal)),"",IF(Values_Entered,-PMT(Maandelijkse_rente_percentage,(Loan_Years*12)-Pay_Num+1,Beg_Bal),""))</f>
        <v/>
      </c>
      <c r="E37" s="48" t="str">
        <f t="shared" si="2"/>
        <v/>
      </c>
      <c r="F37" s="48" t="e">
        <f t="shared" si="3"/>
        <v>#VALUE!</v>
      </c>
      <c r="G37" s="48" t="str">
        <f t="shared" si="8"/>
        <v/>
      </c>
      <c r="H37" s="19">
        <f t="shared" si="10"/>
        <v>0</v>
      </c>
      <c r="I37" s="19">
        <f t="shared" si="4"/>
        <v>0</v>
      </c>
      <c r="J37" s="4"/>
    </row>
    <row r="38" spans="1:10" ht="14.25">
      <c r="A38" s="46" t="str">
        <f t="shared" si="5"/>
        <v/>
      </c>
      <c r="B38" s="47" t="str">
        <f t="shared" si="6"/>
        <v/>
      </c>
      <c r="C38" s="48" t="str">
        <f t="shared" si="9"/>
        <v/>
      </c>
      <c r="D38" s="48" t="str">
        <f>IF(ISERROR(PMT(Maandelijkse_rente_percentage,(Loan_Years*12)-Pay_Num+1,Beg_Bal)),"",IF(Values_Entered,-PMT(Maandelijkse_rente_percentage,(Loan_Years*12)-Pay_Num+1,Beg_Bal),""))</f>
        <v/>
      </c>
      <c r="E38" s="48" t="str">
        <f t="shared" si="2"/>
        <v/>
      </c>
      <c r="F38" s="48" t="e">
        <f t="shared" si="3"/>
        <v>#VALUE!</v>
      </c>
      <c r="G38" s="48" t="str">
        <f t="shared" si="8"/>
        <v/>
      </c>
      <c r="H38" s="19">
        <f t="shared" si="10"/>
        <v>0</v>
      </c>
      <c r="I38" s="19">
        <f t="shared" si="4"/>
        <v>0</v>
      </c>
      <c r="J38" s="4"/>
    </row>
    <row r="39" spans="1:10" ht="14.25">
      <c r="A39" s="46" t="str">
        <f t="shared" si="5"/>
        <v/>
      </c>
      <c r="B39" s="47" t="str">
        <f t="shared" si="6"/>
        <v/>
      </c>
      <c r="C39" s="48" t="str">
        <f t="shared" si="9"/>
        <v/>
      </c>
      <c r="D39" s="48" t="str">
        <f>IF(ISERROR(PMT(Maandelijkse_rente_percentage,(Loan_Years*12)-Pay_Num+1,Beg_Bal)),"",IF(Values_Entered,-PMT(Maandelijkse_rente_percentage,(Loan_Years*12)-Pay_Num+1,Beg_Bal),""))</f>
        <v/>
      </c>
      <c r="E39" s="48" t="str">
        <f t="shared" si="2"/>
        <v/>
      </c>
      <c r="F39" s="48" t="e">
        <f t="shared" si="3"/>
        <v>#VALUE!</v>
      </c>
      <c r="G39" s="48" t="str">
        <f t="shared" si="8"/>
        <v/>
      </c>
      <c r="H39" s="19">
        <f t="shared" si="10"/>
        <v>0</v>
      </c>
      <c r="I39" s="19">
        <f t="shared" si="4"/>
        <v>0</v>
      </c>
      <c r="J39" s="4"/>
    </row>
    <row r="40" spans="1:10" ht="14.25">
      <c r="A40" s="46" t="str">
        <f t="shared" si="5"/>
        <v/>
      </c>
      <c r="B40" s="47" t="str">
        <f t="shared" si="6"/>
        <v/>
      </c>
      <c r="C40" s="48" t="str">
        <f t="shared" si="9"/>
        <v/>
      </c>
      <c r="D40" s="48" t="str">
        <f>IF(ISERROR(PMT(Maandelijkse_rente_percentage,(Loan_Years*12)-Pay_Num+1,Beg_Bal)),"",IF(Values_Entered,-PMT(Maandelijkse_rente_percentage,(Loan_Years*12)-Pay_Num+1,Beg_Bal),""))</f>
        <v/>
      </c>
      <c r="E40" s="48" t="str">
        <f t="shared" si="2"/>
        <v/>
      </c>
      <c r="F40" s="48" t="e">
        <f t="shared" si="3"/>
        <v>#VALUE!</v>
      </c>
      <c r="G40" s="48" t="str">
        <f t="shared" si="8"/>
        <v/>
      </c>
      <c r="H40" s="19">
        <f t="shared" si="10"/>
        <v>0</v>
      </c>
      <c r="I40" s="19">
        <f t="shared" si="4"/>
        <v>0</v>
      </c>
      <c r="J40" s="4"/>
    </row>
    <row r="41" spans="1:10" ht="14.25">
      <c r="A41" s="46" t="str">
        <f t="shared" si="5"/>
        <v/>
      </c>
      <c r="B41" s="47" t="str">
        <f t="shared" si="6"/>
        <v/>
      </c>
      <c r="C41" s="48" t="str">
        <f t="shared" si="9"/>
        <v/>
      </c>
      <c r="D41" s="48" t="str">
        <f>IF(ISERROR(PMT(Maandelijkse_rente_percentage,(Loan_Years*12)-Pay_Num+1,Beg_Bal)),"",IF(Values_Entered,-PMT(Maandelijkse_rente_percentage,(Loan_Years*12)-Pay_Num+1,Beg_Bal),""))</f>
        <v/>
      </c>
      <c r="E41" s="48" t="str">
        <f t="shared" si="2"/>
        <v/>
      </c>
      <c r="F41" s="48" t="e">
        <f t="shared" si="3"/>
        <v>#VALUE!</v>
      </c>
      <c r="G41" s="48" t="str">
        <f t="shared" si="8"/>
        <v/>
      </c>
      <c r="H41" s="19">
        <f t="shared" si="10"/>
        <v>0</v>
      </c>
      <c r="I41" s="19">
        <f t="shared" si="4"/>
        <v>0</v>
      </c>
      <c r="J41" s="4"/>
    </row>
    <row r="42" spans="1:10" ht="14.25">
      <c r="A42" s="46" t="str">
        <f t="shared" si="5"/>
        <v/>
      </c>
      <c r="B42" s="47" t="str">
        <f t="shared" si="6"/>
        <v/>
      </c>
      <c r="C42" s="48" t="str">
        <f t="shared" si="9"/>
        <v/>
      </c>
      <c r="D42" s="48" t="str">
        <f>IF(ISERROR(PMT(Maandelijkse_rente_percentage,(Loan_Years*12)-Pay_Num+1,Beg_Bal)),"",IF(Values_Entered,-PMT(Maandelijkse_rente_percentage,(Loan_Years*12)-Pay_Num+1,Beg_Bal),""))</f>
        <v/>
      </c>
      <c r="E42" s="48" t="str">
        <f t="shared" si="2"/>
        <v/>
      </c>
      <c r="F42" s="48" t="e">
        <f t="shared" si="3"/>
        <v>#VALUE!</v>
      </c>
      <c r="G42" s="48" t="str">
        <f t="shared" si="8"/>
        <v/>
      </c>
      <c r="H42" s="19">
        <f t="shared" si="10"/>
        <v>0</v>
      </c>
      <c r="I42" s="19">
        <f t="shared" si="4"/>
        <v>0</v>
      </c>
      <c r="J42" s="4"/>
    </row>
    <row r="43" spans="1:10" ht="14.25">
      <c r="A43" s="46" t="str">
        <f t="shared" si="5"/>
        <v/>
      </c>
      <c r="B43" s="47" t="str">
        <f t="shared" si="6"/>
        <v/>
      </c>
      <c r="C43" s="48" t="str">
        <f t="shared" si="9"/>
        <v/>
      </c>
      <c r="D43" s="48" t="str">
        <f>IF(ISERROR(PMT(Maandelijkse_rente_percentage,(Loan_Years*12)-Pay_Num+1,Beg_Bal)),"",IF(Values_Entered,-PMT(Maandelijkse_rente_percentage,(Loan_Years*12)-Pay_Num+1,Beg_Bal),""))</f>
        <v/>
      </c>
      <c r="E43" s="48" t="str">
        <f t="shared" si="2"/>
        <v/>
      </c>
      <c r="F43" s="48" t="e">
        <f t="shared" si="3"/>
        <v>#VALUE!</v>
      </c>
      <c r="G43" s="48" t="str">
        <f t="shared" si="8"/>
        <v/>
      </c>
      <c r="H43" s="19">
        <f>L5</f>
        <v>0</v>
      </c>
      <c r="I43" s="19">
        <f t="shared" si="4"/>
        <v>0</v>
      </c>
      <c r="J43" s="4"/>
    </row>
    <row r="44" spans="1:10" ht="14.25">
      <c r="A44" s="46" t="str">
        <f t="shared" si="5"/>
        <v/>
      </c>
      <c r="B44" s="47" t="str">
        <f t="shared" si="6"/>
        <v/>
      </c>
      <c r="C44" s="48" t="str">
        <f t="shared" si="9"/>
        <v/>
      </c>
      <c r="D44" s="48" t="str">
        <f>IF(ISERROR(PMT(Maandelijkse_rente_percentage,(Loan_Years*12)-Pay_Num+1,Beg_Bal)),"",IF(Values_Entered,-PMT(Maandelijkse_rente_percentage,(Loan_Years*12)-Pay_Num+1,Beg_Bal),""))</f>
        <v/>
      </c>
      <c r="E44" s="48" t="str">
        <f t="shared" si="2"/>
        <v/>
      </c>
      <c r="F44" s="48" t="e">
        <f t="shared" si="3"/>
        <v>#VALUE!</v>
      </c>
      <c r="G44" s="48" t="str">
        <f t="shared" si="8"/>
        <v/>
      </c>
      <c r="H44" s="19">
        <f t="shared" si="10"/>
        <v>0</v>
      </c>
      <c r="I44" s="19">
        <f t="shared" si="4"/>
        <v>0</v>
      </c>
      <c r="J44" s="4"/>
    </row>
    <row r="45" spans="1:10" ht="14.25">
      <c r="A45" s="46" t="str">
        <f t="shared" si="5"/>
        <v/>
      </c>
      <c r="B45" s="47" t="str">
        <f t="shared" si="6"/>
        <v/>
      </c>
      <c r="C45" s="48" t="str">
        <f t="shared" si="9"/>
        <v/>
      </c>
      <c r="D45" s="48" t="str">
        <f>IF(ISERROR(PMT(Maandelijkse_rente_percentage,(Loan_Years*12)-Pay_Num+1,Beg_Bal)),"",IF(Values_Entered,-PMT(Maandelijkse_rente_percentage,(Loan_Years*12)-Pay_Num+1,Beg_Bal),""))</f>
        <v/>
      </c>
      <c r="E45" s="48" t="str">
        <f t="shared" si="2"/>
        <v/>
      </c>
      <c r="F45" s="48" t="e">
        <f t="shared" si="3"/>
        <v>#VALUE!</v>
      </c>
      <c r="G45" s="48" t="str">
        <f t="shared" si="8"/>
        <v/>
      </c>
      <c r="H45" s="19">
        <f t="shared" si="10"/>
        <v>0</v>
      </c>
      <c r="I45" s="19">
        <f t="shared" si="4"/>
        <v>0</v>
      </c>
      <c r="J45" s="4"/>
    </row>
    <row r="46" spans="1:10" ht="14.25">
      <c r="A46" s="46" t="str">
        <f t="shared" si="5"/>
        <v/>
      </c>
      <c r="B46" s="47" t="str">
        <f t="shared" si="6"/>
        <v/>
      </c>
      <c r="C46" s="48" t="str">
        <f t="shared" si="9"/>
        <v/>
      </c>
      <c r="D46" s="48" t="str">
        <f>IF(ISERROR(PMT(Maandelijkse_rente_percentage,(Loan_Years*12)-Pay_Num+1,Beg_Bal)),"",IF(Values_Entered,-PMT(Maandelijkse_rente_percentage,(Loan_Years*12)-Pay_Num+1,Beg_Bal),""))</f>
        <v/>
      </c>
      <c r="E46" s="48" t="str">
        <f t="shared" si="2"/>
        <v/>
      </c>
      <c r="F46" s="48" t="e">
        <f t="shared" si="3"/>
        <v>#VALUE!</v>
      </c>
      <c r="G46" s="48" t="str">
        <f t="shared" si="8"/>
        <v/>
      </c>
      <c r="H46" s="19">
        <f t="shared" si="10"/>
        <v>0</v>
      </c>
      <c r="I46" s="19">
        <f t="shared" si="4"/>
        <v>0</v>
      </c>
      <c r="J46" s="4"/>
    </row>
    <row r="47" spans="1:10" ht="14.25">
      <c r="A47" s="46" t="str">
        <f t="shared" si="5"/>
        <v/>
      </c>
      <c r="B47" s="47" t="str">
        <f t="shared" si="6"/>
        <v/>
      </c>
      <c r="C47" s="48" t="str">
        <f t="shared" si="9"/>
        <v/>
      </c>
      <c r="D47" s="48" t="str">
        <f>IF(ISERROR(PMT(Maandelijkse_rente_percentage,(Loan_Years*12)-Pay_Num+1,Beg_Bal)),"",IF(Values_Entered,-PMT(Maandelijkse_rente_percentage,(Loan_Years*12)-Pay_Num+1,Beg_Bal),""))</f>
        <v/>
      </c>
      <c r="E47" s="48" t="str">
        <f t="shared" si="2"/>
        <v/>
      </c>
      <c r="F47" s="48" t="e">
        <f t="shared" si="3"/>
        <v>#VALUE!</v>
      </c>
      <c r="G47" s="48" t="str">
        <f t="shared" si="8"/>
        <v/>
      </c>
      <c r="H47" s="19">
        <f t="shared" si="10"/>
        <v>0</v>
      </c>
      <c r="I47" s="19">
        <f t="shared" si="4"/>
        <v>0</v>
      </c>
      <c r="J47" s="4"/>
    </row>
    <row r="48" spans="1:10" ht="14.25">
      <c r="A48" s="46" t="str">
        <f t="shared" si="5"/>
        <v/>
      </c>
      <c r="B48" s="47" t="str">
        <f t="shared" si="6"/>
        <v/>
      </c>
      <c r="C48" s="48" t="str">
        <f t="shared" si="9"/>
        <v/>
      </c>
      <c r="D48" s="48" t="str">
        <f>IF(ISERROR(PMT(Maandelijkse_rente_percentage,(Loan_Years*12)-Pay_Num+1,Beg_Bal)),"",IF(Values_Entered,-PMT(Maandelijkse_rente_percentage,(Loan_Years*12)-Pay_Num+1,Beg_Bal),""))</f>
        <v/>
      </c>
      <c r="E48" s="48" t="str">
        <f t="shared" si="2"/>
        <v/>
      </c>
      <c r="F48" s="48" t="e">
        <f t="shared" si="3"/>
        <v>#VALUE!</v>
      </c>
      <c r="G48" s="48" t="str">
        <f t="shared" si="8"/>
        <v/>
      </c>
      <c r="H48" s="19">
        <f t="shared" si="10"/>
        <v>0</v>
      </c>
      <c r="I48" s="19">
        <f t="shared" si="4"/>
        <v>0</v>
      </c>
      <c r="J48" s="4"/>
    </row>
    <row r="49" spans="1:10" ht="14.25">
      <c r="A49" s="46" t="str">
        <f t="shared" si="5"/>
        <v/>
      </c>
      <c r="B49" s="47" t="str">
        <f t="shared" si="6"/>
        <v/>
      </c>
      <c r="C49" s="48" t="str">
        <f t="shared" si="9"/>
        <v/>
      </c>
      <c r="D49" s="48" t="str">
        <f>IF(ISERROR(PMT(Maandelijkse_rente_percentage,(Loan_Years*12)-Pay_Num+1,Beg_Bal)),"",IF(Values_Entered,-PMT(Maandelijkse_rente_percentage,(Loan_Years*12)-Pay_Num+1,Beg_Bal),""))</f>
        <v/>
      </c>
      <c r="E49" s="48" t="str">
        <f t="shared" si="2"/>
        <v/>
      </c>
      <c r="F49" s="48" t="e">
        <f t="shared" si="3"/>
        <v>#VALUE!</v>
      </c>
      <c r="G49" s="48" t="str">
        <f t="shared" si="8"/>
        <v/>
      </c>
      <c r="H49" s="19">
        <f t="shared" si="10"/>
        <v>0</v>
      </c>
      <c r="I49" s="19">
        <f t="shared" si="4"/>
        <v>0</v>
      </c>
      <c r="J49" s="4"/>
    </row>
    <row r="50" spans="1:10" ht="14.25">
      <c r="A50" s="46" t="str">
        <f t="shared" si="5"/>
        <v/>
      </c>
      <c r="B50" s="47" t="str">
        <f t="shared" si="6"/>
        <v/>
      </c>
      <c r="C50" s="48" t="str">
        <f t="shared" si="9"/>
        <v/>
      </c>
      <c r="D50" s="48" t="str">
        <f>IF(ISERROR(PMT(Maandelijkse_rente_percentage,(Loan_Years*12)-Pay_Num+1,Beg_Bal)),"",IF(Values_Entered,-PMT(Maandelijkse_rente_percentage,(Loan_Years*12)-Pay_Num+1,Beg_Bal),""))</f>
        <v/>
      </c>
      <c r="E50" s="48" t="str">
        <f t="shared" si="2"/>
        <v/>
      </c>
      <c r="F50" s="48" t="e">
        <f t="shared" si="3"/>
        <v>#VALUE!</v>
      </c>
      <c r="G50" s="48" t="str">
        <f t="shared" si="8"/>
        <v/>
      </c>
      <c r="H50" s="19">
        <f t="shared" si="10"/>
        <v>0</v>
      </c>
      <c r="I50" s="19">
        <f t="shared" si="4"/>
        <v>0</v>
      </c>
      <c r="J50" s="4"/>
    </row>
    <row r="51" spans="1:10" ht="14.25">
      <c r="A51" s="46" t="str">
        <f t="shared" si="5"/>
        <v/>
      </c>
      <c r="B51" s="47" t="str">
        <f t="shared" si="6"/>
        <v/>
      </c>
      <c r="C51" s="48" t="str">
        <f t="shared" si="9"/>
        <v/>
      </c>
      <c r="D51" s="48" t="str">
        <f>IF(ISERROR(PMT(Maandelijkse_rente_percentage,(Loan_Years*12)-Pay_Num+1,Beg_Bal)),"",IF(Values_Entered,-PMT(Maandelijkse_rente_percentage,(Loan_Years*12)-Pay_Num+1,Beg_Bal),""))</f>
        <v/>
      </c>
      <c r="E51" s="48" t="str">
        <f t="shared" si="2"/>
        <v/>
      </c>
      <c r="F51" s="48" t="e">
        <f t="shared" si="3"/>
        <v>#VALUE!</v>
      </c>
      <c r="G51" s="48" t="str">
        <f t="shared" si="8"/>
        <v/>
      </c>
      <c r="H51" s="19">
        <f t="shared" si="10"/>
        <v>0</v>
      </c>
      <c r="I51" s="19">
        <f t="shared" si="4"/>
        <v>0</v>
      </c>
      <c r="J51" s="4"/>
    </row>
    <row r="52" spans="1:10" ht="14.25">
      <c r="A52" s="46" t="str">
        <f t="shared" si="5"/>
        <v/>
      </c>
      <c r="B52" s="47" t="str">
        <f t="shared" si="6"/>
        <v/>
      </c>
      <c r="C52" s="48" t="str">
        <f t="shared" si="9"/>
        <v/>
      </c>
      <c r="D52" s="48" t="str">
        <f>IF(ISERROR(PMT(Maandelijkse_rente_percentage,(Loan_Years*12)-Pay_Num+1,Beg_Bal)),"",IF(Values_Entered,-PMT(Maandelijkse_rente_percentage,(Loan_Years*12)-Pay_Num+1,Beg_Bal),""))</f>
        <v/>
      </c>
      <c r="E52" s="48" t="str">
        <f t="shared" si="2"/>
        <v/>
      </c>
      <c r="F52" s="48" t="e">
        <f t="shared" si="3"/>
        <v>#VALUE!</v>
      </c>
      <c r="G52" s="48" t="str">
        <f t="shared" si="8"/>
        <v/>
      </c>
      <c r="H52" s="19">
        <f t="shared" si="10"/>
        <v>0</v>
      </c>
      <c r="I52" s="19">
        <f t="shared" si="4"/>
        <v>0</v>
      </c>
      <c r="J52" s="4"/>
    </row>
    <row r="53" spans="1:10" ht="14.25">
      <c r="A53" s="46" t="str">
        <f t="shared" si="5"/>
        <v/>
      </c>
      <c r="B53" s="47" t="str">
        <f t="shared" si="6"/>
        <v/>
      </c>
      <c r="C53" s="48" t="str">
        <f t="shared" si="9"/>
        <v/>
      </c>
      <c r="D53" s="48" t="str">
        <f>IF(ISERROR(PMT(Maandelijkse_rente_percentage,(Loan_Years*12)-Pay_Num+1,Beg_Bal)),"",IF(Values_Entered,-PMT(Maandelijkse_rente_percentage,(Loan_Years*12)-Pay_Num+1,Beg_Bal),""))</f>
        <v/>
      </c>
      <c r="E53" s="48" t="str">
        <f t="shared" si="2"/>
        <v/>
      </c>
      <c r="F53" s="48" t="e">
        <f t="shared" si="3"/>
        <v>#VALUE!</v>
      </c>
      <c r="G53" s="48" t="str">
        <f t="shared" si="8"/>
        <v/>
      </c>
      <c r="H53" s="19">
        <f t="shared" si="10"/>
        <v>0</v>
      </c>
      <c r="I53" s="19">
        <f t="shared" si="4"/>
        <v>0</v>
      </c>
      <c r="J53" s="4"/>
    </row>
    <row r="54" spans="1:10" ht="14.25">
      <c r="A54" s="46" t="str">
        <f t="shared" si="5"/>
        <v/>
      </c>
      <c r="B54" s="47" t="str">
        <f t="shared" si="6"/>
        <v/>
      </c>
      <c r="C54" s="48" t="str">
        <f t="shared" si="9"/>
        <v/>
      </c>
      <c r="D54" s="48" t="str">
        <f>IF(ISERROR(PMT(Maandelijkse_rente_percentage,(Loan_Years*12)-Pay_Num+1,Beg_Bal)),"",IF(Values_Entered,-PMT(Maandelijkse_rente_percentage,(Loan_Years*12)-Pay_Num+1,Beg_Bal),""))</f>
        <v/>
      </c>
      <c r="E54" s="48" t="str">
        <f t="shared" si="2"/>
        <v/>
      </c>
      <c r="F54" s="48" t="e">
        <f t="shared" si="3"/>
        <v>#VALUE!</v>
      </c>
      <c r="G54" s="48" t="str">
        <f t="shared" si="8"/>
        <v/>
      </c>
      <c r="H54" s="19">
        <f t="shared" si="10"/>
        <v>0</v>
      </c>
      <c r="I54" s="19">
        <f t="shared" si="4"/>
        <v>0</v>
      </c>
      <c r="J54" s="4"/>
    </row>
    <row r="55" spans="1:10" ht="14.25">
      <c r="A55" s="46" t="str">
        <f t="shared" si="5"/>
        <v/>
      </c>
      <c r="B55" s="47" t="str">
        <f t="shared" si="6"/>
        <v/>
      </c>
      <c r="C55" s="48" t="str">
        <f t="shared" si="9"/>
        <v/>
      </c>
      <c r="D55" s="48" t="str">
        <f>IF(ISERROR(PMT(Maandelijkse_rente_percentage,(Loan_Years*12)-Pay_Num+1,Beg_Bal)),"",IF(Values_Entered,-PMT(Maandelijkse_rente_percentage,(Loan_Years*12)-Pay_Num+1,Beg_Bal),""))</f>
        <v/>
      </c>
      <c r="E55" s="48" t="str">
        <f t="shared" si="2"/>
        <v/>
      </c>
      <c r="F55" s="48" t="e">
        <f t="shared" si="3"/>
        <v>#VALUE!</v>
      </c>
      <c r="G55" s="48" t="str">
        <f t="shared" si="8"/>
        <v/>
      </c>
      <c r="H55" s="19">
        <f>L6</f>
        <v>0</v>
      </c>
      <c r="I55" s="19">
        <f t="shared" si="4"/>
        <v>0</v>
      </c>
      <c r="J55" s="4"/>
    </row>
    <row r="56" spans="1:10" ht="14.25">
      <c r="A56" s="46" t="str">
        <f t="shared" si="5"/>
        <v/>
      </c>
      <c r="B56" s="47" t="str">
        <f t="shared" si="6"/>
        <v/>
      </c>
      <c r="C56" s="48" t="str">
        <f t="shared" si="9"/>
        <v/>
      </c>
      <c r="D56" s="48" t="str">
        <f>IF(ISERROR(PMT(Maandelijkse_rente_percentage,(Loan_Years*12)-Pay_Num+1,Beg_Bal)),"",IF(Values_Entered,-PMT(Maandelijkse_rente_percentage,(Loan_Years*12)-Pay_Num+1,Beg_Bal),""))</f>
        <v/>
      </c>
      <c r="E56" s="48" t="str">
        <f t="shared" si="2"/>
        <v/>
      </c>
      <c r="F56" s="48" t="e">
        <f t="shared" si="3"/>
        <v>#VALUE!</v>
      </c>
      <c r="G56" s="48" t="str">
        <f t="shared" si="8"/>
        <v/>
      </c>
      <c r="H56" s="19">
        <f t="shared" si="10"/>
        <v>0</v>
      </c>
      <c r="I56" s="19">
        <f t="shared" si="4"/>
        <v>0</v>
      </c>
      <c r="J56" s="4"/>
    </row>
    <row r="57" spans="1:10" ht="14.25">
      <c r="A57" s="46" t="str">
        <f t="shared" si="5"/>
        <v/>
      </c>
      <c r="B57" s="47" t="str">
        <f t="shared" si="6"/>
        <v/>
      </c>
      <c r="C57" s="48" t="str">
        <f t="shared" si="9"/>
        <v/>
      </c>
      <c r="D57" s="48" t="str">
        <f>IF(ISERROR(PMT(Maandelijkse_rente_percentage,(Loan_Years*12)-Pay_Num+1,Beg_Bal)),"",IF(Values_Entered,-PMT(Maandelijkse_rente_percentage,(Loan_Years*12)-Pay_Num+1,Beg_Bal),""))</f>
        <v/>
      </c>
      <c r="E57" s="48" t="str">
        <f t="shared" si="2"/>
        <v/>
      </c>
      <c r="F57" s="48" t="e">
        <f t="shared" si="3"/>
        <v>#VALUE!</v>
      </c>
      <c r="G57" s="48" t="str">
        <f t="shared" si="8"/>
        <v/>
      </c>
      <c r="H57" s="19">
        <f t="shared" si="10"/>
        <v>0</v>
      </c>
      <c r="I57" s="19">
        <f t="shared" si="4"/>
        <v>0</v>
      </c>
      <c r="J57" s="4"/>
    </row>
    <row r="58" spans="1:10" ht="14.25">
      <c r="A58" s="46" t="str">
        <f t="shared" si="5"/>
        <v/>
      </c>
      <c r="B58" s="47" t="str">
        <f t="shared" si="6"/>
        <v/>
      </c>
      <c r="C58" s="48" t="str">
        <f t="shared" si="9"/>
        <v/>
      </c>
      <c r="D58" s="48" t="str">
        <f>IF(ISERROR(PMT(Maandelijkse_rente_percentage,(Loan_Years*12)-Pay_Num+1,Beg_Bal)),"",IF(Values_Entered,-PMT(Maandelijkse_rente_percentage,(Loan_Years*12)-Pay_Num+1,Beg_Bal),""))</f>
        <v/>
      </c>
      <c r="E58" s="48" t="str">
        <f t="shared" si="2"/>
        <v/>
      </c>
      <c r="F58" s="48" t="e">
        <f t="shared" si="3"/>
        <v>#VALUE!</v>
      </c>
      <c r="G58" s="48" t="str">
        <f t="shared" si="8"/>
        <v/>
      </c>
      <c r="H58" s="19">
        <f t="shared" si="10"/>
        <v>0</v>
      </c>
      <c r="I58" s="19">
        <f t="shared" si="4"/>
        <v>0</v>
      </c>
      <c r="J58" s="4"/>
    </row>
    <row r="59" spans="1:10" ht="14.25">
      <c r="A59" s="46" t="str">
        <f t="shared" si="5"/>
        <v/>
      </c>
      <c r="B59" s="47" t="str">
        <f t="shared" si="6"/>
        <v/>
      </c>
      <c r="C59" s="48" t="str">
        <f t="shared" si="9"/>
        <v/>
      </c>
      <c r="D59" s="48" t="str">
        <f>IF(ISERROR(PMT(Maandelijkse_rente_percentage,(Loan_Years*12)-Pay_Num+1,Beg_Bal)),"",IF(Values_Entered,-PMT(Maandelijkse_rente_percentage,(Loan_Years*12)-Pay_Num+1,Beg_Bal),""))</f>
        <v/>
      </c>
      <c r="E59" s="48" t="str">
        <f t="shared" si="2"/>
        <v/>
      </c>
      <c r="F59" s="48" t="e">
        <f t="shared" si="3"/>
        <v>#VALUE!</v>
      </c>
      <c r="G59" s="48" t="str">
        <f t="shared" si="8"/>
        <v/>
      </c>
      <c r="H59" s="19">
        <f t="shared" si="10"/>
        <v>0</v>
      </c>
      <c r="I59" s="19">
        <f t="shared" si="4"/>
        <v>0</v>
      </c>
      <c r="J59" s="4"/>
    </row>
    <row r="60" spans="1:10" ht="14.25">
      <c r="A60" s="46" t="str">
        <f t="shared" si="5"/>
        <v/>
      </c>
      <c r="B60" s="47" t="str">
        <f t="shared" si="6"/>
        <v/>
      </c>
      <c r="C60" s="48" t="str">
        <f t="shared" si="9"/>
        <v/>
      </c>
      <c r="D60" s="48" t="str">
        <f>IF(ISERROR(PMT(Maandelijkse_rente_percentage,(Loan_Years*12)-Pay_Num+1,Beg_Bal)),"",IF(Values_Entered,-PMT(Maandelijkse_rente_percentage,(Loan_Years*12)-Pay_Num+1,Beg_Bal),""))</f>
        <v/>
      </c>
      <c r="E60" s="48" t="str">
        <f t="shared" si="2"/>
        <v/>
      </c>
      <c r="F60" s="48" t="e">
        <f t="shared" si="3"/>
        <v>#VALUE!</v>
      </c>
      <c r="G60" s="48" t="str">
        <f t="shared" si="8"/>
        <v/>
      </c>
      <c r="H60" s="19">
        <f t="shared" si="10"/>
        <v>0</v>
      </c>
      <c r="I60" s="19">
        <f t="shared" si="4"/>
        <v>0</v>
      </c>
      <c r="J60" s="4"/>
    </row>
    <row r="61" spans="1:10" ht="14.25">
      <c r="A61" s="46" t="str">
        <f t="shared" si="5"/>
        <v/>
      </c>
      <c r="B61" s="47" t="str">
        <f t="shared" si="6"/>
        <v/>
      </c>
      <c r="C61" s="48" t="str">
        <f t="shared" si="9"/>
        <v/>
      </c>
      <c r="D61" s="48" t="str">
        <f>IF(ISERROR(PMT(Maandelijkse_rente_percentage,(Loan_Years*12)-Pay_Num+1,Beg_Bal)),"",IF(Values_Entered,-PMT(Maandelijkse_rente_percentage,(Loan_Years*12)-Pay_Num+1,Beg_Bal),""))</f>
        <v/>
      </c>
      <c r="E61" s="48" t="str">
        <f t="shared" si="2"/>
        <v/>
      </c>
      <c r="F61" s="48" t="e">
        <f t="shared" si="3"/>
        <v>#VALUE!</v>
      </c>
      <c r="G61" s="48" t="str">
        <f t="shared" si="8"/>
        <v/>
      </c>
      <c r="H61" s="19">
        <f t="shared" si="10"/>
        <v>0</v>
      </c>
      <c r="I61" s="19">
        <f t="shared" si="4"/>
        <v>0</v>
      </c>
      <c r="J61" s="4"/>
    </row>
    <row r="62" spans="1:10" ht="14.25">
      <c r="A62" s="46" t="str">
        <f t="shared" si="5"/>
        <v/>
      </c>
      <c r="B62" s="47" t="str">
        <f t="shared" si="6"/>
        <v/>
      </c>
      <c r="C62" s="48" t="str">
        <f t="shared" si="9"/>
        <v/>
      </c>
      <c r="D62" s="48" t="str">
        <f>IF(ISERROR(PMT(Maandelijkse_rente_percentage,(Loan_Years*12)-Pay_Num+1,Beg_Bal)),"",IF(Values_Entered,-PMT(Maandelijkse_rente_percentage,(Loan_Years*12)-Pay_Num+1,Beg_Bal),""))</f>
        <v/>
      </c>
      <c r="E62" s="48" t="str">
        <f t="shared" si="2"/>
        <v/>
      </c>
      <c r="F62" s="48" t="e">
        <f t="shared" si="3"/>
        <v>#VALUE!</v>
      </c>
      <c r="G62" s="48" t="str">
        <f t="shared" si="8"/>
        <v/>
      </c>
      <c r="H62" s="19">
        <f t="shared" si="10"/>
        <v>0</v>
      </c>
      <c r="I62" s="19">
        <f t="shared" si="4"/>
        <v>0</v>
      </c>
      <c r="J62" s="4"/>
    </row>
    <row r="63" spans="1:10" ht="14.25">
      <c r="A63" s="46" t="str">
        <f t="shared" si="5"/>
        <v/>
      </c>
      <c r="B63" s="47" t="str">
        <f t="shared" si="6"/>
        <v/>
      </c>
      <c r="C63" s="48" t="str">
        <f t="shared" si="9"/>
        <v/>
      </c>
      <c r="D63" s="48" t="str">
        <f>IF(ISERROR(PMT(Maandelijkse_rente_percentage,(Loan_Years*12)-Pay_Num+1,Beg_Bal)),"",IF(Values_Entered,-PMT(Maandelijkse_rente_percentage,(Loan_Years*12)-Pay_Num+1,Beg_Bal),""))</f>
        <v/>
      </c>
      <c r="E63" s="48" t="str">
        <f t="shared" si="2"/>
        <v/>
      </c>
      <c r="F63" s="48" t="e">
        <f t="shared" si="3"/>
        <v>#VALUE!</v>
      </c>
      <c r="G63" s="48" t="str">
        <f t="shared" si="8"/>
        <v/>
      </c>
      <c r="H63" s="19">
        <f t="shared" si="10"/>
        <v>0</v>
      </c>
      <c r="I63" s="19">
        <f t="shared" si="4"/>
        <v>0</v>
      </c>
      <c r="J63" s="4"/>
    </row>
    <row r="64" spans="1:10" ht="14.25">
      <c r="A64" s="46" t="str">
        <f t="shared" si="5"/>
        <v/>
      </c>
      <c r="B64" s="47" t="str">
        <f t="shared" si="6"/>
        <v/>
      </c>
      <c r="C64" s="48" t="str">
        <f t="shared" si="9"/>
        <v/>
      </c>
      <c r="D64" s="48" t="str">
        <f>IF(ISERROR(PMT(Maandelijkse_rente_percentage,(Loan_Years*12)-Pay_Num+1,Beg_Bal)),"",IF(Values_Entered,-PMT(Maandelijkse_rente_percentage,(Loan_Years*12)-Pay_Num+1,Beg_Bal),""))</f>
        <v/>
      </c>
      <c r="E64" s="48" t="str">
        <f t="shared" si="2"/>
        <v/>
      </c>
      <c r="F64" s="48" t="e">
        <f t="shared" si="3"/>
        <v>#VALUE!</v>
      </c>
      <c r="G64" s="48" t="str">
        <f t="shared" si="8"/>
        <v/>
      </c>
      <c r="H64" s="19">
        <f t="shared" si="10"/>
        <v>0</v>
      </c>
      <c r="I64" s="19">
        <f t="shared" si="4"/>
        <v>0</v>
      </c>
      <c r="J64" s="4"/>
    </row>
    <row r="65" spans="1:10" ht="14.25">
      <c r="A65" s="46" t="str">
        <f t="shared" si="5"/>
        <v/>
      </c>
      <c r="B65" s="47" t="str">
        <f t="shared" si="6"/>
        <v/>
      </c>
      <c r="C65" s="48" t="str">
        <f t="shared" si="9"/>
        <v/>
      </c>
      <c r="D65" s="48" t="str">
        <f>IF(ISERROR(PMT(Maandelijkse_rente_percentage,(Loan_Years*12)-Pay_Num+1,Beg_Bal)),"",IF(Values_Entered,-PMT(Maandelijkse_rente_percentage,(Loan_Years*12)-Pay_Num+1,Beg_Bal),""))</f>
        <v/>
      </c>
      <c r="E65" s="48" t="str">
        <f t="shared" si="2"/>
        <v/>
      </c>
      <c r="F65" s="48" t="e">
        <f t="shared" si="3"/>
        <v>#VALUE!</v>
      </c>
      <c r="G65" s="48" t="str">
        <f t="shared" si="8"/>
        <v/>
      </c>
      <c r="H65" s="19">
        <f t="shared" si="10"/>
        <v>0</v>
      </c>
      <c r="I65" s="19">
        <f t="shared" si="4"/>
        <v>0</v>
      </c>
      <c r="J65" s="4"/>
    </row>
    <row r="66" spans="1:10" ht="14.25">
      <c r="A66" s="46" t="str">
        <f t="shared" si="5"/>
        <v/>
      </c>
      <c r="B66" s="47" t="str">
        <f t="shared" si="6"/>
        <v/>
      </c>
      <c r="C66" s="48" t="str">
        <f t="shared" si="9"/>
        <v/>
      </c>
      <c r="D66" s="48" t="str">
        <f>IF(ISERROR(PMT(Maandelijkse_rente_percentage,(Loan_Years*12)-Pay_Num+1,Beg_Bal)),"",IF(Values_Entered,-PMT(Maandelijkse_rente_percentage,(Loan_Years*12)-Pay_Num+1,Beg_Bal),""))</f>
        <v/>
      </c>
      <c r="E66" s="48" t="str">
        <f t="shared" si="2"/>
        <v/>
      </c>
      <c r="F66" s="48" t="e">
        <f t="shared" si="3"/>
        <v>#VALUE!</v>
      </c>
      <c r="G66" s="48" t="str">
        <f t="shared" si="8"/>
        <v/>
      </c>
      <c r="H66" s="19">
        <f t="shared" si="10"/>
        <v>0</v>
      </c>
      <c r="I66" s="19">
        <f t="shared" si="4"/>
        <v>0</v>
      </c>
      <c r="J66" s="4"/>
    </row>
    <row r="67" spans="1:10" ht="14.25">
      <c r="A67" s="46" t="str">
        <f t="shared" si="5"/>
        <v/>
      </c>
      <c r="B67" s="47" t="str">
        <f t="shared" si="6"/>
        <v/>
      </c>
      <c r="C67" s="48" t="str">
        <f t="shared" si="9"/>
        <v/>
      </c>
      <c r="D67" s="48" t="str">
        <f>IF(ISERROR(PMT(Maandelijkse_rente_percentage,(Loan_Years*12)-Pay_Num+1,Beg_Bal)),"",IF(Values_Entered,-PMT(Maandelijkse_rente_percentage,(Loan_Years*12)-Pay_Num+1,Beg_Bal),""))</f>
        <v/>
      </c>
      <c r="E67" s="48" t="str">
        <f t="shared" si="2"/>
        <v/>
      </c>
      <c r="F67" s="48" t="e">
        <f t="shared" si="3"/>
        <v>#VALUE!</v>
      </c>
      <c r="G67" s="48" t="str">
        <f t="shared" si="8"/>
        <v/>
      </c>
      <c r="H67" s="19">
        <f>L7</f>
        <v>0</v>
      </c>
      <c r="I67" s="19">
        <f t="shared" si="4"/>
        <v>0</v>
      </c>
      <c r="J67" s="4"/>
    </row>
    <row r="68" spans="1:10" ht="14.25">
      <c r="A68" s="46" t="str">
        <f t="shared" si="5"/>
        <v/>
      </c>
      <c r="B68" s="47" t="str">
        <f t="shared" si="6"/>
        <v/>
      </c>
      <c r="C68" s="48" t="str">
        <f t="shared" si="9"/>
        <v/>
      </c>
      <c r="D68" s="48" t="str">
        <f>IF(ISERROR(PMT(Maandelijkse_rente_percentage,(Loan_Years*12)-Pay_Num+1,Beg_Bal)),"",IF(Values_Entered,-PMT(Maandelijkse_rente_percentage,(Loan_Years*12)-Pay_Num+1,Beg_Bal),""))</f>
        <v/>
      </c>
      <c r="E68" s="48" t="str">
        <f t="shared" si="2"/>
        <v/>
      </c>
      <c r="F68" s="48" t="e">
        <f t="shared" si="3"/>
        <v>#VALUE!</v>
      </c>
      <c r="G68" s="48" t="str">
        <f t="shared" si="8"/>
        <v/>
      </c>
      <c r="H68" s="19">
        <f t="shared" si="10"/>
        <v>0</v>
      </c>
      <c r="I68" s="19">
        <f t="shared" si="4"/>
        <v>0</v>
      </c>
      <c r="J68" s="4"/>
    </row>
    <row r="69" spans="1:10" ht="14.25">
      <c r="A69" s="46" t="str">
        <f t="shared" si="5"/>
        <v/>
      </c>
      <c r="B69" s="47" t="str">
        <f t="shared" si="6"/>
        <v/>
      </c>
      <c r="C69" s="48" t="str">
        <f t="shared" si="9"/>
        <v/>
      </c>
      <c r="D69" s="48" t="str">
        <f>IF(ISERROR(PMT(Maandelijkse_rente_percentage,(Loan_Years*12)-Pay_Num+1,Beg_Bal)),"",IF(Values_Entered,-PMT(Maandelijkse_rente_percentage,(Loan_Years*12)-Pay_Num+1,Beg_Bal),""))</f>
        <v/>
      </c>
      <c r="E69" s="48" t="str">
        <f t="shared" si="2"/>
        <v/>
      </c>
      <c r="F69" s="48" t="e">
        <f t="shared" si="3"/>
        <v>#VALUE!</v>
      </c>
      <c r="G69" s="48" t="str">
        <f t="shared" si="8"/>
        <v/>
      </c>
      <c r="H69" s="19">
        <f t="shared" si="10"/>
        <v>0</v>
      </c>
      <c r="I69" s="19">
        <f t="shared" si="4"/>
        <v>0</v>
      </c>
      <c r="J69" s="4"/>
    </row>
    <row r="70" spans="1:10" ht="14.25">
      <c r="A70" s="46" t="str">
        <f t="shared" si="5"/>
        <v/>
      </c>
      <c r="B70" s="47" t="str">
        <f t="shared" si="6"/>
        <v/>
      </c>
      <c r="C70" s="48" t="str">
        <f t="shared" si="9"/>
        <v/>
      </c>
      <c r="D70" s="48" t="str">
        <f>IF(ISERROR(PMT(Maandelijkse_rente_percentage,(Loan_Years*12)-Pay_Num+1,Beg_Bal)),"",IF(Values_Entered,-PMT(Maandelijkse_rente_percentage,(Loan_Years*12)-Pay_Num+1,Beg_Bal),""))</f>
        <v/>
      </c>
      <c r="E70" s="48" t="str">
        <f t="shared" si="2"/>
        <v/>
      </c>
      <c r="F70" s="48" t="e">
        <f t="shared" si="3"/>
        <v>#VALUE!</v>
      </c>
      <c r="G70" s="48" t="str">
        <f t="shared" si="8"/>
        <v/>
      </c>
      <c r="H70" s="19">
        <f t="shared" si="10"/>
        <v>0</v>
      </c>
      <c r="I70" s="19">
        <f t="shared" si="4"/>
        <v>0</v>
      </c>
      <c r="J70" s="4"/>
    </row>
    <row r="71" spans="1:10" ht="14.25">
      <c r="A71" s="46" t="str">
        <f t="shared" si="5"/>
        <v/>
      </c>
      <c r="B71" s="47" t="str">
        <f t="shared" si="6"/>
        <v/>
      </c>
      <c r="C71" s="48" t="str">
        <f t="shared" si="9"/>
        <v/>
      </c>
      <c r="D71" s="48" t="str">
        <f>IF(ISERROR(PMT(Maandelijkse_rente_percentage,(Loan_Years*12)-Pay_Num+1,Beg_Bal)),"",IF(Values_Entered,-PMT(Maandelijkse_rente_percentage,(Loan_Years*12)-Pay_Num+1,Beg_Bal),""))</f>
        <v/>
      </c>
      <c r="E71" s="48" t="str">
        <f t="shared" si="2"/>
        <v/>
      </c>
      <c r="F71" s="48" t="e">
        <f t="shared" si="3"/>
        <v>#VALUE!</v>
      </c>
      <c r="G71" s="48" t="str">
        <f t="shared" si="8"/>
        <v/>
      </c>
      <c r="H71" s="19">
        <f t="shared" si="10"/>
        <v>0</v>
      </c>
      <c r="I71" s="19">
        <f t="shared" si="4"/>
        <v>0</v>
      </c>
      <c r="J71" s="4"/>
    </row>
    <row r="72" spans="1:10" ht="14.25">
      <c r="A72" s="46" t="str">
        <f t="shared" si="5"/>
        <v/>
      </c>
      <c r="B72" s="47" t="str">
        <f t="shared" si="6"/>
        <v/>
      </c>
      <c r="C72" s="48" t="str">
        <f t="shared" si="9"/>
        <v/>
      </c>
      <c r="D72" s="48" t="str">
        <f>IF(ISERROR(PMT(Maandelijkse_rente_percentage,(Loan_Years*12)-Pay_Num+1,Beg_Bal)),"",IF(Values_Entered,-PMT(Maandelijkse_rente_percentage,(Loan_Years*12)-Pay_Num+1,Beg_Bal),""))</f>
        <v/>
      </c>
      <c r="E72" s="48" t="str">
        <f t="shared" si="2"/>
        <v/>
      </c>
      <c r="F72" s="48" t="e">
        <f t="shared" si="3"/>
        <v>#VALUE!</v>
      </c>
      <c r="G72" s="48" t="str">
        <f t="shared" si="8"/>
        <v/>
      </c>
      <c r="H72" s="19">
        <f t="shared" si="10"/>
        <v>0</v>
      </c>
      <c r="I72" s="19">
        <f t="shared" si="4"/>
        <v>0</v>
      </c>
      <c r="J72" s="4"/>
    </row>
    <row r="73" spans="1:10" ht="14.25">
      <c r="A73" s="46" t="str">
        <f t="shared" si="5"/>
        <v/>
      </c>
      <c r="B73" s="47" t="str">
        <f t="shared" si="6"/>
        <v/>
      </c>
      <c r="C73" s="48" t="str">
        <f t="shared" si="9"/>
        <v/>
      </c>
      <c r="D73" s="48" t="str">
        <f>IF(ISERROR(PMT(Maandelijkse_rente_percentage,(Loan_Years*12)-Pay_Num+1,Beg_Bal)),"",IF(Values_Entered,-PMT(Maandelijkse_rente_percentage,(Loan_Years*12)-Pay_Num+1,Beg_Bal),""))</f>
        <v/>
      </c>
      <c r="E73" s="48" t="str">
        <f t="shared" si="2"/>
        <v/>
      </c>
      <c r="F73" s="48" t="e">
        <f t="shared" si="3"/>
        <v>#VALUE!</v>
      </c>
      <c r="G73" s="48" t="str">
        <f t="shared" si="8"/>
        <v/>
      </c>
      <c r="H73" s="19">
        <f t="shared" si="10"/>
        <v>0</v>
      </c>
      <c r="I73" s="19">
        <f t="shared" si="4"/>
        <v>0</v>
      </c>
      <c r="J73" s="4"/>
    </row>
    <row r="74" spans="1:10" ht="14.25">
      <c r="A74" s="46" t="str">
        <f t="shared" si="5"/>
        <v/>
      </c>
      <c r="B74" s="47" t="str">
        <f t="shared" si="6"/>
        <v/>
      </c>
      <c r="C74" s="48" t="str">
        <f t="shared" si="9"/>
        <v/>
      </c>
      <c r="D74" s="48" t="str">
        <f>IF(ISERROR(PMT(Maandelijkse_rente_percentage,(Loan_Years*12)-Pay_Num+1,Beg_Bal)),"",IF(Values_Entered,-PMT(Maandelijkse_rente_percentage,(Loan_Years*12)-Pay_Num+1,Beg_Bal),""))</f>
        <v/>
      </c>
      <c r="E74" s="48" t="str">
        <f t="shared" si="2"/>
        <v/>
      </c>
      <c r="F74" s="48" t="e">
        <f t="shared" si="3"/>
        <v>#VALUE!</v>
      </c>
      <c r="G74" s="48" t="str">
        <f t="shared" si="8"/>
        <v/>
      </c>
      <c r="H74" s="19">
        <f t="shared" si="10"/>
        <v>0</v>
      </c>
      <c r="I74" s="19">
        <f t="shared" si="4"/>
        <v>0</v>
      </c>
      <c r="J74" s="4"/>
    </row>
    <row r="75" spans="1:10" ht="14.25">
      <c r="A75" s="46" t="str">
        <f t="shared" si="5"/>
        <v/>
      </c>
      <c r="B75" s="47" t="str">
        <f t="shared" si="6"/>
        <v/>
      </c>
      <c r="C75" s="48" t="str">
        <f t="shared" si="9"/>
        <v/>
      </c>
      <c r="D75" s="48" t="str">
        <f>IF(ISERROR(PMT(Maandelijkse_rente_percentage,(Loan_Years*12)-Pay_Num+1,Beg_Bal)),"",IF(Values_Entered,-PMT(Maandelijkse_rente_percentage,(Loan_Years*12)-Pay_Num+1,Beg_Bal),""))</f>
        <v/>
      </c>
      <c r="E75" s="48" t="str">
        <f t="shared" si="2"/>
        <v/>
      </c>
      <c r="F75" s="48" t="e">
        <f t="shared" si="3"/>
        <v>#VALUE!</v>
      </c>
      <c r="G75" s="48" t="str">
        <f t="shared" si="8"/>
        <v/>
      </c>
      <c r="H75" s="19">
        <f t="shared" si="10"/>
        <v>0</v>
      </c>
      <c r="I75" s="19">
        <f t="shared" si="4"/>
        <v>0</v>
      </c>
      <c r="J75" s="4"/>
    </row>
    <row r="76" spans="1:10" ht="14.25">
      <c r="A76" s="46" t="str">
        <f t="shared" si="5"/>
        <v/>
      </c>
      <c r="B76" s="47" t="str">
        <f t="shared" si="6"/>
        <v/>
      </c>
      <c r="C76" s="48" t="str">
        <f t="shared" si="9"/>
        <v/>
      </c>
      <c r="D76" s="48" t="str">
        <f>IF(ISERROR(PMT(Maandelijkse_rente_percentage,(Loan_Years*12)-Pay_Num+1,Beg_Bal)),"",IF(Values_Entered,-PMT(Maandelijkse_rente_percentage,(Loan_Years*12)-Pay_Num+1,Beg_Bal),""))</f>
        <v/>
      </c>
      <c r="E76" s="48" t="str">
        <f t="shared" si="2"/>
        <v/>
      </c>
      <c r="F76" s="48" t="e">
        <f t="shared" si="3"/>
        <v>#VALUE!</v>
      </c>
      <c r="G76" s="48" t="str">
        <f t="shared" si="8"/>
        <v/>
      </c>
      <c r="H76" s="19">
        <f t="shared" si="10"/>
        <v>0</v>
      </c>
      <c r="I76" s="19">
        <f t="shared" si="4"/>
        <v>0</v>
      </c>
      <c r="J76" s="4"/>
    </row>
    <row r="77" spans="1:10" ht="14.25">
      <c r="A77" s="46" t="str">
        <f t="shared" si="5"/>
        <v/>
      </c>
      <c r="B77" s="47" t="str">
        <f t="shared" si="6"/>
        <v/>
      </c>
      <c r="C77" s="48" t="str">
        <f t="shared" si="9"/>
        <v/>
      </c>
      <c r="D77" s="48" t="str">
        <f>IF(ISERROR(PMT(Maandelijkse_rente_percentage,(Loan_Years*12)-Pay_Num+1,Beg_Bal)),"",IF(Values_Entered,-PMT(Maandelijkse_rente_percentage,(Loan_Years*12)-Pay_Num+1,Beg_Bal),""))</f>
        <v/>
      </c>
      <c r="E77" s="48" t="str">
        <f t="shared" si="2"/>
        <v/>
      </c>
      <c r="F77" s="48" t="e">
        <f t="shared" si="3"/>
        <v>#VALUE!</v>
      </c>
      <c r="G77" s="48" t="str">
        <f t="shared" si="8"/>
        <v/>
      </c>
      <c r="H77" s="19">
        <f t="shared" si="10"/>
        <v>0</v>
      </c>
      <c r="I77" s="19">
        <f t="shared" si="4"/>
        <v>0</v>
      </c>
      <c r="J77" s="4"/>
    </row>
    <row r="78" spans="1:10" ht="14.25">
      <c r="A78" s="46" t="str">
        <f t="shared" si="5"/>
        <v/>
      </c>
      <c r="B78" s="47" t="str">
        <f t="shared" si="6"/>
        <v/>
      </c>
      <c r="C78" s="48" t="str">
        <f t="shared" si="9"/>
        <v/>
      </c>
      <c r="D78" s="48" t="str">
        <f>IF(ISERROR(PMT(Maandelijkse_rente_percentage,(Loan_Years*12)-Pay_Num+1,Beg_Bal)),"",IF(Values_Entered,-PMT(Maandelijkse_rente_percentage,(Loan_Years*12)-Pay_Num+1,Beg_Bal),""))</f>
        <v/>
      </c>
      <c r="E78" s="48" t="str">
        <f t="shared" si="2"/>
        <v/>
      </c>
      <c r="F78" s="48" t="e">
        <f t="shared" si="3"/>
        <v>#VALUE!</v>
      </c>
      <c r="G78" s="48" t="str">
        <f t="shared" si="8"/>
        <v/>
      </c>
      <c r="H78" s="19">
        <f t="shared" si="10"/>
        <v>0</v>
      </c>
      <c r="I78" s="19">
        <f t="shared" si="4"/>
        <v>0</v>
      </c>
      <c r="J78" s="4"/>
    </row>
    <row r="79" spans="1:10" ht="14.25">
      <c r="A79" s="46" t="str">
        <f t="shared" si="5"/>
        <v/>
      </c>
      <c r="B79" s="47" t="str">
        <f t="shared" si="6"/>
        <v/>
      </c>
      <c r="C79" s="48" t="str">
        <f t="shared" si="9"/>
        <v/>
      </c>
      <c r="D79" s="48" t="str">
        <f>IF(ISERROR(PMT(Maandelijkse_rente_percentage,(Loan_Years*12)-Pay_Num+1,Beg_Bal)),"",IF(Values_Entered,-PMT(Maandelijkse_rente_percentage,(Loan_Years*12)-Pay_Num+1,Beg_Bal),""))</f>
        <v/>
      </c>
      <c r="E79" s="48" t="str">
        <f t="shared" si="2"/>
        <v/>
      </c>
      <c r="F79" s="48" t="e">
        <f t="shared" si="3"/>
        <v>#VALUE!</v>
      </c>
      <c r="G79" s="48" t="str">
        <f t="shared" si="8"/>
        <v/>
      </c>
      <c r="H79" s="19">
        <f>L8</f>
        <v>0</v>
      </c>
      <c r="I79" s="19">
        <f t="shared" si="4"/>
        <v>0</v>
      </c>
      <c r="J79" s="4"/>
    </row>
    <row r="80" spans="1:10" ht="14.25">
      <c r="A80" s="46" t="str">
        <f t="shared" si="5"/>
        <v/>
      </c>
      <c r="B80" s="47" t="str">
        <f t="shared" si="6"/>
        <v/>
      </c>
      <c r="C80" s="48" t="str">
        <f t="shared" si="9"/>
        <v/>
      </c>
      <c r="D80" s="48" t="str">
        <f>IF(ISERROR(PMT(Maandelijkse_rente_percentage,(Loan_Years*12)-Pay_Num+1,Beg_Bal)),"",IF(Values_Entered,-PMT(Maandelijkse_rente_percentage,(Loan_Years*12)-Pay_Num+1,Beg_Bal),""))</f>
        <v/>
      </c>
      <c r="E80" s="48" t="str">
        <f t="shared" si="2"/>
        <v/>
      </c>
      <c r="F80" s="48" t="e">
        <f t="shared" si="3"/>
        <v>#VALUE!</v>
      </c>
      <c r="G80" s="48" t="str">
        <f t="shared" si="8"/>
        <v/>
      </c>
      <c r="H80" s="19">
        <f t="shared" ref="H80:H142" si="11">H79</f>
        <v>0</v>
      </c>
      <c r="I80" s="19">
        <f t="shared" si="4"/>
        <v>0</v>
      </c>
      <c r="J80" s="4"/>
    </row>
    <row r="81" spans="1:10" ht="14.25">
      <c r="A81" s="46" t="str">
        <f t="shared" si="5"/>
        <v/>
      </c>
      <c r="B81" s="47" t="str">
        <f t="shared" si="6"/>
        <v/>
      </c>
      <c r="C81" s="48" t="str">
        <f t="shared" si="9"/>
        <v/>
      </c>
      <c r="D81" s="48" t="str">
        <f>IF(ISERROR(PMT(Maandelijkse_rente_percentage,(Loan_Years*12)-Pay_Num+1,Beg_Bal)),"",IF(Values_Entered,-PMT(Maandelijkse_rente_percentage,(Loan_Years*12)-Pay_Num+1,Beg_Bal),""))</f>
        <v/>
      </c>
      <c r="E81" s="48" t="str">
        <f t="shared" si="2"/>
        <v/>
      </c>
      <c r="F81" s="48" t="e">
        <f t="shared" si="3"/>
        <v>#VALUE!</v>
      </c>
      <c r="G81" s="48" t="str">
        <f t="shared" si="8"/>
        <v/>
      </c>
      <c r="H81" s="19">
        <f t="shared" si="11"/>
        <v>0</v>
      </c>
      <c r="I81" s="19">
        <f t="shared" si="4"/>
        <v>0</v>
      </c>
      <c r="J81" s="4"/>
    </row>
    <row r="82" spans="1:10" ht="14.25">
      <c r="A82" s="46" t="str">
        <f t="shared" si="5"/>
        <v/>
      </c>
      <c r="B82" s="47" t="str">
        <f t="shared" si="6"/>
        <v/>
      </c>
      <c r="C82" s="48" t="str">
        <f t="shared" si="9"/>
        <v/>
      </c>
      <c r="D82" s="48" t="str">
        <f>IF(ISERROR(PMT(Maandelijkse_rente_percentage,(Loan_Years*12)-Pay_Num+1,Beg_Bal)),"",IF(Values_Entered,-PMT(Maandelijkse_rente_percentage,(Loan_Years*12)-Pay_Num+1,Beg_Bal),""))</f>
        <v/>
      </c>
      <c r="E82" s="48" t="str">
        <f t="shared" si="2"/>
        <v/>
      </c>
      <c r="F82" s="48" t="e">
        <f t="shared" si="3"/>
        <v>#VALUE!</v>
      </c>
      <c r="G82" s="48" t="str">
        <f t="shared" si="8"/>
        <v/>
      </c>
      <c r="H82" s="19">
        <f t="shared" si="11"/>
        <v>0</v>
      </c>
      <c r="I82" s="19">
        <f t="shared" si="4"/>
        <v>0</v>
      </c>
      <c r="J82" s="4"/>
    </row>
    <row r="83" spans="1:10" ht="14.25">
      <c r="A83" s="46" t="str">
        <f t="shared" si="5"/>
        <v/>
      </c>
      <c r="B83" s="47" t="str">
        <f t="shared" si="6"/>
        <v/>
      </c>
      <c r="C83" s="48" t="str">
        <f t="shared" si="9"/>
        <v/>
      </c>
      <c r="D83" s="48" t="str">
        <f>IF(ISERROR(PMT(Maandelijkse_rente_percentage,(Loan_Years*12)-Pay_Num+1,Beg_Bal)),"",IF(Values_Entered,-PMT(Maandelijkse_rente_percentage,(Loan_Years*12)-Pay_Num+1,Beg_Bal),""))</f>
        <v/>
      </c>
      <c r="E83" s="48" t="str">
        <f t="shared" ref="E83:E146" si="12">IF(Pay_Num&lt;&gt;"",Maandelijkse_aflossing-Int,"")</f>
        <v/>
      </c>
      <c r="F83" s="48" t="e">
        <f t="shared" ref="F83:F146" si="13">Beg_Bal*Maandelijkse_rente_percentage</f>
        <v>#VALUE!</v>
      </c>
      <c r="G83" s="48" t="str">
        <f t="shared" si="8"/>
        <v/>
      </c>
      <c r="H83" s="19">
        <f t="shared" si="11"/>
        <v>0</v>
      </c>
      <c r="I83" s="19">
        <f t="shared" ref="I83:I146" si="14">((1+Jaarlijk_rente_percentage)^(1/12))-1</f>
        <v>0</v>
      </c>
      <c r="J83" s="4"/>
    </row>
    <row r="84" spans="1:10" ht="14.25">
      <c r="A84" s="46" t="str">
        <f t="shared" ref="A84:A147" si="15">IF(Values_Entered,A83+1,"")</f>
        <v/>
      </c>
      <c r="B84" s="47" t="str">
        <f t="shared" ref="B84:B147" si="16">IF(Pay_Num&lt;&gt;"",DATE(YEAR(B83),MONTH(B83)+1,DAY(B83)),"")</f>
        <v/>
      </c>
      <c r="C84" s="48" t="str">
        <f t="shared" si="9"/>
        <v/>
      </c>
      <c r="D84" s="48" t="str">
        <f>IF(ISERROR(PMT(Maandelijkse_rente_percentage,(Loan_Years*12)-Pay_Num+1,Beg_Bal)),"",IF(Values_Entered,-PMT(Maandelijkse_rente_percentage,(Loan_Years*12)-Pay_Num+1,Beg_Bal),""))</f>
        <v/>
      </c>
      <c r="E84" s="48" t="str">
        <f t="shared" si="12"/>
        <v/>
      </c>
      <c r="F84" s="48" t="e">
        <f t="shared" si="13"/>
        <v>#VALUE!</v>
      </c>
      <c r="G84" s="48" t="str">
        <f t="shared" ref="G84:G147" si="17">IF(Pay_Num&lt;&gt;"",Beg_Bal-Princ,"")</f>
        <v/>
      </c>
      <c r="H84" s="19">
        <f t="shared" si="11"/>
        <v>0</v>
      </c>
      <c r="I84" s="19">
        <f t="shared" si="14"/>
        <v>0</v>
      </c>
      <c r="J84" s="4"/>
    </row>
    <row r="85" spans="1:10" ht="14.25">
      <c r="A85" s="46" t="str">
        <f t="shared" si="15"/>
        <v/>
      </c>
      <c r="B85" s="47" t="str">
        <f t="shared" si="16"/>
        <v/>
      </c>
      <c r="C85" s="48" t="str">
        <f t="shared" ref="C85:C148" si="18">IF(Pay_Num&lt;&gt;"",G84,"")</f>
        <v/>
      </c>
      <c r="D85" s="48" t="str">
        <f>IF(ISERROR(PMT(Maandelijkse_rente_percentage,(Loan_Years*12)-Pay_Num+1,Beg_Bal)),"",IF(Values_Entered,-PMT(Maandelijkse_rente_percentage,(Loan_Years*12)-Pay_Num+1,Beg_Bal),""))</f>
        <v/>
      </c>
      <c r="E85" s="48" t="str">
        <f t="shared" si="12"/>
        <v/>
      </c>
      <c r="F85" s="48" t="e">
        <f t="shared" si="13"/>
        <v>#VALUE!</v>
      </c>
      <c r="G85" s="48" t="str">
        <f t="shared" si="17"/>
        <v/>
      </c>
      <c r="H85" s="19">
        <f t="shared" si="11"/>
        <v>0</v>
      </c>
      <c r="I85" s="19">
        <f t="shared" si="14"/>
        <v>0</v>
      </c>
      <c r="J85" s="4"/>
    </row>
    <row r="86" spans="1:10" ht="14.25">
      <c r="A86" s="46" t="str">
        <f t="shared" si="15"/>
        <v/>
      </c>
      <c r="B86" s="47" t="str">
        <f t="shared" si="16"/>
        <v/>
      </c>
      <c r="C86" s="48" t="str">
        <f t="shared" si="18"/>
        <v/>
      </c>
      <c r="D86" s="48" t="str">
        <f>IF(ISERROR(PMT(Maandelijkse_rente_percentage,(Loan_Years*12)-Pay_Num+1,Beg_Bal)),"",IF(Values_Entered,-PMT(Maandelijkse_rente_percentage,(Loan_Years*12)-Pay_Num+1,Beg_Bal),""))</f>
        <v/>
      </c>
      <c r="E86" s="48" t="str">
        <f t="shared" si="12"/>
        <v/>
      </c>
      <c r="F86" s="48" t="e">
        <f t="shared" si="13"/>
        <v>#VALUE!</v>
      </c>
      <c r="G86" s="48" t="str">
        <f t="shared" si="17"/>
        <v/>
      </c>
      <c r="H86" s="19">
        <f t="shared" si="11"/>
        <v>0</v>
      </c>
      <c r="I86" s="19">
        <f t="shared" si="14"/>
        <v>0</v>
      </c>
      <c r="J86" s="4"/>
    </row>
    <row r="87" spans="1:10" ht="14.25">
      <c r="A87" s="46" t="str">
        <f t="shared" si="15"/>
        <v/>
      </c>
      <c r="B87" s="47" t="str">
        <f t="shared" si="16"/>
        <v/>
      </c>
      <c r="C87" s="48" t="str">
        <f t="shared" si="18"/>
        <v/>
      </c>
      <c r="D87" s="48" t="str">
        <f>IF(ISERROR(PMT(Maandelijkse_rente_percentage,(Loan_Years*12)-Pay_Num+1,Beg_Bal)),"",IF(Values_Entered,-PMT(Maandelijkse_rente_percentage,(Loan_Years*12)-Pay_Num+1,Beg_Bal),""))</f>
        <v/>
      </c>
      <c r="E87" s="48" t="str">
        <f t="shared" si="12"/>
        <v/>
      </c>
      <c r="F87" s="48" t="e">
        <f t="shared" si="13"/>
        <v>#VALUE!</v>
      </c>
      <c r="G87" s="48" t="str">
        <f t="shared" si="17"/>
        <v/>
      </c>
      <c r="H87" s="19">
        <f t="shared" si="11"/>
        <v>0</v>
      </c>
      <c r="I87" s="19">
        <f t="shared" si="14"/>
        <v>0</v>
      </c>
      <c r="J87" s="4"/>
    </row>
    <row r="88" spans="1:10" ht="14.25">
      <c r="A88" s="46" t="str">
        <f t="shared" si="15"/>
        <v/>
      </c>
      <c r="B88" s="47" t="str">
        <f t="shared" si="16"/>
        <v/>
      </c>
      <c r="C88" s="48" t="str">
        <f t="shared" si="18"/>
        <v/>
      </c>
      <c r="D88" s="48" t="str">
        <f>IF(ISERROR(PMT(Maandelijkse_rente_percentage,(Loan_Years*12)-Pay_Num+1,Beg_Bal)),"",IF(Values_Entered,-PMT(Maandelijkse_rente_percentage,(Loan_Years*12)-Pay_Num+1,Beg_Bal),""))</f>
        <v/>
      </c>
      <c r="E88" s="48" t="str">
        <f t="shared" si="12"/>
        <v/>
      </c>
      <c r="F88" s="48" t="e">
        <f t="shared" si="13"/>
        <v>#VALUE!</v>
      </c>
      <c r="G88" s="48" t="str">
        <f t="shared" si="17"/>
        <v/>
      </c>
      <c r="H88" s="19">
        <f t="shared" si="11"/>
        <v>0</v>
      </c>
      <c r="I88" s="19">
        <f t="shared" si="14"/>
        <v>0</v>
      </c>
      <c r="J88" s="4"/>
    </row>
    <row r="89" spans="1:10" ht="14.25">
      <c r="A89" s="46" t="str">
        <f t="shared" si="15"/>
        <v/>
      </c>
      <c r="B89" s="47" t="str">
        <f t="shared" si="16"/>
        <v/>
      </c>
      <c r="C89" s="48" t="str">
        <f t="shared" si="18"/>
        <v/>
      </c>
      <c r="D89" s="48" t="str">
        <f>IF(ISERROR(PMT(Maandelijkse_rente_percentage,(Loan_Years*12)-Pay_Num+1,Beg_Bal)),"",IF(Values_Entered,-PMT(Maandelijkse_rente_percentage,(Loan_Years*12)-Pay_Num+1,Beg_Bal),""))</f>
        <v/>
      </c>
      <c r="E89" s="48" t="str">
        <f t="shared" si="12"/>
        <v/>
      </c>
      <c r="F89" s="48" t="e">
        <f t="shared" si="13"/>
        <v>#VALUE!</v>
      </c>
      <c r="G89" s="48" t="str">
        <f t="shared" si="17"/>
        <v/>
      </c>
      <c r="H89" s="19">
        <f t="shared" si="11"/>
        <v>0</v>
      </c>
      <c r="I89" s="19">
        <f t="shared" si="14"/>
        <v>0</v>
      </c>
      <c r="J89" s="4"/>
    </row>
    <row r="90" spans="1:10" ht="14.25">
      <c r="A90" s="46" t="str">
        <f t="shared" si="15"/>
        <v/>
      </c>
      <c r="B90" s="47" t="str">
        <f t="shared" si="16"/>
        <v/>
      </c>
      <c r="C90" s="48" t="str">
        <f t="shared" si="18"/>
        <v/>
      </c>
      <c r="D90" s="48" t="str">
        <f>IF(ISERROR(PMT(Maandelijkse_rente_percentage,(Loan_Years*12)-Pay_Num+1,Beg_Bal)),"",IF(Values_Entered,-PMT(Maandelijkse_rente_percentage,(Loan_Years*12)-Pay_Num+1,Beg_Bal),""))</f>
        <v/>
      </c>
      <c r="E90" s="48" t="str">
        <f t="shared" si="12"/>
        <v/>
      </c>
      <c r="F90" s="48" t="e">
        <f t="shared" si="13"/>
        <v>#VALUE!</v>
      </c>
      <c r="G90" s="48" t="str">
        <f t="shared" si="17"/>
        <v/>
      </c>
      <c r="H90" s="19">
        <f t="shared" si="11"/>
        <v>0</v>
      </c>
      <c r="I90" s="19">
        <f t="shared" si="14"/>
        <v>0</v>
      </c>
      <c r="J90" s="4"/>
    </row>
    <row r="91" spans="1:10" ht="14.25">
      <c r="A91" s="46" t="str">
        <f t="shared" si="15"/>
        <v/>
      </c>
      <c r="B91" s="47" t="str">
        <f t="shared" si="16"/>
        <v/>
      </c>
      <c r="C91" s="48" t="str">
        <f t="shared" si="18"/>
        <v/>
      </c>
      <c r="D91" s="48" t="str">
        <f>IF(ISERROR(PMT(Maandelijkse_rente_percentage,(Loan_Years*12)-Pay_Num+1,Beg_Bal)),"",IF(Values_Entered,-PMT(Maandelijkse_rente_percentage,(Loan_Years*12)-Pay_Num+1,Beg_Bal),""))</f>
        <v/>
      </c>
      <c r="E91" s="48" t="str">
        <f t="shared" si="12"/>
        <v/>
      </c>
      <c r="F91" s="48" t="e">
        <f t="shared" si="13"/>
        <v>#VALUE!</v>
      </c>
      <c r="G91" s="48" t="str">
        <f t="shared" si="17"/>
        <v/>
      </c>
      <c r="H91" s="19">
        <f>L9</f>
        <v>0</v>
      </c>
      <c r="I91" s="19">
        <f t="shared" si="14"/>
        <v>0</v>
      </c>
      <c r="J91" s="4"/>
    </row>
    <row r="92" spans="1:10" ht="14.25">
      <c r="A92" s="46" t="str">
        <f t="shared" si="15"/>
        <v/>
      </c>
      <c r="B92" s="47" t="str">
        <f t="shared" si="16"/>
        <v/>
      </c>
      <c r="C92" s="48" t="str">
        <f t="shared" si="18"/>
        <v/>
      </c>
      <c r="D92" s="48" t="str">
        <f>IF(ISERROR(PMT(Maandelijkse_rente_percentage,(Loan_Years*12)-Pay_Num+1,Beg_Bal)),"",IF(Values_Entered,-PMT(Maandelijkse_rente_percentage,(Loan_Years*12)-Pay_Num+1,Beg_Bal),""))</f>
        <v/>
      </c>
      <c r="E92" s="48" t="str">
        <f t="shared" si="12"/>
        <v/>
      </c>
      <c r="F92" s="48" t="e">
        <f t="shared" si="13"/>
        <v>#VALUE!</v>
      </c>
      <c r="G92" s="48" t="str">
        <f t="shared" si="17"/>
        <v/>
      </c>
      <c r="H92" s="19">
        <f t="shared" si="11"/>
        <v>0</v>
      </c>
      <c r="I92" s="19">
        <f t="shared" si="14"/>
        <v>0</v>
      </c>
      <c r="J92" s="4"/>
    </row>
    <row r="93" spans="1:10" ht="14.25">
      <c r="A93" s="46" t="str">
        <f t="shared" si="15"/>
        <v/>
      </c>
      <c r="B93" s="47" t="str">
        <f t="shared" si="16"/>
        <v/>
      </c>
      <c r="C93" s="48" t="str">
        <f t="shared" si="18"/>
        <v/>
      </c>
      <c r="D93" s="48" t="str">
        <f>IF(ISERROR(PMT(Maandelijkse_rente_percentage,(Loan_Years*12)-Pay_Num+1,Beg_Bal)),"",IF(Values_Entered,-PMT(Maandelijkse_rente_percentage,(Loan_Years*12)-Pay_Num+1,Beg_Bal),""))</f>
        <v/>
      </c>
      <c r="E93" s="48" t="str">
        <f t="shared" si="12"/>
        <v/>
      </c>
      <c r="F93" s="48" t="e">
        <f t="shared" si="13"/>
        <v>#VALUE!</v>
      </c>
      <c r="G93" s="48" t="str">
        <f t="shared" si="17"/>
        <v/>
      </c>
      <c r="H93" s="19">
        <f t="shared" si="11"/>
        <v>0</v>
      </c>
      <c r="I93" s="19">
        <f t="shared" si="14"/>
        <v>0</v>
      </c>
      <c r="J93" s="4"/>
    </row>
    <row r="94" spans="1:10" ht="14.25">
      <c r="A94" s="46" t="str">
        <f t="shared" si="15"/>
        <v/>
      </c>
      <c r="B94" s="47" t="str">
        <f t="shared" si="16"/>
        <v/>
      </c>
      <c r="C94" s="48" t="str">
        <f t="shared" si="18"/>
        <v/>
      </c>
      <c r="D94" s="48" t="str">
        <f>IF(ISERROR(PMT(Maandelijkse_rente_percentage,(Loan_Years*12)-Pay_Num+1,Beg_Bal)),"",IF(Values_Entered,-PMT(Maandelijkse_rente_percentage,(Loan_Years*12)-Pay_Num+1,Beg_Bal),""))</f>
        <v/>
      </c>
      <c r="E94" s="48" t="str">
        <f t="shared" si="12"/>
        <v/>
      </c>
      <c r="F94" s="48" t="e">
        <f t="shared" si="13"/>
        <v>#VALUE!</v>
      </c>
      <c r="G94" s="48" t="str">
        <f t="shared" si="17"/>
        <v/>
      </c>
      <c r="H94" s="19">
        <f t="shared" si="11"/>
        <v>0</v>
      </c>
      <c r="I94" s="19">
        <f t="shared" si="14"/>
        <v>0</v>
      </c>
      <c r="J94" s="4"/>
    </row>
    <row r="95" spans="1:10" ht="14.25">
      <c r="A95" s="46" t="str">
        <f t="shared" si="15"/>
        <v/>
      </c>
      <c r="B95" s="47" t="str">
        <f t="shared" si="16"/>
        <v/>
      </c>
      <c r="C95" s="48" t="str">
        <f t="shared" si="18"/>
        <v/>
      </c>
      <c r="D95" s="48" t="str">
        <f>IF(ISERROR(PMT(Maandelijkse_rente_percentage,(Loan_Years*12)-Pay_Num+1,Beg_Bal)),"",IF(Values_Entered,-PMT(Maandelijkse_rente_percentage,(Loan_Years*12)-Pay_Num+1,Beg_Bal),""))</f>
        <v/>
      </c>
      <c r="E95" s="48" t="str">
        <f t="shared" si="12"/>
        <v/>
      </c>
      <c r="F95" s="48" t="e">
        <f t="shared" si="13"/>
        <v>#VALUE!</v>
      </c>
      <c r="G95" s="48" t="str">
        <f t="shared" si="17"/>
        <v/>
      </c>
      <c r="H95" s="19">
        <f t="shared" si="11"/>
        <v>0</v>
      </c>
      <c r="I95" s="19">
        <f t="shared" si="14"/>
        <v>0</v>
      </c>
      <c r="J95" s="4"/>
    </row>
    <row r="96" spans="1:10" ht="14.25">
      <c r="A96" s="46" t="str">
        <f t="shared" si="15"/>
        <v/>
      </c>
      <c r="B96" s="47" t="str">
        <f t="shared" si="16"/>
        <v/>
      </c>
      <c r="C96" s="48" t="str">
        <f t="shared" si="18"/>
        <v/>
      </c>
      <c r="D96" s="48" t="str">
        <f>IF(ISERROR(PMT(Maandelijkse_rente_percentage,(Loan_Years*12)-Pay_Num+1,Beg_Bal)),"",IF(Values_Entered,-PMT(Maandelijkse_rente_percentage,(Loan_Years*12)-Pay_Num+1,Beg_Bal),""))</f>
        <v/>
      </c>
      <c r="E96" s="48" t="str">
        <f t="shared" si="12"/>
        <v/>
      </c>
      <c r="F96" s="48" t="e">
        <f t="shared" si="13"/>
        <v>#VALUE!</v>
      </c>
      <c r="G96" s="48" t="str">
        <f t="shared" si="17"/>
        <v/>
      </c>
      <c r="H96" s="19">
        <f t="shared" si="11"/>
        <v>0</v>
      </c>
      <c r="I96" s="19">
        <f t="shared" si="14"/>
        <v>0</v>
      </c>
      <c r="J96" s="4"/>
    </row>
    <row r="97" spans="1:10" ht="14.25">
      <c r="A97" s="46" t="str">
        <f t="shared" si="15"/>
        <v/>
      </c>
      <c r="B97" s="47" t="str">
        <f t="shared" si="16"/>
        <v/>
      </c>
      <c r="C97" s="48" t="str">
        <f t="shared" si="18"/>
        <v/>
      </c>
      <c r="D97" s="48" t="str">
        <f>IF(ISERROR(PMT(Maandelijkse_rente_percentage,(Loan_Years*12)-Pay_Num+1,Beg_Bal)),"",IF(Values_Entered,-PMT(Maandelijkse_rente_percentage,(Loan_Years*12)-Pay_Num+1,Beg_Bal),""))</f>
        <v/>
      </c>
      <c r="E97" s="48" t="str">
        <f t="shared" si="12"/>
        <v/>
      </c>
      <c r="F97" s="48" t="e">
        <f t="shared" si="13"/>
        <v>#VALUE!</v>
      </c>
      <c r="G97" s="48" t="str">
        <f t="shared" si="17"/>
        <v/>
      </c>
      <c r="H97" s="19">
        <f t="shared" si="11"/>
        <v>0</v>
      </c>
      <c r="I97" s="19">
        <f t="shared" si="14"/>
        <v>0</v>
      </c>
      <c r="J97" s="4"/>
    </row>
    <row r="98" spans="1:10" ht="14.25">
      <c r="A98" s="46" t="str">
        <f t="shared" si="15"/>
        <v/>
      </c>
      <c r="B98" s="47" t="str">
        <f t="shared" si="16"/>
        <v/>
      </c>
      <c r="C98" s="48" t="str">
        <f t="shared" si="18"/>
        <v/>
      </c>
      <c r="D98" s="48" t="str">
        <f>IF(ISERROR(PMT(Maandelijkse_rente_percentage,(Loan_Years*12)-Pay_Num+1,Beg_Bal)),"",IF(Values_Entered,-PMT(Maandelijkse_rente_percentage,(Loan_Years*12)-Pay_Num+1,Beg_Bal),""))</f>
        <v/>
      </c>
      <c r="E98" s="48" t="str">
        <f t="shared" si="12"/>
        <v/>
      </c>
      <c r="F98" s="48" t="e">
        <f t="shared" si="13"/>
        <v>#VALUE!</v>
      </c>
      <c r="G98" s="48" t="str">
        <f t="shared" si="17"/>
        <v/>
      </c>
      <c r="H98" s="19">
        <f t="shared" si="11"/>
        <v>0</v>
      </c>
      <c r="I98" s="19">
        <f t="shared" si="14"/>
        <v>0</v>
      </c>
      <c r="J98" s="4"/>
    </row>
    <row r="99" spans="1:10" ht="14.25">
      <c r="A99" s="46" t="str">
        <f t="shared" si="15"/>
        <v/>
      </c>
      <c r="B99" s="47" t="str">
        <f t="shared" si="16"/>
        <v/>
      </c>
      <c r="C99" s="48" t="str">
        <f t="shared" si="18"/>
        <v/>
      </c>
      <c r="D99" s="48" t="str">
        <f>IF(ISERROR(PMT(Maandelijkse_rente_percentage,(Loan_Years*12)-Pay_Num+1,Beg_Bal)),"",IF(Values_Entered,-PMT(Maandelijkse_rente_percentage,(Loan_Years*12)-Pay_Num+1,Beg_Bal),""))</f>
        <v/>
      </c>
      <c r="E99" s="48" t="str">
        <f t="shared" si="12"/>
        <v/>
      </c>
      <c r="F99" s="48" t="e">
        <f t="shared" si="13"/>
        <v>#VALUE!</v>
      </c>
      <c r="G99" s="48" t="str">
        <f t="shared" si="17"/>
        <v/>
      </c>
      <c r="H99" s="19">
        <f t="shared" si="11"/>
        <v>0</v>
      </c>
      <c r="I99" s="19">
        <f t="shared" si="14"/>
        <v>0</v>
      </c>
      <c r="J99" s="4"/>
    </row>
    <row r="100" spans="1:10" ht="14.25">
      <c r="A100" s="46" t="str">
        <f t="shared" si="15"/>
        <v/>
      </c>
      <c r="B100" s="47" t="str">
        <f t="shared" si="16"/>
        <v/>
      </c>
      <c r="C100" s="48" t="str">
        <f t="shared" si="18"/>
        <v/>
      </c>
      <c r="D100" s="48" t="str">
        <f>IF(ISERROR(PMT(Maandelijkse_rente_percentage,(Loan_Years*12)-Pay_Num+1,Beg_Bal)),"",IF(Values_Entered,-PMT(Maandelijkse_rente_percentage,(Loan_Years*12)-Pay_Num+1,Beg_Bal),""))</f>
        <v/>
      </c>
      <c r="E100" s="48" t="str">
        <f t="shared" si="12"/>
        <v/>
      </c>
      <c r="F100" s="48" t="e">
        <f t="shared" si="13"/>
        <v>#VALUE!</v>
      </c>
      <c r="G100" s="48" t="str">
        <f t="shared" si="17"/>
        <v/>
      </c>
      <c r="H100" s="19">
        <f t="shared" si="11"/>
        <v>0</v>
      </c>
      <c r="I100" s="19">
        <f t="shared" si="14"/>
        <v>0</v>
      </c>
      <c r="J100" s="4"/>
    </row>
    <row r="101" spans="1:10" ht="14.25">
      <c r="A101" s="46" t="str">
        <f t="shared" si="15"/>
        <v/>
      </c>
      <c r="B101" s="47" t="str">
        <f t="shared" si="16"/>
        <v/>
      </c>
      <c r="C101" s="48" t="str">
        <f t="shared" si="18"/>
        <v/>
      </c>
      <c r="D101" s="48" t="str">
        <f>IF(ISERROR(PMT(Maandelijkse_rente_percentage,(Loan_Years*12)-Pay_Num+1,Beg_Bal)),"",IF(Values_Entered,-PMT(Maandelijkse_rente_percentage,(Loan_Years*12)-Pay_Num+1,Beg_Bal),""))</f>
        <v/>
      </c>
      <c r="E101" s="48" t="str">
        <f t="shared" si="12"/>
        <v/>
      </c>
      <c r="F101" s="48" t="e">
        <f t="shared" si="13"/>
        <v>#VALUE!</v>
      </c>
      <c r="G101" s="48" t="str">
        <f t="shared" si="17"/>
        <v/>
      </c>
      <c r="H101" s="19">
        <f t="shared" si="11"/>
        <v>0</v>
      </c>
      <c r="I101" s="19">
        <f t="shared" si="14"/>
        <v>0</v>
      </c>
      <c r="J101" s="4"/>
    </row>
    <row r="102" spans="1:10" ht="14.25">
      <c r="A102" s="46" t="str">
        <f t="shared" si="15"/>
        <v/>
      </c>
      <c r="B102" s="47" t="str">
        <f t="shared" si="16"/>
        <v/>
      </c>
      <c r="C102" s="48" t="str">
        <f t="shared" si="18"/>
        <v/>
      </c>
      <c r="D102" s="48" t="str">
        <f>IF(ISERROR(PMT(Maandelijkse_rente_percentage,(Loan_Years*12)-Pay_Num+1,Beg_Bal)),"",IF(Values_Entered,-PMT(Maandelijkse_rente_percentage,(Loan_Years*12)-Pay_Num+1,Beg_Bal),""))</f>
        <v/>
      </c>
      <c r="E102" s="48" t="str">
        <f t="shared" si="12"/>
        <v/>
      </c>
      <c r="F102" s="48" t="e">
        <f t="shared" si="13"/>
        <v>#VALUE!</v>
      </c>
      <c r="G102" s="48" t="str">
        <f t="shared" si="17"/>
        <v/>
      </c>
      <c r="H102" s="19">
        <f t="shared" si="11"/>
        <v>0</v>
      </c>
      <c r="I102" s="19">
        <f t="shared" si="14"/>
        <v>0</v>
      </c>
      <c r="J102" s="4"/>
    </row>
    <row r="103" spans="1:10" ht="14.25">
      <c r="A103" s="46" t="str">
        <f t="shared" si="15"/>
        <v/>
      </c>
      <c r="B103" s="47" t="str">
        <f t="shared" si="16"/>
        <v/>
      </c>
      <c r="C103" s="48" t="str">
        <f t="shared" si="18"/>
        <v/>
      </c>
      <c r="D103" s="48" t="str">
        <f>IF(ISERROR(PMT(Maandelijkse_rente_percentage,(Loan_Years*12)-Pay_Num+1,Beg_Bal)),"",IF(Values_Entered,-PMT(Maandelijkse_rente_percentage,(Loan_Years*12)-Pay_Num+1,Beg_Bal),""))</f>
        <v/>
      </c>
      <c r="E103" s="48" t="str">
        <f t="shared" si="12"/>
        <v/>
      </c>
      <c r="F103" s="48" t="e">
        <f t="shared" si="13"/>
        <v>#VALUE!</v>
      </c>
      <c r="G103" s="48" t="str">
        <f t="shared" si="17"/>
        <v/>
      </c>
      <c r="H103" s="19">
        <f>L10</f>
        <v>0</v>
      </c>
      <c r="I103" s="19">
        <f t="shared" si="14"/>
        <v>0</v>
      </c>
      <c r="J103" s="4"/>
    </row>
    <row r="104" spans="1:10" ht="14.25">
      <c r="A104" s="46" t="str">
        <f t="shared" si="15"/>
        <v/>
      </c>
      <c r="B104" s="47" t="str">
        <f t="shared" si="16"/>
        <v/>
      </c>
      <c r="C104" s="48" t="str">
        <f t="shared" si="18"/>
        <v/>
      </c>
      <c r="D104" s="48" t="str">
        <f>IF(ISERROR(PMT(Maandelijkse_rente_percentage,(Loan_Years*12)-Pay_Num+1,Beg_Bal)),"",IF(Values_Entered,-PMT(Maandelijkse_rente_percentage,(Loan_Years*12)-Pay_Num+1,Beg_Bal),""))</f>
        <v/>
      </c>
      <c r="E104" s="48" t="str">
        <f t="shared" si="12"/>
        <v/>
      </c>
      <c r="F104" s="48" t="e">
        <f t="shared" si="13"/>
        <v>#VALUE!</v>
      </c>
      <c r="G104" s="48" t="str">
        <f t="shared" si="17"/>
        <v/>
      </c>
      <c r="H104" s="19">
        <f t="shared" si="11"/>
        <v>0</v>
      </c>
      <c r="I104" s="19">
        <f t="shared" si="14"/>
        <v>0</v>
      </c>
      <c r="J104" s="4"/>
    </row>
    <row r="105" spans="1:10" ht="14.25">
      <c r="A105" s="46" t="str">
        <f t="shared" si="15"/>
        <v/>
      </c>
      <c r="B105" s="47" t="str">
        <f t="shared" si="16"/>
        <v/>
      </c>
      <c r="C105" s="48" t="str">
        <f t="shared" si="18"/>
        <v/>
      </c>
      <c r="D105" s="48" t="str">
        <f>IF(ISERROR(PMT(Maandelijkse_rente_percentage,(Loan_Years*12)-Pay_Num+1,Beg_Bal)),"",IF(Values_Entered,-PMT(Maandelijkse_rente_percentage,(Loan_Years*12)-Pay_Num+1,Beg_Bal),""))</f>
        <v/>
      </c>
      <c r="E105" s="48" t="str">
        <f t="shared" si="12"/>
        <v/>
      </c>
      <c r="F105" s="48" t="e">
        <f t="shared" si="13"/>
        <v>#VALUE!</v>
      </c>
      <c r="G105" s="48" t="str">
        <f t="shared" si="17"/>
        <v/>
      </c>
      <c r="H105" s="19">
        <f t="shared" si="11"/>
        <v>0</v>
      </c>
      <c r="I105" s="19">
        <f t="shared" si="14"/>
        <v>0</v>
      </c>
      <c r="J105" s="4"/>
    </row>
    <row r="106" spans="1:10" ht="14.25">
      <c r="A106" s="46" t="str">
        <f t="shared" si="15"/>
        <v/>
      </c>
      <c r="B106" s="47" t="str">
        <f t="shared" si="16"/>
        <v/>
      </c>
      <c r="C106" s="48" t="str">
        <f t="shared" si="18"/>
        <v/>
      </c>
      <c r="D106" s="48" t="str">
        <f>IF(ISERROR(PMT(Maandelijkse_rente_percentage,(Loan_Years*12)-Pay_Num+1,Beg_Bal)),"",IF(Values_Entered,-PMT(Maandelijkse_rente_percentage,(Loan_Years*12)-Pay_Num+1,Beg_Bal),""))</f>
        <v/>
      </c>
      <c r="E106" s="48" t="str">
        <f t="shared" si="12"/>
        <v/>
      </c>
      <c r="F106" s="48" t="e">
        <f t="shared" si="13"/>
        <v>#VALUE!</v>
      </c>
      <c r="G106" s="48" t="str">
        <f t="shared" si="17"/>
        <v/>
      </c>
      <c r="H106" s="19">
        <f t="shared" si="11"/>
        <v>0</v>
      </c>
      <c r="I106" s="19">
        <f t="shared" si="14"/>
        <v>0</v>
      </c>
      <c r="J106" s="4"/>
    </row>
    <row r="107" spans="1:10" ht="14.25">
      <c r="A107" s="46" t="str">
        <f t="shared" si="15"/>
        <v/>
      </c>
      <c r="B107" s="47" t="str">
        <f t="shared" si="16"/>
        <v/>
      </c>
      <c r="C107" s="48" t="str">
        <f t="shared" si="18"/>
        <v/>
      </c>
      <c r="D107" s="48" t="str">
        <f>IF(ISERROR(PMT(Maandelijkse_rente_percentage,(Loan_Years*12)-Pay_Num+1,Beg_Bal)),"",IF(Values_Entered,-PMT(Maandelijkse_rente_percentage,(Loan_Years*12)-Pay_Num+1,Beg_Bal),""))</f>
        <v/>
      </c>
      <c r="E107" s="48" t="str">
        <f t="shared" si="12"/>
        <v/>
      </c>
      <c r="F107" s="48" t="e">
        <f t="shared" si="13"/>
        <v>#VALUE!</v>
      </c>
      <c r="G107" s="48" t="str">
        <f t="shared" si="17"/>
        <v/>
      </c>
      <c r="H107" s="19">
        <f t="shared" si="11"/>
        <v>0</v>
      </c>
      <c r="I107" s="19">
        <f t="shared" si="14"/>
        <v>0</v>
      </c>
      <c r="J107" s="4"/>
    </row>
    <row r="108" spans="1:10" ht="14.25">
      <c r="A108" s="46" t="str">
        <f t="shared" si="15"/>
        <v/>
      </c>
      <c r="B108" s="47" t="str">
        <f t="shared" si="16"/>
        <v/>
      </c>
      <c r="C108" s="48" t="str">
        <f t="shared" si="18"/>
        <v/>
      </c>
      <c r="D108" s="48" t="str">
        <f>IF(ISERROR(PMT(Maandelijkse_rente_percentage,(Loan_Years*12)-Pay_Num+1,Beg_Bal)),"",IF(Values_Entered,-PMT(Maandelijkse_rente_percentage,(Loan_Years*12)-Pay_Num+1,Beg_Bal),""))</f>
        <v/>
      </c>
      <c r="E108" s="48" t="str">
        <f t="shared" si="12"/>
        <v/>
      </c>
      <c r="F108" s="48" t="e">
        <f t="shared" si="13"/>
        <v>#VALUE!</v>
      </c>
      <c r="G108" s="48" t="str">
        <f t="shared" si="17"/>
        <v/>
      </c>
      <c r="H108" s="19">
        <f t="shared" si="11"/>
        <v>0</v>
      </c>
      <c r="I108" s="19">
        <f t="shared" si="14"/>
        <v>0</v>
      </c>
      <c r="J108" s="4"/>
    </row>
    <row r="109" spans="1:10" ht="14.25">
      <c r="A109" s="46" t="str">
        <f t="shared" si="15"/>
        <v/>
      </c>
      <c r="B109" s="47" t="str">
        <f t="shared" si="16"/>
        <v/>
      </c>
      <c r="C109" s="48" t="str">
        <f t="shared" si="18"/>
        <v/>
      </c>
      <c r="D109" s="48" t="str">
        <f>IF(ISERROR(PMT(Maandelijkse_rente_percentage,(Loan_Years*12)-Pay_Num+1,Beg_Bal)),"",IF(Values_Entered,-PMT(Maandelijkse_rente_percentage,(Loan_Years*12)-Pay_Num+1,Beg_Bal),""))</f>
        <v/>
      </c>
      <c r="E109" s="48" t="str">
        <f t="shared" si="12"/>
        <v/>
      </c>
      <c r="F109" s="48" t="e">
        <f t="shared" si="13"/>
        <v>#VALUE!</v>
      </c>
      <c r="G109" s="48" t="str">
        <f t="shared" si="17"/>
        <v/>
      </c>
      <c r="H109" s="19">
        <f t="shared" si="11"/>
        <v>0</v>
      </c>
      <c r="I109" s="19">
        <f t="shared" si="14"/>
        <v>0</v>
      </c>
      <c r="J109" s="4"/>
    </row>
    <row r="110" spans="1:10" ht="14.25">
      <c r="A110" s="46" t="str">
        <f t="shared" si="15"/>
        <v/>
      </c>
      <c r="B110" s="47" t="str">
        <f t="shared" si="16"/>
        <v/>
      </c>
      <c r="C110" s="48" t="str">
        <f t="shared" si="18"/>
        <v/>
      </c>
      <c r="D110" s="48" t="str">
        <f>IF(ISERROR(PMT(Maandelijkse_rente_percentage,(Loan_Years*12)-Pay_Num+1,Beg_Bal)),"",IF(Values_Entered,-PMT(Maandelijkse_rente_percentage,(Loan_Years*12)-Pay_Num+1,Beg_Bal),""))</f>
        <v/>
      </c>
      <c r="E110" s="48" t="str">
        <f t="shared" si="12"/>
        <v/>
      </c>
      <c r="F110" s="48" t="e">
        <f t="shared" si="13"/>
        <v>#VALUE!</v>
      </c>
      <c r="G110" s="48" t="str">
        <f t="shared" si="17"/>
        <v/>
      </c>
      <c r="H110" s="19">
        <f t="shared" si="11"/>
        <v>0</v>
      </c>
      <c r="I110" s="19">
        <f t="shared" si="14"/>
        <v>0</v>
      </c>
      <c r="J110" s="4"/>
    </row>
    <row r="111" spans="1:10" ht="14.25">
      <c r="A111" s="46" t="str">
        <f t="shared" si="15"/>
        <v/>
      </c>
      <c r="B111" s="47" t="str">
        <f t="shared" si="16"/>
        <v/>
      </c>
      <c r="C111" s="48" t="str">
        <f t="shared" si="18"/>
        <v/>
      </c>
      <c r="D111" s="48" t="str">
        <f>IF(ISERROR(PMT(Maandelijkse_rente_percentage,(Loan_Years*12)-Pay_Num+1,Beg_Bal)),"",IF(Values_Entered,-PMT(Maandelijkse_rente_percentage,(Loan_Years*12)-Pay_Num+1,Beg_Bal),""))</f>
        <v/>
      </c>
      <c r="E111" s="48" t="str">
        <f t="shared" si="12"/>
        <v/>
      </c>
      <c r="F111" s="48" t="e">
        <f t="shared" si="13"/>
        <v>#VALUE!</v>
      </c>
      <c r="G111" s="48" t="str">
        <f t="shared" si="17"/>
        <v/>
      </c>
      <c r="H111" s="19">
        <f t="shared" si="11"/>
        <v>0</v>
      </c>
      <c r="I111" s="19">
        <f t="shared" si="14"/>
        <v>0</v>
      </c>
      <c r="J111" s="4"/>
    </row>
    <row r="112" spans="1:10" ht="14.25">
      <c r="A112" s="46" t="str">
        <f t="shared" si="15"/>
        <v/>
      </c>
      <c r="B112" s="47" t="str">
        <f t="shared" si="16"/>
        <v/>
      </c>
      <c r="C112" s="48" t="str">
        <f t="shared" si="18"/>
        <v/>
      </c>
      <c r="D112" s="48" t="str">
        <f>IF(ISERROR(PMT(Maandelijkse_rente_percentage,(Loan_Years*12)-Pay_Num+1,Beg_Bal)),"",IF(Values_Entered,-PMT(Maandelijkse_rente_percentage,(Loan_Years*12)-Pay_Num+1,Beg_Bal),""))</f>
        <v/>
      </c>
      <c r="E112" s="48" t="str">
        <f t="shared" si="12"/>
        <v/>
      </c>
      <c r="F112" s="48" t="e">
        <f t="shared" si="13"/>
        <v>#VALUE!</v>
      </c>
      <c r="G112" s="48" t="str">
        <f t="shared" si="17"/>
        <v/>
      </c>
      <c r="H112" s="19">
        <f t="shared" si="11"/>
        <v>0</v>
      </c>
      <c r="I112" s="19">
        <f t="shared" si="14"/>
        <v>0</v>
      </c>
      <c r="J112" s="4"/>
    </row>
    <row r="113" spans="1:10" ht="14.25">
      <c r="A113" s="46" t="str">
        <f t="shared" si="15"/>
        <v/>
      </c>
      <c r="B113" s="47" t="str">
        <f t="shared" si="16"/>
        <v/>
      </c>
      <c r="C113" s="48" t="str">
        <f t="shared" si="18"/>
        <v/>
      </c>
      <c r="D113" s="48" t="str">
        <f>IF(ISERROR(PMT(Maandelijkse_rente_percentage,(Loan_Years*12)-Pay_Num+1,Beg_Bal)),"",IF(Values_Entered,-PMT(Maandelijkse_rente_percentage,(Loan_Years*12)-Pay_Num+1,Beg_Bal),""))</f>
        <v/>
      </c>
      <c r="E113" s="48" t="str">
        <f t="shared" si="12"/>
        <v/>
      </c>
      <c r="F113" s="48" t="e">
        <f t="shared" si="13"/>
        <v>#VALUE!</v>
      </c>
      <c r="G113" s="48" t="str">
        <f t="shared" si="17"/>
        <v/>
      </c>
      <c r="H113" s="19">
        <f t="shared" si="11"/>
        <v>0</v>
      </c>
      <c r="I113" s="19">
        <f t="shared" si="14"/>
        <v>0</v>
      </c>
      <c r="J113" s="4"/>
    </row>
    <row r="114" spans="1:10" ht="14.25">
      <c r="A114" s="46" t="str">
        <f t="shared" si="15"/>
        <v/>
      </c>
      <c r="B114" s="47" t="str">
        <f t="shared" si="16"/>
        <v/>
      </c>
      <c r="C114" s="48" t="str">
        <f t="shared" si="18"/>
        <v/>
      </c>
      <c r="D114" s="48" t="str">
        <f>IF(ISERROR(PMT(Maandelijkse_rente_percentage,(Loan_Years*12)-Pay_Num+1,Beg_Bal)),"",IF(Values_Entered,-PMT(Maandelijkse_rente_percentage,(Loan_Years*12)-Pay_Num+1,Beg_Bal),""))</f>
        <v/>
      </c>
      <c r="E114" s="48" t="str">
        <f t="shared" si="12"/>
        <v/>
      </c>
      <c r="F114" s="48" t="e">
        <f t="shared" si="13"/>
        <v>#VALUE!</v>
      </c>
      <c r="G114" s="48" t="str">
        <f t="shared" si="17"/>
        <v/>
      </c>
      <c r="H114" s="19">
        <f t="shared" si="11"/>
        <v>0</v>
      </c>
      <c r="I114" s="19">
        <f t="shared" si="14"/>
        <v>0</v>
      </c>
      <c r="J114" s="4"/>
    </row>
    <row r="115" spans="1:10" ht="14.25">
      <c r="A115" s="46" t="str">
        <f t="shared" si="15"/>
        <v/>
      </c>
      <c r="B115" s="47" t="str">
        <f t="shared" si="16"/>
        <v/>
      </c>
      <c r="C115" s="48" t="str">
        <f t="shared" si="18"/>
        <v/>
      </c>
      <c r="D115" s="48" t="str">
        <f>IF(ISERROR(PMT(Maandelijkse_rente_percentage,(Loan_Years*12)-Pay_Num+1,Beg_Bal)),"",IF(Values_Entered,-PMT(Maandelijkse_rente_percentage,(Loan_Years*12)-Pay_Num+1,Beg_Bal),""))</f>
        <v/>
      </c>
      <c r="E115" s="48" t="str">
        <f t="shared" si="12"/>
        <v/>
      </c>
      <c r="F115" s="48" t="e">
        <f t="shared" si="13"/>
        <v>#VALUE!</v>
      </c>
      <c r="G115" s="48" t="str">
        <f t="shared" si="17"/>
        <v/>
      </c>
      <c r="H115" s="19">
        <f>L11</f>
        <v>0</v>
      </c>
      <c r="I115" s="19">
        <f t="shared" si="14"/>
        <v>0</v>
      </c>
      <c r="J115" s="4"/>
    </row>
    <row r="116" spans="1:10" ht="14.25">
      <c r="A116" s="46" t="str">
        <f t="shared" si="15"/>
        <v/>
      </c>
      <c r="B116" s="47" t="str">
        <f t="shared" si="16"/>
        <v/>
      </c>
      <c r="C116" s="48" t="str">
        <f t="shared" si="18"/>
        <v/>
      </c>
      <c r="D116" s="48" t="str">
        <f>IF(ISERROR(PMT(Maandelijkse_rente_percentage,(Loan_Years*12)-Pay_Num+1,Beg_Bal)),"",IF(Values_Entered,-PMT(Maandelijkse_rente_percentage,(Loan_Years*12)-Pay_Num+1,Beg_Bal),""))</f>
        <v/>
      </c>
      <c r="E116" s="48" t="str">
        <f t="shared" si="12"/>
        <v/>
      </c>
      <c r="F116" s="48" t="e">
        <f t="shared" si="13"/>
        <v>#VALUE!</v>
      </c>
      <c r="G116" s="48" t="str">
        <f t="shared" si="17"/>
        <v/>
      </c>
      <c r="H116" s="19">
        <f t="shared" si="11"/>
        <v>0</v>
      </c>
      <c r="I116" s="19">
        <f t="shared" si="14"/>
        <v>0</v>
      </c>
      <c r="J116" s="4"/>
    </row>
    <row r="117" spans="1:10" ht="14.25">
      <c r="A117" s="46" t="str">
        <f t="shared" si="15"/>
        <v/>
      </c>
      <c r="B117" s="47" t="str">
        <f t="shared" si="16"/>
        <v/>
      </c>
      <c r="C117" s="48" t="str">
        <f t="shared" si="18"/>
        <v/>
      </c>
      <c r="D117" s="48" t="str">
        <f>IF(ISERROR(PMT(Maandelijkse_rente_percentage,(Loan_Years*12)-Pay_Num+1,Beg_Bal)),"",IF(Values_Entered,-PMT(Maandelijkse_rente_percentage,(Loan_Years*12)-Pay_Num+1,Beg_Bal),""))</f>
        <v/>
      </c>
      <c r="E117" s="48" t="str">
        <f t="shared" si="12"/>
        <v/>
      </c>
      <c r="F117" s="48" t="e">
        <f t="shared" si="13"/>
        <v>#VALUE!</v>
      </c>
      <c r="G117" s="48" t="str">
        <f t="shared" si="17"/>
        <v/>
      </c>
      <c r="H117" s="19">
        <f t="shared" si="11"/>
        <v>0</v>
      </c>
      <c r="I117" s="19">
        <f t="shared" si="14"/>
        <v>0</v>
      </c>
      <c r="J117" s="4"/>
    </row>
    <row r="118" spans="1:10" ht="14.25">
      <c r="A118" s="46" t="str">
        <f t="shared" si="15"/>
        <v/>
      </c>
      <c r="B118" s="47" t="str">
        <f t="shared" si="16"/>
        <v/>
      </c>
      <c r="C118" s="48" t="str">
        <f t="shared" si="18"/>
        <v/>
      </c>
      <c r="D118" s="48" t="str">
        <f>IF(ISERROR(PMT(Maandelijkse_rente_percentage,(Loan_Years*12)-Pay_Num+1,Beg_Bal)),"",IF(Values_Entered,-PMT(Maandelijkse_rente_percentage,(Loan_Years*12)-Pay_Num+1,Beg_Bal),""))</f>
        <v/>
      </c>
      <c r="E118" s="48" t="str">
        <f t="shared" si="12"/>
        <v/>
      </c>
      <c r="F118" s="48" t="e">
        <f t="shared" si="13"/>
        <v>#VALUE!</v>
      </c>
      <c r="G118" s="48" t="str">
        <f t="shared" si="17"/>
        <v/>
      </c>
      <c r="H118" s="19">
        <f t="shared" si="11"/>
        <v>0</v>
      </c>
      <c r="I118" s="19">
        <f t="shared" si="14"/>
        <v>0</v>
      </c>
      <c r="J118" s="4"/>
    </row>
    <row r="119" spans="1:10" ht="14.25">
      <c r="A119" s="46" t="str">
        <f t="shared" si="15"/>
        <v/>
      </c>
      <c r="B119" s="47" t="str">
        <f t="shared" si="16"/>
        <v/>
      </c>
      <c r="C119" s="48" t="str">
        <f t="shared" si="18"/>
        <v/>
      </c>
      <c r="D119" s="48" t="str">
        <f>IF(ISERROR(PMT(Maandelijkse_rente_percentage,(Loan_Years*12)-Pay_Num+1,Beg_Bal)),"",IF(Values_Entered,-PMT(Maandelijkse_rente_percentage,(Loan_Years*12)-Pay_Num+1,Beg_Bal),""))</f>
        <v/>
      </c>
      <c r="E119" s="48" t="str">
        <f t="shared" si="12"/>
        <v/>
      </c>
      <c r="F119" s="48" t="e">
        <f t="shared" si="13"/>
        <v>#VALUE!</v>
      </c>
      <c r="G119" s="48" t="str">
        <f t="shared" si="17"/>
        <v/>
      </c>
      <c r="H119" s="19">
        <f t="shared" si="11"/>
        <v>0</v>
      </c>
      <c r="I119" s="19">
        <f t="shared" si="14"/>
        <v>0</v>
      </c>
      <c r="J119" s="4"/>
    </row>
    <row r="120" spans="1:10" ht="14.25">
      <c r="A120" s="46" t="str">
        <f t="shared" si="15"/>
        <v/>
      </c>
      <c r="B120" s="47" t="str">
        <f t="shared" si="16"/>
        <v/>
      </c>
      <c r="C120" s="48" t="str">
        <f t="shared" si="18"/>
        <v/>
      </c>
      <c r="D120" s="48" t="str">
        <f>IF(ISERROR(PMT(Maandelijkse_rente_percentage,(Loan_Years*12)-Pay_Num+1,Beg_Bal)),"",IF(Values_Entered,-PMT(Maandelijkse_rente_percentage,(Loan_Years*12)-Pay_Num+1,Beg_Bal),""))</f>
        <v/>
      </c>
      <c r="E120" s="48" t="str">
        <f t="shared" si="12"/>
        <v/>
      </c>
      <c r="F120" s="48" t="e">
        <f t="shared" si="13"/>
        <v>#VALUE!</v>
      </c>
      <c r="G120" s="48" t="str">
        <f t="shared" si="17"/>
        <v/>
      </c>
      <c r="H120" s="19">
        <f t="shared" si="11"/>
        <v>0</v>
      </c>
      <c r="I120" s="19">
        <f t="shared" si="14"/>
        <v>0</v>
      </c>
      <c r="J120" s="4"/>
    </row>
    <row r="121" spans="1:10" ht="14.25">
      <c r="A121" s="46" t="str">
        <f t="shared" si="15"/>
        <v/>
      </c>
      <c r="B121" s="47" t="str">
        <f t="shared" si="16"/>
        <v/>
      </c>
      <c r="C121" s="48" t="str">
        <f t="shared" si="18"/>
        <v/>
      </c>
      <c r="D121" s="48" t="str">
        <f>IF(ISERROR(PMT(Maandelijkse_rente_percentage,(Loan_Years*12)-Pay_Num+1,Beg_Bal)),"",IF(Values_Entered,-PMT(Maandelijkse_rente_percentage,(Loan_Years*12)-Pay_Num+1,Beg_Bal),""))</f>
        <v/>
      </c>
      <c r="E121" s="48" t="str">
        <f t="shared" si="12"/>
        <v/>
      </c>
      <c r="F121" s="48" t="e">
        <f t="shared" si="13"/>
        <v>#VALUE!</v>
      </c>
      <c r="G121" s="48" t="str">
        <f t="shared" si="17"/>
        <v/>
      </c>
      <c r="H121" s="19">
        <f t="shared" si="11"/>
        <v>0</v>
      </c>
      <c r="I121" s="19">
        <f t="shared" si="14"/>
        <v>0</v>
      </c>
      <c r="J121" s="4"/>
    </row>
    <row r="122" spans="1:10" ht="14.25">
      <c r="A122" s="46" t="str">
        <f t="shared" si="15"/>
        <v/>
      </c>
      <c r="B122" s="47" t="str">
        <f t="shared" si="16"/>
        <v/>
      </c>
      <c r="C122" s="48" t="str">
        <f t="shared" si="18"/>
        <v/>
      </c>
      <c r="D122" s="48" t="str">
        <f>IF(ISERROR(PMT(Maandelijkse_rente_percentage,(Loan_Years*12)-Pay_Num+1,Beg_Bal)),"",IF(Values_Entered,-PMT(Maandelijkse_rente_percentage,(Loan_Years*12)-Pay_Num+1,Beg_Bal),""))</f>
        <v/>
      </c>
      <c r="E122" s="48" t="str">
        <f t="shared" si="12"/>
        <v/>
      </c>
      <c r="F122" s="48" t="e">
        <f t="shared" si="13"/>
        <v>#VALUE!</v>
      </c>
      <c r="G122" s="48" t="str">
        <f t="shared" si="17"/>
        <v/>
      </c>
      <c r="H122" s="19">
        <f t="shared" si="11"/>
        <v>0</v>
      </c>
      <c r="I122" s="19">
        <f t="shared" si="14"/>
        <v>0</v>
      </c>
      <c r="J122" s="4"/>
    </row>
    <row r="123" spans="1:10" ht="14.25">
      <c r="A123" s="46" t="str">
        <f t="shared" si="15"/>
        <v/>
      </c>
      <c r="B123" s="47" t="str">
        <f t="shared" si="16"/>
        <v/>
      </c>
      <c r="C123" s="48" t="str">
        <f t="shared" si="18"/>
        <v/>
      </c>
      <c r="D123" s="48" t="str">
        <f>IF(ISERROR(PMT(Maandelijkse_rente_percentage,(Loan_Years*12)-Pay_Num+1,Beg_Bal)),"",IF(Values_Entered,-PMT(Maandelijkse_rente_percentage,(Loan_Years*12)-Pay_Num+1,Beg_Bal),""))</f>
        <v/>
      </c>
      <c r="E123" s="48" t="str">
        <f t="shared" si="12"/>
        <v/>
      </c>
      <c r="F123" s="48" t="e">
        <f t="shared" si="13"/>
        <v>#VALUE!</v>
      </c>
      <c r="G123" s="48" t="str">
        <f t="shared" si="17"/>
        <v/>
      </c>
      <c r="H123" s="19">
        <f t="shared" si="11"/>
        <v>0</v>
      </c>
      <c r="I123" s="19">
        <f t="shared" si="14"/>
        <v>0</v>
      </c>
      <c r="J123" s="4"/>
    </row>
    <row r="124" spans="1:10" ht="14.25">
      <c r="A124" s="46" t="str">
        <f t="shared" si="15"/>
        <v/>
      </c>
      <c r="B124" s="47" t="str">
        <f t="shared" si="16"/>
        <v/>
      </c>
      <c r="C124" s="48" t="str">
        <f t="shared" si="18"/>
        <v/>
      </c>
      <c r="D124" s="48" t="str">
        <f>IF(ISERROR(PMT(Maandelijkse_rente_percentage,(Loan_Years*12)-Pay_Num+1,Beg_Bal)),"",IF(Values_Entered,-PMT(Maandelijkse_rente_percentage,(Loan_Years*12)-Pay_Num+1,Beg_Bal),""))</f>
        <v/>
      </c>
      <c r="E124" s="48" t="str">
        <f t="shared" si="12"/>
        <v/>
      </c>
      <c r="F124" s="48" t="e">
        <f t="shared" si="13"/>
        <v>#VALUE!</v>
      </c>
      <c r="G124" s="48" t="str">
        <f t="shared" si="17"/>
        <v/>
      </c>
      <c r="H124" s="19">
        <f t="shared" si="11"/>
        <v>0</v>
      </c>
      <c r="I124" s="19">
        <f t="shared" si="14"/>
        <v>0</v>
      </c>
      <c r="J124" s="4"/>
    </row>
    <row r="125" spans="1:10" ht="14.25">
      <c r="A125" s="46" t="str">
        <f t="shared" si="15"/>
        <v/>
      </c>
      <c r="B125" s="47" t="str">
        <f t="shared" si="16"/>
        <v/>
      </c>
      <c r="C125" s="48" t="str">
        <f t="shared" si="18"/>
        <v/>
      </c>
      <c r="D125" s="48" t="str">
        <f>IF(ISERROR(PMT(Maandelijkse_rente_percentage,(Loan_Years*12)-Pay_Num+1,Beg_Bal)),"",IF(Values_Entered,-PMT(Maandelijkse_rente_percentage,(Loan_Years*12)-Pay_Num+1,Beg_Bal),""))</f>
        <v/>
      </c>
      <c r="E125" s="48" t="str">
        <f t="shared" si="12"/>
        <v/>
      </c>
      <c r="F125" s="48" t="e">
        <f t="shared" si="13"/>
        <v>#VALUE!</v>
      </c>
      <c r="G125" s="48" t="str">
        <f t="shared" si="17"/>
        <v/>
      </c>
      <c r="H125" s="19">
        <f t="shared" si="11"/>
        <v>0</v>
      </c>
      <c r="I125" s="19">
        <f t="shared" si="14"/>
        <v>0</v>
      </c>
      <c r="J125" s="4"/>
    </row>
    <row r="126" spans="1:10" ht="14.25">
      <c r="A126" s="46" t="str">
        <f t="shared" si="15"/>
        <v/>
      </c>
      <c r="B126" s="47" t="str">
        <f t="shared" si="16"/>
        <v/>
      </c>
      <c r="C126" s="48" t="str">
        <f t="shared" si="18"/>
        <v/>
      </c>
      <c r="D126" s="48" t="str">
        <f>IF(ISERROR(PMT(Maandelijkse_rente_percentage,(Loan_Years*12)-Pay_Num+1,Beg_Bal)),"",IF(Values_Entered,-PMT(Maandelijkse_rente_percentage,(Loan_Years*12)-Pay_Num+1,Beg_Bal),""))</f>
        <v/>
      </c>
      <c r="E126" s="48" t="str">
        <f t="shared" si="12"/>
        <v/>
      </c>
      <c r="F126" s="48" t="e">
        <f t="shared" si="13"/>
        <v>#VALUE!</v>
      </c>
      <c r="G126" s="48" t="str">
        <f t="shared" si="17"/>
        <v/>
      </c>
      <c r="H126" s="19">
        <f t="shared" si="11"/>
        <v>0</v>
      </c>
      <c r="I126" s="19">
        <f t="shared" si="14"/>
        <v>0</v>
      </c>
      <c r="J126" s="4"/>
    </row>
    <row r="127" spans="1:10" ht="14.25">
      <c r="A127" s="46" t="str">
        <f t="shared" si="15"/>
        <v/>
      </c>
      <c r="B127" s="47" t="str">
        <f t="shared" si="16"/>
        <v/>
      </c>
      <c r="C127" s="48" t="str">
        <f t="shared" si="18"/>
        <v/>
      </c>
      <c r="D127" s="48" t="str">
        <f>IF(ISERROR(PMT(Maandelijkse_rente_percentage,(Loan_Years*12)-Pay_Num+1,Beg_Bal)),"",IF(Values_Entered,-PMT(Maandelijkse_rente_percentage,(Loan_Years*12)-Pay_Num+1,Beg_Bal),""))</f>
        <v/>
      </c>
      <c r="E127" s="48" t="str">
        <f t="shared" si="12"/>
        <v/>
      </c>
      <c r="F127" s="48" t="e">
        <f t="shared" si="13"/>
        <v>#VALUE!</v>
      </c>
      <c r="G127" s="48" t="str">
        <f t="shared" si="17"/>
        <v/>
      </c>
      <c r="H127" s="19">
        <f>L12</f>
        <v>0</v>
      </c>
      <c r="I127" s="19">
        <f t="shared" si="14"/>
        <v>0</v>
      </c>
      <c r="J127" s="4"/>
    </row>
    <row r="128" spans="1:10" ht="14.25">
      <c r="A128" s="46" t="str">
        <f t="shared" si="15"/>
        <v/>
      </c>
      <c r="B128" s="47" t="str">
        <f t="shared" si="16"/>
        <v/>
      </c>
      <c r="C128" s="48" t="str">
        <f t="shared" si="18"/>
        <v/>
      </c>
      <c r="D128" s="48" t="str">
        <f>IF(ISERROR(PMT(Maandelijkse_rente_percentage,(Loan_Years*12)-Pay_Num+1,Beg_Bal)),"",IF(Values_Entered,-PMT(Maandelijkse_rente_percentage,(Loan_Years*12)-Pay_Num+1,Beg_Bal),""))</f>
        <v/>
      </c>
      <c r="E128" s="48" t="str">
        <f t="shared" si="12"/>
        <v/>
      </c>
      <c r="F128" s="48" t="e">
        <f t="shared" si="13"/>
        <v>#VALUE!</v>
      </c>
      <c r="G128" s="48" t="str">
        <f t="shared" si="17"/>
        <v/>
      </c>
      <c r="H128" s="19">
        <f t="shared" si="11"/>
        <v>0</v>
      </c>
      <c r="I128" s="19">
        <f t="shared" si="14"/>
        <v>0</v>
      </c>
      <c r="J128" s="4"/>
    </row>
    <row r="129" spans="1:10" ht="14.25">
      <c r="A129" s="46" t="str">
        <f t="shared" si="15"/>
        <v/>
      </c>
      <c r="B129" s="47" t="str">
        <f t="shared" si="16"/>
        <v/>
      </c>
      <c r="C129" s="48" t="str">
        <f t="shared" si="18"/>
        <v/>
      </c>
      <c r="D129" s="48" t="str">
        <f>IF(ISERROR(PMT(Maandelijkse_rente_percentage,(Loan_Years*12)-Pay_Num+1,Beg_Bal)),"",IF(Values_Entered,-PMT(Maandelijkse_rente_percentage,(Loan_Years*12)-Pay_Num+1,Beg_Bal),""))</f>
        <v/>
      </c>
      <c r="E129" s="48" t="str">
        <f t="shared" si="12"/>
        <v/>
      </c>
      <c r="F129" s="48" t="e">
        <f t="shared" si="13"/>
        <v>#VALUE!</v>
      </c>
      <c r="G129" s="48" t="str">
        <f t="shared" si="17"/>
        <v/>
      </c>
      <c r="H129" s="19">
        <f t="shared" si="11"/>
        <v>0</v>
      </c>
      <c r="I129" s="19">
        <f t="shared" si="14"/>
        <v>0</v>
      </c>
      <c r="J129" s="4"/>
    </row>
    <row r="130" spans="1:10" ht="14.25">
      <c r="A130" s="46" t="str">
        <f t="shared" si="15"/>
        <v/>
      </c>
      <c r="B130" s="47" t="str">
        <f t="shared" si="16"/>
        <v/>
      </c>
      <c r="C130" s="48" t="str">
        <f t="shared" si="18"/>
        <v/>
      </c>
      <c r="D130" s="48" t="str">
        <f>IF(ISERROR(PMT(Maandelijkse_rente_percentage,(Loan_Years*12)-Pay_Num+1,Beg_Bal)),"",IF(Values_Entered,-PMT(Maandelijkse_rente_percentage,(Loan_Years*12)-Pay_Num+1,Beg_Bal),""))</f>
        <v/>
      </c>
      <c r="E130" s="48" t="str">
        <f t="shared" si="12"/>
        <v/>
      </c>
      <c r="F130" s="48" t="e">
        <f t="shared" si="13"/>
        <v>#VALUE!</v>
      </c>
      <c r="G130" s="48" t="str">
        <f t="shared" si="17"/>
        <v/>
      </c>
      <c r="H130" s="19">
        <f t="shared" si="11"/>
        <v>0</v>
      </c>
      <c r="I130" s="19">
        <f t="shared" si="14"/>
        <v>0</v>
      </c>
      <c r="J130" s="4"/>
    </row>
    <row r="131" spans="1:10" ht="14.25">
      <c r="A131" s="46" t="str">
        <f t="shared" si="15"/>
        <v/>
      </c>
      <c r="B131" s="47" t="str">
        <f t="shared" si="16"/>
        <v/>
      </c>
      <c r="C131" s="48" t="str">
        <f t="shared" si="18"/>
        <v/>
      </c>
      <c r="D131" s="48" t="str">
        <f>IF(ISERROR(PMT(Maandelijkse_rente_percentage,(Loan_Years*12)-Pay_Num+1,Beg_Bal)),"",IF(Values_Entered,-PMT(Maandelijkse_rente_percentage,(Loan_Years*12)-Pay_Num+1,Beg_Bal),""))</f>
        <v/>
      </c>
      <c r="E131" s="48" t="str">
        <f t="shared" si="12"/>
        <v/>
      </c>
      <c r="F131" s="48" t="e">
        <f t="shared" si="13"/>
        <v>#VALUE!</v>
      </c>
      <c r="G131" s="48" t="str">
        <f t="shared" si="17"/>
        <v/>
      </c>
      <c r="H131" s="19">
        <f t="shared" si="11"/>
        <v>0</v>
      </c>
      <c r="I131" s="19">
        <f t="shared" si="14"/>
        <v>0</v>
      </c>
      <c r="J131" s="4"/>
    </row>
    <row r="132" spans="1:10" ht="14.25">
      <c r="A132" s="46" t="str">
        <f t="shared" si="15"/>
        <v/>
      </c>
      <c r="B132" s="47" t="str">
        <f t="shared" si="16"/>
        <v/>
      </c>
      <c r="C132" s="48" t="str">
        <f t="shared" si="18"/>
        <v/>
      </c>
      <c r="D132" s="48" t="str">
        <f>IF(ISERROR(PMT(Maandelijkse_rente_percentage,(Loan_Years*12)-Pay_Num+1,Beg_Bal)),"",IF(Values_Entered,-PMT(Maandelijkse_rente_percentage,(Loan_Years*12)-Pay_Num+1,Beg_Bal),""))</f>
        <v/>
      </c>
      <c r="E132" s="48" t="str">
        <f t="shared" si="12"/>
        <v/>
      </c>
      <c r="F132" s="48" t="e">
        <f t="shared" si="13"/>
        <v>#VALUE!</v>
      </c>
      <c r="G132" s="48" t="str">
        <f t="shared" si="17"/>
        <v/>
      </c>
      <c r="H132" s="19">
        <f t="shared" si="11"/>
        <v>0</v>
      </c>
      <c r="I132" s="19">
        <f t="shared" si="14"/>
        <v>0</v>
      </c>
      <c r="J132" s="4"/>
    </row>
    <row r="133" spans="1:10" ht="14.25">
      <c r="A133" s="46" t="str">
        <f t="shared" si="15"/>
        <v/>
      </c>
      <c r="B133" s="47" t="str">
        <f t="shared" si="16"/>
        <v/>
      </c>
      <c r="C133" s="48" t="str">
        <f t="shared" si="18"/>
        <v/>
      </c>
      <c r="D133" s="48" t="str">
        <f>IF(ISERROR(PMT(Maandelijkse_rente_percentage,(Loan_Years*12)-Pay_Num+1,Beg_Bal)),"",IF(Values_Entered,-PMT(Maandelijkse_rente_percentage,(Loan_Years*12)-Pay_Num+1,Beg_Bal),""))</f>
        <v/>
      </c>
      <c r="E133" s="48" t="str">
        <f t="shared" si="12"/>
        <v/>
      </c>
      <c r="F133" s="48" t="e">
        <f t="shared" si="13"/>
        <v>#VALUE!</v>
      </c>
      <c r="G133" s="48" t="str">
        <f t="shared" si="17"/>
        <v/>
      </c>
      <c r="H133" s="19">
        <f t="shared" si="11"/>
        <v>0</v>
      </c>
      <c r="I133" s="19">
        <f t="shared" si="14"/>
        <v>0</v>
      </c>
      <c r="J133" s="4"/>
    </row>
    <row r="134" spans="1:10" ht="14.25">
      <c r="A134" s="46" t="str">
        <f t="shared" si="15"/>
        <v/>
      </c>
      <c r="B134" s="47" t="str">
        <f t="shared" si="16"/>
        <v/>
      </c>
      <c r="C134" s="48" t="str">
        <f t="shared" si="18"/>
        <v/>
      </c>
      <c r="D134" s="48" t="str">
        <f>IF(ISERROR(PMT(Maandelijkse_rente_percentage,(Loan_Years*12)-Pay_Num+1,Beg_Bal)),"",IF(Values_Entered,-PMT(Maandelijkse_rente_percentage,(Loan_Years*12)-Pay_Num+1,Beg_Bal),""))</f>
        <v/>
      </c>
      <c r="E134" s="48" t="str">
        <f t="shared" si="12"/>
        <v/>
      </c>
      <c r="F134" s="48" t="e">
        <f t="shared" si="13"/>
        <v>#VALUE!</v>
      </c>
      <c r="G134" s="48" t="str">
        <f t="shared" si="17"/>
        <v/>
      </c>
      <c r="H134" s="19">
        <f t="shared" si="11"/>
        <v>0</v>
      </c>
      <c r="I134" s="19">
        <f t="shared" si="14"/>
        <v>0</v>
      </c>
      <c r="J134" s="4"/>
    </row>
    <row r="135" spans="1:10" ht="14.25">
      <c r="A135" s="46" t="str">
        <f t="shared" si="15"/>
        <v/>
      </c>
      <c r="B135" s="47" t="str">
        <f t="shared" si="16"/>
        <v/>
      </c>
      <c r="C135" s="48" t="str">
        <f t="shared" si="18"/>
        <v/>
      </c>
      <c r="D135" s="48" t="str">
        <f>IF(ISERROR(PMT(Maandelijkse_rente_percentage,(Loan_Years*12)-Pay_Num+1,Beg_Bal)),"",IF(Values_Entered,-PMT(Maandelijkse_rente_percentage,(Loan_Years*12)-Pay_Num+1,Beg_Bal),""))</f>
        <v/>
      </c>
      <c r="E135" s="48" t="str">
        <f t="shared" si="12"/>
        <v/>
      </c>
      <c r="F135" s="48" t="e">
        <f t="shared" si="13"/>
        <v>#VALUE!</v>
      </c>
      <c r="G135" s="48" t="str">
        <f t="shared" si="17"/>
        <v/>
      </c>
      <c r="H135" s="19">
        <f t="shared" si="11"/>
        <v>0</v>
      </c>
      <c r="I135" s="19">
        <f t="shared" si="14"/>
        <v>0</v>
      </c>
      <c r="J135" s="4"/>
    </row>
    <row r="136" spans="1:10" ht="14.25">
      <c r="A136" s="46" t="str">
        <f t="shared" si="15"/>
        <v/>
      </c>
      <c r="B136" s="47" t="str">
        <f t="shared" si="16"/>
        <v/>
      </c>
      <c r="C136" s="48" t="str">
        <f t="shared" si="18"/>
        <v/>
      </c>
      <c r="D136" s="48" t="str">
        <f>IF(ISERROR(PMT(Maandelijkse_rente_percentage,(Loan_Years*12)-Pay_Num+1,Beg_Bal)),"",IF(Values_Entered,-PMT(Maandelijkse_rente_percentage,(Loan_Years*12)-Pay_Num+1,Beg_Bal),""))</f>
        <v/>
      </c>
      <c r="E136" s="48" t="str">
        <f t="shared" si="12"/>
        <v/>
      </c>
      <c r="F136" s="48" t="e">
        <f t="shared" si="13"/>
        <v>#VALUE!</v>
      </c>
      <c r="G136" s="48" t="str">
        <f t="shared" si="17"/>
        <v/>
      </c>
      <c r="H136" s="19">
        <f t="shared" si="11"/>
        <v>0</v>
      </c>
      <c r="I136" s="19">
        <f t="shared" si="14"/>
        <v>0</v>
      </c>
      <c r="J136" s="4"/>
    </row>
    <row r="137" spans="1:10" ht="14.25">
      <c r="A137" s="46" t="str">
        <f t="shared" si="15"/>
        <v/>
      </c>
      <c r="B137" s="47" t="str">
        <f t="shared" si="16"/>
        <v/>
      </c>
      <c r="C137" s="48" t="str">
        <f t="shared" si="18"/>
        <v/>
      </c>
      <c r="D137" s="48" t="str">
        <f>IF(ISERROR(PMT(Maandelijkse_rente_percentage,(Loan_Years*12)-Pay_Num+1,Beg_Bal)),"",IF(Values_Entered,-PMT(Maandelijkse_rente_percentage,(Loan_Years*12)-Pay_Num+1,Beg_Bal),""))</f>
        <v/>
      </c>
      <c r="E137" s="48" t="str">
        <f t="shared" si="12"/>
        <v/>
      </c>
      <c r="F137" s="48" t="e">
        <f t="shared" si="13"/>
        <v>#VALUE!</v>
      </c>
      <c r="G137" s="48" t="str">
        <f t="shared" si="17"/>
        <v/>
      </c>
      <c r="H137" s="19">
        <f t="shared" si="11"/>
        <v>0</v>
      </c>
      <c r="I137" s="19">
        <f t="shared" si="14"/>
        <v>0</v>
      </c>
      <c r="J137" s="4"/>
    </row>
    <row r="138" spans="1:10" ht="14.25">
      <c r="A138" s="46" t="str">
        <f t="shared" si="15"/>
        <v/>
      </c>
      <c r="B138" s="47" t="str">
        <f t="shared" si="16"/>
        <v/>
      </c>
      <c r="C138" s="48" t="str">
        <f t="shared" si="18"/>
        <v/>
      </c>
      <c r="D138" s="48" t="str">
        <f>IF(ISERROR(PMT(Maandelijkse_rente_percentage,(Loan_Years*12)-Pay_Num+1,Beg_Bal)),"",IF(Values_Entered,-PMT(Maandelijkse_rente_percentage,(Loan_Years*12)-Pay_Num+1,Beg_Bal),""))</f>
        <v/>
      </c>
      <c r="E138" s="48" t="str">
        <f t="shared" si="12"/>
        <v/>
      </c>
      <c r="F138" s="48" t="e">
        <f t="shared" si="13"/>
        <v>#VALUE!</v>
      </c>
      <c r="G138" s="48" t="str">
        <f t="shared" si="17"/>
        <v/>
      </c>
      <c r="H138" s="19">
        <f t="shared" si="11"/>
        <v>0</v>
      </c>
      <c r="I138" s="19">
        <f t="shared" si="14"/>
        <v>0</v>
      </c>
      <c r="J138" s="4"/>
    </row>
    <row r="139" spans="1:10" ht="14.25">
      <c r="A139" s="46" t="str">
        <f t="shared" si="15"/>
        <v/>
      </c>
      <c r="B139" s="47" t="str">
        <f t="shared" si="16"/>
        <v/>
      </c>
      <c r="C139" s="48" t="str">
        <f t="shared" si="18"/>
        <v/>
      </c>
      <c r="D139" s="48" t="str">
        <f>IF(ISERROR(PMT(Maandelijkse_rente_percentage,(Loan_Years*12)-Pay_Num+1,Beg_Bal)),"",IF(Values_Entered,-PMT(Maandelijkse_rente_percentage,(Loan_Years*12)-Pay_Num+1,Beg_Bal),""))</f>
        <v/>
      </c>
      <c r="E139" s="48" t="str">
        <f t="shared" si="12"/>
        <v/>
      </c>
      <c r="F139" s="48" t="e">
        <f t="shared" si="13"/>
        <v>#VALUE!</v>
      </c>
      <c r="G139" s="48" t="str">
        <f t="shared" si="17"/>
        <v/>
      </c>
      <c r="H139" s="19">
        <f>L13</f>
        <v>0</v>
      </c>
      <c r="I139" s="19">
        <f t="shared" si="14"/>
        <v>0</v>
      </c>
      <c r="J139" s="4"/>
    </row>
    <row r="140" spans="1:10" ht="14.25">
      <c r="A140" s="46" t="str">
        <f t="shared" si="15"/>
        <v/>
      </c>
      <c r="B140" s="47" t="str">
        <f t="shared" si="16"/>
        <v/>
      </c>
      <c r="C140" s="48" t="str">
        <f t="shared" si="18"/>
        <v/>
      </c>
      <c r="D140" s="48" t="str">
        <f>IF(ISERROR(PMT(Maandelijkse_rente_percentage,(Loan_Years*12)-Pay_Num+1,Beg_Bal)),"",IF(Values_Entered,-PMT(Maandelijkse_rente_percentage,(Loan_Years*12)-Pay_Num+1,Beg_Bal),""))</f>
        <v/>
      </c>
      <c r="E140" s="48" t="str">
        <f t="shared" si="12"/>
        <v/>
      </c>
      <c r="F140" s="48" t="e">
        <f t="shared" si="13"/>
        <v>#VALUE!</v>
      </c>
      <c r="G140" s="48" t="str">
        <f t="shared" si="17"/>
        <v/>
      </c>
      <c r="H140" s="19">
        <f t="shared" si="11"/>
        <v>0</v>
      </c>
      <c r="I140" s="19">
        <f t="shared" si="14"/>
        <v>0</v>
      </c>
      <c r="J140" s="4"/>
    </row>
    <row r="141" spans="1:10" ht="14.25">
      <c r="A141" s="46" t="str">
        <f t="shared" si="15"/>
        <v/>
      </c>
      <c r="B141" s="47" t="str">
        <f t="shared" si="16"/>
        <v/>
      </c>
      <c r="C141" s="48" t="str">
        <f t="shared" si="18"/>
        <v/>
      </c>
      <c r="D141" s="48" t="str">
        <f>IF(ISERROR(PMT(Maandelijkse_rente_percentage,(Loan_Years*12)-Pay_Num+1,Beg_Bal)),"",IF(Values_Entered,-PMT(Maandelijkse_rente_percentage,(Loan_Years*12)-Pay_Num+1,Beg_Bal),""))</f>
        <v/>
      </c>
      <c r="E141" s="48" t="str">
        <f t="shared" si="12"/>
        <v/>
      </c>
      <c r="F141" s="48" t="e">
        <f t="shared" si="13"/>
        <v>#VALUE!</v>
      </c>
      <c r="G141" s="48" t="str">
        <f t="shared" si="17"/>
        <v/>
      </c>
      <c r="H141" s="19">
        <f t="shared" si="11"/>
        <v>0</v>
      </c>
      <c r="I141" s="19">
        <f t="shared" si="14"/>
        <v>0</v>
      </c>
      <c r="J141" s="4"/>
    </row>
    <row r="142" spans="1:10" ht="14.25">
      <c r="A142" s="46" t="str">
        <f t="shared" si="15"/>
        <v/>
      </c>
      <c r="B142" s="47" t="str">
        <f t="shared" si="16"/>
        <v/>
      </c>
      <c r="C142" s="48" t="str">
        <f t="shared" si="18"/>
        <v/>
      </c>
      <c r="D142" s="48" t="str">
        <f>IF(ISERROR(PMT(Maandelijkse_rente_percentage,(Loan_Years*12)-Pay_Num+1,Beg_Bal)),"",IF(Values_Entered,-PMT(Maandelijkse_rente_percentage,(Loan_Years*12)-Pay_Num+1,Beg_Bal),""))</f>
        <v/>
      </c>
      <c r="E142" s="48" t="str">
        <f t="shared" si="12"/>
        <v/>
      </c>
      <c r="F142" s="48" t="e">
        <f t="shared" si="13"/>
        <v>#VALUE!</v>
      </c>
      <c r="G142" s="48" t="str">
        <f t="shared" si="17"/>
        <v/>
      </c>
      <c r="H142" s="19">
        <f t="shared" si="11"/>
        <v>0</v>
      </c>
      <c r="I142" s="19">
        <f t="shared" si="14"/>
        <v>0</v>
      </c>
      <c r="J142" s="4"/>
    </row>
    <row r="143" spans="1:10" ht="14.25">
      <c r="A143" s="46" t="str">
        <f t="shared" si="15"/>
        <v/>
      </c>
      <c r="B143" s="47" t="str">
        <f t="shared" si="16"/>
        <v/>
      </c>
      <c r="C143" s="48" t="str">
        <f t="shared" si="18"/>
        <v/>
      </c>
      <c r="D143" s="48" t="str">
        <f>IF(ISERROR(PMT(Maandelijkse_rente_percentage,(Loan_Years*12)-Pay_Num+1,Beg_Bal)),"",IF(Values_Entered,-PMT(Maandelijkse_rente_percentage,(Loan_Years*12)-Pay_Num+1,Beg_Bal),""))</f>
        <v/>
      </c>
      <c r="E143" s="48" t="str">
        <f t="shared" si="12"/>
        <v/>
      </c>
      <c r="F143" s="48" t="e">
        <f t="shared" si="13"/>
        <v>#VALUE!</v>
      </c>
      <c r="G143" s="48" t="str">
        <f t="shared" si="17"/>
        <v/>
      </c>
      <c r="H143" s="19">
        <f t="shared" ref="H143:H206" si="19">H142</f>
        <v>0</v>
      </c>
      <c r="I143" s="19">
        <f t="shared" si="14"/>
        <v>0</v>
      </c>
      <c r="J143" s="4"/>
    </row>
    <row r="144" spans="1:10" ht="14.25">
      <c r="A144" s="46" t="str">
        <f t="shared" si="15"/>
        <v/>
      </c>
      <c r="B144" s="47" t="str">
        <f t="shared" si="16"/>
        <v/>
      </c>
      <c r="C144" s="48" t="str">
        <f t="shared" si="18"/>
        <v/>
      </c>
      <c r="D144" s="48" t="str">
        <f>IF(ISERROR(PMT(Maandelijkse_rente_percentage,(Loan_Years*12)-Pay_Num+1,Beg_Bal)),"",IF(Values_Entered,-PMT(Maandelijkse_rente_percentage,(Loan_Years*12)-Pay_Num+1,Beg_Bal),""))</f>
        <v/>
      </c>
      <c r="E144" s="48" t="str">
        <f t="shared" si="12"/>
        <v/>
      </c>
      <c r="F144" s="48" t="e">
        <f t="shared" si="13"/>
        <v>#VALUE!</v>
      </c>
      <c r="G144" s="48" t="str">
        <f t="shared" si="17"/>
        <v/>
      </c>
      <c r="H144" s="19">
        <f t="shared" si="19"/>
        <v>0</v>
      </c>
      <c r="I144" s="19">
        <f t="shared" si="14"/>
        <v>0</v>
      </c>
      <c r="J144" s="4"/>
    </row>
    <row r="145" spans="1:10" ht="14.25">
      <c r="A145" s="46" t="str">
        <f t="shared" si="15"/>
        <v/>
      </c>
      <c r="B145" s="47" t="str">
        <f t="shared" si="16"/>
        <v/>
      </c>
      <c r="C145" s="48" t="str">
        <f t="shared" si="18"/>
        <v/>
      </c>
      <c r="D145" s="48" t="str">
        <f>IF(ISERROR(PMT(Maandelijkse_rente_percentage,(Loan_Years*12)-Pay_Num+1,Beg_Bal)),"",IF(Values_Entered,-PMT(Maandelijkse_rente_percentage,(Loan_Years*12)-Pay_Num+1,Beg_Bal),""))</f>
        <v/>
      </c>
      <c r="E145" s="48" t="str">
        <f t="shared" si="12"/>
        <v/>
      </c>
      <c r="F145" s="48" t="e">
        <f t="shared" si="13"/>
        <v>#VALUE!</v>
      </c>
      <c r="G145" s="48" t="str">
        <f t="shared" si="17"/>
        <v/>
      </c>
      <c r="H145" s="19">
        <f t="shared" si="19"/>
        <v>0</v>
      </c>
      <c r="I145" s="19">
        <f t="shared" si="14"/>
        <v>0</v>
      </c>
      <c r="J145" s="4"/>
    </row>
    <row r="146" spans="1:10" ht="14.25">
      <c r="A146" s="46" t="str">
        <f t="shared" si="15"/>
        <v/>
      </c>
      <c r="B146" s="47" t="str">
        <f t="shared" si="16"/>
        <v/>
      </c>
      <c r="C146" s="48" t="str">
        <f t="shared" si="18"/>
        <v/>
      </c>
      <c r="D146" s="48" t="str">
        <f>IF(ISERROR(PMT(Maandelijkse_rente_percentage,(Loan_Years*12)-Pay_Num+1,Beg_Bal)),"",IF(Values_Entered,-PMT(Maandelijkse_rente_percentage,(Loan_Years*12)-Pay_Num+1,Beg_Bal),""))</f>
        <v/>
      </c>
      <c r="E146" s="48" t="str">
        <f t="shared" si="12"/>
        <v/>
      </c>
      <c r="F146" s="48" t="e">
        <f t="shared" si="13"/>
        <v>#VALUE!</v>
      </c>
      <c r="G146" s="48" t="str">
        <f t="shared" si="17"/>
        <v/>
      </c>
      <c r="H146" s="19">
        <f t="shared" si="19"/>
        <v>0</v>
      </c>
      <c r="I146" s="19">
        <f t="shared" si="14"/>
        <v>0</v>
      </c>
      <c r="J146" s="4"/>
    </row>
    <row r="147" spans="1:10" ht="14.25">
      <c r="A147" s="46" t="str">
        <f t="shared" si="15"/>
        <v/>
      </c>
      <c r="B147" s="47" t="str">
        <f t="shared" si="16"/>
        <v/>
      </c>
      <c r="C147" s="48" t="str">
        <f t="shared" si="18"/>
        <v/>
      </c>
      <c r="D147" s="48" t="str">
        <f>IF(ISERROR(PMT(Maandelijkse_rente_percentage,(Loan_Years*12)-Pay_Num+1,Beg_Bal)),"",IF(Values_Entered,-PMT(Maandelijkse_rente_percentage,(Loan_Years*12)-Pay_Num+1,Beg_Bal),""))</f>
        <v/>
      </c>
      <c r="E147" s="48" t="str">
        <f t="shared" ref="E147:E210" si="20">IF(Pay_Num&lt;&gt;"",Maandelijkse_aflossing-Int,"")</f>
        <v/>
      </c>
      <c r="F147" s="48" t="e">
        <f t="shared" ref="F147:F210" si="21">Beg_Bal*Maandelijkse_rente_percentage</f>
        <v>#VALUE!</v>
      </c>
      <c r="G147" s="48" t="str">
        <f t="shared" si="17"/>
        <v/>
      </c>
      <c r="H147" s="19">
        <f t="shared" si="19"/>
        <v>0</v>
      </c>
      <c r="I147" s="19">
        <f t="shared" ref="I147:I210" si="22">((1+Jaarlijk_rente_percentage)^(1/12))-1</f>
        <v>0</v>
      </c>
      <c r="J147" s="4"/>
    </row>
    <row r="148" spans="1:10" ht="14.25">
      <c r="A148" s="46" t="str">
        <f t="shared" ref="A148:A211" si="23">IF(Values_Entered,A147+1,"")</f>
        <v/>
      </c>
      <c r="B148" s="47" t="str">
        <f t="shared" ref="B148:B211" si="24">IF(Pay_Num&lt;&gt;"",DATE(YEAR(B147),MONTH(B147)+1,DAY(B147)),"")</f>
        <v/>
      </c>
      <c r="C148" s="48" t="str">
        <f t="shared" si="18"/>
        <v/>
      </c>
      <c r="D148" s="48" t="str">
        <f>IF(ISERROR(PMT(Maandelijkse_rente_percentage,(Loan_Years*12)-Pay_Num+1,Beg_Bal)),"",IF(Values_Entered,-PMT(Maandelijkse_rente_percentage,(Loan_Years*12)-Pay_Num+1,Beg_Bal),""))</f>
        <v/>
      </c>
      <c r="E148" s="48" t="str">
        <f t="shared" si="20"/>
        <v/>
      </c>
      <c r="F148" s="48" t="e">
        <f t="shared" si="21"/>
        <v>#VALUE!</v>
      </c>
      <c r="G148" s="48" t="str">
        <f t="shared" ref="G148:G211" si="25">IF(Pay_Num&lt;&gt;"",Beg_Bal-Princ,"")</f>
        <v/>
      </c>
      <c r="H148" s="19">
        <f t="shared" si="19"/>
        <v>0</v>
      </c>
      <c r="I148" s="19">
        <f t="shared" si="22"/>
        <v>0</v>
      </c>
      <c r="J148" s="4"/>
    </row>
    <row r="149" spans="1:10" ht="14.25">
      <c r="A149" s="46" t="str">
        <f t="shared" si="23"/>
        <v/>
      </c>
      <c r="B149" s="47" t="str">
        <f t="shared" si="24"/>
        <v/>
      </c>
      <c r="C149" s="48" t="str">
        <f t="shared" ref="C149:C212" si="26">IF(Pay_Num&lt;&gt;"",G148,"")</f>
        <v/>
      </c>
      <c r="D149" s="48" t="str">
        <f>IF(ISERROR(PMT(Maandelijkse_rente_percentage,(Loan_Years*12)-Pay_Num+1,Beg_Bal)),"",IF(Values_Entered,-PMT(Maandelijkse_rente_percentage,(Loan_Years*12)-Pay_Num+1,Beg_Bal),""))</f>
        <v/>
      </c>
      <c r="E149" s="48" t="str">
        <f t="shared" si="20"/>
        <v/>
      </c>
      <c r="F149" s="48" t="e">
        <f t="shared" si="21"/>
        <v>#VALUE!</v>
      </c>
      <c r="G149" s="48" t="str">
        <f t="shared" si="25"/>
        <v/>
      </c>
      <c r="H149" s="19">
        <f t="shared" si="19"/>
        <v>0</v>
      </c>
      <c r="I149" s="19">
        <f t="shared" si="22"/>
        <v>0</v>
      </c>
      <c r="J149" s="4"/>
    </row>
    <row r="150" spans="1:10" ht="14.25">
      <c r="A150" s="46" t="str">
        <f t="shared" si="23"/>
        <v/>
      </c>
      <c r="B150" s="47" t="str">
        <f t="shared" si="24"/>
        <v/>
      </c>
      <c r="C150" s="48" t="str">
        <f t="shared" si="26"/>
        <v/>
      </c>
      <c r="D150" s="48" t="str">
        <f>IF(ISERROR(PMT(Maandelijkse_rente_percentage,(Loan_Years*12)-Pay_Num+1,Beg_Bal)),"",IF(Values_Entered,-PMT(Maandelijkse_rente_percentage,(Loan_Years*12)-Pay_Num+1,Beg_Bal),""))</f>
        <v/>
      </c>
      <c r="E150" s="48" t="str">
        <f t="shared" si="20"/>
        <v/>
      </c>
      <c r="F150" s="48" t="e">
        <f t="shared" si="21"/>
        <v>#VALUE!</v>
      </c>
      <c r="G150" s="48" t="str">
        <f t="shared" si="25"/>
        <v/>
      </c>
      <c r="H150" s="19">
        <f t="shared" si="19"/>
        <v>0</v>
      </c>
      <c r="I150" s="19">
        <f t="shared" si="22"/>
        <v>0</v>
      </c>
      <c r="J150" s="4"/>
    </row>
    <row r="151" spans="1:10" ht="14.25">
      <c r="A151" s="46" t="str">
        <f t="shared" si="23"/>
        <v/>
      </c>
      <c r="B151" s="47" t="str">
        <f t="shared" si="24"/>
        <v/>
      </c>
      <c r="C151" s="48" t="str">
        <f t="shared" si="26"/>
        <v/>
      </c>
      <c r="D151" s="48" t="str">
        <f>IF(ISERROR(PMT(Maandelijkse_rente_percentage,(Loan_Years*12)-Pay_Num+1,Beg_Bal)),"",IF(Values_Entered,-PMT(Maandelijkse_rente_percentage,(Loan_Years*12)-Pay_Num+1,Beg_Bal),""))</f>
        <v/>
      </c>
      <c r="E151" s="48" t="str">
        <f t="shared" si="20"/>
        <v/>
      </c>
      <c r="F151" s="48" t="e">
        <f t="shared" si="21"/>
        <v>#VALUE!</v>
      </c>
      <c r="G151" s="48" t="str">
        <f t="shared" si="25"/>
        <v/>
      </c>
      <c r="H151" s="19">
        <f>L14</f>
        <v>0</v>
      </c>
      <c r="I151" s="19">
        <f t="shared" si="22"/>
        <v>0</v>
      </c>
      <c r="J151" s="4"/>
    </row>
    <row r="152" spans="1:10" ht="14.25">
      <c r="A152" s="46" t="str">
        <f t="shared" si="23"/>
        <v/>
      </c>
      <c r="B152" s="47" t="str">
        <f t="shared" si="24"/>
        <v/>
      </c>
      <c r="C152" s="48" t="str">
        <f t="shared" si="26"/>
        <v/>
      </c>
      <c r="D152" s="48" t="str">
        <f>IF(ISERROR(PMT(Maandelijkse_rente_percentage,(Loan_Years*12)-Pay_Num+1,Beg_Bal)),"",IF(Values_Entered,-PMT(Maandelijkse_rente_percentage,(Loan_Years*12)-Pay_Num+1,Beg_Bal),""))</f>
        <v/>
      </c>
      <c r="E152" s="48" t="str">
        <f t="shared" si="20"/>
        <v/>
      </c>
      <c r="F152" s="48" t="e">
        <f t="shared" si="21"/>
        <v>#VALUE!</v>
      </c>
      <c r="G152" s="48" t="str">
        <f t="shared" si="25"/>
        <v/>
      </c>
      <c r="H152" s="19">
        <f t="shared" si="19"/>
        <v>0</v>
      </c>
      <c r="I152" s="19">
        <f t="shared" si="22"/>
        <v>0</v>
      </c>
      <c r="J152" s="4"/>
    </row>
    <row r="153" spans="1:10" ht="14.25">
      <c r="A153" s="46" t="str">
        <f t="shared" si="23"/>
        <v/>
      </c>
      <c r="B153" s="47" t="str">
        <f t="shared" si="24"/>
        <v/>
      </c>
      <c r="C153" s="48" t="str">
        <f t="shared" si="26"/>
        <v/>
      </c>
      <c r="D153" s="48" t="str">
        <f>IF(ISERROR(PMT(Maandelijkse_rente_percentage,(Loan_Years*12)-Pay_Num+1,Beg_Bal)),"",IF(Values_Entered,-PMT(Maandelijkse_rente_percentage,(Loan_Years*12)-Pay_Num+1,Beg_Bal),""))</f>
        <v/>
      </c>
      <c r="E153" s="48" t="str">
        <f t="shared" si="20"/>
        <v/>
      </c>
      <c r="F153" s="48" t="e">
        <f t="shared" si="21"/>
        <v>#VALUE!</v>
      </c>
      <c r="G153" s="48" t="str">
        <f t="shared" si="25"/>
        <v/>
      </c>
      <c r="H153" s="19">
        <f t="shared" si="19"/>
        <v>0</v>
      </c>
      <c r="I153" s="19">
        <f t="shared" si="22"/>
        <v>0</v>
      </c>
      <c r="J153" s="4"/>
    </row>
    <row r="154" spans="1:10" ht="14.25">
      <c r="A154" s="46" t="str">
        <f t="shared" si="23"/>
        <v/>
      </c>
      <c r="B154" s="47" t="str">
        <f t="shared" si="24"/>
        <v/>
      </c>
      <c r="C154" s="48" t="str">
        <f t="shared" si="26"/>
        <v/>
      </c>
      <c r="D154" s="48" t="str">
        <f>IF(ISERROR(PMT(Maandelijkse_rente_percentage,(Loan_Years*12)-Pay_Num+1,Beg_Bal)),"",IF(Values_Entered,-PMT(Maandelijkse_rente_percentage,(Loan_Years*12)-Pay_Num+1,Beg_Bal),""))</f>
        <v/>
      </c>
      <c r="E154" s="48" t="str">
        <f t="shared" si="20"/>
        <v/>
      </c>
      <c r="F154" s="48" t="e">
        <f t="shared" si="21"/>
        <v>#VALUE!</v>
      </c>
      <c r="G154" s="48" t="str">
        <f t="shared" si="25"/>
        <v/>
      </c>
      <c r="H154" s="19">
        <f t="shared" si="19"/>
        <v>0</v>
      </c>
      <c r="I154" s="19">
        <f t="shared" si="22"/>
        <v>0</v>
      </c>
      <c r="J154" s="4"/>
    </row>
    <row r="155" spans="1:10" ht="14.25">
      <c r="A155" s="46" t="str">
        <f t="shared" si="23"/>
        <v/>
      </c>
      <c r="B155" s="47" t="str">
        <f t="shared" si="24"/>
        <v/>
      </c>
      <c r="C155" s="48" t="str">
        <f t="shared" si="26"/>
        <v/>
      </c>
      <c r="D155" s="48" t="str">
        <f>IF(ISERROR(PMT(Maandelijkse_rente_percentage,(Loan_Years*12)-Pay_Num+1,Beg_Bal)),"",IF(Values_Entered,-PMT(Maandelijkse_rente_percentage,(Loan_Years*12)-Pay_Num+1,Beg_Bal),""))</f>
        <v/>
      </c>
      <c r="E155" s="48" t="str">
        <f t="shared" si="20"/>
        <v/>
      </c>
      <c r="F155" s="48" t="e">
        <f t="shared" si="21"/>
        <v>#VALUE!</v>
      </c>
      <c r="G155" s="48" t="str">
        <f t="shared" si="25"/>
        <v/>
      </c>
      <c r="H155" s="19">
        <f t="shared" si="19"/>
        <v>0</v>
      </c>
      <c r="I155" s="19">
        <f t="shared" si="22"/>
        <v>0</v>
      </c>
      <c r="J155" s="4"/>
    </row>
    <row r="156" spans="1:10" ht="14.25">
      <c r="A156" s="46" t="str">
        <f t="shared" si="23"/>
        <v/>
      </c>
      <c r="B156" s="47" t="str">
        <f t="shared" si="24"/>
        <v/>
      </c>
      <c r="C156" s="48" t="str">
        <f t="shared" si="26"/>
        <v/>
      </c>
      <c r="D156" s="48" t="str">
        <f>IF(ISERROR(PMT(Maandelijkse_rente_percentage,(Loan_Years*12)-Pay_Num+1,Beg_Bal)),"",IF(Values_Entered,-PMT(Maandelijkse_rente_percentage,(Loan_Years*12)-Pay_Num+1,Beg_Bal),""))</f>
        <v/>
      </c>
      <c r="E156" s="48" t="str">
        <f t="shared" si="20"/>
        <v/>
      </c>
      <c r="F156" s="48" t="e">
        <f t="shared" si="21"/>
        <v>#VALUE!</v>
      </c>
      <c r="G156" s="48" t="str">
        <f t="shared" si="25"/>
        <v/>
      </c>
      <c r="H156" s="19">
        <f t="shared" si="19"/>
        <v>0</v>
      </c>
      <c r="I156" s="19">
        <f t="shared" si="22"/>
        <v>0</v>
      </c>
      <c r="J156" s="4"/>
    </row>
    <row r="157" spans="1:10" ht="14.25">
      <c r="A157" s="46" t="str">
        <f t="shared" si="23"/>
        <v/>
      </c>
      <c r="B157" s="47" t="str">
        <f t="shared" si="24"/>
        <v/>
      </c>
      <c r="C157" s="48" t="str">
        <f t="shared" si="26"/>
        <v/>
      </c>
      <c r="D157" s="48" t="str">
        <f>IF(ISERROR(PMT(Maandelijkse_rente_percentage,(Loan_Years*12)-Pay_Num+1,Beg_Bal)),"",IF(Values_Entered,-PMT(Maandelijkse_rente_percentage,(Loan_Years*12)-Pay_Num+1,Beg_Bal),""))</f>
        <v/>
      </c>
      <c r="E157" s="48" t="str">
        <f t="shared" si="20"/>
        <v/>
      </c>
      <c r="F157" s="48" t="e">
        <f t="shared" si="21"/>
        <v>#VALUE!</v>
      </c>
      <c r="G157" s="48" t="str">
        <f t="shared" si="25"/>
        <v/>
      </c>
      <c r="H157" s="19">
        <f t="shared" si="19"/>
        <v>0</v>
      </c>
      <c r="I157" s="19">
        <f t="shared" si="22"/>
        <v>0</v>
      </c>
      <c r="J157" s="4"/>
    </row>
    <row r="158" spans="1:10" ht="14.25">
      <c r="A158" s="46" t="str">
        <f t="shared" si="23"/>
        <v/>
      </c>
      <c r="B158" s="47" t="str">
        <f t="shared" si="24"/>
        <v/>
      </c>
      <c r="C158" s="48" t="str">
        <f t="shared" si="26"/>
        <v/>
      </c>
      <c r="D158" s="48" t="str">
        <f>IF(ISERROR(PMT(Maandelijkse_rente_percentage,(Loan_Years*12)-Pay_Num+1,Beg_Bal)),"",IF(Values_Entered,-PMT(Maandelijkse_rente_percentage,(Loan_Years*12)-Pay_Num+1,Beg_Bal),""))</f>
        <v/>
      </c>
      <c r="E158" s="48" t="str">
        <f t="shared" si="20"/>
        <v/>
      </c>
      <c r="F158" s="48" t="e">
        <f t="shared" si="21"/>
        <v>#VALUE!</v>
      </c>
      <c r="G158" s="48" t="str">
        <f t="shared" si="25"/>
        <v/>
      </c>
      <c r="H158" s="19">
        <f t="shared" si="19"/>
        <v>0</v>
      </c>
      <c r="I158" s="19">
        <f t="shared" si="22"/>
        <v>0</v>
      </c>
      <c r="J158" s="4"/>
    </row>
    <row r="159" spans="1:10" ht="14.25">
      <c r="A159" s="46" t="str">
        <f t="shared" si="23"/>
        <v/>
      </c>
      <c r="B159" s="47" t="str">
        <f t="shared" si="24"/>
        <v/>
      </c>
      <c r="C159" s="48" t="str">
        <f t="shared" si="26"/>
        <v/>
      </c>
      <c r="D159" s="48" t="str">
        <f>IF(ISERROR(PMT(Maandelijkse_rente_percentage,(Loan_Years*12)-Pay_Num+1,Beg_Bal)),"",IF(Values_Entered,-PMT(Maandelijkse_rente_percentage,(Loan_Years*12)-Pay_Num+1,Beg_Bal),""))</f>
        <v/>
      </c>
      <c r="E159" s="48" t="str">
        <f t="shared" si="20"/>
        <v/>
      </c>
      <c r="F159" s="48" t="e">
        <f t="shared" si="21"/>
        <v>#VALUE!</v>
      </c>
      <c r="G159" s="48" t="str">
        <f t="shared" si="25"/>
        <v/>
      </c>
      <c r="H159" s="19">
        <f t="shared" si="19"/>
        <v>0</v>
      </c>
      <c r="I159" s="19">
        <f t="shared" si="22"/>
        <v>0</v>
      </c>
      <c r="J159" s="4"/>
    </row>
    <row r="160" spans="1:10" ht="14.25">
      <c r="A160" s="46" t="str">
        <f t="shared" si="23"/>
        <v/>
      </c>
      <c r="B160" s="47" t="str">
        <f t="shared" si="24"/>
        <v/>
      </c>
      <c r="C160" s="48" t="str">
        <f t="shared" si="26"/>
        <v/>
      </c>
      <c r="D160" s="48" t="str">
        <f>IF(ISERROR(PMT(Maandelijkse_rente_percentage,(Loan_Years*12)-Pay_Num+1,Beg_Bal)),"",IF(Values_Entered,-PMT(Maandelijkse_rente_percentage,(Loan_Years*12)-Pay_Num+1,Beg_Bal),""))</f>
        <v/>
      </c>
      <c r="E160" s="48" t="str">
        <f t="shared" si="20"/>
        <v/>
      </c>
      <c r="F160" s="48" t="e">
        <f t="shared" si="21"/>
        <v>#VALUE!</v>
      </c>
      <c r="G160" s="48" t="str">
        <f t="shared" si="25"/>
        <v/>
      </c>
      <c r="H160" s="19">
        <f t="shared" si="19"/>
        <v>0</v>
      </c>
      <c r="I160" s="19">
        <f t="shared" si="22"/>
        <v>0</v>
      </c>
      <c r="J160" s="4"/>
    </row>
    <row r="161" spans="1:10" ht="14.25">
      <c r="A161" s="46" t="str">
        <f t="shared" si="23"/>
        <v/>
      </c>
      <c r="B161" s="47" t="str">
        <f t="shared" si="24"/>
        <v/>
      </c>
      <c r="C161" s="48" t="str">
        <f t="shared" si="26"/>
        <v/>
      </c>
      <c r="D161" s="48" t="str">
        <f>IF(ISERROR(PMT(Maandelijkse_rente_percentage,(Loan_Years*12)-Pay_Num+1,Beg_Bal)),"",IF(Values_Entered,-PMT(Maandelijkse_rente_percentage,(Loan_Years*12)-Pay_Num+1,Beg_Bal),""))</f>
        <v/>
      </c>
      <c r="E161" s="48" t="str">
        <f t="shared" si="20"/>
        <v/>
      </c>
      <c r="F161" s="48" t="e">
        <f t="shared" si="21"/>
        <v>#VALUE!</v>
      </c>
      <c r="G161" s="48" t="str">
        <f t="shared" si="25"/>
        <v/>
      </c>
      <c r="H161" s="19">
        <f t="shared" si="19"/>
        <v>0</v>
      </c>
      <c r="I161" s="19">
        <f t="shared" si="22"/>
        <v>0</v>
      </c>
      <c r="J161" s="4"/>
    </row>
    <row r="162" spans="1:10" ht="14.25">
      <c r="A162" s="46" t="str">
        <f t="shared" si="23"/>
        <v/>
      </c>
      <c r="B162" s="47" t="str">
        <f t="shared" si="24"/>
        <v/>
      </c>
      <c r="C162" s="48" t="str">
        <f t="shared" si="26"/>
        <v/>
      </c>
      <c r="D162" s="48" t="str">
        <f>IF(ISERROR(PMT(Maandelijkse_rente_percentage,(Loan_Years*12)-Pay_Num+1,Beg_Bal)),"",IF(Values_Entered,-PMT(Maandelijkse_rente_percentage,(Loan_Years*12)-Pay_Num+1,Beg_Bal),""))</f>
        <v/>
      </c>
      <c r="E162" s="48" t="str">
        <f t="shared" si="20"/>
        <v/>
      </c>
      <c r="F162" s="48" t="e">
        <f t="shared" si="21"/>
        <v>#VALUE!</v>
      </c>
      <c r="G162" s="48" t="str">
        <f t="shared" si="25"/>
        <v/>
      </c>
      <c r="H162" s="19">
        <f t="shared" si="19"/>
        <v>0</v>
      </c>
      <c r="I162" s="19">
        <f t="shared" si="22"/>
        <v>0</v>
      </c>
      <c r="J162" s="4"/>
    </row>
    <row r="163" spans="1:10" ht="14.25">
      <c r="A163" s="46" t="str">
        <f t="shared" si="23"/>
        <v/>
      </c>
      <c r="B163" s="47" t="str">
        <f t="shared" si="24"/>
        <v/>
      </c>
      <c r="C163" s="48" t="str">
        <f t="shared" si="26"/>
        <v/>
      </c>
      <c r="D163" s="48" t="str">
        <f>IF(ISERROR(PMT(Maandelijkse_rente_percentage,(Loan_Years*12)-Pay_Num+1,Beg_Bal)),"",IF(Values_Entered,-PMT(Maandelijkse_rente_percentage,(Loan_Years*12)-Pay_Num+1,Beg_Bal),""))</f>
        <v/>
      </c>
      <c r="E163" s="48" t="str">
        <f t="shared" si="20"/>
        <v/>
      </c>
      <c r="F163" s="48" t="e">
        <f t="shared" si="21"/>
        <v>#VALUE!</v>
      </c>
      <c r="G163" s="48" t="str">
        <f t="shared" si="25"/>
        <v/>
      </c>
      <c r="H163" s="19">
        <f>L15</f>
        <v>0</v>
      </c>
      <c r="I163" s="19">
        <f t="shared" si="22"/>
        <v>0</v>
      </c>
      <c r="J163" s="4"/>
    </row>
    <row r="164" spans="1:10" ht="14.25">
      <c r="A164" s="46" t="str">
        <f t="shared" si="23"/>
        <v/>
      </c>
      <c r="B164" s="47" t="str">
        <f t="shared" si="24"/>
        <v/>
      </c>
      <c r="C164" s="48" t="str">
        <f t="shared" si="26"/>
        <v/>
      </c>
      <c r="D164" s="48" t="str">
        <f>IF(ISERROR(PMT(Maandelijkse_rente_percentage,(Loan_Years*12)-Pay_Num+1,Beg_Bal)),"",IF(Values_Entered,-PMT(Maandelijkse_rente_percentage,(Loan_Years*12)-Pay_Num+1,Beg_Bal),""))</f>
        <v/>
      </c>
      <c r="E164" s="48" t="str">
        <f t="shared" si="20"/>
        <v/>
      </c>
      <c r="F164" s="48" t="e">
        <f t="shared" si="21"/>
        <v>#VALUE!</v>
      </c>
      <c r="G164" s="48" t="str">
        <f t="shared" si="25"/>
        <v/>
      </c>
      <c r="H164" s="19">
        <f t="shared" si="19"/>
        <v>0</v>
      </c>
      <c r="I164" s="19">
        <f t="shared" si="22"/>
        <v>0</v>
      </c>
      <c r="J164" s="4"/>
    </row>
    <row r="165" spans="1:10" ht="14.25">
      <c r="A165" s="46" t="str">
        <f t="shared" si="23"/>
        <v/>
      </c>
      <c r="B165" s="47" t="str">
        <f t="shared" si="24"/>
        <v/>
      </c>
      <c r="C165" s="48" t="str">
        <f t="shared" si="26"/>
        <v/>
      </c>
      <c r="D165" s="48" t="str">
        <f>IF(ISERROR(PMT(Maandelijkse_rente_percentage,(Loan_Years*12)-Pay_Num+1,Beg_Bal)),"",IF(Values_Entered,-PMT(Maandelijkse_rente_percentage,(Loan_Years*12)-Pay_Num+1,Beg_Bal),""))</f>
        <v/>
      </c>
      <c r="E165" s="48" t="str">
        <f t="shared" si="20"/>
        <v/>
      </c>
      <c r="F165" s="48" t="e">
        <f t="shared" si="21"/>
        <v>#VALUE!</v>
      </c>
      <c r="G165" s="48" t="str">
        <f t="shared" si="25"/>
        <v/>
      </c>
      <c r="H165" s="19">
        <f t="shared" si="19"/>
        <v>0</v>
      </c>
      <c r="I165" s="19">
        <f t="shared" si="22"/>
        <v>0</v>
      </c>
      <c r="J165" s="4"/>
    </row>
    <row r="166" spans="1:10" ht="14.25">
      <c r="A166" s="46" t="str">
        <f t="shared" si="23"/>
        <v/>
      </c>
      <c r="B166" s="47" t="str">
        <f t="shared" si="24"/>
        <v/>
      </c>
      <c r="C166" s="48" t="str">
        <f t="shared" si="26"/>
        <v/>
      </c>
      <c r="D166" s="48" t="str">
        <f>IF(ISERROR(PMT(Maandelijkse_rente_percentage,(Loan_Years*12)-Pay_Num+1,Beg_Bal)),"",IF(Values_Entered,-PMT(Maandelijkse_rente_percentage,(Loan_Years*12)-Pay_Num+1,Beg_Bal),""))</f>
        <v/>
      </c>
      <c r="E166" s="48" t="str">
        <f t="shared" si="20"/>
        <v/>
      </c>
      <c r="F166" s="48" t="e">
        <f t="shared" si="21"/>
        <v>#VALUE!</v>
      </c>
      <c r="G166" s="48" t="str">
        <f t="shared" si="25"/>
        <v/>
      </c>
      <c r="H166" s="19">
        <f t="shared" si="19"/>
        <v>0</v>
      </c>
      <c r="I166" s="19">
        <f t="shared" si="22"/>
        <v>0</v>
      </c>
      <c r="J166" s="4"/>
    </row>
    <row r="167" spans="1:10" ht="14.25">
      <c r="A167" s="46" t="str">
        <f t="shared" si="23"/>
        <v/>
      </c>
      <c r="B167" s="47" t="str">
        <f t="shared" si="24"/>
        <v/>
      </c>
      <c r="C167" s="48" t="str">
        <f t="shared" si="26"/>
        <v/>
      </c>
      <c r="D167" s="48" t="str">
        <f>IF(ISERROR(PMT(Maandelijkse_rente_percentage,(Loan_Years*12)-Pay_Num+1,Beg_Bal)),"",IF(Values_Entered,-PMT(Maandelijkse_rente_percentage,(Loan_Years*12)-Pay_Num+1,Beg_Bal),""))</f>
        <v/>
      </c>
      <c r="E167" s="48" t="str">
        <f t="shared" si="20"/>
        <v/>
      </c>
      <c r="F167" s="48" t="e">
        <f t="shared" si="21"/>
        <v>#VALUE!</v>
      </c>
      <c r="G167" s="48" t="str">
        <f t="shared" si="25"/>
        <v/>
      </c>
      <c r="H167" s="19">
        <f t="shared" si="19"/>
        <v>0</v>
      </c>
      <c r="I167" s="19">
        <f t="shared" si="22"/>
        <v>0</v>
      </c>
      <c r="J167" s="4"/>
    </row>
    <row r="168" spans="1:10" ht="14.25">
      <c r="A168" s="46" t="str">
        <f t="shared" si="23"/>
        <v/>
      </c>
      <c r="B168" s="47" t="str">
        <f t="shared" si="24"/>
        <v/>
      </c>
      <c r="C168" s="48" t="str">
        <f t="shared" si="26"/>
        <v/>
      </c>
      <c r="D168" s="48" t="str">
        <f>IF(ISERROR(PMT(Maandelijkse_rente_percentage,(Loan_Years*12)-Pay_Num+1,Beg_Bal)),"",IF(Values_Entered,-PMT(Maandelijkse_rente_percentage,(Loan_Years*12)-Pay_Num+1,Beg_Bal),""))</f>
        <v/>
      </c>
      <c r="E168" s="48" t="str">
        <f t="shared" si="20"/>
        <v/>
      </c>
      <c r="F168" s="48" t="e">
        <f t="shared" si="21"/>
        <v>#VALUE!</v>
      </c>
      <c r="G168" s="48" t="str">
        <f t="shared" si="25"/>
        <v/>
      </c>
      <c r="H168" s="19">
        <f t="shared" si="19"/>
        <v>0</v>
      </c>
      <c r="I168" s="19">
        <f t="shared" si="22"/>
        <v>0</v>
      </c>
      <c r="J168" s="4"/>
    </row>
    <row r="169" spans="1:10" ht="14.25">
      <c r="A169" s="46" t="str">
        <f t="shared" si="23"/>
        <v/>
      </c>
      <c r="B169" s="47" t="str">
        <f t="shared" si="24"/>
        <v/>
      </c>
      <c r="C169" s="48" t="str">
        <f t="shared" si="26"/>
        <v/>
      </c>
      <c r="D169" s="48" t="str">
        <f>IF(ISERROR(PMT(Maandelijkse_rente_percentage,(Loan_Years*12)-Pay_Num+1,Beg_Bal)),"",IF(Values_Entered,-PMT(Maandelijkse_rente_percentage,(Loan_Years*12)-Pay_Num+1,Beg_Bal),""))</f>
        <v/>
      </c>
      <c r="E169" s="48" t="str">
        <f t="shared" si="20"/>
        <v/>
      </c>
      <c r="F169" s="48" t="e">
        <f t="shared" si="21"/>
        <v>#VALUE!</v>
      </c>
      <c r="G169" s="48" t="str">
        <f t="shared" si="25"/>
        <v/>
      </c>
      <c r="H169" s="19">
        <f t="shared" si="19"/>
        <v>0</v>
      </c>
      <c r="I169" s="19">
        <f t="shared" si="22"/>
        <v>0</v>
      </c>
      <c r="J169" s="4"/>
    </row>
    <row r="170" spans="1:10" ht="14.25">
      <c r="A170" s="46" t="str">
        <f t="shared" si="23"/>
        <v/>
      </c>
      <c r="B170" s="47" t="str">
        <f t="shared" si="24"/>
        <v/>
      </c>
      <c r="C170" s="48" t="str">
        <f t="shared" si="26"/>
        <v/>
      </c>
      <c r="D170" s="48" t="str">
        <f>IF(ISERROR(PMT(Maandelijkse_rente_percentage,(Loan_Years*12)-Pay_Num+1,Beg_Bal)),"",IF(Values_Entered,-PMT(Maandelijkse_rente_percentage,(Loan_Years*12)-Pay_Num+1,Beg_Bal),""))</f>
        <v/>
      </c>
      <c r="E170" s="48" t="str">
        <f t="shared" si="20"/>
        <v/>
      </c>
      <c r="F170" s="48" t="e">
        <f t="shared" si="21"/>
        <v>#VALUE!</v>
      </c>
      <c r="G170" s="48" t="str">
        <f t="shared" si="25"/>
        <v/>
      </c>
      <c r="H170" s="19">
        <f t="shared" si="19"/>
        <v>0</v>
      </c>
      <c r="I170" s="19">
        <f t="shared" si="22"/>
        <v>0</v>
      </c>
      <c r="J170" s="4"/>
    </row>
    <row r="171" spans="1:10" ht="14.25">
      <c r="A171" s="46" t="str">
        <f t="shared" si="23"/>
        <v/>
      </c>
      <c r="B171" s="47" t="str">
        <f t="shared" si="24"/>
        <v/>
      </c>
      <c r="C171" s="48" t="str">
        <f t="shared" si="26"/>
        <v/>
      </c>
      <c r="D171" s="48" t="str">
        <f>IF(ISERROR(PMT(Maandelijkse_rente_percentage,(Loan_Years*12)-Pay_Num+1,Beg_Bal)),"",IF(Values_Entered,-PMT(Maandelijkse_rente_percentage,(Loan_Years*12)-Pay_Num+1,Beg_Bal),""))</f>
        <v/>
      </c>
      <c r="E171" s="48" t="str">
        <f t="shared" si="20"/>
        <v/>
      </c>
      <c r="F171" s="48" t="e">
        <f t="shared" si="21"/>
        <v>#VALUE!</v>
      </c>
      <c r="G171" s="48" t="str">
        <f t="shared" si="25"/>
        <v/>
      </c>
      <c r="H171" s="19">
        <f t="shared" si="19"/>
        <v>0</v>
      </c>
      <c r="I171" s="19">
        <f t="shared" si="22"/>
        <v>0</v>
      </c>
      <c r="J171" s="4"/>
    </row>
    <row r="172" spans="1:10" ht="14.25">
      <c r="A172" s="46" t="str">
        <f t="shared" si="23"/>
        <v/>
      </c>
      <c r="B172" s="47" t="str">
        <f t="shared" si="24"/>
        <v/>
      </c>
      <c r="C172" s="48" t="str">
        <f t="shared" si="26"/>
        <v/>
      </c>
      <c r="D172" s="48" t="str">
        <f>IF(ISERROR(PMT(Maandelijkse_rente_percentage,(Loan_Years*12)-Pay_Num+1,Beg_Bal)),"",IF(Values_Entered,-PMT(Maandelijkse_rente_percentage,(Loan_Years*12)-Pay_Num+1,Beg_Bal),""))</f>
        <v/>
      </c>
      <c r="E172" s="48" t="str">
        <f t="shared" si="20"/>
        <v/>
      </c>
      <c r="F172" s="48" t="e">
        <f t="shared" si="21"/>
        <v>#VALUE!</v>
      </c>
      <c r="G172" s="48" t="str">
        <f t="shared" si="25"/>
        <v/>
      </c>
      <c r="H172" s="19">
        <f t="shared" si="19"/>
        <v>0</v>
      </c>
      <c r="I172" s="19">
        <f t="shared" si="22"/>
        <v>0</v>
      </c>
      <c r="J172" s="4"/>
    </row>
    <row r="173" spans="1:10" ht="14.25">
      <c r="A173" s="46" t="str">
        <f t="shared" si="23"/>
        <v/>
      </c>
      <c r="B173" s="47" t="str">
        <f t="shared" si="24"/>
        <v/>
      </c>
      <c r="C173" s="48" t="str">
        <f t="shared" si="26"/>
        <v/>
      </c>
      <c r="D173" s="48" t="str">
        <f>IF(ISERROR(PMT(Maandelijkse_rente_percentage,(Loan_Years*12)-Pay_Num+1,Beg_Bal)),"",IF(Values_Entered,-PMT(Maandelijkse_rente_percentage,(Loan_Years*12)-Pay_Num+1,Beg_Bal),""))</f>
        <v/>
      </c>
      <c r="E173" s="48" t="str">
        <f t="shared" si="20"/>
        <v/>
      </c>
      <c r="F173" s="48" t="e">
        <f t="shared" si="21"/>
        <v>#VALUE!</v>
      </c>
      <c r="G173" s="48" t="str">
        <f t="shared" si="25"/>
        <v/>
      </c>
      <c r="H173" s="19">
        <f t="shared" si="19"/>
        <v>0</v>
      </c>
      <c r="I173" s="19">
        <f t="shared" si="22"/>
        <v>0</v>
      </c>
      <c r="J173" s="4"/>
    </row>
    <row r="174" spans="1:10" ht="14.25">
      <c r="A174" s="46" t="str">
        <f t="shared" si="23"/>
        <v/>
      </c>
      <c r="B174" s="47" t="str">
        <f t="shared" si="24"/>
        <v/>
      </c>
      <c r="C174" s="48" t="str">
        <f t="shared" si="26"/>
        <v/>
      </c>
      <c r="D174" s="48" t="str">
        <f>IF(ISERROR(PMT(Maandelijkse_rente_percentage,(Loan_Years*12)-Pay_Num+1,Beg_Bal)),"",IF(Values_Entered,-PMT(Maandelijkse_rente_percentage,(Loan_Years*12)-Pay_Num+1,Beg_Bal),""))</f>
        <v/>
      </c>
      <c r="E174" s="48" t="str">
        <f t="shared" si="20"/>
        <v/>
      </c>
      <c r="F174" s="48" t="e">
        <f t="shared" si="21"/>
        <v>#VALUE!</v>
      </c>
      <c r="G174" s="48" t="str">
        <f t="shared" si="25"/>
        <v/>
      </c>
      <c r="H174" s="19">
        <f t="shared" si="19"/>
        <v>0</v>
      </c>
      <c r="I174" s="19">
        <f t="shared" si="22"/>
        <v>0</v>
      </c>
      <c r="J174" s="4"/>
    </row>
    <row r="175" spans="1:10" ht="14.25">
      <c r="A175" s="46" t="str">
        <f t="shared" si="23"/>
        <v/>
      </c>
      <c r="B175" s="47" t="str">
        <f t="shared" si="24"/>
        <v/>
      </c>
      <c r="C175" s="48" t="str">
        <f t="shared" si="26"/>
        <v/>
      </c>
      <c r="D175" s="48" t="str">
        <f>IF(ISERROR(PMT(Maandelijkse_rente_percentage,(Loan_Years*12)-Pay_Num+1,Beg_Bal)),"",IF(Values_Entered,-PMT(Maandelijkse_rente_percentage,(Loan_Years*12)-Pay_Num+1,Beg_Bal),""))</f>
        <v/>
      </c>
      <c r="E175" s="48" t="str">
        <f t="shared" si="20"/>
        <v/>
      </c>
      <c r="F175" s="48" t="e">
        <f t="shared" si="21"/>
        <v>#VALUE!</v>
      </c>
      <c r="G175" s="48" t="str">
        <f t="shared" si="25"/>
        <v/>
      </c>
      <c r="H175" s="19">
        <f>L16</f>
        <v>0</v>
      </c>
      <c r="I175" s="19">
        <f t="shared" si="22"/>
        <v>0</v>
      </c>
      <c r="J175" s="4"/>
    </row>
    <row r="176" spans="1:10" ht="14.25">
      <c r="A176" s="46" t="str">
        <f t="shared" si="23"/>
        <v/>
      </c>
      <c r="B176" s="47" t="str">
        <f t="shared" si="24"/>
        <v/>
      </c>
      <c r="C176" s="48" t="str">
        <f t="shared" si="26"/>
        <v/>
      </c>
      <c r="D176" s="48" t="str">
        <f>IF(ISERROR(PMT(Maandelijkse_rente_percentage,(Loan_Years*12)-Pay_Num+1,Beg_Bal)),"",IF(Values_Entered,-PMT(Maandelijkse_rente_percentage,(Loan_Years*12)-Pay_Num+1,Beg_Bal),""))</f>
        <v/>
      </c>
      <c r="E176" s="48" t="str">
        <f t="shared" si="20"/>
        <v/>
      </c>
      <c r="F176" s="48" t="e">
        <f t="shared" si="21"/>
        <v>#VALUE!</v>
      </c>
      <c r="G176" s="48" t="str">
        <f t="shared" si="25"/>
        <v/>
      </c>
      <c r="H176" s="19">
        <f t="shared" si="19"/>
        <v>0</v>
      </c>
      <c r="I176" s="19">
        <f t="shared" si="22"/>
        <v>0</v>
      </c>
      <c r="J176" s="4"/>
    </row>
    <row r="177" spans="1:10" ht="14.25">
      <c r="A177" s="46" t="str">
        <f t="shared" si="23"/>
        <v/>
      </c>
      <c r="B177" s="47" t="str">
        <f t="shared" si="24"/>
        <v/>
      </c>
      <c r="C177" s="48" t="str">
        <f t="shared" si="26"/>
        <v/>
      </c>
      <c r="D177" s="48" t="str">
        <f>IF(ISERROR(PMT(Maandelijkse_rente_percentage,(Loan_Years*12)-Pay_Num+1,Beg_Bal)),"",IF(Values_Entered,-PMT(Maandelijkse_rente_percentage,(Loan_Years*12)-Pay_Num+1,Beg_Bal),""))</f>
        <v/>
      </c>
      <c r="E177" s="48" t="str">
        <f t="shared" si="20"/>
        <v/>
      </c>
      <c r="F177" s="48" t="e">
        <f t="shared" si="21"/>
        <v>#VALUE!</v>
      </c>
      <c r="G177" s="48" t="str">
        <f t="shared" si="25"/>
        <v/>
      </c>
      <c r="H177" s="19">
        <f t="shared" si="19"/>
        <v>0</v>
      </c>
      <c r="I177" s="19">
        <f t="shared" si="22"/>
        <v>0</v>
      </c>
      <c r="J177" s="4"/>
    </row>
    <row r="178" spans="1:10" ht="14.25">
      <c r="A178" s="46" t="str">
        <f t="shared" si="23"/>
        <v/>
      </c>
      <c r="B178" s="47" t="str">
        <f t="shared" si="24"/>
        <v/>
      </c>
      <c r="C178" s="48" t="str">
        <f t="shared" si="26"/>
        <v/>
      </c>
      <c r="D178" s="48" t="str">
        <f>IF(ISERROR(PMT(Maandelijkse_rente_percentage,(Loan_Years*12)-Pay_Num+1,Beg_Bal)),"",IF(Values_Entered,-PMT(Maandelijkse_rente_percentage,(Loan_Years*12)-Pay_Num+1,Beg_Bal),""))</f>
        <v/>
      </c>
      <c r="E178" s="48" t="str">
        <f t="shared" si="20"/>
        <v/>
      </c>
      <c r="F178" s="48" t="e">
        <f t="shared" si="21"/>
        <v>#VALUE!</v>
      </c>
      <c r="G178" s="48" t="str">
        <f t="shared" si="25"/>
        <v/>
      </c>
      <c r="H178" s="19">
        <f t="shared" si="19"/>
        <v>0</v>
      </c>
      <c r="I178" s="19">
        <f t="shared" si="22"/>
        <v>0</v>
      </c>
      <c r="J178" s="4"/>
    </row>
    <row r="179" spans="1:10" ht="14.25">
      <c r="A179" s="46" t="str">
        <f t="shared" si="23"/>
        <v/>
      </c>
      <c r="B179" s="47" t="str">
        <f t="shared" si="24"/>
        <v/>
      </c>
      <c r="C179" s="48" t="str">
        <f t="shared" si="26"/>
        <v/>
      </c>
      <c r="D179" s="48" t="str">
        <f>IF(ISERROR(PMT(Maandelijkse_rente_percentage,(Loan_Years*12)-Pay_Num+1,Beg_Bal)),"",IF(Values_Entered,-PMT(Maandelijkse_rente_percentage,(Loan_Years*12)-Pay_Num+1,Beg_Bal),""))</f>
        <v/>
      </c>
      <c r="E179" s="48" t="str">
        <f t="shared" si="20"/>
        <v/>
      </c>
      <c r="F179" s="48" t="e">
        <f t="shared" si="21"/>
        <v>#VALUE!</v>
      </c>
      <c r="G179" s="48" t="str">
        <f t="shared" si="25"/>
        <v/>
      </c>
      <c r="H179" s="19">
        <f t="shared" si="19"/>
        <v>0</v>
      </c>
      <c r="I179" s="19">
        <f t="shared" si="22"/>
        <v>0</v>
      </c>
      <c r="J179" s="4"/>
    </row>
    <row r="180" spans="1:10" ht="14.25">
      <c r="A180" s="46" t="str">
        <f t="shared" si="23"/>
        <v/>
      </c>
      <c r="B180" s="47" t="str">
        <f t="shared" si="24"/>
        <v/>
      </c>
      <c r="C180" s="48" t="str">
        <f t="shared" si="26"/>
        <v/>
      </c>
      <c r="D180" s="48" t="str">
        <f>IF(ISERROR(PMT(Maandelijkse_rente_percentage,(Loan_Years*12)-Pay_Num+1,Beg_Bal)),"",IF(Values_Entered,-PMT(Maandelijkse_rente_percentage,(Loan_Years*12)-Pay_Num+1,Beg_Bal),""))</f>
        <v/>
      </c>
      <c r="E180" s="48" t="str">
        <f t="shared" si="20"/>
        <v/>
      </c>
      <c r="F180" s="48" t="e">
        <f t="shared" si="21"/>
        <v>#VALUE!</v>
      </c>
      <c r="G180" s="48" t="str">
        <f t="shared" si="25"/>
        <v/>
      </c>
      <c r="H180" s="19">
        <f t="shared" si="19"/>
        <v>0</v>
      </c>
      <c r="I180" s="19">
        <f t="shared" si="22"/>
        <v>0</v>
      </c>
      <c r="J180" s="4"/>
    </row>
    <row r="181" spans="1:10" ht="14.25">
      <c r="A181" s="46" t="str">
        <f t="shared" si="23"/>
        <v/>
      </c>
      <c r="B181" s="47" t="str">
        <f t="shared" si="24"/>
        <v/>
      </c>
      <c r="C181" s="48" t="str">
        <f t="shared" si="26"/>
        <v/>
      </c>
      <c r="D181" s="48" t="str">
        <f>IF(ISERROR(PMT(Maandelijkse_rente_percentage,(Loan_Years*12)-Pay_Num+1,Beg_Bal)),"",IF(Values_Entered,-PMT(Maandelijkse_rente_percentage,(Loan_Years*12)-Pay_Num+1,Beg_Bal),""))</f>
        <v/>
      </c>
      <c r="E181" s="48" t="str">
        <f t="shared" si="20"/>
        <v/>
      </c>
      <c r="F181" s="48" t="e">
        <f t="shared" si="21"/>
        <v>#VALUE!</v>
      </c>
      <c r="G181" s="48" t="str">
        <f t="shared" si="25"/>
        <v/>
      </c>
      <c r="H181" s="19">
        <f t="shared" si="19"/>
        <v>0</v>
      </c>
      <c r="I181" s="19">
        <f t="shared" si="22"/>
        <v>0</v>
      </c>
      <c r="J181" s="4"/>
    </row>
    <row r="182" spans="1:10" ht="14.25">
      <c r="A182" s="46" t="str">
        <f t="shared" si="23"/>
        <v/>
      </c>
      <c r="B182" s="47" t="str">
        <f t="shared" si="24"/>
        <v/>
      </c>
      <c r="C182" s="48" t="str">
        <f t="shared" si="26"/>
        <v/>
      </c>
      <c r="D182" s="48" t="str">
        <f>IF(ISERROR(PMT(Maandelijkse_rente_percentage,(Loan_Years*12)-Pay_Num+1,Beg_Bal)),"",IF(Values_Entered,-PMT(Maandelijkse_rente_percentage,(Loan_Years*12)-Pay_Num+1,Beg_Bal),""))</f>
        <v/>
      </c>
      <c r="E182" s="48" t="str">
        <f t="shared" si="20"/>
        <v/>
      </c>
      <c r="F182" s="48" t="e">
        <f t="shared" si="21"/>
        <v>#VALUE!</v>
      </c>
      <c r="G182" s="48" t="str">
        <f t="shared" si="25"/>
        <v/>
      </c>
      <c r="H182" s="19">
        <f t="shared" si="19"/>
        <v>0</v>
      </c>
      <c r="I182" s="19">
        <f t="shared" si="22"/>
        <v>0</v>
      </c>
      <c r="J182" s="4"/>
    </row>
    <row r="183" spans="1:10" ht="14.25">
      <c r="A183" s="46" t="str">
        <f t="shared" si="23"/>
        <v/>
      </c>
      <c r="B183" s="47" t="str">
        <f t="shared" si="24"/>
        <v/>
      </c>
      <c r="C183" s="48" t="str">
        <f t="shared" si="26"/>
        <v/>
      </c>
      <c r="D183" s="48" t="str">
        <f>IF(ISERROR(PMT(Maandelijkse_rente_percentage,(Loan_Years*12)-Pay_Num+1,Beg_Bal)),"",IF(Values_Entered,-PMT(Maandelijkse_rente_percentage,(Loan_Years*12)-Pay_Num+1,Beg_Bal),""))</f>
        <v/>
      </c>
      <c r="E183" s="48" t="str">
        <f t="shared" si="20"/>
        <v/>
      </c>
      <c r="F183" s="48" t="e">
        <f t="shared" si="21"/>
        <v>#VALUE!</v>
      </c>
      <c r="G183" s="48" t="str">
        <f t="shared" si="25"/>
        <v/>
      </c>
      <c r="H183" s="19">
        <f t="shared" si="19"/>
        <v>0</v>
      </c>
      <c r="I183" s="19">
        <f t="shared" si="22"/>
        <v>0</v>
      </c>
      <c r="J183" s="4"/>
    </row>
    <row r="184" spans="1:10" ht="14.25">
      <c r="A184" s="46" t="str">
        <f t="shared" si="23"/>
        <v/>
      </c>
      <c r="B184" s="47" t="str">
        <f t="shared" si="24"/>
        <v/>
      </c>
      <c r="C184" s="48" t="str">
        <f t="shared" si="26"/>
        <v/>
      </c>
      <c r="D184" s="48" t="str">
        <f>IF(ISERROR(PMT(Maandelijkse_rente_percentage,(Loan_Years*12)-Pay_Num+1,Beg_Bal)),"",IF(Values_Entered,-PMT(Maandelijkse_rente_percentage,(Loan_Years*12)-Pay_Num+1,Beg_Bal),""))</f>
        <v/>
      </c>
      <c r="E184" s="48" t="str">
        <f t="shared" si="20"/>
        <v/>
      </c>
      <c r="F184" s="48" t="e">
        <f t="shared" si="21"/>
        <v>#VALUE!</v>
      </c>
      <c r="G184" s="48" t="str">
        <f t="shared" si="25"/>
        <v/>
      </c>
      <c r="H184" s="19">
        <f t="shared" si="19"/>
        <v>0</v>
      </c>
      <c r="I184" s="19">
        <f t="shared" si="22"/>
        <v>0</v>
      </c>
      <c r="J184" s="4"/>
    </row>
    <row r="185" spans="1:10" ht="14.25">
      <c r="A185" s="46" t="str">
        <f t="shared" si="23"/>
        <v/>
      </c>
      <c r="B185" s="47" t="str">
        <f t="shared" si="24"/>
        <v/>
      </c>
      <c r="C185" s="48" t="str">
        <f t="shared" si="26"/>
        <v/>
      </c>
      <c r="D185" s="48" t="str">
        <f>IF(ISERROR(PMT(Maandelijkse_rente_percentage,(Loan_Years*12)-Pay_Num+1,Beg_Bal)),"",IF(Values_Entered,-PMT(Maandelijkse_rente_percentage,(Loan_Years*12)-Pay_Num+1,Beg_Bal),""))</f>
        <v/>
      </c>
      <c r="E185" s="48" t="str">
        <f t="shared" si="20"/>
        <v/>
      </c>
      <c r="F185" s="48" t="e">
        <f t="shared" si="21"/>
        <v>#VALUE!</v>
      </c>
      <c r="G185" s="48" t="str">
        <f t="shared" si="25"/>
        <v/>
      </c>
      <c r="H185" s="19">
        <f t="shared" si="19"/>
        <v>0</v>
      </c>
      <c r="I185" s="19">
        <f t="shared" si="22"/>
        <v>0</v>
      </c>
      <c r="J185" s="4"/>
    </row>
    <row r="186" spans="1:10" ht="14.25">
      <c r="A186" s="46" t="str">
        <f t="shared" si="23"/>
        <v/>
      </c>
      <c r="B186" s="47" t="str">
        <f t="shared" si="24"/>
        <v/>
      </c>
      <c r="C186" s="48" t="str">
        <f t="shared" si="26"/>
        <v/>
      </c>
      <c r="D186" s="48" t="str">
        <f>IF(ISERROR(PMT(Maandelijkse_rente_percentage,(Loan_Years*12)-Pay_Num+1,Beg_Bal)),"",IF(Values_Entered,-PMT(Maandelijkse_rente_percentage,(Loan_Years*12)-Pay_Num+1,Beg_Bal),""))</f>
        <v/>
      </c>
      <c r="E186" s="48" t="str">
        <f t="shared" si="20"/>
        <v/>
      </c>
      <c r="F186" s="48" t="e">
        <f t="shared" si="21"/>
        <v>#VALUE!</v>
      </c>
      <c r="G186" s="48" t="str">
        <f t="shared" si="25"/>
        <v/>
      </c>
      <c r="H186" s="19">
        <f t="shared" si="19"/>
        <v>0</v>
      </c>
      <c r="I186" s="19">
        <f t="shared" si="22"/>
        <v>0</v>
      </c>
      <c r="J186" s="4"/>
    </row>
    <row r="187" spans="1:10" ht="14.25">
      <c r="A187" s="46" t="str">
        <f t="shared" si="23"/>
        <v/>
      </c>
      <c r="B187" s="47" t="str">
        <f t="shared" si="24"/>
        <v/>
      </c>
      <c r="C187" s="48" t="str">
        <f t="shared" si="26"/>
        <v/>
      </c>
      <c r="D187" s="48" t="str">
        <f>IF(ISERROR(PMT(Maandelijkse_rente_percentage,(Loan_Years*12)-Pay_Num+1,Beg_Bal)),"",IF(Values_Entered,-PMT(Maandelijkse_rente_percentage,(Loan_Years*12)-Pay_Num+1,Beg_Bal),""))</f>
        <v/>
      </c>
      <c r="E187" s="48" t="str">
        <f t="shared" si="20"/>
        <v/>
      </c>
      <c r="F187" s="48" t="e">
        <f t="shared" si="21"/>
        <v>#VALUE!</v>
      </c>
      <c r="G187" s="48" t="str">
        <f t="shared" si="25"/>
        <v/>
      </c>
      <c r="H187" s="19">
        <f>L17</f>
        <v>0</v>
      </c>
      <c r="I187" s="19">
        <f t="shared" si="22"/>
        <v>0</v>
      </c>
      <c r="J187" s="4"/>
    </row>
    <row r="188" spans="1:10" ht="14.25">
      <c r="A188" s="46" t="str">
        <f t="shared" si="23"/>
        <v/>
      </c>
      <c r="B188" s="47" t="str">
        <f t="shared" si="24"/>
        <v/>
      </c>
      <c r="C188" s="48" t="str">
        <f t="shared" si="26"/>
        <v/>
      </c>
      <c r="D188" s="48" t="str">
        <f>IF(ISERROR(PMT(Maandelijkse_rente_percentage,(Loan_Years*12)-Pay_Num+1,Beg_Bal)),"",IF(Values_Entered,-PMT(Maandelijkse_rente_percentage,(Loan_Years*12)-Pay_Num+1,Beg_Bal),""))</f>
        <v/>
      </c>
      <c r="E188" s="48" t="str">
        <f t="shared" si="20"/>
        <v/>
      </c>
      <c r="F188" s="48" t="e">
        <f t="shared" si="21"/>
        <v>#VALUE!</v>
      </c>
      <c r="G188" s="48" t="str">
        <f t="shared" si="25"/>
        <v/>
      </c>
      <c r="H188" s="19">
        <f t="shared" si="19"/>
        <v>0</v>
      </c>
      <c r="I188" s="19">
        <f t="shared" si="22"/>
        <v>0</v>
      </c>
      <c r="J188" s="4"/>
    </row>
    <row r="189" spans="1:10" ht="14.25">
      <c r="A189" s="46" t="str">
        <f t="shared" si="23"/>
        <v/>
      </c>
      <c r="B189" s="47" t="str">
        <f t="shared" si="24"/>
        <v/>
      </c>
      <c r="C189" s="48" t="str">
        <f t="shared" si="26"/>
        <v/>
      </c>
      <c r="D189" s="48" t="str">
        <f>IF(ISERROR(PMT(Maandelijkse_rente_percentage,(Loan_Years*12)-Pay_Num+1,Beg_Bal)),"",IF(Values_Entered,-PMT(Maandelijkse_rente_percentage,(Loan_Years*12)-Pay_Num+1,Beg_Bal),""))</f>
        <v/>
      </c>
      <c r="E189" s="48" t="str">
        <f t="shared" si="20"/>
        <v/>
      </c>
      <c r="F189" s="48" t="e">
        <f t="shared" si="21"/>
        <v>#VALUE!</v>
      </c>
      <c r="G189" s="48" t="str">
        <f t="shared" si="25"/>
        <v/>
      </c>
      <c r="H189" s="19">
        <f t="shared" si="19"/>
        <v>0</v>
      </c>
      <c r="I189" s="19">
        <f t="shared" si="22"/>
        <v>0</v>
      </c>
      <c r="J189" s="4"/>
    </row>
    <row r="190" spans="1:10" ht="14.25">
      <c r="A190" s="46" t="str">
        <f t="shared" si="23"/>
        <v/>
      </c>
      <c r="B190" s="47" t="str">
        <f t="shared" si="24"/>
        <v/>
      </c>
      <c r="C190" s="48" t="str">
        <f t="shared" si="26"/>
        <v/>
      </c>
      <c r="D190" s="48" t="str">
        <f>IF(ISERROR(PMT(Maandelijkse_rente_percentage,(Loan_Years*12)-Pay_Num+1,Beg_Bal)),"",IF(Values_Entered,-PMT(Maandelijkse_rente_percentage,(Loan_Years*12)-Pay_Num+1,Beg_Bal),""))</f>
        <v/>
      </c>
      <c r="E190" s="48" t="str">
        <f t="shared" si="20"/>
        <v/>
      </c>
      <c r="F190" s="48" t="e">
        <f t="shared" si="21"/>
        <v>#VALUE!</v>
      </c>
      <c r="G190" s="48" t="str">
        <f t="shared" si="25"/>
        <v/>
      </c>
      <c r="H190" s="19">
        <f t="shared" si="19"/>
        <v>0</v>
      </c>
      <c r="I190" s="19">
        <f t="shared" si="22"/>
        <v>0</v>
      </c>
      <c r="J190" s="4"/>
    </row>
    <row r="191" spans="1:10" ht="14.25">
      <c r="A191" s="46" t="str">
        <f t="shared" si="23"/>
        <v/>
      </c>
      <c r="B191" s="47" t="str">
        <f t="shared" si="24"/>
        <v/>
      </c>
      <c r="C191" s="48" t="str">
        <f t="shared" si="26"/>
        <v/>
      </c>
      <c r="D191" s="48" t="str">
        <f>IF(ISERROR(PMT(Maandelijkse_rente_percentage,(Loan_Years*12)-Pay_Num+1,Beg_Bal)),"",IF(Values_Entered,-PMT(Maandelijkse_rente_percentage,(Loan_Years*12)-Pay_Num+1,Beg_Bal),""))</f>
        <v/>
      </c>
      <c r="E191" s="48" t="str">
        <f t="shared" si="20"/>
        <v/>
      </c>
      <c r="F191" s="48" t="e">
        <f t="shared" si="21"/>
        <v>#VALUE!</v>
      </c>
      <c r="G191" s="48" t="str">
        <f t="shared" si="25"/>
        <v/>
      </c>
      <c r="H191" s="19">
        <f t="shared" si="19"/>
        <v>0</v>
      </c>
      <c r="I191" s="19">
        <f t="shared" si="22"/>
        <v>0</v>
      </c>
      <c r="J191" s="4"/>
    </row>
    <row r="192" spans="1:10" ht="14.25">
      <c r="A192" s="46" t="str">
        <f t="shared" si="23"/>
        <v/>
      </c>
      <c r="B192" s="47" t="str">
        <f t="shared" si="24"/>
        <v/>
      </c>
      <c r="C192" s="48" t="str">
        <f t="shared" si="26"/>
        <v/>
      </c>
      <c r="D192" s="48" t="str">
        <f>IF(ISERROR(PMT(Maandelijkse_rente_percentage,(Loan_Years*12)-Pay_Num+1,Beg_Bal)),"",IF(Values_Entered,-PMT(Maandelijkse_rente_percentage,(Loan_Years*12)-Pay_Num+1,Beg_Bal),""))</f>
        <v/>
      </c>
      <c r="E192" s="48" t="str">
        <f t="shared" si="20"/>
        <v/>
      </c>
      <c r="F192" s="48" t="e">
        <f t="shared" si="21"/>
        <v>#VALUE!</v>
      </c>
      <c r="G192" s="48" t="str">
        <f t="shared" si="25"/>
        <v/>
      </c>
      <c r="H192" s="19">
        <f t="shared" si="19"/>
        <v>0</v>
      </c>
      <c r="I192" s="19">
        <f t="shared" si="22"/>
        <v>0</v>
      </c>
      <c r="J192" s="4"/>
    </row>
    <row r="193" spans="1:10" ht="14.25">
      <c r="A193" s="46" t="str">
        <f t="shared" si="23"/>
        <v/>
      </c>
      <c r="B193" s="47" t="str">
        <f t="shared" si="24"/>
        <v/>
      </c>
      <c r="C193" s="48" t="str">
        <f t="shared" si="26"/>
        <v/>
      </c>
      <c r="D193" s="48" t="str">
        <f>IF(ISERROR(PMT(Maandelijkse_rente_percentage,(Loan_Years*12)-Pay_Num+1,Beg_Bal)),"",IF(Values_Entered,-PMT(Maandelijkse_rente_percentage,(Loan_Years*12)-Pay_Num+1,Beg_Bal),""))</f>
        <v/>
      </c>
      <c r="E193" s="48" t="str">
        <f t="shared" si="20"/>
        <v/>
      </c>
      <c r="F193" s="48" t="e">
        <f t="shared" si="21"/>
        <v>#VALUE!</v>
      </c>
      <c r="G193" s="48" t="str">
        <f t="shared" si="25"/>
        <v/>
      </c>
      <c r="H193" s="19">
        <f t="shared" si="19"/>
        <v>0</v>
      </c>
      <c r="I193" s="19">
        <f t="shared" si="22"/>
        <v>0</v>
      </c>
      <c r="J193" s="4"/>
    </row>
    <row r="194" spans="1:10" ht="14.25">
      <c r="A194" s="46" t="str">
        <f t="shared" si="23"/>
        <v/>
      </c>
      <c r="B194" s="47" t="str">
        <f t="shared" si="24"/>
        <v/>
      </c>
      <c r="C194" s="48" t="str">
        <f t="shared" si="26"/>
        <v/>
      </c>
      <c r="D194" s="48" t="str">
        <f>IF(ISERROR(PMT(Maandelijkse_rente_percentage,(Loan_Years*12)-Pay_Num+1,Beg_Bal)),"",IF(Values_Entered,-PMT(Maandelijkse_rente_percentage,(Loan_Years*12)-Pay_Num+1,Beg_Bal),""))</f>
        <v/>
      </c>
      <c r="E194" s="48" t="str">
        <f t="shared" si="20"/>
        <v/>
      </c>
      <c r="F194" s="48" t="e">
        <f t="shared" si="21"/>
        <v>#VALUE!</v>
      </c>
      <c r="G194" s="48" t="str">
        <f t="shared" si="25"/>
        <v/>
      </c>
      <c r="H194" s="19">
        <f t="shared" si="19"/>
        <v>0</v>
      </c>
      <c r="I194" s="19">
        <f t="shared" si="22"/>
        <v>0</v>
      </c>
      <c r="J194" s="4"/>
    </row>
    <row r="195" spans="1:10" ht="14.25">
      <c r="A195" s="46" t="str">
        <f t="shared" si="23"/>
        <v/>
      </c>
      <c r="B195" s="47" t="str">
        <f t="shared" si="24"/>
        <v/>
      </c>
      <c r="C195" s="48" t="str">
        <f t="shared" si="26"/>
        <v/>
      </c>
      <c r="D195" s="48" t="str">
        <f>IF(ISERROR(PMT(Maandelijkse_rente_percentage,(Loan_Years*12)-Pay_Num+1,Beg_Bal)),"",IF(Values_Entered,-PMT(Maandelijkse_rente_percentage,(Loan_Years*12)-Pay_Num+1,Beg_Bal),""))</f>
        <v/>
      </c>
      <c r="E195" s="48" t="str">
        <f t="shared" si="20"/>
        <v/>
      </c>
      <c r="F195" s="48" t="e">
        <f t="shared" si="21"/>
        <v>#VALUE!</v>
      </c>
      <c r="G195" s="48" t="str">
        <f t="shared" si="25"/>
        <v/>
      </c>
      <c r="H195" s="19">
        <f t="shared" si="19"/>
        <v>0</v>
      </c>
      <c r="I195" s="19">
        <f t="shared" si="22"/>
        <v>0</v>
      </c>
      <c r="J195" s="4"/>
    </row>
    <row r="196" spans="1:10" ht="14.25">
      <c r="A196" s="46" t="str">
        <f t="shared" si="23"/>
        <v/>
      </c>
      <c r="B196" s="47" t="str">
        <f t="shared" si="24"/>
        <v/>
      </c>
      <c r="C196" s="48" t="str">
        <f t="shared" si="26"/>
        <v/>
      </c>
      <c r="D196" s="48" t="str">
        <f>IF(ISERROR(PMT(Maandelijkse_rente_percentage,(Loan_Years*12)-Pay_Num+1,Beg_Bal)),"",IF(Values_Entered,-PMT(Maandelijkse_rente_percentage,(Loan_Years*12)-Pay_Num+1,Beg_Bal),""))</f>
        <v/>
      </c>
      <c r="E196" s="48" t="str">
        <f t="shared" si="20"/>
        <v/>
      </c>
      <c r="F196" s="48" t="e">
        <f t="shared" si="21"/>
        <v>#VALUE!</v>
      </c>
      <c r="G196" s="48" t="str">
        <f t="shared" si="25"/>
        <v/>
      </c>
      <c r="H196" s="19">
        <f t="shared" si="19"/>
        <v>0</v>
      </c>
      <c r="I196" s="19">
        <f t="shared" si="22"/>
        <v>0</v>
      </c>
      <c r="J196" s="4"/>
    </row>
    <row r="197" spans="1:10" ht="14.25">
      <c r="A197" s="46" t="str">
        <f t="shared" si="23"/>
        <v/>
      </c>
      <c r="B197" s="47" t="str">
        <f t="shared" si="24"/>
        <v/>
      </c>
      <c r="C197" s="48" t="str">
        <f t="shared" si="26"/>
        <v/>
      </c>
      <c r="D197" s="48" t="str">
        <f>IF(ISERROR(PMT(Maandelijkse_rente_percentage,(Loan_Years*12)-Pay_Num+1,Beg_Bal)),"",IF(Values_Entered,-PMT(Maandelijkse_rente_percentage,(Loan_Years*12)-Pay_Num+1,Beg_Bal),""))</f>
        <v/>
      </c>
      <c r="E197" s="48" t="str">
        <f t="shared" si="20"/>
        <v/>
      </c>
      <c r="F197" s="48" t="e">
        <f t="shared" si="21"/>
        <v>#VALUE!</v>
      </c>
      <c r="G197" s="48" t="str">
        <f t="shared" si="25"/>
        <v/>
      </c>
      <c r="H197" s="19">
        <f t="shared" si="19"/>
        <v>0</v>
      </c>
      <c r="I197" s="19">
        <f t="shared" si="22"/>
        <v>0</v>
      </c>
      <c r="J197" s="4"/>
    </row>
    <row r="198" spans="1:10" ht="14.25">
      <c r="A198" s="46" t="str">
        <f t="shared" si="23"/>
        <v/>
      </c>
      <c r="B198" s="47" t="str">
        <f t="shared" si="24"/>
        <v/>
      </c>
      <c r="C198" s="48" t="str">
        <f t="shared" si="26"/>
        <v/>
      </c>
      <c r="D198" s="48" t="str">
        <f>IF(ISERROR(PMT(Maandelijkse_rente_percentage,(Loan_Years*12)-Pay_Num+1,Beg_Bal)),"",IF(Values_Entered,-PMT(Maandelijkse_rente_percentage,(Loan_Years*12)-Pay_Num+1,Beg_Bal),""))</f>
        <v/>
      </c>
      <c r="E198" s="48" t="str">
        <f t="shared" si="20"/>
        <v/>
      </c>
      <c r="F198" s="48" t="e">
        <f t="shared" si="21"/>
        <v>#VALUE!</v>
      </c>
      <c r="G198" s="48" t="str">
        <f t="shared" si="25"/>
        <v/>
      </c>
      <c r="H198" s="19">
        <f t="shared" si="19"/>
        <v>0</v>
      </c>
      <c r="I198" s="19">
        <f t="shared" si="22"/>
        <v>0</v>
      </c>
      <c r="J198" s="4"/>
    </row>
    <row r="199" spans="1:10" ht="14.25">
      <c r="A199" s="46" t="str">
        <f t="shared" si="23"/>
        <v/>
      </c>
      <c r="B199" s="47" t="str">
        <f t="shared" si="24"/>
        <v/>
      </c>
      <c r="C199" s="48" t="str">
        <f t="shared" si="26"/>
        <v/>
      </c>
      <c r="D199" s="48" t="str">
        <f>IF(ISERROR(PMT(Maandelijkse_rente_percentage,(Loan_Years*12)-Pay_Num+1,Beg_Bal)),"",IF(Values_Entered,-PMT(Maandelijkse_rente_percentage,(Loan_Years*12)-Pay_Num+1,Beg_Bal),""))</f>
        <v/>
      </c>
      <c r="E199" s="48" t="str">
        <f t="shared" si="20"/>
        <v/>
      </c>
      <c r="F199" s="48" t="e">
        <f t="shared" si="21"/>
        <v>#VALUE!</v>
      </c>
      <c r="G199" s="48" t="str">
        <f t="shared" si="25"/>
        <v/>
      </c>
      <c r="H199" s="19">
        <f>N3</f>
        <v>0</v>
      </c>
      <c r="I199" s="19">
        <f t="shared" si="22"/>
        <v>0</v>
      </c>
      <c r="J199" s="4"/>
    </row>
    <row r="200" spans="1:10" ht="14.25">
      <c r="A200" s="46" t="str">
        <f t="shared" si="23"/>
        <v/>
      </c>
      <c r="B200" s="47" t="str">
        <f t="shared" si="24"/>
        <v/>
      </c>
      <c r="C200" s="48" t="str">
        <f t="shared" si="26"/>
        <v/>
      </c>
      <c r="D200" s="48" t="str">
        <f>IF(ISERROR(PMT(Maandelijkse_rente_percentage,(Loan_Years*12)-Pay_Num+1,Beg_Bal)),"",IF(Values_Entered,-PMT(Maandelijkse_rente_percentage,(Loan_Years*12)-Pay_Num+1,Beg_Bal),""))</f>
        <v/>
      </c>
      <c r="E200" s="48" t="str">
        <f t="shared" si="20"/>
        <v/>
      </c>
      <c r="F200" s="48" t="e">
        <f t="shared" si="21"/>
        <v>#VALUE!</v>
      </c>
      <c r="G200" s="48" t="str">
        <f t="shared" si="25"/>
        <v/>
      </c>
      <c r="H200" s="19">
        <f t="shared" si="19"/>
        <v>0</v>
      </c>
      <c r="I200" s="19">
        <f t="shared" si="22"/>
        <v>0</v>
      </c>
      <c r="J200" s="4"/>
    </row>
    <row r="201" spans="1:10" ht="14.25">
      <c r="A201" s="46" t="str">
        <f t="shared" si="23"/>
        <v/>
      </c>
      <c r="B201" s="47" t="str">
        <f t="shared" si="24"/>
        <v/>
      </c>
      <c r="C201" s="48" t="str">
        <f t="shared" si="26"/>
        <v/>
      </c>
      <c r="D201" s="48" t="str">
        <f>IF(ISERROR(PMT(Maandelijkse_rente_percentage,(Loan_Years*12)-Pay_Num+1,Beg_Bal)),"",IF(Values_Entered,-PMT(Maandelijkse_rente_percentage,(Loan_Years*12)-Pay_Num+1,Beg_Bal),""))</f>
        <v/>
      </c>
      <c r="E201" s="48" t="str">
        <f t="shared" si="20"/>
        <v/>
      </c>
      <c r="F201" s="48" t="e">
        <f t="shared" si="21"/>
        <v>#VALUE!</v>
      </c>
      <c r="G201" s="48" t="str">
        <f t="shared" si="25"/>
        <v/>
      </c>
      <c r="H201" s="19">
        <f t="shared" si="19"/>
        <v>0</v>
      </c>
      <c r="I201" s="19">
        <f t="shared" si="22"/>
        <v>0</v>
      </c>
      <c r="J201" s="4"/>
    </row>
    <row r="202" spans="1:10" ht="14.25">
      <c r="A202" s="46" t="str">
        <f t="shared" si="23"/>
        <v/>
      </c>
      <c r="B202" s="47" t="str">
        <f t="shared" si="24"/>
        <v/>
      </c>
      <c r="C202" s="48" t="str">
        <f t="shared" si="26"/>
        <v/>
      </c>
      <c r="D202" s="48" t="str">
        <f>IF(ISERROR(PMT(Maandelijkse_rente_percentage,(Loan_Years*12)-Pay_Num+1,Beg_Bal)),"",IF(Values_Entered,-PMT(Maandelijkse_rente_percentage,(Loan_Years*12)-Pay_Num+1,Beg_Bal),""))</f>
        <v/>
      </c>
      <c r="E202" s="48" t="str">
        <f t="shared" si="20"/>
        <v/>
      </c>
      <c r="F202" s="48" t="e">
        <f t="shared" si="21"/>
        <v>#VALUE!</v>
      </c>
      <c r="G202" s="48" t="str">
        <f t="shared" si="25"/>
        <v/>
      </c>
      <c r="H202" s="19">
        <f t="shared" si="19"/>
        <v>0</v>
      </c>
      <c r="I202" s="19">
        <f t="shared" si="22"/>
        <v>0</v>
      </c>
      <c r="J202" s="4"/>
    </row>
    <row r="203" spans="1:10" ht="14.25">
      <c r="A203" s="46" t="str">
        <f t="shared" si="23"/>
        <v/>
      </c>
      <c r="B203" s="47" t="str">
        <f t="shared" si="24"/>
        <v/>
      </c>
      <c r="C203" s="48" t="str">
        <f t="shared" si="26"/>
        <v/>
      </c>
      <c r="D203" s="48" t="str">
        <f>IF(ISERROR(PMT(Maandelijkse_rente_percentage,(Loan_Years*12)-Pay_Num+1,Beg_Bal)),"",IF(Values_Entered,-PMT(Maandelijkse_rente_percentage,(Loan_Years*12)-Pay_Num+1,Beg_Bal),""))</f>
        <v/>
      </c>
      <c r="E203" s="48" t="str">
        <f t="shared" si="20"/>
        <v/>
      </c>
      <c r="F203" s="48" t="e">
        <f t="shared" si="21"/>
        <v>#VALUE!</v>
      </c>
      <c r="G203" s="48" t="str">
        <f t="shared" si="25"/>
        <v/>
      </c>
      <c r="H203" s="19">
        <f t="shared" si="19"/>
        <v>0</v>
      </c>
      <c r="I203" s="19">
        <f t="shared" si="22"/>
        <v>0</v>
      </c>
      <c r="J203" s="4"/>
    </row>
    <row r="204" spans="1:10" ht="14.25">
      <c r="A204" s="46" t="str">
        <f t="shared" si="23"/>
        <v/>
      </c>
      <c r="B204" s="47" t="str">
        <f t="shared" si="24"/>
        <v/>
      </c>
      <c r="C204" s="48" t="str">
        <f t="shared" si="26"/>
        <v/>
      </c>
      <c r="D204" s="48" t="str">
        <f>IF(ISERROR(PMT(Maandelijkse_rente_percentage,(Loan_Years*12)-Pay_Num+1,Beg_Bal)),"",IF(Values_Entered,-PMT(Maandelijkse_rente_percentage,(Loan_Years*12)-Pay_Num+1,Beg_Bal),""))</f>
        <v/>
      </c>
      <c r="E204" s="48" t="str">
        <f t="shared" si="20"/>
        <v/>
      </c>
      <c r="F204" s="48" t="e">
        <f t="shared" si="21"/>
        <v>#VALUE!</v>
      </c>
      <c r="G204" s="48" t="str">
        <f t="shared" si="25"/>
        <v/>
      </c>
      <c r="H204" s="19">
        <f t="shared" si="19"/>
        <v>0</v>
      </c>
      <c r="I204" s="19">
        <f t="shared" si="22"/>
        <v>0</v>
      </c>
      <c r="J204" s="4"/>
    </row>
    <row r="205" spans="1:10" ht="14.25">
      <c r="A205" s="46" t="str">
        <f t="shared" si="23"/>
        <v/>
      </c>
      <c r="B205" s="47" t="str">
        <f t="shared" si="24"/>
        <v/>
      </c>
      <c r="C205" s="48" t="str">
        <f t="shared" si="26"/>
        <v/>
      </c>
      <c r="D205" s="48" t="str">
        <f>IF(ISERROR(PMT(Maandelijkse_rente_percentage,(Loan_Years*12)-Pay_Num+1,Beg_Bal)),"",IF(Values_Entered,-PMT(Maandelijkse_rente_percentage,(Loan_Years*12)-Pay_Num+1,Beg_Bal),""))</f>
        <v/>
      </c>
      <c r="E205" s="48" t="str">
        <f t="shared" si="20"/>
        <v/>
      </c>
      <c r="F205" s="48" t="e">
        <f t="shared" si="21"/>
        <v>#VALUE!</v>
      </c>
      <c r="G205" s="48" t="str">
        <f t="shared" si="25"/>
        <v/>
      </c>
      <c r="H205" s="19">
        <f t="shared" si="19"/>
        <v>0</v>
      </c>
      <c r="I205" s="19">
        <f t="shared" si="22"/>
        <v>0</v>
      </c>
      <c r="J205" s="4"/>
    </row>
    <row r="206" spans="1:10" ht="14.25">
      <c r="A206" s="46" t="str">
        <f t="shared" si="23"/>
        <v/>
      </c>
      <c r="B206" s="47" t="str">
        <f t="shared" si="24"/>
        <v/>
      </c>
      <c r="C206" s="48" t="str">
        <f t="shared" si="26"/>
        <v/>
      </c>
      <c r="D206" s="48" t="str">
        <f>IF(ISERROR(PMT(Maandelijkse_rente_percentage,(Loan_Years*12)-Pay_Num+1,Beg_Bal)),"",IF(Values_Entered,-PMT(Maandelijkse_rente_percentage,(Loan_Years*12)-Pay_Num+1,Beg_Bal),""))</f>
        <v/>
      </c>
      <c r="E206" s="48" t="str">
        <f t="shared" si="20"/>
        <v/>
      </c>
      <c r="F206" s="48" t="e">
        <f t="shared" si="21"/>
        <v>#VALUE!</v>
      </c>
      <c r="G206" s="48" t="str">
        <f t="shared" si="25"/>
        <v/>
      </c>
      <c r="H206" s="19">
        <f t="shared" si="19"/>
        <v>0</v>
      </c>
      <c r="I206" s="19">
        <f t="shared" si="22"/>
        <v>0</v>
      </c>
      <c r="J206" s="4"/>
    </row>
    <row r="207" spans="1:10" ht="14.25">
      <c r="A207" s="46" t="str">
        <f t="shared" si="23"/>
        <v/>
      </c>
      <c r="B207" s="47" t="str">
        <f t="shared" si="24"/>
        <v/>
      </c>
      <c r="C207" s="48" t="str">
        <f t="shared" si="26"/>
        <v/>
      </c>
      <c r="D207" s="48" t="str">
        <f>IF(ISERROR(PMT(Maandelijkse_rente_percentage,(Loan_Years*12)-Pay_Num+1,Beg_Bal)),"",IF(Values_Entered,-PMT(Maandelijkse_rente_percentage,(Loan_Years*12)-Pay_Num+1,Beg_Bal),""))</f>
        <v/>
      </c>
      <c r="E207" s="48" t="str">
        <f t="shared" si="20"/>
        <v/>
      </c>
      <c r="F207" s="48" t="e">
        <f t="shared" si="21"/>
        <v>#VALUE!</v>
      </c>
      <c r="G207" s="48" t="str">
        <f t="shared" si="25"/>
        <v/>
      </c>
      <c r="H207" s="19">
        <f t="shared" ref="H207:H270" si="27">H206</f>
        <v>0</v>
      </c>
      <c r="I207" s="19">
        <f t="shared" si="22"/>
        <v>0</v>
      </c>
      <c r="J207" s="4"/>
    </row>
    <row r="208" spans="1:10" ht="14.25">
      <c r="A208" s="46" t="str">
        <f t="shared" si="23"/>
        <v/>
      </c>
      <c r="B208" s="47" t="str">
        <f t="shared" si="24"/>
        <v/>
      </c>
      <c r="C208" s="48" t="str">
        <f t="shared" si="26"/>
        <v/>
      </c>
      <c r="D208" s="48" t="str">
        <f>IF(ISERROR(PMT(Maandelijkse_rente_percentage,(Loan_Years*12)-Pay_Num+1,Beg_Bal)),"",IF(Values_Entered,-PMT(Maandelijkse_rente_percentage,(Loan_Years*12)-Pay_Num+1,Beg_Bal),""))</f>
        <v/>
      </c>
      <c r="E208" s="48" t="str">
        <f t="shared" si="20"/>
        <v/>
      </c>
      <c r="F208" s="48" t="e">
        <f t="shared" si="21"/>
        <v>#VALUE!</v>
      </c>
      <c r="G208" s="48" t="str">
        <f t="shared" si="25"/>
        <v/>
      </c>
      <c r="H208" s="19">
        <f t="shared" si="27"/>
        <v>0</v>
      </c>
      <c r="I208" s="19">
        <f t="shared" si="22"/>
        <v>0</v>
      </c>
      <c r="J208" s="4"/>
    </row>
    <row r="209" spans="1:10" ht="14.25">
      <c r="A209" s="46" t="str">
        <f t="shared" si="23"/>
        <v/>
      </c>
      <c r="B209" s="47" t="str">
        <f t="shared" si="24"/>
        <v/>
      </c>
      <c r="C209" s="48" t="str">
        <f t="shared" si="26"/>
        <v/>
      </c>
      <c r="D209" s="48" t="str">
        <f>IF(ISERROR(PMT(Maandelijkse_rente_percentage,(Loan_Years*12)-Pay_Num+1,Beg_Bal)),"",IF(Values_Entered,-PMT(Maandelijkse_rente_percentage,(Loan_Years*12)-Pay_Num+1,Beg_Bal),""))</f>
        <v/>
      </c>
      <c r="E209" s="48" t="str">
        <f t="shared" si="20"/>
        <v/>
      </c>
      <c r="F209" s="48" t="e">
        <f t="shared" si="21"/>
        <v>#VALUE!</v>
      </c>
      <c r="G209" s="48" t="str">
        <f t="shared" si="25"/>
        <v/>
      </c>
      <c r="H209" s="19">
        <f t="shared" si="27"/>
        <v>0</v>
      </c>
      <c r="I209" s="19">
        <f t="shared" si="22"/>
        <v>0</v>
      </c>
      <c r="J209" s="4"/>
    </row>
    <row r="210" spans="1:10" ht="14.25">
      <c r="A210" s="46" t="str">
        <f t="shared" si="23"/>
        <v/>
      </c>
      <c r="B210" s="47" t="str">
        <f t="shared" si="24"/>
        <v/>
      </c>
      <c r="C210" s="48" t="str">
        <f t="shared" si="26"/>
        <v/>
      </c>
      <c r="D210" s="48" t="str">
        <f>IF(ISERROR(PMT(Maandelijkse_rente_percentage,(Loan_Years*12)-Pay_Num+1,Beg_Bal)),"",IF(Values_Entered,-PMT(Maandelijkse_rente_percentage,(Loan_Years*12)-Pay_Num+1,Beg_Bal),""))</f>
        <v/>
      </c>
      <c r="E210" s="48" t="str">
        <f t="shared" si="20"/>
        <v/>
      </c>
      <c r="F210" s="48" t="e">
        <f t="shared" si="21"/>
        <v>#VALUE!</v>
      </c>
      <c r="G210" s="48" t="str">
        <f t="shared" si="25"/>
        <v/>
      </c>
      <c r="H210" s="19">
        <f t="shared" si="27"/>
        <v>0</v>
      </c>
      <c r="I210" s="19">
        <f t="shared" si="22"/>
        <v>0</v>
      </c>
      <c r="J210" s="4"/>
    </row>
    <row r="211" spans="1:10" ht="14.25">
      <c r="A211" s="46" t="str">
        <f t="shared" si="23"/>
        <v/>
      </c>
      <c r="B211" s="47" t="str">
        <f t="shared" si="24"/>
        <v/>
      </c>
      <c r="C211" s="48" t="str">
        <f t="shared" si="26"/>
        <v/>
      </c>
      <c r="D211" s="48" t="str">
        <f>IF(ISERROR(PMT(Maandelijkse_rente_percentage,(Loan_Years*12)-Pay_Num+1,Beg_Bal)),"",IF(Values_Entered,-PMT(Maandelijkse_rente_percentage,(Loan_Years*12)-Pay_Num+1,Beg_Bal),""))</f>
        <v/>
      </c>
      <c r="E211" s="48" t="str">
        <f t="shared" ref="E211:E274" si="28">IF(Pay_Num&lt;&gt;"",Maandelijkse_aflossing-Int,"")</f>
        <v/>
      </c>
      <c r="F211" s="48" t="e">
        <f t="shared" ref="F211:F274" si="29">Beg_Bal*Maandelijkse_rente_percentage</f>
        <v>#VALUE!</v>
      </c>
      <c r="G211" s="48" t="str">
        <f t="shared" si="25"/>
        <v/>
      </c>
      <c r="H211" s="19">
        <f>N4</f>
        <v>0</v>
      </c>
      <c r="I211" s="19">
        <f t="shared" ref="I211:I274" si="30">((1+Jaarlijk_rente_percentage)^(1/12))-1</f>
        <v>0</v>
      </c>
      <c r="J211" s="4"/>
    </row>
    <row r="212" spans="1:10" ht="14.25">
      <c r="A212" s="46" t="str">
        <f t="shared" ref="A212:A275" si="31">IF(Values_Entered,A211+1,"")</f>
        <v/>
      </c>
      <c r="B212" s="47" t="str">
        <f t="shared" ref="B212:B275" si="32">IF(Pay_Num&lt;&gt;"",DATE(YEAR(B211),MONTH(B211)+1,DAY(B211)),"")</f>
        <v/>
      </c>
      <c r="C212" s="48" t="str">
        <f t="shared" si="26"/>
        <v/>
      </c>
      <c r="D212" s="48" t="str">
        <f>IF(ISERROR(PMT(Maandelijkse_rente_percentage,(Loan_Years*12)-Pay_Num+1,Beg_Bal)),"",IF(Values_Entered,-PMT(Maandelijkse_rente_percentage,(Loan_Years*12)-Pay_Num+1,Beg_Bal),""))</f>
        <v/>
      </c>
      <c r="E212" s="48" t="str">
        <f t="shared" si="28"/>
        <v/>
      </c>
      <c r="F212" s="48" t="e">
        <f t="shared" si="29"/>
        <v>#VALUE!</v>
      </c>
      <c r="G212" s="48" t="str">
        <f t="shared" ref="G212:G275" si="33">IF(Pay_Num&lt;&gt;"",Beg_Bal-Princ,"")</f>
        <v/>
      </c>
      <c r="H212" s="19">
        <f t="shared" si="27"/>
        <v>0</v>
      </c>
      <c r="I212" s="19">
        <f t="shared" si="30"/>
        <v>0</v>
      </c>
      <c r="J212" s="4"/>
    </row>
    <row r="213" spans="1:10" ht="14.25">
      <c r="A213" s="46" t="str">
        <f t="shared" si="31"/>
        <v/>
      </c>
      <c r="B213" s="47" t="str">
        <f t="shared" si="32"/>
        <v/>
      </c>
      <c r="C213" s="48" t="str">
        <f t="shared" ref="C213:C276" si="34">IF(Pay_Num&lt;&gt;"",G212,"")</f>
        <v/>
      </c>
      <c r="D213" s="48" t="str">
        <f>IF(ISERROR(PMT(Maandelijkse_rente_percentage,(Loan_Years*12)-Pay_Num+1,Beg_Bal)),"",IF(Values_Entered,-PMT(Maandelijkse_rente_percentage,(Loan_Years*12)-Pay_Num+1,Beg_Bal),""))</f>
        <v/>
      </c>
      <c r="E213" s="48" t="str">
        <f t="shared" si="28"/>
        <v/>
      </c>
      <c r="F213" s="48" t="e">
        <f t="shared" si="29"/>
        <v>#VALUE!</v>
      </c>
      <c r="G213" s="48" t="str">
        <f t="shared" si="33"/>
        <v/>
      </c>
      <c r="H213" s="19">
        <f t="shared" si="27"/>
        <v>0</v>
      </c>
      <c r="I213" s="19">
        <f t="shared" si="30"/>
        <v>0</v>
      </c>
      <c r="J213" s="4"/>
    </row>
    <row r="214" spans="1:10" ht="14.25">
      <c r="A214" s="46" t="str">
        <f t="shared" si="31"/>
        <v/>
      </c>
      <c r="B214" s="47" t="str">
        <f t="shared" si="32"/>
        <v/>
      </c>
      <c r="C214" s="48" t="str">
        <f t="shared" si="34"/>
        <v/>
      </c>
      <c r="D214" s="48" t="str">
        <f>IF(ISERROR(PMT(Maandelijkse_rente_percentage,(Loan_Years*12)-Pay_Num+1,Beg_Bal)),"",IF(Values_Entered,-PMT(Maandelijkse_rente_percentage,(Loan_Years*12)-Pay_Num+1,Beg_Bal),""))</f>
        <v/>
      </c>
      <c r="E214" s="48" t="str">
        <f t="shared" si="28"/>
        <v/>
      </c>
      <c r="F214" s="48" t="e">
        <f t="shared" si="29"/>
        <v>#VALUE!</v>
      </c>
      <c r="G214" s="48" t="str">
        <f t="shared" si="33"/>
        <v/>
      </c>
      <c r="H214" s="19">
        <f t="shared" si="27"/>
        <v>0</v>
      </c>
      <c r="I214" s="19">
        <f t="shared" si="30"/>
        <v>0</v>
      </c>
      <c r="J214" s="4"/>
    </row>
    <row r="215" spans="1:10" ht="14.25">
      <c r="A215" s="46" t="str">
        <f t="shared" si="31"/>
        <v/>
      </c>
      <c r="B215" s="47" t="str">
        <f t="shared" si="32"/>
        <v/>
      </c>
      <c r="C215" s="48" t="str">
        <f t="shared" si="34"/>
        <v/>
      </c>
      <c r="D215" s="48" t="str">
        <f>IF(ISERROR(PMT(Maandelijkse_rente_percentage,(Loan_Years*12)-Pay_Num+1,Beg_Bal)),"",IF(Values_Entered,-PMT(Maandelijkse_rente_percentage,(Loan_Years*12)-Pay_Num+1,Beg_Bal),""))</f>
        <v/>
      </c>
      <c r="E215" s="48" t="str">
        <f t="shared" si="28"/>
        <v/>
      </c>
      <c r="F215" s="48" t="e">
        <f t="shared" si="29"/>
        <v>#VALUE!</v>
      </c>
      <c r="G215" s="48" t="str">
        <f t="shared" si="33"/>
        <v/>
      </c>
      <c r="H215" s="19">
        <f t="shared" si="27"/>
        <v>0</v>
      </c>
      <c r="I215" s="19">
        <f t="shared" si="30"/>
        <v>0</v>
      </c>
      <c r="J215" s="4"/>
    </row>
    <row r="216" spans="1:10" ht="14.25">
      <c r="A216" s="46" t="str">
        <f t="shared" si="31"/>
        <v/>
      </c>
      <c r="B216" s="47" t="str">
        <f t="shared" si="32"/>
        <v/>
      </c>
      <c r="C216" s="48" t="str">
        <f t="shared" si="34"/>
        <v/>
      </c>
      <c r="D216" s="48" t="str">
        <f>IF(ISERROR(PMT(Maandelijkse_rente_percentage,(Loan_Years*12)-Pay_Num+1,Beg_Bal)),"",IF(Values_Entered,-PMT(Maandelijkse_rente_percentage,(Loan_Years*12)-Pay_Num+1,Beg_Bal),""))</f>
        <v/>
      </c>
      <c r="E216" s="48" t="str">
        <f t="shared" si="28"/>
        <v/>
      </c>
      <c r="F216" s="48" t="e">
        <f t="shared" si="29"/>
        <v>#VALUE!</v>
      </c>
      <c r="G216" s="48" t="str">
        <f t="shared" si="33"/>
        <v/>
      </c>
      <c r="H216" s="19">
        <f t="shared" si="27"/>
        <v>0</v>
      </c>
      <c r="I216" s="19">
        <f t="shared" si="30"/>
        <v>0</v>
      </c>
      <c r="J216" s="4"/>
    </row>
    <row r="217" spans="1:10" ht="14.25">
      <c r="A217" s="46" t="str">
        <f t="shared" si="31"/>
        <v/>
      </c>
      <c r="B217" s="47" t="str">
        <f t="shared" si="32"/>
        <v/>
      </c>
      <c r="C217" s="48" t="str">
        <f t="shared" si="34"/>
        <v/>
      </c>
      <c r="D217" s="48" t="str">
        <f>IF(ISERROR(PMT(Maandelijkse_rente_percentage,(Loan_Years*12)-Pay_Num+1,Beg_Bal)),"",IF(Values_Entered,-PMT(Maandelijkse_rente_percentage,(Loan_Years*12)-Pay_Num+1,Beg_Bal),""))</f>
        <v/>
      </c>
      <c r="E217" s="48" t="str">
        <f t="shared" si="28"/>
        <v/>
      </c>
      <c r="F217" s="48" t="e">
        <f t="shared" si="29"/>
        <v>#VALUE!</v>
      </c>
      <c r="G217" s="48" t="str">
        <f t="shared" si="33"/>
        <v/>
      </c>
      <c r="H217" s="19">
        <f t="shared" si="27"/>
        <v>0</v>
      </c>
      <c r="I217" s="19">
        <f t="shared" si="30"/>
        <v>0</v>
      </c>
      <c r="J217" s="4"/>
    </row>
    <row r="218" spans="1:10" ht="14.25">
      <c r="A218" s="46" t="str">
        <f t="shared" si="31"/>
        <v/>
      </c>
      <c r="B218" s="47" t="str">
        <f t="shared" si="32"/>
        <v/>
      </c>
      <c r="C218" s="48" t="str">
        <f t="shared" si="34"/>
        <v/>
      </c>
      <c r="D218" s="48" t="str">
        <f>IF(ISERROR(PMT(Maandelijkse_rente_percentage,(Loan_Years*12)-Pay_Num+1,Beg_Bal)),"",IF(Values_Entered,-PMT(Maandelijkse_rente_percentage,(Loan_Years*12)-Pay_Num+1,Beg_Bal),""))</f>
        <v/>
      </c>
      <c r="E218" s="48" t="str">
        <f t="shared" si="28"/>
        <v/>
      </c>
      <c r="F218" s="48" t="e">
        <f t="shared" si="29"/>
        <v>#VALUE!</v>
      </c>
      <c r="G218" s="48" t="str">
        <f t="shared" si="33"/>
        <v/>
      </c>
      <c r="H218" s="19">
        <f t="shared" si="27"/>
        <v>0</v>
      </c>
      <c r="I218" s="19">
        <f t="shared" si="30"/>
        <v>0</v>
      </c>
      <c r="J218" s="4"/>
    </row>
    <row r="219" spans="1:10" ht="14.25">
      <c r="A219" s="46" t="str">
        <f t="shared" si="31"/>
        <v/>
      </c>
      <c r="B219" s="47" t="str">
        <f t="shared" si="32"/>
        <v/>
      </c>
      <c r="C219" s="48" t="str">
        <f t="shared" si="34"/>
        <v/>
      </c>
      <c r="D219" s="48" t="str">
        <f>IF(ISERROR(PMT(Maandelijkse_rente_percentage,(Loan_Years*12)-Pay_Num+1,Beg_Bal)),"",IF(Values_Entered,-PMT(Maandelijkse_rente_percentage,(Loan_Years*12)-Pay_Num+1,Beg_Bal),""))</f>
        <v/>
      </c>
      <c r="E219" s="48" t="str">
        <f t="shared" si="28"/>
        <v/>
      </c>
      <c r="F219" s="48" t="e">
        <f t="shared" si="29"/>
        <v>#VALUE!</v>
      </c>
      <c r="G219" s="48" t="str">
        <f t="shared" si="33"/>
        <v/>
      </c>
      <c r="H219" s="19">
        <f t="shared" si="27"/>
        <v>0</v>
      </c>
      <c r="I219" s="19">
        <f t="shared" si="30"/>
        <v>0</v>
      </c>
      <c r="J219" s="4"/>
    </row>
    <row r="220" spans="1:10" ht="14.25">
      <c r="A220" s="46" t="str">
        <f t="shared" si="31"/>
        <v/>
      </c>
      <c r="B220" s="47" t="str">
        <f t="shared" si="32"/>
        <v/>
      </c>
      <c r="C220" s="48" t="str">
        <f t="shared" si="34"/>
        <v/>
      </c>
      <c r="D220" s="48" t="str">
        <f>IF(ISERROR(PMT(Maandelijkse_rente_percentage,(Loan_Years*12)-Pay_Num+1,Beg_Bal)),"",IF(Values_Entered,-PMT(Maandelijkse_rente_percentage,(Loan_Years*12)-Pay_Num+1,Beg_Bal),""))</f>
        <v/>
      </c>
      <c r="E220" s="48" t="str">
        <f t="shared" si="28"/>
        <v/>
      </c>
      <c r="F220" s="48" t="e">
        <f t="shared" si="29"/>
        <v>#VALUE!</v>
      </c>
      <c r="G220" s="48" t="str">
        <f t="shared" si="33"/>
        <v/>
      </c>
      <c r="H220" s="19">
        <f t="shared" si="27"/>
        <v>0</v>
      </c>
      <c r="I220" s="19">
        <f t="shared" si="30"/>
        <v>0</v>
      </c>
      <c r="J220" s="4"/>
    </row>
    <row r="221" spans="1:10" ht="14.25">
      <c r="A221" s="46" t="str">
        <f t="shared" si="31"/>
        <v/>
      </c>
      <c r="B221" s="47" t="str">
        <f t="shared" si="32"/>
        <v/>
      </c>
      <c r="C221" s="48" t="str">
        <f t="shared" si="34"/>
        <v/>
      </c>
      <c r="D221" s="48" t="str">
        <f>IF(ISERROR(PMT(Maandelijkse_rente_percentage,(Loan_Years*12)-Pay_Num+1,Beg_Bal)),"",IF(Values_Entered,-PMT(Maandelijkse_rente_percentage,(Loan_Years*12)-Pay_Num+1,Beg_Bal),""))</f>
        <v/>
      </c>
      <c r="E221" s="48" t="str">
        <f t="shared" si="28"/>
        <v/>
      </c>
      <c r="F221" s="48" t="e">
        <f t="shared" si="29"/>
        <v>#VALUE!</v>
      </c>
      <c r="G221" s="48" t="str">
        <f t="shared" si="33"/>
        <v/>
      </c>
      <c r="H221" s="19">
        <f t="shared" si="27"/>
        <v>0</v>
      </c>
      <c r="I221" s="19">
        <f t="shared" si="30"/>
        <v>0</v>
      </c>
      <c r="J221" s="4"/>
    </row>
    <row r="222" spans="1:10" ht="14.25">
      <c r="A222" s="46" t="str">
        <f t="shared" si="31"/>
        <v/>
      </c>
      <c r="B222" s="47" t="str">
        <f t="shared" si="32"/>
        <v/>
      </c>
      <c r="C222" s="48" t="str">
        <f t="shared" si="34"/>
        <v/>
      </c>
      <c r="D222" s="48" t="str">
        <f>IF(ISERROR(PMT(Maandelijkse_rente_percentage,(Loan_Years*12)-Pay_Num+1,Beg_Bal)),"",IF(Values_Entered,-PMT(Maandelijkse_rente_percentage,(Loan_Years*12)-Pay_Num+1,Beg_Bal),""))</f>
        <v/>
      </c>
      <c r="E222" s="48" t="str">
        <f t="shared" si="28"/>
        <v/>
      </c>
      <c r="F222" s="48" t="e">
        <f t="shared" si="29"/>
        <v>#VALUE!</v>
      </c>
      <c r="G222" s="48" t="str">
        <f t="shared" si="33"/>
        <v/>
      </c>
      <c r="H222" s="19">
        <f t="shared" si="27"/>
        <v>0</v>
      </c>
      <c r="I222" s="19">
        <f t="shared" si="30"/>
        <v>0</v>
      </c>
      <c r="J222" s="4"/>
    </row>
    <row r="223" spans="1:10" ht="14.25">
      <c r="A223" s="46" t="str">
        <f t="shared" si="31"/>
        <v/>
      </c>
      <c r="B223" s="47" t="str">
        <f t="shared" si="32"/>
        <v/>
      </c>
      <c r="C223" s="48" t="str">
        <f t="shared" si="34"/>
        <v/>
      </c>
      <c r="D223" s="48" t="str">
        <f>IF(ISERROR(PMT(Maandelijkse_rente_percentage,(Loan_Years*12)-Pay_Num+1,Beg_Bal)),"",IF(Values_Entered,-PMT(Maandelijkse_rente_percentage,(Loan_Years*12)-Pay_Num+1,Beg_Bal),""))</f>
        <v/>
      </c>
      <c r="E223" s="48" t="str">
        <f t="shared" si="28"/>
        <v/>
      </c>
      <c r="F223" s="48" t="e">
        <f t="shared" si="29"/>
        <v>#VALUE!</v>
      </c>
      <c r="G223" s="48" t="str">
        <f t="shared" si="33"/>
        <v/>
      </c>
      <c r="H223" s="19">
        <f>N5</f>
        <v>0</v>
      </c>
      <c r="I223" s="19">
        <f t="shared" si="30"/>
        <v>0</v>
      </c>
      <c r="J223" s="4"/>
    </row>
    <row r="224" spans="1:10" ht="14.25">
      <c r="A224" s="46" t="str">
        <f t="shared" si="31"/>
        <v/>
      </c>
      <c r="B224" s="47" t="str">
        <f t="shared" si="32"/>
        <v/>
      </c>
      <c r="C224" s="48" t="str">
        <f t="shared" si="34"/>
        <v/>
      </c>
      <c r="D224" s="48" t="str">
        <f>IF(ISERROR(PMT(Maandelijkse_rente_percentage,(Loan_Years*12)-Pay_Num+1,Beg_Bal)),"",IF(Values_Entered,-PMT(Maandelijkse_rente_percentage,(Loan_Years*12)-Pay_Num+1,Beg_Bal),""))</f>
        <v/>
      </c>
      <c r="E224" s="48" t="str">
        <f t="shared" si="28"/>
        <v/>
      </c>
      <c r="F224" s="48" t="e">
        <f t="shared" si="29"/>
        <v>#VALUE!</v>
      </c>
      <c r="G224" s="48" t="str">
        <f t="shared" si="33"/>
        <v/>
      </c>
      <c r="H224" s="19">
        <f t="shared" si="27"/>
        <v>0</v>
      </c>
      <c r="I224" s="19">
        <f t="shared" si="30"/>
        <v>0</v>
      </c>
      <c r="J224" s="4"/>
    </row>
    <row r="225" spans="1:10" ht="14.25">
      <c r="A225" s="46" t="str">
        <f t="shared" si="31"/>
        <v/>
      </c>
      <c r="B225" s="47" t="str">
        <f t="shared" si="32"/>
        <v/>
      </c>
      <c r="C225" s="48" t="str">
        <f t="shared" si="34"/>
        <v/>
      </c>
      <c r="D225" s="48" t="str">
        <f>IF(ISERROR(PMT(Maandelijkse_rente_percentage,(Loan_Years*12)-Pay_Num+1,Beg_Bal)),"",IF(Values_Entered,-PMT(Maandelijkse_rente_percentage,(Loan_Years*12)-Pay_Num+1,Beg_Bal),""))</f>
        <v/>
      </c>
      <c r="E225" s="48" t="str">
        <f t="shared" si="28"/>
        <v/>
      </c>
      <c r="F225" s="48" t="e">
        <f t="shared" si="29"/>
        <v>#VALUE!</v>
      </c>
      <c r="G225" s="48" t="str">
        <f t="shared" si="33"/>
        <v/>
      </c>
      <c r="H225" s="19">
        <f t="shared" si="27"/>
        <v>0</v>
      </c>
      <c r="I225" s="19">
        <f t="shared" si="30"/>
        <v>0</v>
      </c>
      <c r="J225" s="4"/>
    </row>
    <row r="226" spans="1:10" ht="14.25">
      <c r="A226" s="46" t="str">
        <f t="shared" si="31"/>
        <v/>
      </c>
      <c r="B226" s="47" t="str">
        <f t="shared" si="32"/>
        <v/>
      </c>
      <c r="C226" s="48" t="str">
        <f t="shared" si="34"/>
        <v/>
      </c>
      <c r="D226" s="48" t="str">
        <f>IF(ISERROR(PMT(Maandelijkse_rente_percentage,(Loan_Years*12)-Pay_Num+1,Beg_Bal)),"",IF(Values_Entered,-PMT(Maandelijkse_rente_percentage,(Loan_Years*12)-Pay_Num+1,Beg_Bal),""))</f>
        <v/>
      </c>
      <c r="E226" s="48" t="str">
        <f t="shared" si="28"/>
        <v/>
      </c>
      <c r="F226" s="48" t="e">
        <f t="shared" si="29"/>
        <v>#VALUE!</v>
      </c>
      <c r="G226" s="48" t="str">
        <f t="shared" si="33"/>
        <v/>
      </c>
      <c r="H226" s="19">
        <f t="shared" si="27"/>
        <v>0</v>
      </c>
      <c r="I226" s="19">
        <f t="shared" si="30"/>
        <v>0</v>
      </c>
      <c r="J226" s="4"/>
    </row>
    <row r="227" spans="1:10" ht="14.25">
      <c r="A227" s="46" t="str">
        <f t="shared" si="31"/>
        <v/>
      </c>
      <c r="B227" s="47" t="str">
        <f t="shared" si="32"/>
        <v/>
      </c>
      <c r="C227" s="48" t="str">
        <f t="shared" si="34"/>
        <v/>
      </c>
      <c r="D227" s="48" t="str">
        <f>IF(ISERROR(PMT(Maandelijkse_rente_percentage,(Loan_Years*12)-Pay_Num+1,Beg_Bal)),"",IF(Values_Entered,-PMT(Maandelijkse_rente_percentage,(Loan_Years*12)-Pay_Num+1,Beg_Bal),""))</f>
        <v/>
      </c>
      <c r="E227" s="48" t="str">
        <f t="shared" si="28"/>
        <v/>
      </c>
      <c r="F227" s="48" t="e">
        <f t="shared" si="29"/>
        <v>#VALUE!</v>
      </c>
      <c r="G227" s="48" t="str">
        <f t="shared" si="33"/>
        <v/>
      </c>
      <c r="H227" s="19">
        <f t="shared" si="27"/>
        <v>0</v>
      </c>
      <c r="I227" s="19">
        <f t="shared" si="30"/>
        <v>0</v>
      </c>
      <c r="J227" s="4"/>
    </row>
    <row r="228" spans="1:10" ht="14.25">
      <c r="A228" s="46" t="str">
        <f t="shared" si="31"/>
        <v/>
      </c>
      <c r="B228" s="47" t="str">
        <f t="shared" si="32"/>
        <v/>
      </c>
      <c r="C228" s="48" t="str">
        <f t="shared" si="34"/>
        <v/>
      </c>
      <c r="D228" s="48" t="str">
        <f>IF(ISERROR(PMT(Maandelijkse_rente_percentage,(Loan_Years*12)-Pay_Num+1,Beg_Bal)),"",IF(Values_Entered,-PMT(Maandelijkse_rente_percentage,(Loan_Years*12)-Pay_Num+1,Beg_Bal),""))</f>
        <v/>
      </c>
      <c r="E228" s="48" t="str">
        <f t="shared" si="28"/>
        <v/>
      </c>
      <c r="F228" s="48" t="e">
        <f t="shared" si="29"/>
        <v>#VALUE!</v>
      </c>
      <c r="G228" s="48" t="str">
        <f t="shared" si="33"/>
        <v/>
      </c>
      <c r="H228" s="19">
        <f t="shared" si="27"/>
        <v>0</v>
      </c>
      <c r="I228" s="19">
        <f t="shared" si="30"/>
        <v>0</v>
      </c>
      <c r="J228" s="4"/>
    </row>
    <row r="229" spans="1:10" ht="14.25">
      <c r="A229" s="46" t="str">
        <f t="shared" si="31"/>
        <v/>
      </c>
      <c r="B229" s="47" t="str">
        <f t="shared" si="32"/>
        <v/>
      </c>
      <c r="C229" s="48" t="str">
        <f t="shared" si="34"/>
        <v/>
      </c>
      <c r="D229" s="48" t="str">
        <f>IF(ISERROR(PMT(Maandelijkse_rente_percentage,(Loan_Years*12)-Pay_Num+1,Beg_Bal)),"",IF(Values_Entered,-PMT(Maandelijkse_rente_percentage,(Loan_Years*12)-Pay_Num+1,Beg_Bal),""))</f>
        <v/>
      </c>
      <c r="E229" s="48" t="str">
        <f t="shared" si="28"/>
        <v/>
      </c>
      <c r="F229" s="48" t="e">
        <f t="shared" si="29"/>
        <v>#VALUE!</v>
      </c>
      <c r="G229" s="48" t="str">
        <f t="shared" si="33"/>
        <v/>
      </c>
      <c r="H229" s="19">
        <f t="shared" si="27"/>
        <v>0</v>
      </c>
      <c r="I229" s="19">
        <f t="shared" si="30"/>
        <v>0</v>
      </c>
      <c r="J229" s="4"/>
    </row>
    <row r="230" spans="1:10" ht="14.25">
      <c r="A230" s="46" t="str">
        <f t="shared" si="31"/>
        <v/>
      </c>
      <c r="B230" s="47" t="str">
        <f t="shared" si="32"/>
        <v/>
      </c>
      <c r="C230" s="48" t="str">
        <f t="shared" si="34"/>
        <v/>
      </c>
      <c r="D230" s="48" t="str">
        <f>IF(ISERROR(PMT(Maandelijkse_rente_percentage,(Loan_Years*12)-Pay_Num+1,Beg_Bal)),"",IF(Values_Entered,-PMT(Maandelijkse_rente_percentage,(Loan_Years*12)-Pay_Num+1,Beg_Bal),""))</f>
        <v/>
      </c>
      <c r="E230" s="48" t="str">
        <f t="shared" si="28"/>
        <v/>
      </c>
      <c r="F230" s="48" t="e">
        <f t="shared" si="29"/>
        <v>#VALUE!</v>
      </c>
      <c r="G230" s="48" t="str">
        <f t="shared" si="33"/>
        <v/>
      </c>
      <c r="H230" s="19">
        <f t="shared" si="27"/>
        <v>0</v>
      </c>
      <c r="I230" s="19">
        <f t="shared" si="30"/>
        <v>0</v>
      </c>
      <c r="J230" s="4"/>
    </row>
    <row r="231" spans="1:10" ht="14.25">
      <c r="A231" s="46" t="str">
        <f t="shared" si="31"/>
        <v/>
      </c>
      <c r="B231" s="47" t="str">
        <f t="shared" si="32"/>
        <v/>
      </c>
      <c r="C231" s="48" t="str">
        <f t="shared" si="34"/>
        <v/>
      </c>
      <c r="D231" s="48" t="str">
        <f>IF(ISERROR(PMT(Maandelijkse_rente_percentage,(Loan_Years*12)-Pay_Num+1,Beg_Bal)),"",IF(Values_Entered,-PMT(Maandelijkse_rente_percentage,(Loan_Years*12)-Pay_Num+1,Beg_Bal),""))</f>
        <v/>
      </c>
      <c r="E231" s="48" t="str">
        <f t="shared" si="28"/>
        <v/>
      </c>
      <c r="F231" s="48" t="e">
        <f t="shared" si="29"/>
        <v>#VALUE!</v>
      </c>
      <c r="G231" s="48" t="str">
        <f t="shared" si="33"/>
        <v/>
      </c>
      <c r="H231" s="19">
        <f t="shared" si="27"/>
        <v>0</v>
      </c>
      <c r="I231" s="19">
        <f t="shared" si="30"/>
        <v>0</v>
      </c>
      <c r="J231" s="4"/>
    </row>
    <row r="232" spans="1:10" ht="14.25">
      <c r="A232" s="46" t="str">
        <f t="shared" si="31"/>
        <v/>
      </c>
      <c r="B232" s="47" t="str">
        <f t="shared" si="32"/>
        <v/>
      </c>
      <c r="C232" s="48" t="str">
        <f t="shared" si="34"/>
        <v/>
      </c>
      <c r="D232" s="48" t="str">
        <f>IF(ISERROR(PMT(Maandelijkse_rente_percentage,(Loan_Years*12)-Pay_Num+1,Beg_Bal)),"",IF(Values_Entered,-PMT(Maandelijkse_rente_percentage,(Loan_Years*12)-Pay_Num+1,Beg_Bal),""))</f>
        <v/>
      </c>
      <c r="E232" s="48" t="str">
        <f t="shared" si="28"/>
        <v/>
      </c>
      <c r="F232" s="48" t="e">
        <f t="shared" si="29"/>
        <v>#VALUE!</v>
      </c>
      <c r="G232" s="48" t="str">
        <f t="shared" si="33"/>
        <v/>
      </c>
      <c r="H232" s="19">
        <f t="shared" si="27"/>
        <v>0</v>
      </c>
      <c r="I232" s="19">
        <f t="shared" si="30"/>
        <v>0</v>
      </c>
      <c r="J232" s="4"/>
    </row>
    <row r="233" spans="1:10" ht="14.25">
      <c r="A233" s="46" t="str">
        <f t="shared" si="31"/>
        <v/>
      </c>
      <c r="B233" s="47" t="str">
        <f t="shared" si="32"/>
        <v/>
      </c>
      <c r="C233" s="48" t="str">
        <f t="shared" si="34"/>
        <v/>
      </c>
      <c r="D233" s="48" t="str">
        <f>IF(ISERROR(PMT(Maandelijkse_rente_percentage,(Loan_Years*12)-Pay_Num+1,Beg_Bal)),"",IF(Values_Entered,-PMT(Maandelijkse_rente_percentage,(Loan_Years*12)-Pay_Num+1,Beg_Bal),""))</f>
        <v/>
      </c>
      <c r="E233" s="48" t="str">
        <f t="shared" si="28"/>
        <v/>
      </c>
      <c r="F233" s="48" t="e">
        <f t="shared" si="29"/>
        <v>#VALUE!</v>
      </c>
      <c r="G233" s="48" t="str">
        <f t="shared" si="33"/>
        <v/>
      </c>
      <c r="H233" s="19">
        <f t="shared" si="27"/>
        <v>0</v>
      </c>
      <c r="I233" s="19">
        <f t="shared" si="30"/>
        <v>0</v>
      </c>
      <c r="J233" s="4"/>
    </row>
    <row r="234" spans="1:10" ht="14.25">
      <c r="A234" s="46" t="str">
        <f t="shared" si="31"/>
        <v/>
      </c>
      <c r="B234" s="47" t="str">
        <f t="shared" si="32"/>
        <v/>
      </c>
      <c r="C234" s="48" t="str">
        <f t="shared" si="34"/>
        <v/>
      </c>
      <c r="D234" s="48" t="str">
        <f>IF(ISERROR(PMT(Maandelijkse_rente_percentage,(Loan_Years*12)-Pay_Num+1,Beg_Bal)),"",IF(Values_Entered,-PMT(Maandelijkse_rente_percentage,(Loan_Years*12)-Pay_Num+1,Beg_Bal),""))</f>
        <v/>
      </c>
      <c r="E234" s="48" t="str">
        <f t="shared" si="28"/>
        <v/>
      </c>
      <c r="F234" s="48" t="e">
        <f t="shared" si="29"/>
        <v>#VALUE!</v>
      </c>
      <c r="G234" s="48" t="str">
        <f t="shared" si="33"/>
        <v/>
      </c>
      <c r="H234" s="19">
        <f t="shared" si="27"/>
        <v>0</v>
      </c>
      <c r="I234" s="19">
        <f t="shared" si="30"/>
        <v>0</v>
      </c>
      <c r="J234" s="4"/>
    </row>
    <row r="235" spans="1:10" ht="14.25">
      <c r="A235" s="46" t="str">
        <f t="shared" si="31"/>
        <v/>
      </c>
      <c r="B235" s="47" t="str">
        <f t="shared" si="32"/>
        <v/>
      </c>
      <c r="C235" s="48" t="str">
        <f t="shared" si="34"/>
        <v/>
      </c>
      <c r="D235" s="48" t="str">
        <f>IF(ISERROR(PMT(Maandelijkse_rente_percentage,(Loan_Years*12)-Pay_Num+1,Beg_Bal)),"",IF(Values_Entered,-PMT(Maandelijkse_rente_percentage,(Loan_Years*12)-Pay_Num+1,Beg_Bal),""))</f>
        <v/>
      </c>
      <c r="E235" s="48" t="str">
        <f t="shared" si="28"/>
        <v/>
      </c>
      <c r="F235" s="48" t="e">
        <f t="shared" si="29"/>
        <v>#VALUE!</v>
      </c>
      <c r="G235" s="48" t="str">
        <f t="shared" si="33"/>
        <v/>
      </c>
      <c r="H235" s="19">
        <f>N6</f>
        <v>0</v>
      </c>
      <c r="I235" s="19">
        <f t="shared" si="30"/>
        <v>0</v>
      </c>
      <c r="J235" s="4"/>
    </row>
    <row r="236" spans="1:10" ht="14.25">
      <c r="A236" s="46" t="str">
        <f t="shared" si="31"/>
        <v/>
      </c>
      <c r="B236" s="47" t="str">
        <f t="shared" si="32"/>
        <v/>
      </c>
      <c r="C236" s="48" t="str">
        <f t="shared" si="34"/>
        <v/>
      </c>
      <c r="D236" s="48" t="str">
        <f>IF(ISERROR(PMT(Maandelijkse_rente_percentage,(Loan_Years*12)-Pay_Num+1,Beg_Bal)),"",IF(Values_Entered,-PMT(Maandelijkse_rente_percentage,(Loan_Years*12)-Pay_Num+1,Beg_Bal),""))</f>
        <v/>
      </c>
      <c r="E236" s="48" t="str">
        <f t="shared" si="28"/>
        <v/>
      </c>
      <c r="F236" s="48" t="e">
        <f t="shared" si="29"/>
        <v>#VALUE!</v>
      </c>
      <c r="G236" s="48" t="str">
        <f t="shared" si="33"/>
        <v/>
      </c>
      <c r="H236" s="19">
        <f t="shared" si="27"/>
        <v>0</v>
      </c>
      <c r="I236" s="19">
        <f t="shared" si="30"/>
        <v>0</v>
      </c>
      <c r="J236" s="4"/>
    </row>
    <row r="237" spans="1:10" ht="14.25">
      <c r="A237" s="46" t="str">
        <f t="shared" si="31"/>
        <v/>
      </c>
      <c r="B237" s="47" t="str">
        <f t="shared" si="32"/>
        <v/>
      </c>
      <c r="C237" s="48" t="str">
        <f t="shared" si="34"/>
        <v/>
      </c>
      <c r="D237" s="48" t="str">
        <f>IF(ISERROR(PMT(Maandelijkse_rente_percentage,(Loan_Years*12)-Pay_Num+1,Beg_Bal)),"",IF(Values_Entered,-PMT(Maandelijkse_rente_percentage,(Loan_Years*12)-Pay_Num+1,Beg_Bal),""))</f>
        <v/>
      </c>
      <c r="E237" s="48" t="str">
        <f t="shared" si="28"/>
        <v/>
      </c>
      <c r="F237" s="48" t="e">
        <f t="shared" si="29"/>
        <v>#VALUE!</v>
      </c>
      <c r="G237" s="48" t="str">
        <f t="shared" si="33"/>
        <v/>
      </c>
      <c r="H237" s="19">
        <f t="shared" si="27"/>
        <v>0</v>
      </c>
      <c r="I237" s="19">
        <f t="shared" si="30"/>
        <v>0</v>
      </c>
      <c r="J237" s="4"/>
    </row>
    <row r="238" spans="1:10" ht="14.25">
      <c r="A238" s="46" t="str">
        <f t="shared" si="31"/>
        <v/>
      </c>
      <c r="B238" s="47" t="str">
        <f t="shared" si="32"/>
        <v/>
      </c>
      <c r="C238" s="48" t="str">
        <f t="shared" si="34"/>
        <v/>
      </c>
      <c r="D238" s="48" t="str">
        <f>IF(ISERROR(PMT(Maandelijkse_rente_percentage,(Loan_Years*12)-Pay_Num+1,Beg_Bal)),"",IF(Values_Entered,-PMT(Maandelijkse_rente_percentage,(Loan_Years*12)-Pay_Num+1,Beg_Bal),""))</f>
        <v/>
      </c>
      <c r="E238" s="48" t="str">
        <f t="shared" si="28"/>
        <v/>
      </c>
      <c r="F238" s="48" t="e">
        <f t="shared" si="29"/>
        <v>#VALUE!</v>
      </c>
      <c r="G238" s="48" t="str">
        <f t="shared" si="33"/>
        <v/>
      </c>
      <c r="H238" s="19">
        <f t="shared" si="27"/>
        <v>0</v>
      </c>
      <c r="I238" s="19">
        <f t="shared" si="30"/>
        <v>0</v>
      </c>
      <c r="J238" s="4"/>
    </row>
    <row r="239" spans="1:10" ht="14.25">
      <c r="A239" s="46" t="str">
        <f t="shared" si="31"/>
        <v/>
      </c>
      <c r="B239" s="47" t="str">
        <f t="shared" si="32"/>
        <v/>
      </c>
      <c r="C239" s="48" t="str">
        <f t="shared" si="34"/>
        <v/>
      </c>
      <c r="D239" s="48" t="str">
        <f>IF(ISERROR(PMT(Maandelijkse_rente_percentage,(Loan_Years*12)-Pay_Num+1,Beg_Bal)),"",IF(Values_Entered,-PMT(Maandelijkse_rente_percentage,(Loan_Years*12)-Pay_Num+1,Beg_Bal),""))</f>
        <v/>
      </c>
      <c r="E239" s="48" t="str">
        <f t="shared" si="28"/>
        <v/>
      </c>
      <c r="F239" s="48" t="e">
        <f t="shared" si="29"/>
        <v>#VALUE!</v>
      </c>
      <c r="G239" s="48" t="str">
        <f t="shared" si="33"/>
        <v/>
      </c>
      <c r="H239" s="19">
        <f t="shared" si="27"/>
        <v>0</v>
      </c>
      <c r="I239" s="19">
        <f t="shared" si="30"/>
        <v>0</v>
      </c>
      <c r="J239" s="4"/>
    </row>
    <row r="240" spans="1:10" ht="14.25">
      <c r="A240" s="46" t="str">
        <f t="shared" si="31"/>
        <v/>
      </c>
      <c r="B240" s="47" t="str">
        <f t="shared" si="32"/>
        <v/>
      </c>
      <c r="C240" s="48" t="str">
        <f t="shared" si="34"/>
        <v/>
      </c>
      <c r="D240" s="48" t="str">
        <f>IF(ISERROR(PMT(Maandelijkse_rente_percentage,(Loan_Years*12)-Pay_Num+1,Beg_Bal)),"",IF(Values_Entered,-PMT(Maandelijkse_rente_percentage,(Loan_Years*12)-Pay_Num+1,Beg_Bal),""))</f>
        <v/>
      </c>
      <c r="E240" s="48" t="str">
        <f t="shared" si="28"/>
        <v/>
      </c>
      <c r="F240" s="48" t="e">
        <f t="shared" si="29"/>
        <v>#VALUE!</v>
      </c>
      <c r="G240" s="48" t="str">
        <f t="shared" si="33"/>
        <v/>
      </c>
      <c r="H240" s="19">
        <f t="shared" si="27"/>
        <v>0</v>
      </c>
      <c r="I240" s="19">
        <f t="shared" si="30"/>
        <v>0</v>
      </c>
      <c r="J240" s="4"/>
    </row>
    <row r="241" spans="1:10" ht="14.25">
      <c r="A241" s="46" t="str">
        <f t="shared" si="31"/>
        <v/>
      </c>
      <c r="B241" s="47" t="str">
        <f t="shared" si="32"/>
        <v/>
      </c>
      <c r="C241" s="48" t="str">
        <f t="shared" si="34"/>
        <v/>
      </c>
      <c r="D241" s="48" t="str">
        <f>IF(ISERROR(PMT(Maandelijkse_rente_percentage,(Loan_Years*12)-Pay_Num+1,Beg_Bal)),"",IF(Values_Entered,-PMT(Maandelijkse_rente_percentage,(Loan_Years*12)-Pay_Num+1,Beg_Bal),""))</f>
        <v/>
      </c>
      <c r="E241" s="48" t="str">
        <f t="shared" si="28"/>
        <v/>
      </c>
      <c r="F241" s="48" t="e">
        <f t="shared" si="29"/>
        <v>#VALUE!</v>
      </c>
      <c r="G241" s="48" t="str">
        <f t="shared" si="33"/>
        <v/>
      </c>
      <c r="H241" s="19">
        <f t="shared" si="27"/>
        <v>0</v>
      </c>
      <c r="I241" s="19">
        <f t="shared" si="30"/>
        <v>0</v>
      </c>
      <c r="J241" s="4"/>
    </row>
    <row r="242" spans="1:10" ht="14.25">
      <c r="A242" s="46" t="str">
        <f t="shared" si="31"/>
        <v/>
      </c>
      <c r="B242" s="47" t="str">
        <f t="shared" si="32"/>
        <v/>
      </c>
      <c r="C242" s="48" t="str">
        <f t="shared" si="34"/>
        <v/>
      </c>
      <c r="D242" s="48" t="str">
        <f>IF(ISERROR(PMT(Maandelijkse_rente_percentage,(Loan_Years*12)-Pay_Num+1,Beg_Bal)),"",IF(Values_Entered,-PMT(Maandelijkse_rente_percentage,(Loan_Years*12)-Pay_Num+1,Beg_Bal),""))</f>
        <v/>
      </c>
      <c r="E242" s="48" t="str">
        <f t="shared" si="28"/>
        <v/>
      </c>
      <c r="F242" s="48" t="e">
        <f t="shared" si="29"/>
        <v>#VALUE!</v>
      </c>
      <c r="G242" s="48" t="str">
        <f t="shared" si="33"/>
        <v/>
      </c>
      <c r="H242" s="19">
        <f t="shared" si="27"/>
        <v>0</v>
      </c>
      <c r="I242" s="19">
        <f t="shared" si="30"/>
        <v>0</v>
      </c>
      <c r="J242" s="4"/>
    </row>
    <row r="243" spans="1:10" ht="14.25">
      <c r="A243" s="46" t="str">
        <f t="shared" si="31"/>
        <v/>
      </c>
      <c r="B243" s="47" t="str">
        <f t="shared" si="32"/>
        <v/>
      </c>
      <c r="C243" s="48" t="str">
        <f t="shared" si="34"/>
        <v/>
      </c>
      <c r="D243" s="48" t="str">
        <f>IF(ISERROR(PMT(Maandelijkse_rente_percentage,(Loan_Years*12)-Pay_Num+1,Beg_Bal)),"",IF(Values_Entered,-PMT(Maandelijkse_rente_percentage,(Loan_Years*12)-Pay_Num+1,Beg_Bal),""))</f>
        <v/>
      </c>
      <c r="E243" s="48" t="str">
        <f t="shared" si="28"/>
        <v/>
      </c>
      <c r="F243" s="48" t="e">
        <f t="shared" si="29"/>
        <v>#VALUE!</v>
      </c>
      <c r="G243" s="48" t="str">
        <f t="shared" si="33"/>
        <v/>
      </c>
      <c r="H243" s="19">
        <f t="shared" si="27"/>
        <v>0</v>
      </c>
      <c r="I243" s="19">
        <f t="shared" si="30"/>
        <v>0</v>
      </c>
      <c r="J243" s="4"/>
    </row>
    <row r="244" spans="1:10" ht="14.25">
      <c r="A244" s="46" t="str">
        <f t="shared" si="31"/>
        <v/>
      </c>
      <c r="B244" s="47" t="str">
        <f t="shared" si="32"/>
        <v/>
      </c>
      <c r="C244" s="48" t="str">
        <f t="shared" si="34"/>
        <v/>
      </c>
      <c r="D244" s="48" t="str">
        <f>IF(ISERROR(PMT(Maandelijkse_rente_percentage,(Loan_Years*12)-Pay_Num+1,Beg_Bal)),"",IF(Values_Entered,-PMT(Maandelijkse_rente_percentage,(Loan_Years*12)-Pay_Num+1,Beg_Bal),""))</f>
        <v/>
      </c>
      <c r="E244" s="48" t="str">
        <f t="shared" si="28"/>
        <v/>
      </c>
      <c r="F244" s="48" t="e">
        <f t="shared" si="29"/>
        <v>#VALUE!</v>
      </c>
      <c r="G244" s="48" t="str">
        <f t="shared" si="33"/>
        <v/>
      </c>
      <c r="H244" s="19">
        <f t="shared" si="27"/>
        <v>0</v>
      </c>
      <c r="I244" s="19">
        <f t="shared" si="30"/>
        <v>0</v>
      </c>
      <c r="J244" s="4"/>
    </row>
    <row r="245" spans="1:10" ht="14.25">
      <c r="A245" s="46" t="str">
        <f t="shared" si="31"/>
        <v/>
      </c>
      <c r="B245" s="47" t="str">
        <f t="shared" si="32"/>
        <v/>
      </c>
      <c r="C245" s="48" t="str">
        <f t="shared" si="34"/>
        <v/>
      </c>
      <c r="D245" s="48" t="str">
        <f>IF(ISERROR(PMT(Maandelijkse_rente_percentage,(Loan_Years*12)-Pay_Num+1,Beg_Bal)),"",IF(Values_Entered,-PMT(Maandelijkse_rente_percentage,(Loan_Years*12)-Pay_Num+1,Beg_Bal),""))</f>
        <v/>
      </c>
      <c r="E245" s="48" t="str">
        <f t="shared" si="28"/>
        <v/>
      </c>
      <c r="F245" s="48" t="e">
        <f t="shared" si="29"/>
        <v>#VALUE!</v>
      </c>
      <c r="G245" s="48" t="str">
        <f t="shared" si="33"/>
        <v/>
      </c>
      <c r="H245" s="19">
        <f t="shared" si="27"/>
        <v>0</v>
      </c>
      <c r="I245" s="19">
        <f t="shared" si="30"/>
        <v>0</v>
      </c>
      <c r="J245" s="4"/>
    </row>
    <row r="246" spans="1:10" ht="14.25">
      <c r="A246" s="46" t="str">
        <f t="shared" si="31"/>
        <v/>
      </c>
      <c r="B246" s="47" t="str">
        <f t="shared" si="32"/>
        <v/>
      </c>
      <c r="C246" s="48" t="str">
        <f t="shared" si="34"/>
        <v/>
      </c>
      <c r="D246" s="48" t="str">
        <f>IF(ISERROR(PMT(Maandelijkse_rente_percentage,(Loan_Years*12)-Pay_Num+1,Beg_Bal)),"",IF(Values_Entered,-PMT(Maandelijkse_rente_percentage,(Loan_Years*12)-Pay_Num+1,Beg_Bal),""))</f>
        <v/>
      </c>
      <c r="E246" s="48" t="str">
        <f t="shared" si="28"/>
        <v/>
      </c>
      <c r="F246" s="48" t="e">
        <f t="shared" si="29"/>
        <v>#VALUE!</v>
      </c>
      <c r="G246" s="48" t="str">
        <f t="shared" si="33"/>
        <v/>
      </c>
      <c r="H246" s="19">
        <f t="shared" si="27"/>
        <v>0</v>
      </c>
      <c r="I246" s="19">
        <f t="shared" si="30"/>
        <v>0</v>
      </c>
      <c r="J246" s="4"/>
    </row>
    <row r="247" spans="1:10" ht="14.25">
      <c r="A247" s="46" t="str">
        <f t="shared" si="31"/>
        <v/>
      </c>
      <c r="B247" s="47" t="str">
        <f t="shared" si="32"/>
        <v/>
      </c>
      <c r="C247" s="48" t="str">
        <f t="shared" si="34"/>
        <v/>
      </c>
      <c r="D247" s="48" t="str">
        <f>IF(ISERROR(PMT(Maandelijkse_rente_percentage,(Loan_Years*12)-Pay_Num+1,Beg_Bal)),"",IF(Values_Entered,-PMT(Maandelijkse_rente_percentage,(Loan_Years*12)-Pay_Num+1,Beg_Bal),""))</f>
        <v/>
      </c>
      <c r="E247" s="48" t="str">
        <f t="shared" si="28"/>
        <v/>
      </c>
      <c r="F247" s="48" t="e">
        <f t="shared" si="29"/>
        <v>#VALUE!</v>
      </c>
      <c r="G247" s="48" t="str">
        <f t="shared" si="33"/>
        <v/>
      </c>
      <c r="H247" s="19">
        <f>N7</f>
        <v>0</v>
      </c>
      <c r="I247" s="19">
        <f t="shared" si="30"/>
        <v>0</v>
      </c>
      <c r="J247" s="4"/>
    </row>
    <row r="248" spans="1:10" ht="14.25">
      <c r="A248" s="46" t="str">
        <f t="shared" si="31"/>
        <v/>
      </c>
      <c r="B248" s="47" t="str">
        <f t="shared" si="32"/>
        <v/>
      </c>
      <c r="C248" s="48" t="str">
        <f t="shared" si="34"/>
        <v/>
      </c>
      <c r="D248" s="48" t="str">
        <f>IF(ISERROR(PMT(Maandelijkse_rente_percentage,(Loan_Years*12)-Pay_Num+1,Beg_Bal)),"",IF(Values_Entered,-PMT(Maandelijkse_rente_percentage,(Loan_Years*12)-Pay_Num+1,Beg_Bal),""))</f>
        <v/>
      </c>
      <c r="E248" s="48" t="str">
        <f t="shared" si="28"/>
        <v/>
      </c>
      <c r="F248" s="48" t="e">
        <f t="shared" si="29"/>
        <v>#VALUE!</v>
      </c>
      <c r="G248" s="48" t="str">
        <f t="shared" si="33"/>
        <v/>
      </c>
      <c r="H248" s="19">
        <f t="shared" si="27"/>
        <v>0</v>
      </c>
      <c r="I248" s="19">
        <f t="shared" si="30"/>
        <v>0</v>
      </c>
      <c r="J248" s="4"/>
    </row>
    <row r="249" spans="1:10" ht="14.25">
      <c r="A249" s="46" t="str">
        <f t="shared" si="31"/>
        <v/>
      </c>
      <c r="B249" s="47" t="str">
        <f t="shared" si="32"/>
        <v/>
      </c>
      <c r="C249" s="48" t="str">
        <f t="shared" si="34"/>
        <v/>
      </c>
      <c r="D249" s="48" t="str">
        <f>IF(ISERROR(PMT(Maandelijkse_rente_percentage,(Loan_Years*12)-Pay_Num+1,Beg_Bal)),"",IF(Values_Entered,-PMT(Maandelijkse_rente_percentage,(Loan_Years*12)-Pay_Num+1,Beg_Bal),""))</f>
        <v/>
      </c>
      <c r="E249" s="48" t="str">
        <f t="shared" si="28"/>
        <v/>
      </c>
      <c r="F249" s="48" t="e">
        <f t="shared" si="29"/>
        <v>#VALUE!</v>
      </c>
      <c r="G249" s="48" t="str">
        <f t="shared" si="33"/>
        <v/>
      </c>
      <c r="H249" s="19">
        <f t="shared" si="27"/>
        <v>0</v>
      </c>
      <c r="I249" s="19">
        <f t="shared" si="30"/>
        <v>0</v>
      </c>
      <c r="J249" s="4"/>
    </row>
    <row r="250" spans="1:10" ht="14.25">
      <c r="A250" s="46" t="str">
        <f t="shared" si="31"/>
        <v/>
      </c>
      <c r="B250" s="47" t="str">
        <f t="shared" si="32"/>
        <v/>
      </c>
      <c r="C250" s="48" t="str">
        <f t="shared" si="34"/>
        <v/>
      </c>
      <c r="D250" s="48" t="str">
        <f>IF(ISERROR(PMT(Maandelijkse_rente_percentage,(Loan_Years*12)-Pay_Num+1,Beg_Bal)),"",IF(Values_Entered,-PMT(Maandelijkse_rente_percentage,(Loan_Years*12)-Pay_Num+1,Beg_Bal),""))</f>
        <v/>
      </c>
      <c r="E250" s="48" t="str">
        <f t="shared" si="28"/>
        <v/>
      </c>
      <c r="F250" s="48" t="e">
        <f t="shared" si="29"/>
        <v>#VALUE!</v>
      </c>
      <c r="G250" s="48" t="str">
        <f t="shared" si="33"/>
        <v/>
      </c>
      <c r="H250" s="19">
        <f t="shared" si="27"/>
        <v>0</v>
      </c>
      <c r="I250" s="19">
        <f t="shared" si="30"/>
        <v>0</v>
      </c>
      <c r="J250" s="4"/>
    </row>
    <row r="251" spans="1:10" ht="14.25">
      <c r="A251" s="46" t="str">
        <f t="shared" si="31"/>
        <v/>
      </c>
      <c r="B251" s="47" t="str">
        <f t="shared" si="32"/>
        <v/>
      </c>
      <c r="C251" s="48" t="str">
        <f t="shared" si="34"/>
        <v/>
      </c>
      <c r="D251" s="48" t="str">
        <f>IF(ISERROR(PMT(Maandelijkse_rente_percentage,(Loan_Years*12)-Pay_Num+1,Beg_Bal)),"",IF(Values_Entered,-PMT(Maandelijkse_rente_percentage,(Loan_Years*12)-Pay_Num+1,Beg_Bal),""))</f>
        <v/>
      </c>
      <c r="E251" s="48" t="str">
        <f t="shared" si="28"/>
        <v/>
      </c>
      <c r="F251" s="48" t="e">
        <f t="shared" si="29"/>
        <v>#VALUE!</v>
      </c>
      <c r="G251" s="48" t="str">
        <f t="shared" si="33"/>
        <v/>
      </c>
      <c r="H251" s="19">
        <f t="shared" si="27"/>
        <v>0</v>
      </c>
      <c r="I251" s="19">
        <f t="shared" si="30"/>
        <v>0</v>
      </c>
      <c r="J251" s="4"/>
    </row>
    <row r="252" spans="1:10" ht="14.25">
      <c r="A252" s="46" t="str">
        <f t="shared" si="31"/>
        <v/>
      </c>
      <c r="B252" s="47" t="str">
        <f t="shared" si="32"/>
        <v/>
      </c>
      <c r="C252" s="48" t="str">
        <f t="shared" si="34"/>
        <v/>
      </c>
      <c r="D252" s="48" t="str">
        <f>IF(ISERROR(PMT(Maandelijkse_rente_percentage,(Loan_Years*12)-Pay_Num+1,Beg_Bal)),"",IF(Values_Entered,-PMT(Maandelijkse_rente_percentage,(Loan_Years*12)-Pay_Num+1,Beg_Bal),""))</f>
        <v/>
      </c>
      <c r="E252" s="48" t="str">
        <f t="shared" si="28"/>
        <v/>
      </c>
      <c r="F252" s="48" t="e">
        <f t="shared" si="29"/>
        <v>#VALUE!</v>
      </c>
      <c r="G252" s="48" t="str">
        <f t="shared" si="33"/>
        <v/>
      </c>
      <c r="H252" s="19">
        <f t="shared" si="27"/>
        <v>0</v>
      </c>
      <c r="I252" s="19">
        <f t="shared" si="30"/>
        <v>0</v>
      </c>
      <c r="J252" s="4"/>
    </row>
    <row r="253" spans="1:10" ht="14.25">
      <c r="A253" s="46" t="str">
        <f t="shared" si="31"/>
        <v/>
      </c>
      <c r="B253" s="47" t="str">
        <f t="shared" si="32"/>
        <v/>
      </c>
      <c r="C253" s="48" t="str">
        <f t="shared" si="34"/>
        <v/>
      </c>
      <c r="D253" s="48" t="str">
        <f>IF(ISERROR(PMT(Maandelijkse_rente_percentage,(Loan_Years*12)-Pay_Num+1,Beg_Bal)),"",IF(Values_Entered,-PMT(Maandelijkse_rente_percentage,(Loan_Years*12)-Pay_Num+1,Beg_Bal),""))</f>
        <v/>
      </c>
      <c r="E253" s="48" t="str">
        <f t="shared" si="28"/>
        <v/>
      </c>
      <c r="F253" s="48" t="e">
        <f t="shared" si="29"/>
        <v>#VALUE!</v>
      </c>
      <c r="G253" s="48" t="str">
        <f t="shared" si="33"/>
        <v/>
      </c>
      <c r="H253" s="19">
        <f t="shared" si="27"/>
        <v>0</v>
      </c>
      <c r="I253" s="19">
        <f t="shared" si="30"/>
        <v>0</v>
      </c>
      <c r="J253" s="4"/>
    </row>
    <row r="254" spans="1:10" ht="14.25">
      <c r="A254" s="46" t="str">
        <f t="shared" si="31"/>
        <v/>
      </c>
      <c r="B254" s="47" t="str">
        <f t="shared" si="32"/>
        <v/>
      </c>
      <c r="C254" s="48" t="str">
        <f t="shared" si="34"/>
        <v/>
      </c>
      <c r="D254" s="48" t="str">
        <f>IF(ISERROR(PMT(Maandelijkse_rente_percentage,(Loan_Years*12)-Pay_Num+1,Beg_Bal)),"",IF(Values_Entered,-PMT(Maandelijkse_rente_percentage,(Loan_Years*12)-Pay_Num+1,Beg_Bal),""))</f>
        <v/>
      </c>
      <c r="E254" s="48" t="str">
        <f t="shared" si="28"/>
        <v/>
      </c>
      <c r="F254" s="48" t="e">
        <f t="shared" si="29"/>
        <v>#VALUE!</v>
      </c>
      <c r="G254" s="48" t="str">
        <f t="shared" si="33"/>
        <v/>
      </c>
      <c r="H254" s="19">
        <f t="shared" si="27"/>
        <v>0</v>
      </c>
      <c r="I254" s="19">
        <f t="shared" si="30"/>
        <v>0</v>
      </c>
      <c r="J254" s="4"/>
    </row>
    <row r="255" spans="1:10" ht="14.25">
      <c r="A255" s="46" t="str">
        <f t="shared" si="31"/>
        <v/>
      </c>
      <c r="B255" s="47" t="str">
        <f t="shared" si="32"/>
        <v/>
      </c>
      <c r="C255" s="48" t="str">
        <f t="shared" si="34"/>
        <v/>
      </c>
      <c r="D255" s="48" t="str">
        <f>IF(ISERROR(PMT(Maandelijkse_rente_percentage,(Loan_Years*12)-Pay_Num+1,Beg_Bal)),"",IF(Values_Entered,-PMT(Maandelijkse_rente_percentage,(Loan_Years*12)-Pay_Num+1,Beg_Bal),""))</f>
        <v/>
      </c>
      <c r="E255" s="48" t="str">
        <f t="shared" si="28"/>
        <v/>
      </c>
      <c r="F255" s="48" t="e">
        <f t="shared" si="29"/>
        <v>#VALUE!</v>
      </c>
      <c r="G255" s="48" t="str">
        <f t="shared" si="33"/>
        <v/>
      </c>
      <c r="H255" s="19">
        <f t="shared" si="27"/>
        <v>0</v>
      </c>
      <c r="I255" s="19">
        <f t="shared" si="30"/>
        <v>0</v>
      </c>
      <c r="J255" s="4"/>
    </row>
    <row r="256" spans="1:10" ht="14.25">
      <c r="A256" s="46" t="str">
        <f t="shared" si="31"/>
        <v/>
      </c>
      <c r="B256" s="47" t="str">
        <f t="shared" si="32"/>
        <v/>
      </c>
      <c r="C256" s="48" t="str">
        <f t="shared" si="34"/>
        <v/>
      </c>
      <c r="D256" s="48" t="str">
        <f>IF(ISERROR(PMT(Maandelijkse_rente_percentage,(Loan_Years*12)-Pay_Num+1,Beg_Bal)),"",IF(Values_Entered,-PMT(Maandelijkse_rente_percentage,(Loan_Years*12)-Pay_Num+1,Beg_Bal),""))</f>
        <v/>
      </c>
      <c r="E256" s="48" t="str">
        <f t="shared" si="28"/>
        <v/>
      </c>
      <c r="F256" s="48" t="e">
        <f t="shared" si="29"/>
        <v>#VALUE!</v>
      </c>
      <c r="G256" s="48" t="str">
        <f t="shared" si="33"/>
        <v/>
      </c>
      <c r="H256" s="19">
        <f t="shared" si="27"/>
        <v>0</v>
      </c>
      <c r="I256" s="19">
        <f t="shared" si="30"/>
        <v>0</v>
      </c>
      <c r="J256" s="4"/>
    </row>
    <row r="257" spans="1:10" ht="14.25">
      <c r="A257" s="46" t="str">
        <f t="shared" si="31"/>
        <v/>
      </c>
      <c r="B257" s="47" t="str">
        <f t="shared" si="32"/>
        <v/>
      </c>
      <c r="C257" s="48" t="str">
        <f t="shared" si="34"/>
        <v/>
      </c>
      <c r="D257" s="48" t="str">
        <f>IF(ISERROR(PMT(Maandelijkse_rente_percentage,(Loan_Years*12)-Pay_Num+1,Beg_Bal)),"",IF(Values_Entered,-PMT(Maandelijkse_rente_percentage,(Loan_Years*12)-Pay_Num+1,Beg_Bal),""))</f>
        <v/>
      </c>
      <c r="E257" s="48" t="str">
        <f t="shared" si="28"/>
        <v/>
      </c>
      <c r="F257" s="48" t="e">
        <f t="shared" si="29"/>
        <v>#VALUE!</v>
      </c>
      <c r="G257" s="48" t="str">
        <f t="shared" si="33"/>
        <v/>
      </c>
      <c r="H257" s="19">
        <f t="shared" si="27"/>
        <v>0</v>
      </c>
      <c r="I257" s="19">
        <f t="shared" si="30"/>
        <v>0</v>
      </c>
      <c r="J257" s="4"/>
    </row>
    <row r="258" spans="1:10" ht="14.25">
      <c r="A258" s="46" t="str">
        <f t="shared" si="31"/>
        <v/>
      </c>
      <c r="B258" s="47" t="str">
        <f t="shared" si="32"/>
        <v/>
      </c>
      <c r="C258" s="48" t="str">
        <f t="shared" si="34"/>
        <v/>
      </c>
      <c r="D258" s="48" t="str">
        <f>IF(ISERROR(PMT(Maandelijkse_rente_percentage,(Loan_Years*12)-Pay_Num+1,Beg_Bal)),"",IF(Values_Entered,-PMT(Maandelijkse_rente_percentage,(Loan_Years*12)-Pay_Num+1,Beg_Bal),""))</f>
        <v/>
      </c>
      <c r="E258" s="48" t="str">
        <f t="shared" si="28"/>
        <v/>
      </c>
      <c r="F258" s="48" t="e">
        <f t="shared" si="29"/>
        <v>#VALUE!</v>
      </c>
      <c r="G258" s="48" t="str">
        <f t="shared" si="33"/>
        <v/>
      </c>
      <c r="H258" s="19">
        <f t="shared" si="27"/>
        <v>0</v>
      </c>
      <c r="I258" s="19">
        <f t="shared" si="30"/>
        <v>0</v>
      </c>
      <c r="J258" s="4"/>
    </row>
    <row r="259" spans="1:10" ht="14.25">
      <c r="A259" s="46" t="str">
        <f t="shared" si="31"/>
        <v/>
      </c>
      <c r="B259" s="47" t="str">
        <f t="shared" si="32"/>
        <v/>
      </c>
      <c r="C259" s="48" t="str">
        <f t="shared" si="34"/>
        <v/>
      </c>
      <c r="D259" s="48" t="str">
        <f>IF(ISERROR(PMT(Maandelijkse_rente_percentage,(Loan_Years*12)-Pay_Num+1,Beg_Bal)),"",IF(Values_Entered,-PMT(Maandelijkse_rente_percentage,(Loan_Years*12)-Pay_Num+1,Beg_Bal),""))</f>
        <v/>
      </c>
      <c r="E259" s="48" t="str">
        <f t="shared" si="28"/>
        <v/>
      </c>
      <c r="F259" s="48" t="e">
        <f t="shared" si="29"/>
        <v>#VALUE!</v>
      </c>
      <c r="G259" s="48" t="str">
        <f t="shared" si="33"/>
        <v/>
      </c>
      <c r="H259" s="19">
        <f>N8</f>
        <v>0</v>
      </c>
      <c r="I259" s="19">
        <f t="shared" si="30"/>
        <v>0</v>
      </c>
      <c r="J259" s="4"/>
    </row>
    <row r="260" spans="1:10" ht="14.25">
      <c r="A260" s="46" t="str">
        <f t="shared" si="31"/>
        <v/>
      </c>
      <c r="B260" s="47" t="str">
        <f t="shared" si="32"/>
        <v/>
      </c>
      <c r="C260" s="48" t="str">
        <f t="shared" si="34"/>
        <v/>
      </c>
      <c r="D260" s="48" t="str">
        <f>IF(ISERROR(PMT(Maandelijkse_rente_percentage,(Loan_Years*12)-Pay_Num+1,Beg_Bal)),"",IF(Values_Entered,-PMT(Maandelijkse_rente_percentage,(Loan_Years*12)-Pay_Num+1,Beg_Bal),""))</f>
        <v/>
      </c>
      <c r="E260" s="48" t="str">
        <f t="shared" si="28"/>
        <v/>
      </c>
      <c r="F260" s="48" t="e">
        <f t="shared" si="29"/>
        <v>#VALUE!</v>
      </c>
      <c r="G260" s="48" t="str">
        <f t="shared" si="33"/>
        <v/>
      </c>
      <c r="H260" s="19">
        <f t="shared" si="27"/>
        <v>0</v>
      </c>
      <c r="I260" s="19">
        <f t="shared" si="30"/>
        <v>0</v>
      </c>
      <c r="J260" s="4"/>
    </row>
    <row r="261" spans="1:10" ht="14.25">
      <c r="A261" s="46" t="str">
        <f t="shared" si="31"/>
        <v/>
      </c>
      <c r="B261" s="47" t="str">
        <f t="shared" si="32"/>
        <v/>
      </c>
      <c r="C261" s="48" t="str">
        <f t="shared" si="34"/>
        <v/>
      </c>
      <c r="D261" s="48" t="str">
        <f>IF(ISERROR(PMT(Maandelijkse_rente_percentage,(Loan_Years*12)-Pay_Num+1,Beg_Bal)),"",IF(Values_Entered,-PMT(Maandelijkse_rente_percentage,(Loan_Years*12)-Pay_Num+1,Beg_Bal),""))</f>
        <v/>
      </c>
      <c r="E261" s="48" t="str">
        <f t="shared" si="28"/>
        <v/>
      </c>
      <c r="F261" s="48" t="e">
        <f t="shared" si="29"/>
        <v>#VALUE!</v>
      </c>
      <c r="G261" s="48" t="str">
        <f t="shared" si="33"/>
        <v/>
      </c>
      <c r="H261" s="19">
        <f t="shared" si="27"/>
        <v>0</v>
      </c>
      <c r="I261" s="19">
        <f t="shared" si="30"/>
        <v>0</v>
      </c>
      <c r="J261" s="4"/>
    </row>
    <row r="262" spans="1:10" ht="14.25">
      <c r="A262" s="46" t="str">
        <f t="shared" si="31"/>
        <v/>
      </c>
      <c r="B262" s="47" t="str">
        <f t="shared" si="32"/>
        <v/>
      </c>
      <c r="C262" s="48" t="str">
        <f t="shared" si="34"/>
        <v/>
      </c>
      <c r="D262" s="48" t="str">
        <f>IF(ISERROR(PMT(Maandelijkse_rente_percentage,(Loan_Years*12)-Pay_Num+1,Beg_Bal)),"",IF(Values_Entered,-PMT(Maandelijkse_rente_percentage,(Loan_Years*12)-Pay_Num+1,Beg_Bal),""))</f>
        <v/>
      </c>
      <c r="E262" s="48" t="str">
        <f t="shared" si="28"/>
        <v/>
      </c>
      <c r="F262" s="48" t="e">
        <f t="shared" si="29"/>
        <v>#VALUE!</v>
      </c>
      <c r="G262" s="48" t="str">
        <f t="shared" si="33"/>
        <v/>
      </c>
      <c r="H262" s="19">
        <f t="shared" si="27"/>
        <v>0</v>
      </c>
      <c r="I262" s="19">
        <f t="shared" si="30"/>
        <v>0</v>
      </c>
      <c r="J262" s="4"/>
    </row>
    <row r="263" spans="1:10" ht="14.25">
      <c r="A263" s="46" t="str">
        <f t="shared" si="31"/>
        <v/>
      </c>
      <c r="B263" s="47" t="str">
        <f t="shared" si="32"/>
        <v/>
      </c>
      <c r="C263" s="48" t="str">
        <f t="shared" si="34"/>
        <v/>
      </c>
      <c r="D263" s="48" t="str">
        <f>IF(ISERROR(PMT(Maandelijkse_rente_percentage,(Loan_Years*12)-Pay_Num+1,Beg_Bal)),"",IF(Values_Entered,-PMT(Maandelijkse_rente_percentage,(Loan_Years*12)-Pay_Num+1,Beg_Bal),""))</f>
        <v/>
      </c>
      <c r="E263" s="48" t="str">
        <f t="shared" si="28"/>
        <v/>
      </c>
      <c r="F263" s="48" t="e">
        <f t="shared" si="29"/>
        <v>#VALUE!</v>
      </c>
      <c r="G263" s="48" t="str">
        <f t="shared" si="33"/>
        <v/>
      </c>
      <c r="H263" s="19">
        <f t="shared" si="27"/>
        <v>0</v>
      </c>
      <c r="I263" s="19">
        <f t="shared" si="30"/>
        <v>0</v>
      </c>
      <c r="J263" s="4"/>
    </row>
    <row r="264" spans="1:10" ht="14.25">
      <c r="A264" s="46" t="str">
        <f t="shared" si="31"/>
        <v/>
      </c>
      <c r="B264" s="47" t="str">
        <f t="shared" si="32"/>
        <v/>
      </c>
      <c r="C264" s="48" t="str">
        <f t="shared" si="34"/>
        <v/>
      </c>
      <c r="D264" s="48" t="str">
        <f>IF(ISERROR(PMT(Maandelijkse_rente_percentage,(Loan_Years*12)-Pay_Num+1,Beg_Bal)),"",IF(Values_Entered,-PMT(Maandelijkse_rente_percentage,(Loan_Years*12)-Pay_Num+1,Beg_Bal),""))</f>
        <v/>
      </c>
      <c r="E264" s="48" t="str">
        <f t="shared" si="28"/>
        <v/>
      </c>
      <c r="F264" s="48" t="e">
        <f t="shared" si="29"/>
        <v>#VALUE!</v>
      </c>
      <c r="G264" s="48" t="str">
        <f t="shared" si="33"/>
        <v/>
      </c>
      <c r="H264" s="19">
        <f t="shared" si="27"/>
        <v>0</v>
      </c>
      <c r="I264" s="19">
        <f t="shared" si="30"/>
        <v>0</v>
      </c>
      <c r="J264" s="4"/>
    </row>
    <row r="265" spans="1:10" ht="14.25">
      <c r="A265" s="46" t="str">
        <f t="shared" si="31"/>
        <v/>
      </c>
      <c r="B265" s="47" t="str">
        <f t="shared" si="32"/>
        <v/>
      </c>
      <c r="C265" s="48" t="str">
        <f t="shared" si="34"/>
        <v/>
      </c>
      <c r="D265" s="48" t="str">
        <f>IF(ISERROR(PMT(Maandelijkse_rente_percentage,(Loan_Years*12)-Pay_Num+1,Beg_Bal)),"",IF(Values_Entered,-PMT(Maandelijkse_rente_percentage,(Loan_Years*12)-Pay_Num+1,Beg_Bal),""))</f>
        <v/>
      </c>
      <c r="E265" s="48" t="str">
        <f t="shared" si="28"/>
        <v/>
      </c>
      <c r="F265" s="48" t="e">
        <f t="shared" si="29"/>
        <v>#VALUE!</v>
      </c>
      <c r="G265" s="48" t="str">
        <f t="shared" si="33"/>
        <v/>
      </c>
      <c r="H265" s="19">
        <f t="shared" si="27"/>
        <v>0</v>
      </c>
      <c r="I265" s="19">
        <f t="shared" si="30"/>
        <v>0</v>
      </c>
      <c r="J265" s="4"/>
    </row>
    <row r="266" spans="1:10" ht="14.25">
      <c r="A266" s="46" t="str">
        <f t="shared" si="31"/>
        <v/>
      </c>
      <c r="B266" s="47" t="str">
        <f t="shared" si="32"/>
        <v/>
      </c>
      <c r="C266" s="48" t="str">
        <f t="shared" si="34"/>
        <v/>
      </c>
      <c r="D266" s="48" t="str">
        <f>IF(ISERROR(PMT(Maandelijkse_rente_percentage,(Loan_Years*12)-Pay_Num+1,Beg_Bal)),"",IF(Values_Entered,-PMT(Maandelijkse_rente_percentage,(Loan_Years*12)-Pay_Num+1,Beg_Bal),""))</f>
        <v/>
      </c>
      <c r="E266" s="48" t="str">
        <f t="shared" si="28"/>
        <v/>
      </c>
      <c r="F266" s="48" t="e">
        <f t="shared" si="29"/>
        <v>#VALUE!</v>
      </c>
      <c r="G266" s="48" t="str">
        <f t="shared" si="33"/>
        <v/>
      </c>
      <c r="H266" s="19">
        <f t="shared" si="27"/>
        <v>0</v>
      </c>
      <c r="I266" s="19">
        <f t="shared" si="30"/>
        <v>0</v>
      </c>
      <c r="J266" s="4"/>
    </row>
    <row r="267" spans="1:10" ht="14.25">
      <c r="A267" s="46" t="str">
        <f t="shared" si="31"/>
        <v/>
      </c>
      <c r="B267" s="47" t="str">
        <f t="shared" si="32"/>
        <v/>
      </c>
      <c r="C267" s="48" t="str">
        <f t="shared" si="34"/>
        <v/>
      </c>
      <c r="D267" s="48" t="str">
        <f>IF(ISERROR(PMT(Maandelijkse_rente_percentage,(Loan_Years*12)-Pay_Num+1,Beg_Bal)),"",IF(Values_Entered,-PMT(Maandelijkse_rente_percentage,(Loan_Years*12)-Pay_Num+1,Beg_Bal),""))</f>
        <v/>
      </c>
      <c r="E267" s="48" t="str">
        <f t="shared" si="28"/>
        <v/>
      </c>
      <c r="F267" s="48" t="e">
        <f t="shared" si="29"/>
        <v>#VALUE!</v>
      </c>
      <c r="G267" s="48" t="str">
        <f t="shared" si="33"/>
        <v/>
      </c>
      <c r="H267" s="19">
        <f t="shared" si="27"/>
        <v>0</v>
      </c>
      <c r="I267" s="19">
        <f t="shared" si="30"/>
        <v>0</v>
      </c>
      <c r="J267" s="4"/>
    </row>
    <row r="268" spans="1:10" ht="14.25">
      <c r="A268" s="46" t="str">
        <f t="shared" si="31"/>
        <v/>
      </c>
      <c r="B268" s="47" t="str">
        <f t="shared" si="32"/>
        <v/>
      </c>
      <c r="C268" s="48" t="str">
        <f t="shared" si="34"/>
        <v/>
      </c>
      <c r="D268" s="48" t="str">
        <f>IF(ISERROR(PMT(Maandelijkse_rente_percentage,(Loan_Years*12)-Pay_Num+1,Beg_Bal)),"",IF(Values_Entered,-PMT(Maandelijkse_rente_percentage,(Loan_Years*12)-Pay_Num+1,Beg_Bal),""))</f>
        <v/>
      </c>
      <c r="E268" s="48" t="str">
        <f t="shared" si="28"/>
        <v/>
      </c>
      <c r="F268" s="48" t="e">
        <f t="shared" si="29"/>
        <v>#VALUE!</v>
      </c>
      <c r="G268" s="48" t="str">
        <f t="shared" si="33"/>
        <v/>
      </c>
      <c r="H268" s="19">
        <f t="shared" si="27"/>
        <v>0</v>
      </c>
      <c r="I268" s="19">
        <f t="shared" si="30"/>
        <v>0</v>
      </c>
      <c r="J268" s="4"/>
    </row>
    <row r="269" spans="1:10" ht="14.25">
      <c r="A269" s="46" t="str">
        <f t="shared" si="31"/>
        <v/>
      </c>
      <c r="B269" s="47" t="str">
        <f t="shared" si="32"/>
        <v/>
      </c>
      <c r="C269" s="48" t="str">
        <f t="shared" si="34"/>
        <v/>
      </c>
      <c r="D269" s="48" t="str">
        <f>IF(ISERROR(PMT(Maandelijkse_rente_percentage,(Loan_Years*12)-Pay_Num+1,Beg_Bal)),"",IF(Values_Entered,-PMT(Maandelijkse_rente_percentage,(Loan_Years*12)-Pay_Num+1,Beg_Bal),""))</f>
        <v/>
      </c>
      <c r="E269" s="48" t="str">
        <f t="shared" si="28"/>
        <v/>
      </c>
      <c r="F269" s="48" t="e">
        <f t="shared" si="29"/>
        <v>#VALUE!</v>
      </c>
      <c r="G269" s="48" t="str">
        <f t="shared" si="33"/>
        <v/>
      </c>
      <c r="H269" s="19">
        <f t="shared" si="27"/>
        <v>0</v>
      </c>
      <c r="I269" s="19">
        <f t="shared" si="30"/>
        <v>0</v>
      </c>
      <c r="J269" s="4"/>
    </row>
    <row r="270" spans="1:10" ht="14.25">
      <c r="A270" s="46" t="str">
        <f t="shared" si="31"/>
        <v/>
      </c>
      <c r="B270" s="47" t="str">
        <f t="shared" si="32"/>
        <v/>
      </c>
      <c r="C270" s="48" t="str">
        <f t="shared" si="34"/>
        <v/>
      </c>
      <c r="D270" s="48" t="str">
        <f>IF(ISERROR(PMT(Maandelijkse_rente_percentage,(Loan_Years*12)-Pay_Num+1,Beg_Bal)),"",IF(Values_Entered,-PMT(Maandelijkse_rente_percentage,(Loan_Years*12)-Pay_Num+1,Beg_Bal),""))</f>
        <v/>
      </c>
      <c r="E270" s="48" t="str">
        <f t="shared" si="28"/>
        <v/>
      </c>
      <c r="F270" s="48" t="e">
        <f t="shared" si="29"/>
        <v>#VALUE!</v>
      </c>
      <c r="G270" s="48" t="str">
        <f t="shared" si="33"/>
        <v/>
      </c>
      <c r="H270" s="19">
        <f t="shared" si="27"/>
        <v>0</v>
      </c>
      <c r="I270" s="19">
        <f t="shared" si="30"/>
        <v>0</v>
      </c>
      <c r="J270" s="4"/>
    </row>
    <row r="271" spans="1:10" ht="14.25">
      <c r="A271" s="46" t="str">
        <f t="shared" si="31"/>
        <v/>
      </c>
      <c r="B271" s="47" t="str">
        <f t="shared" si="32"/>
        <v/>
      </c>
      <c r="C271" s="48" t="str">
        <f t="shared" si="34"/>
        <v/>
      </c>
      <c r="D271" s="48" t="str">
        <f>IF(ISERROR(PMT(Maandelijkse_rente_percentage,(Loan_Years*12)-Pay_Num+1,Beg_Bal)),"",IF(Values_Entered,-PMT(Maandelijkse_rente_percentage,(Loan_Years*12)-Pay_Num+1,Beg_Bal),""))</f>
        <v/>
      </c>
      <c r="E271" s="48" t="str">
        <f t="shared" si="28"/>
        <v/>
      </c>
      <c r="F271" s="48" t="e">
        <f t="shared" si="29"/>
        <v>#VALUE!</v>
      </c>
      <c r="G271" s="48" t="str">
        <f t="shared" si="33"/>
        <v/>
      </c>
      <c r="H271" s="19">
        <f>N9</f>
        <v>0</v>
      </c>
      <c r="I271" s="19">
        <f t="shared" si="30"/>
        <v>0</v>
      </c>
      <c r="J271" s="4"/>
    </row>
    <row r="272" spans="1:10" ht="14.25">
      <c r="A272" s="46" t="str">
        <f t="shared" si="31"/>
        <v/>
      </c>
      <c r="B272" s="47" t="str">
        <f t="shared" si="32"/>
        <v/>
      </c>
      <c r="C272" s="48" t="str">
        <f t="shared" si="34"/>
        <v/>
      </c>
      <c r="D272" s="48" t="str">
        <f>IF(ISERROR(PMT(Maandelijkse_rente_percentage,(Loan_Years*12)-Pay_Num+1,Beg_Bal)),"",IF(Values_Entered,-PMT(Maandelijkse_rente_percentage,(Loan_Years*12)-Pay_Num+1,Beg_Bal),""))</f>
        <v/>
      </c>
      <c r="E272" s="48" t="str">
        <f t="shared" si="28"/>
        <v/>
      </c>
      <c r="F272" s="48" t="e">
        <f t="shared" si="29"/>
        <v>#VALUE!</v>
      </c>
      <c r="G272" s="48" t="str">
        <f t="shared" si="33"/>
        <v/>
      </c>
      <c r="H272" s="19">
        <f t="shared" ref="H272:H334" si="35">H271</f>
        <v>0</v>
      </c>
      <c r="I272" s="19">
        <f t="shared" si="30"/>
        <v>0</v>
      </c>
      <c r="J272" s="4"/>
    </row>
    <row r="273" spans="1:10" ht="14.25">
      <c r="A273" s="46" t="str">
        <f t="shared" si="31"/>
        <v/>
      </c>
      <c r="B273" s="47" t="str">
        <f t="shared" si="32"/>
        <v/>
      </c>
      <c r="C273" s="48" t="str">
        <f t="shared" si="34"/>
        <v/>
      </c>
      <c r="D273" s="48" t="str">
        <f>IF(ISERROR(PMT(Maandelijkse_rente_percentage,(Loan_Years*12)-Pay_Num+1,Beg_Bal)),"",IF(Values_Entered,-PMT(Maandelijkse_rente_percentage,(Loan_Years*12)-Pay_Num+1,Beg_Bal),""))</f>
        <v/>
      </c>
      <c r="E273" s="48" t="str">
        <f t="shared" si="28"/>
        <v/>
      </c>
      <c r="F273" s="48" t="e">
        <f t="shared" si="29"/>
        <v>#VALUE!</v>
      </c>
      <c r="G273" s="48" t="str">
        <f t="shared" si="33"/>
        <v/>
      </c>
      <c r="H273" s="19">
        <f t="shared" si="35"/>
        <v>0</v>
      </c>
      <c r="I273" s="19">
        <f t="shared" si="30"/>
        <v>0</v>
      </c>
      <c r="J273" s="4"/>
    </row>
    <row r="274" spans="1:10" ht="14.25">
      <c r="A274" s="46" t="str">
        <f t="shared" si="31"/>
        <v/>
      </c>
      <c r="B274" s="47" t="str">
        <f t="shared" si="32"/>
        <v/>
      </c>
      <c r="C274" s="48" t="str">
        <f t="shared" si="34"/>
        <v/>
      </c>
      <c r="D274" s="48" t="str">
        <f>IF(ISERROR(PMT(Maandelijkse_rente_percentage,(Loan_Years*12)-Pay_Num+1,Beg_Bal)),"",IF(Values_Entered,-PMT(Maandelijkse_rente_percentage,(Loan_Years*12)-Pay_Num+1,Beg_Bal),""))</f>
        <v/>
      </c>
      <c r="E274" s="48" t="str">
        <f t="shared" si="28"/>
        <v/>
      </c>
      <c r="F274" s="48" t="e">
        <f t="shared" si="29"/>
        <v>#VALUE!</v>
      </c>
      <c r="G274" s="48" t="str">
        <f t="shared" si="33"/>
        <v/>
      </c>
      <c r="H274" s="19">
        <f t="shared" si="35"/>
        <v>0</v>
      </c>
      <c r="I274" s="19">
        <f t="shared" si="30"/>
        <v>0</v>
      </c>
      <c r="J274" s="4"/>
    </row>
    <row r="275" spans="1:10" ht="14.25">
      <c r="A275" s="46" t="str">
        <f t="shared" si="31"/>
        <v/>
      </c>
      <c r="B275" s="47" t="str">
        <f t="shared" si="32"/>
        <v/>
      </c>
      <c r="C275" s="48" t="str">
        <f t="shared" si="34"/>
        <v/>
      </c>
      <c r="D275" s="48" t="str">
        <f>IF(ISERROR(PMT(Maandelijkse_rente_percentage,(Loan_Years*12)-Pay_Num+1,Beg_Bal)),"",IF(Values_Entered,-PMT(Maandelijkse_rente_percentage,(Loan_Years*12)-Pay_Num+1,Beg_Bal),""))</f>
        <v/>
      </c>
      <c r="E275" s="48" t="str">
        <f t="shared" ref="E275:E338" si="36">IF(Pay_Num&lt;&gt;"",Maandelijkse_aflossing-Int,"")</f>
        <v/>
      </c>
      <c r="F275" s="48" t="e">
        <f t="shared" ref="F275:F338" si="37">Beg_Bal*Maandelijkse_rente_percentage</f>
        <v>#VALUE!</v>
      </c>
      <c r="G275" s="48" t="str">
        <f t="shared" si="33"/>
        <v/>
      </c>
      <c r="H275" s="19">
        <f t="shared" si="35"/>
        <v>0</v>
      </c>
      <c r="I275" s="19">
        <f t="shared" ref="I275:I338" si="38">((1+Jaarlijk_rente_percentage)^(1/12))-1</f>
        <v>0</v>
      </c>
      <c r="J275" s="4"/>
    </row>
    <row r="276" spans="1:10" ht="14.25">
      <c r="A276" s="46" t="str">
        <f t="shared" ref="A276:A339" si="39">IF(Values_Entered,A275+1,"")</f>
        <v/>
      </c>
      <c r="B276" s="47" t="str">
        <f t="shared" ref="B276:B339" si="40">IF(Pay_Num&lt;&gt;"",DATE(YEAR(B275),MONTH(B275)+1,DAY(B275)),"")</f>
        <v/>
      </c>
      <c r="C276" s="48" t="str">
        <f t="shared" si="34"/>
        <v/>
      </c>
      <c r="D276" s="48" t="str">
        <f>IF(ISERROR(PMT(Maandelijkse_rente_percentage,(Loan_Years*12)-Pay_Num+1,Beg_Bal)),"",IF(Values_Entered,-PMT(Maandelijkse_rente_percentage,(Loan_Years*12)-Pay_Num+1,Beg_Bal),""))</f>
        <v/>
      </c>
      <c r="E276" s="48" t="str">
        <f t="shared" si="36"/>
        <v/>
      </c>
      <c r="F276" s="48" t="e">
        <f t="shared" si="37"/>
        <v>#VALUE!</v>
      </c>
      <c r="G276" s="48" t="str">
        <f t="shared" ref="G276:G339" si="41">IF(Pay_Num&lt;&gt;"",Beg_Bal-Princ,"")</f>
        <v/>
      </c>
      <c r="H276" s="19">
        <f t="shared" si="35"/>
        <v>0</v>
      </c>
      <c r="I276" s="19">
        <f t="shared" si="38"/>
        <v>0</v>
      </c>
      <c r="J276" s="4"/>
    </row>
    <row r="277" spans="1:10" ht="14.25">
      <c r="A277" s="46" t="str">
        <f t="shared" si="39"/>
        <v/>
      </c>
      <c r="B277" s="47" t="str">
        <f t="shared" si="40"/>
        <v/>
      </c>
      <c r="C277" s="48" t="str">
        <f t="shared" ref="C277:C340" si="42">IF(Pay_Num&lt;&gt;"",G276,"")</f>
        <v/>
      </c>
      <c r="D277" s="48" t="str">
        <f>IF(ISERROR(PMT(Maandelijkse_rente_percentage,(Loan_Years*12)-Pay_Num+1,Beg_Bal)),"",IF(Values_Entered,-PMT(Maandelijkse_rente_percentage,(Loan_Years*12)-Pay_Num+1,Beg_Bal),""))</f>
        <v/>
      </c>
      <c r="E277" s="48" t="str">
        <f t="shared" si="36"/>
        <v/>
      </c>
      <c r="F277" s="48" t="e">
        <f t="shared" si="37"/>
        <v>#VALUE!</v>
      </c>
      <c r="G277" s="48" t="str">
        <f t="shared" si="41"/>
        <v/>
      </c>
      <c r="H277" s="19">
        <f t="shared" si="35"/>
        <v>0</v>
      </c>
      <c r="I277" s="19">
        <f t="shared" si="38"/>
        <v>0</v>
      </c>
      <c r="J277" s="4"/>
    </row>
    <row r="278" spans="1:10" ht="14.25">
      <c r="A278" s="46" t="str">
        <f t="shared" si="39"/>
        <v/>
      </c>
      <c r="B278" s="47" t="str">
        <f t="shared" si="40"/>
        <v/>
      </c>
      <c r="C278" s="48" t="str">
        <f t="shared" si="42"/>
        <v/>
      </c>
      <c r="D278" s="48" t="str">
        <f>IF(ISERROR(PMT(Maandelijkse_rente_percentage,(Loan_Years*12)-Pay_Num+1,Beg_Bal)),"",IF(Values_Entered,-PMT(Maandelijkse_rente_percentage,(Loan_Years*12)-Pay_Num+1,Beg_Bal),""))</f>
        <v/>
      </c>
      <c r="E278" s="48" t="str">
        <f t="shared" si="36"/>
        <v/>
      </c>
      <c r="F278" s="48" t="e">
        <f t="shared" si="37"/>
        <v>#VALUE!</v>
      </c>
      <c r="G278" s="48" t="str">
        <f t="shared" si="41"/>
        <v/>
      </c>
      <c r="H278" s="19">
        <f t="shared" si="35"/>
        <v>0</v>
      </c>
      <c r="I278" s="19">
        <f t="shared" si="38"/>
        <v>0</v>
      </c>
      <c r="J278" s="4"/>
    </row>
    <row r="279" spans="1:10" ht="14.25">
      <c r="A279" s="46" t="str">
        <f t="shared" si="39"/>
        <v/>
      </c>
      <c r="B279" s="47" t="str">
        <f t="shared" si="40"/>
        <v/>
      </c>
      <c r="C279" s="48" t="str">
        <f t="shared" si="42"/>
        <v/>
      </c>
      <c r="D279" s="48" t="str">
        <f>IF(ISERROR(PMT(Maandelijkse_rente_percentage,(Loan_Years*12)-Pay_Num+1,Beg_Bal)),"",IF(Values_Entered,-PMT(Maandelijkse_rente_percentage,(Loan_Years*12)-Pay_Num+1,Beg_Bal),""))</f>
        <v/>
      </c>
      <c r="E279" s="48" t="str">
        <f t="shared" si="36"/>
        <v/>
      </c>
      <c r="F279" s="48" t="e">
        <f t="shared" si="37"/>
        <v>#VALUE!</v>
      </c>
      <c r="G279" s="48" t="str">
        <f t="shared" si="41"/>
        <v/>
      </c>
      <c r="H279" s="19">
        <f t="shared" si="35"/>
        <v>0</v>
      </c>
      <c r="I279" s="19">
        <f t="shared" si="38"/>
        <v>0</v>
      </c>
      <c r="J279" s="4"/>
    </row>
    <row r="280" spans="1:10" ht="14.25">
      <c r="A280" s="46" t="str">
        <f t="shared" si="39"/>
        <v/>
      </c>
      <c r="B280" s="47" t="str">
        <f t="shared" si="40"/>
        <v/>
      </c>
      <c r="C280" s="48" t="str">
        <f t="shared" si="42"/>
        <v/>
      </c>
      <c r="D280" s="48" t="str">
        <f>IF(ISERROR(PMT(Maandelijkse_rente_percentage,(Loan_Years*12)-Pay_Num+1,Beg_Bal)),"",IF(Values_Entered,-PMT(Maandelijkse_rente_percentage,(Loan_Years*12)-Pay_Num+1,Beg_Bal),""))</f>
        <v/>
      </c>
      <c r="E280" s="48" t="str">
        <f t="shared" si="36"/>
        <v/>
      </c>
      <c r="F280" s="48" t="e">
        <f t="shared" si="37"/>
        <v>#VALUE!</v>
      </c>
      <c r="G280" s="48" t="str">
        <f t="shared" si="41"/>
        <v/>
      </c>
      <c r="H280" s="19">
        <f t="shared" si="35"/>
        <v>0</v>
      </c>
      <c r="I280" s="19">
        <f t="shared" si="38"/>
        <v>0</v>
      </c>
      <c r="J280" s="4"/>
    </row>
    <row r="281" spans="1:10" ht="14.25">
      <c r="A281" s="46" t="str">
        <f t="shared" si="39"/>
        <v/>
      </c>
      <c r="B281" s="47" t="str">
        <f t="shared" si="40"/>
        <v/>
      </c>
      <c r="C281" s="48" t="str">
        <f t="shared" si="42"/>
        <v/>
      </c>
      <c r="D281" s="48" t="str">
        <f>IF(ISERROR(PMT(Maandelijkse_rente_percentage,(Loan_Years*12)-Pay_Num+1,Beg_Bal)),"",IF(Values_Entered,-PMT(Maandelijkse_rente_percentage,(Loan_Years*12)-Pay_Num+1,Beg_Bal),""))</f>
        <v/>
      </c>
      <c r="E281" s="48" t="str">
        <f t="shared" si="36"/>
        <v/>
      </c>
      <c r="F281" s="48" t="e">
        <f t="shared" si="37"/>
        <v>#VALUE!</v>
      </c>
      <c r="G281" s="48" t="str">
        <f t="shared" si="41"/>
        <v/>
      </c>
      <c r="H281" s="19">
        <f t="shared" si="35"/>
        <v>0</v>
      </c>
      <c r="I281" s="19">
        <f t="shared" si="38"/>
        <v>0</v>
      </c>
      <c r="J281" s="4"/>
    </row>
    <row r="282" spans="1:10" ht="14.25">
      <c r="A282" s="46" t="str">
        <f t="shared" si="39"/>
        <v/>
      </c>
      <c r="B282" s="47" t="str">
        <f t="shared" si="40"/>
        <v/>
      </c>
      <c r="C282" s="48" t="str">
        <f t="shared" si="42"/>
        <v/>
      </c>
      <c r="D282" s="48" t="str">
        <f>IF(ISERROR(PMT(Maandelijkse_rente_percentage,(Loan_Years*12)-Pay_Num+1,Beg_Bal)),"",IF(Values_Entered,-PMT(Maandelijkse_rente_percentage,(Loan_Years*12)-Pay_Num+1,Beg_Bal),""))</f>
        <v/>
      </c>
      <c r="E282" s="48" t="str">
        <f t="shared" si="36"/>
        <v/>
      </c>
      <c r="F282" s="48" t="e">
        <f t="shared" si="37"/>
        <v>#VALUE!</v>
      </c>
      <c r="G282" s="48" t="str">
        <f t="shared" si="41"/>
        <v/>
      </c>
      <c r="H282" s="19">
        <f t="shared" si="35"/>
        <v>0</v>
      </c>
      <c r="I282" s="19">
        <f t="shared" si="38"/>
        <v>0</v>
      </c>
      <c r="J282" s="4"/>
    </row>
    <row r="283" spans="1:10" ht="14.25">
      <c r="A283" s="46" t="str">
        <f t="shared" si="39"/>
        <v/>
      </c>
      <c r="B283" s="47" t="str">
        <f t="shared" si="40"/>
        <v/>
      </c>
      <c r="C283" s="48" t="str">
        <f t="shared" si="42"/>
        <v/>
      </c>
      <c r="D283" s="48" t="str">
        <f>IF(ISERROR(PMT(Maandelijkse_rente_percentage,(Loan_Years*12)-Pay_Num+1,Beg_Bal)),"",IF(Values_Entered,-PMT(Maandelijkse_rente_percentage,(Loan_Years*12)-Pay_Num+1,Beg_Bal),""))</f>
        <v/>
      </c>
      <c r="E283" s="48" t="str">
        <f t="shared" si="36"/>
        <v/>
      </c>
      <c r="F283" s="48" t="e">
        <f t="shared" si="37"/>
        <v>#VALUE!</v>
      </c>
      <c r="G283" s="48" t="str">
        <f t="shared" si="41"/>
        <v/>
      </c>
      <c r="H283" s="19">
        <f>N10</f>
        <v>0</v>
      </c>
      <c r="I283" s="19">
        <f t="shared" si="38"/>
        <v>0</v>
      </c>
      <c r="J283" s="4"/>
    </row>
    <row r="284" spans="1:10" ht="14.25">
      <c r="A284" s="46" t="str">
        <f t="shared" si="39"/>
        <v/>
      </c>
      <c r="B284" s="47" t="str">
        <f t="shared" si="40"/>
        <v/>
      </c>
      <c r="C284" s="48" t="str">
        <f t="shared" si="42"/>
        <v/>
      </c>
      <c r="D284" s="48" t="str">
        <f>IF(ISERROR(PMT(Maandelijkse_rente_percentage,(Loan_Years*12)-Pay_Num+1,Beg_Bal)),"",IF(Values_Entered,-PMT(Maandelijkse_rente_percentage,(Loan_Years*12)-Pay_Num+1,Beg_Bal),""))</f>
        <v/>
      </c>
      <c r="E284" s="48" t="str">
        <f t="shared" si="36"/>
        <v/>
      </c>
      <c r="F284" s="48" t="e">
        <f t="shared" si="37"/>
        <v>#VALUE!</v>
      </c>
      <c r="G284" s="48" t="str">
        <f t="shared" si="41"/>
        <v/>
      </c>
      <c r="H284" s="19">
        <f t="shared" si="35"/>
        <v>0</v>
      </c>
      <c r="I284" s="19">
        <f t="shared" si="38"/>
        <v>0</v>
      </c>
      <c r="J284" s="4"/>
    </row>
    <row r="285" spans="1:10" ht="14.25">
      <c r="A285" s="46" t="str">
        <f t="shared" si="39"/>
        <v/>
      </c>
      <c r="B285" s="47" t="str">
        <f t="shared" si="40"/>
        <v/>
      </c>
      <c r="C285" s="48" t="str">
        <f t="shared" si="42"/>
        <v/>
      </c>
      <c r="D285" s="48" t="str">
        <f>IF(ISERROR(PMT(Maandelijkse_rente_percentage,(Loan_Years*12)-Pay_Num+1,Beg_Bal)),"",IF(Values_Entered,-PMT(Maandelijkse_rente_percentage,(Loan_Years*12)-Pay_Num+1,Beg_Bal),""))</f>
        <v/>
      </c>
      <c r="E285" s="48" t="str">
        <f t="shared" si="36"/>
        <v/>
      </c>
      <c r="F285" s="48" t="e">
        <f t="shared" si="37"/>
        <v>#VALUE!</v>
      </c>
      <c r="G285" s="48" t="str">
        <f t="shared" si="41"/>
        <v/>
      </c>
      <c r="H285" s="19">
        <f t="shared" si="35"/>
        <v>0</v>
      </c>
      <c r="I285" s="19">
        <f t="shared" si="38"/>
        <v>0</v>
      </c>
      <c r="J285" s="4"/>
    </row>
    <row r="286" spans="1:10" ht="14.25">
      <c r="A286" s="46" t="str">
        <f t="shared" si="39"/>
        <v/>
      </c>
      <c r="B286" s="47" t="str">
        <f t="shared" si="40"/>
        <v/>
      </c>
      <c r="C286" s="48" t="str">
        <f t="shared" si="42"/>
        <v/>
      </c>
      <c r="D286" s="48" t="str">
        <f>IF(ISERROR(PMT(Maandelijkse_rente_percentage,(Loan_Years*12)-Pay_Num+1,Beg_Bal)),"",IF(Values_Entered,-PMT(Maandelijkse_rente_percentage,(Loan_Years*12)-Pay_Num+1,Beg_Bal),""))</f>
        <v/>
      </c>
      <c r="E286" s="48" t="str">
        <f t="shared" si="36"/>
        <v/>
      </c>
      <c r="F286" s="48" t="e">
        <f t="shared" si="37"/>
        <v>#VALUE!</v>
      </c>
      <c r="G286" s="48" t="str">
        <f t="shared" si="41"/>
        <v/>
      </c>
      <c r="H286" s="19">
        <f t="shared" si="35"/>
        <v>0</v>
      </c>
      <c r="I286" s="19">
        <f t="shared" si="38"/>
        <v>0</v>
      </c>
      <c r="J286" s="4"/>
    </row>
    <row r="287" spans="1:10" ht="14.25">
      <c r="A287" s="46" t="str">
        <f t="shared" si="39"/>
        <v/>
      </c>
      <c r="B287" s="47" t="str">
        <f t="shared" si="40"/>
        <v/>
      </c>
      <c r="C287" s="48" t="str">
        <f t="shared" si="42"/>
        <v/>
      </c>
      <c r="D287" s="48" t="str">
        <f>IF(ISERROR(PMT(Maandelijkse_rente_percentage,(Loan_Years*12)-Pay_Num+1,Beg_Bal)),"",IF(Values_Entered,-PMT(Maandelijkse_rente_percentage,(Loan_Years*12)-Pay_Num+1,Beg_Bal),""))</f>
        <v/>
      </c>
      <c r="E287" s="48" t="str">
        <f t="shared" si="36"/>
        <v/>
      </c>
      <c r="F287" s="48" t="e">
        <f t="shared" si="37"/>
        <v>#VALUE!</v>
      </c>
      <c r="G287" s="48" t="str">
        <f t="shared" si="41"/>
        <v/>
      </c>
      <c r="H287" s="19">
        <f t="shared" si="35"/>
        <v>0</v>
      </c>
      <c r="I287" s="19">
        <f t="shared" si="38"/>
        <v>0</v>
      </c>
      <c r="J287" s="4"/>
    </row>
    <row r="288" spans="1:10" ht="14.25">
      <c r="A288" s="46" t="str">
        <f t="shared" si="39"/>
        <v/>
      </c>
      <c r="B288" s="47" t="str">
        <f t="shared" si="40"/>
        <v/>
      </c>
      <c r="C288" s="48" t="str">
        <f t="shared" si="42"/>
        <v/>
      </c>
      <c r="D288" s="48" t="str">
        <f>IF(ISERROR(PMT(Maandelijkse_rente_percentage,(Loan_Years*12)-Pay_Num+1,Beg_Bal)),"",IF(Values_Entered,-PMT(Maandelijkse_rente_percentage,(Loan_Years*12)-Pay_Num+1,Beg_Bal),""))</f>
        <v/>
      </c>
      <c r="E288" s="48" t="str">
        <f t="shared" si="36"/>
        <v/>
      </c>
      <c r="F288" s="48" t="e">
        <f t="shared" si="37"/>
        <v>#VALUE!</v>
      </c>
      <c r="G288" s="48" t="str">
        <f t="shared" si="41"/>
        <v/>
      </c>
      <c r="H288" s="19">
        <f t="shared" si="35"/>
        <v>0</v>
      </c>
      <c r="I288" s="19">
        <f t="shared" si="38"/>
        <v>0</v>
      </c>
      <c r="J288" s="4"/>
    </row>
    <row r="289" spans="1:10" ht="14.25">
      <c r="A289" s="46" t="str">
        <f t="shared" si="39"/>
        <v/>
      </c>
      <c r="B289" s="47" t="str">
        <f t="shared" si="40"/>
        <v/>
      </c>
      <c r="C289" s="48" t="str">
        <f t="shared" si="42"/>
        <v/>
      </c>
      <c r="D289" s="48" t="str">
        <f>IF(ISERROR(PMT(Maandelijkse_rente_percentage,(Loan_Years*12)-Pay_Num+1,Beg_Bal)),"",IF(Values_Entered,-PMT(Maandelijkse_rente_percentage,(Loan_Years*12)-Pay_Num+1,Beg_Bal),""))</f>
        <v/>
      </c>
      <c r="E289" s="48" t="str">
        <f t="shared" si="36"/>
        <v/>
      </c>
      <c r="F289" s="48" t="e">
        <f t="shared" si="37"/>
        <v>#VALUE!</v>
      </c>
      <c r="G289" s="48" t="str">
        <f t="shared" si="41"/>
        <v/>
      </c>
      <c r="H289" s="19">
        <f t="shared" si="35"/>
        <v>0</v>
      </c>
      <c r="I289" s="19">
        <f t="shared" si="38"/>
        <v>0</v>
      </c>
      <c r="J289" s="4"/>
    </row>
    <row r="290" spans="1:10" ht="14.25">
      <c r="A290" s="46" t="str">
        <f t="shared" si="39"/>
        <v/>
      </c>
      <c r="B290" s="47" t="str">
        <f t="shared" si="40"/>
        <v/>
      </c>
      <c r="C290" s="48" t="str">
        <f t="shared" si="42"/>
        <v/>
      </c>
      <c r="D290" s="48" t="str">
        <f>IF(ISERROR(PMT(Maandelijkse_rente_percentage,(Loan_Years*12)-Pay_Num+1,Beg_Bal)),"",IF(Values_Entered,-PMT(Maandelijkse_rente_percentage,(Loan_Years*12)-Pay_Num+1,Beg_Bal),""))</f>
        <v/>
      </c>
      <c r="E290" s="48" t="str">
        <f t="shared" si="36"/>
        <v/>
      </c>
      <c r="F290" s="48" t="e">
        <f t="shared" si="37"/>
        <v>#VALUE!</v>
      </c>
      <c r="G290" s="48" t="str">
        <f t="shared" si="41"/>
        <v/>
      </c>
      <c r="H290" s="19">
        <f t="shared" si="35"/>
        <v>0</v>
      </c>
      <c r="I290" s="19">
        <f t="shared" si="38"/>
        <v>0</v>
      </c>
      <c r="J290" s="4"/>
    </row>
    <row r="291" spans="1:10" ht="14.25">
      <c r="A291" s="46" t="str">
        <f t="shared" si="39"/>
        <v/>
      </c>
      <c r="B291" s="47" t="str">
        <f t="shared" si="40"/>
        <v/>
      </c>
      <c r="C291" s="48" t="str">
        <f t="shared" si="42"/>
        <v/>
      </c>
      <c r="D291" s="48" t="str">
        <f>IF(ISERROR(PMT(Maandelijkse_rente_percentage,(Loan_Years*12)-Pay_Num+1,Beg_Bal)),"",IF(Values_Entered,-PMT(Maandelijkse_rente_percentage,(Loan_Years*12)-Pay_Num+1,Beg_Bal),""))</f>
        <v/>
      </c>
      <c r="E291" s="48" t="str">
        <f t="shared" si="36"/>
        <v/>
      </c>
      <c r="F291" s="48" t="e">
        <f t="shared" si="37"/>
        <v>#VALUE!</v>
      </c>
      <c r="G291" s="48" t="str">
        <f t="shared" si="41"/>
        <v/>
      </c>
      <c r="H291" s="19">
        <f t="shared" si="35"/>
        <v>0</v>
      </c>
      <c r="I291" s="19">
        <f t="shared" si="38"/>
        <v>0</v>
      </c>
      <c r="J291" s="4"/>
    </row>
    <row r="292" spans="1:10" ht="14.25">
      <c r="A292" s="46" t="str">
        <f t="shared" si="39"/>
        <v/>
      </c>
      <c r="B292" s="47" t="str">
        <f t="shared" si="40"/>
        <v/>
      </c>
      <c r="C292" s="48" t="str">
        <f t="shared" si="42"/>
        <v/>
      </c>
      <c r="D292" s="48" t="str">
        <f>IF(ISERROR(PMT(Maandelijkse_rente_percentage,(Loan_Years*12)-Pay_Num+1,Beg_Bal)),"",IF(Values_Entered,-PMT(Maandelijkse_rente_percentage,(Loan_Years*12)-Pay_Num+1,Beg_Bal),""))</f>
        <v/>
      </c>
      <c r="E292" s="48" t="str">
        <f t="shared" si="36"/>
        <v/>
      </c>
      <c r="F292" s="48" t="e">
        <f t="shared" si="37"/>
        <v>#VALUE!</v>
      </c>
      <c r="G292" s="48" t="str">
        <f t="shared" si="41"/>
        <v/>
      </c>
      <c r="H292" s="19">
        <f t="shared" si="35"/>
        <v>0</v>
      </c>
      <c r="I292" s="19">
        <f t="shared" si="38"/>
        <v>0</v>
      </c>
      <c r="J292" s="4"/>
    </row>
    <row r="293" spans="1:10" ht="14.25">
      <c r="A293" s="46" t="str">
        <f t="shared" si="39"/>
        <v/>
      </c>
      <c r="B293" s="47" t="str">
        <f t="shared" si="40"/>
        <v/>
      </c>
      <c r="C293" s="48" t="str">
        <f t="shared" si="42"/>
        <v/>
      </c>
      <c r="D293" s="48" t="str">
        <f>IF(ISERROR(PMT(Maandelijkse_rente_percentage,(Loan_Years*12)-Pay_Num+1,Beg_Bal)),"",IF(Values_Entered,-PMT(Maandelijkse_rente_percentage,(Loan_Years*12)-Pay_Num+1,Beg_Bal),""))</f>
        <v/>
      </c>
      <c r="E293" s="48" t="str">
        <f t="shared" si="36"/>
        <v/>
      </c>
      <c r="F293" s="48" t="e">
        <f t="shared" si="37"/>
        <v>#VALUE!</v>
      </c>
      <c r="G293" s="48" t="str">
        <f t="shared" si="41"/>
        <v/>
      </c>
      <c r="H293" s="19">
        <f t="shared" si="35"/>
        <v>0</v>
      </c>
      <c r="I293" s="19">
        <f t="shared" si="38"/>
        <v>0</v>
      </c>
      <c r="J293" s="4"/>
    </row>
    <row r="294" spans="1:10" ht="14.25">
      <c r="A294" s="46" t="str">
        <f t="shared" si="39"/>
        <v/>
      </c>
      <c r="B294" s="47" t="str">
        <f t="shared" si="40"/>
        <v/>
      </c>
      <c r="C294" s="48" t="str">
        <f t="shared" si="42"/>
        <v/>
      </c>
      <c r="D294" s="48" t="str">
        <f>IF(ISERROR(PMT(Maandelijkse_rente_percentage,(Loan_Years*12)-Pay_Num+1,Beg_Bal)),"",IF(Values_Entered,-PMT(Maandelijkse_rente_percentage,(Loan_Years*12)-Pay_Num+1,Beg_Bal),""))</f>
        <v/>
      </c>
      <c r="E294" s="48" t="str">
        <f t="shared" si="36"/>
        <v/>
      </c>
      <c r="F294" s="48" t="e">
        <f t="shared" si="37"/>
        <v>#VALUE!</v>
      </c>
      <c r="G294" s="48" t="str">
        <f t="shared" si="41"/>
        <v/>
      </c>
      <c r="H294" s="19">
        <f t="shared" si="35"/>
        <v>0</v>
      </c>
      <c r="I294" s="19">
        <f t="shared" si="38"/>
        <v>0</v>
      </c>
      <c r="J294" s="4"/>
    </row>
    <row r="295" spans="1:10" ht="14.25">
      <c r="A295" s="46" t="str">
        <f t="shared" si="39"/>
        <v/>
      </c>
      <c r="B295" s="47" t="str">
        <f t="shared" si="40"/>
        <v/>
      </c>
      <c r="C295" s="48" t="str">
        <f t="shared" si="42"/>
        <v/>
      </c>
      <c r="D295" s="48" t="str">
        <f>IF(ISERROR(PMT(Maandelijkse_rente_percentage,(Loan_Years*12)-Pay_Num+1,Beg_Bal)),"",IF(Values_Entered,-PMT(Maandelijkse_rente_percentage,(Loan_Years*12)-Pay_Num+1,Beg_Bal),""))</f>
        <v/>
      </c>
      <c r="E295" s="48" t="str">
        <f t="shared" si="36"/>
        <v/>
      </c>
      <c r="F295" s="48" t="e">
        <f t="shared" si="37"/>
        <v>#VALUE!</v>
      </c>
      <c r="G295" s="48" t="str">
        <f t="shared" si="41"/>
        <v/>
      </c>
      <c r="H295" s="19">
        <f>N11</f>
        <v>0</v>
      </c>
      <c r="I295" s="19">
        <f t="shared" si="38"/>
        <v>0</v>
      </c>
      <c r="J295" s="4"/>
    </row>
    <row r="296" spans="1:10" ht="14.25">
      <c r="A296" s="46" t="str">
        <f t="shared" si="39"/>
        <v/>
      </c>
      <c r="B296" s="47" t="str">
        <f t="shared" si="40"/>
        <v/>
      </c>
      <c r="C296" s="48" t="str">
        <f t="shared" si="42"/>
        <v/>
      </c>
      <c r="D296" s="48" t="str">
        <f>IF(ISERROR(PMT(Maandelijkse_rente_percentage,(Loan_Years*12)-Pay_Num+1,Beg_Bal)),"",IF(Values_Entered,-PMT(Maandelijkse_rente_percentage,(Loan_Years*12)-Pay_Num+1,Beg_Bal),""))</f>
        <v/>
      </c>
      <c r="E296" s="48" t="str">
        <f t="shared" si="36"/>
        <v/>
      </c>
      <c r="F296" s="48" t="e">
        <f t="shared" si="37"/>
        <v>#VALUE!</v>
      </c>
      <c r="G296" s="48" t="str">
        <f t="shared" si="41"/>
        <v/>
      </c>
      <c r="H296" s="19">
        <f t="shared" si="35"/>
        <v>0</v>
      </c>
      <c r="I296" s="19">
        <f t="shared" si="38"/>
        <v>0</v>
      </c>
      <c r="J296" s="4"/>
    </row>
    <row r="297" spans="1:10" ht="14.25">
      <c r="A297" s="46" t="str">
        <f t="shared" si="39"/>
        <v/>
      </c>
      <c r="B297" s="47" t="str">
        <f t="shared" si="40"/>
        <v/>
      </c>
      <c r="C297" s="48" t="str">
        <f t="shared" si="42"/>
        <v/>
      </c>
      <c r="D297" s="48" t="str">
        <f>IF(ISERROR(PMT(Maandelijkse_rente_percentage,(Loan_Years*12)-Pay_Num+1,Beg_Bal)),"",IF(Values_Entered,-PMT(Maandelijkse_rente_percentage,(Loan_Years*12)-Pay_Num+1,Beg_Bal),""))</f>
        <v/>
      </c>
      <c r="E297" s="48" t="str">
        <f t="shared" si="36"/>
        <v/>
      </c>
      <c r="F297" s="48" t="e">
        <f t="shared" si="37"/>
        <v>#VALUE!</v>
      </c>
      <c r="G297" s="48" t="str">
        <f t="shared" si="41"/>
        <v/>
      </c>
      <c r="H297" s="19">
        <f t="shared" si="35"/>
        <v>0</v>
      </c>
      <c r="I297" s="19">
        <f t="shared" si="38"/>
        <v>0</v>
      </c>
      <c r="J297" s="4"/>
    </row>
    <row r="298" spans="1:10" ht="14.25">
      <c r="A298" s="46" t="str">
        <f t="shared" si="39"/>
        <v/>
      </c>
      <c r="B298" s="47" t="str">
        <f t="shared" si="40"/>
        <v/>
      </c>
      <c r="C298" s="48" t="str">
        <f t="shared" si="42"/>
        <v/>
      </c>
      <c r="D298" s="48" t="str">
        <f>IF(ISERROR(PMT(Maandelijkse_rente_percentage,(Loan_Years*12)-Pay_Num+1,Beg_Bal)),"",IF(Values_Entered,-PMT(Maandelijkse_rente_percentage,(Loan_Years*12)-Pay_Num+1,Beg_Bal),""))</f>
        <v/>
      </c>
      <c r="E298" s="48" t="str">
        <f t="shared" si="36"/>
        <v/>
      </c>
      <c r="F298" s="48" t="e">
        <f t="shared" si="37"/>
        <v>#VALUE!</v>
      </c>
      <c r="G298" s="48" t="str">
        <f t="shared" si="41"/>
        <v/>
      </c>
      <c r="H298" s="19">
        <f t="shared" si="35"/>
        <v>0</v>
      </c>
      <c r="I298" s="19">
        <f t="shared" si="38"/>
        <v>0</v>
      </c>
      <c r="J298" s="4"/>
    </row>
    <row r="299" spans="1:10" ht="14.25">
      <c r="A299" s="46" t="str">
        <f t="shared" si="39"/>
        <v/>
      </c>
      <c r="B299" s="47" t="str">
        <f t="shared" si="40"/>
        <v/>
      </c>
      <c r="C299" s="48" t="str">
        <f t="shared" si="42"/>
        <v/>
      </c>
      <c r="D299" s="48" t="str">
        <f>IF(ISERROR(PMT(Maandelijkse_rente_percentage,(Loan_Years*12)-Pay_Num+1,Beg_Bal)),"",IF(Values_Entered,-PMT(Maandelijkse_rente_percentage,(Loan_Years*12)-Pay_Num+1,Beg_Bal),""))</f>
        <v/>
      </c>
      <c r="E299" s="48" t="str">
        <f t="shared" si="36"/>
        <v/>
      </c>
      <c r="F299" s="48" t="e">
        <f t="shared" si="37"/>
        <v>#VALUE!</v>
      </c>
      <c r="G299" s="48" t="str">
        <f t="shared" si="41"/>
        <v/>
      </c>
      <c r="H299" s="19">
        <f t="shared" si="35"/>
        <v>0</v>
      </c>
      <c r="I299" s="19">
        <f t="shared" si="38"/>
        <v>0</v>
      </c>
      <c r="J299" s="4"/>
    </row>
    <row r="300" spans="1:10" ht="14.25">
      <c r="A300" s="46" t="str">
        <f t="shared" si="39"/>
        <v/>
      </c>
      <c r="B300" s="47" t="str">
        <f t="shared" si="40"/>
        <v/>
      </c>
      <c r="C300" s="48" t="str">
        <f t="shared" si="42"/>
        <v/>
      </c>
      <c r="D300" s="48" t="str">
        <f>IF(ISERROR(PMT(Maandelijkse_rente_percentage,(Loan_Years*12)-Pay_Num+1,Beg_Bal)),"",IF(Values_Entered,-PMT(Maandelijkse_rente_percentage,(Loan_Years*12)-Pay_Num+1,Beg_Bal),""))</f>
        <v/>
      </c>
      <c r="E300" s="48" t="str">
        <f t="shared" si="36"/>
        <v/>
      </c>
      <c r="F300" s="48" t="e">
        <f t="shared" si="37"/>
        <v>#VALUE!</v>
      </c>
      <c r="G300" s="48" t="str">
        <f t="shared" si="41"/>
        <v/>
      </c>
      <c r="H300" s="19">
        <f t="shared" si="35"/>
        <v>0</v>
      </c>
      <c r="I300" s="19">
        <f t="shared" si="38"/>
        <v>0</v>
      </c>
      <c r="J300" s="4"/>
    </row>
    <row r="301" spans="1:10" ht="14.25">
      <c r="A301" s="46" t="str">
        <f t="shared" si="39"/>
        <v/>
      </c>
      <c r="B301" s="47" t="str">
        <f t="shared" si="40"/>
        <v/>
      </c>
      <c r="C301" s="48" t="str">
        <f t="shared" si="42"/>
        <v/>
      </c>
      <c r="D301" s="48" t="str">
        <f>IF(ISERROR(PMT(Maandelijkse_rente_percentage,(Loan_Years*12)-Pay_Num+1,Beg_Bal)),"",IF(Values_Entered,-PMT(Maandelijkse_rente_percentage,(Loan_Years*12)-Pay_Num+1,Beg_Bal),""))</f>
        <v/>
      </c>
      <c r="E301" s="48" t="str">
        <f t="shared" si="36"/>
        <v/>
      </c>
      <c r="F301" s="48" t="e">
        <f t="shared" si="37"/>
        <v>#VALUE!</v>
      </c>
      <c r="G301" s="48" t="str">
        <f t="shared" si="41"/>
        <v/>
      </c>
      <c r="H301" s="19">
        <f t="shared" si="35"/>
        <v>0</v>
      </c>
      <c r="I301" s="19">
        <f t="shared" si="38"/>
        <v>0</v>
      </c>
      <c r="J301" s="4"/>
    </row>
    <row r="302" spans="1:10" ht="14.25">
      <c r="A302" s="46" t="str">
        <f t="shared" si="39"/>
        <v/>
      </c>
      <c r="B302" s="47" t="str">
        <f t="shared" si="40"/>
        <v/>
      </c>
      <c r="C302" s="48" t="str">
        <f t="shared" si="42"/>
        <v/>
      </c>
      <c r="D302" s="48" t="str">
        <f>IF(ISERROR(PMT(Maandelijkse_rente_percentage,(Loan_Years*12)-Pay_Num+1,Beg_Bal)),"",IF(Values_Entered,-PMT(Maandelijkse_rente_percentage,(Loan_Years*12)-Pay_Num+1,Beg_Bal),""))</f>
        <v/>
      </c>
      <c r="E302" s="48" t="str">
        <f t="shared" si="36"/>
        <v/>
      </c>
      <c r="F302" s="48" t="e">
        <f t="shared" si="37"/>
        <v>#VALUE!</v>
      </c>
      <c r="G302" s="48" t="str">
        <f t="shared" si="41"/>
        <v/>
      </c>
      <c r="H302" s="19">
        <f t="shared" si="35"/>
        <v>0</v>
      </c>
      <c r="I302" s="19">
        <f t="shared" si="38"/>
        <v>0</v>
      </c>
      <c r="J302" s="4"/>
    </row>
    <row r="303" spans="1:10" ht="14.25">
      <c r="A303" s="46" t="str">
        <f t="shared" si="39"/>
        <v/>
      </c>
      <c r="B303" s="47" t="str">
        <f t="shared" si="40"/>
        <v/>
      </c>
      <c r="C303" s="48" t="str">
        <f t="shared" si="42"/>
        <v/>
      </c>
      <c r="D303" s="48" t="str">
        <f>IF(ISERROR(PMT(Maandelijkse_rente_percentage,(Loan_Years*12)-Pay_Num+1,Beg_Bal)),"",IF(Values_Entered,-PMT(Maandelijkse_rente_percentage,(Loan_Years*12)-Pay_Num+1,Beg_Bal),""))</f>
        <v/>
      </c>
      <c r="E303" s="48" t="str">
        <f t="shared" si="36"/>
        <v/>
      </c>
      <c r="F303" s="48" t="e">
        <f t="shared" si="37"/>
        <v>#VALUE!</v>
      </c>
      <c r="G303" s="48" t="str">
        <f t="shared" si="41"/>
        <v/>
      </c>
      <c r="H303" s="19">
        <f t="shared" si="35"/>
        <v>0</v>
      </c>
      <c r="I303" s="19">
        <f t="shared" si="38"/>
        <v>0</v>
      </c>
      <c r="J303" s="4"/>
    </row>
    <row r="304" spans="1:10" ht="14.25">
      <c r="A304" s="46" t="str">
        <f t="shared" si="39"/>
        <v/>
      </c>
      <c r="B304" s="47" t="str">
        <f t="shared" si="40"/>
        <v/>
      </c>
      <c r="C304" s="48" t="str">
        <f t="shared" si="42"/>
        <v/>
      </c>
      <c r="D304" s="48" t="str">
        <f>IF(ISERROR(PMT(Maandelijkse_rente_percentage,(Loan_Years*12)-Pay_Num+1,Beg_Bal)),"",IF(Values_Entered,-PMT(Maandelijkse_rente_percentage,(Loan_Years*12)-Pay_Num+1,Beg_Bal),""))</f>
        <v/>
      </c>
      <c r="E304" s="48" t="str">
        <f t="shared" si="36"/>
        <v/>
      </c>
      <c r="F304" s="48" t="e">
        <f t="shared" si="37"/>
        <v>#VALUE!</v>
      </c>
      <c r="G304" s="48" t="str">
        <f t="shared" si="41"/>
        <v/>
      </c>
      <c r="H304" s="19">
        <f t="shared" si="35"/>
        <v>0</v>
      </c>
      <c r="I304" s="19">
        <f t="shared" si="38"/>
        <v>0</v>
      </c>
      <c r="J304" s="4"/>
    </row>
    <row r="305" spans="1:10" ht="14.25">
      <c r="A305" s="46" t="str">
        <f t="shared" si="39"/>
        <v/>
      </c>
      <c r="B305" s="47" t="str">
        <f t="shared" si="40"/>
        <v/>
      </c>
      <c r="C305" s="48" t="str">
        <f t="shared" si="42"/>
        <v/>
      </c>
      <c r="D305" s="48" t="str">
        <f>IF(ISERROR(PMT(Maandelijkse_rente_percentage,(Loan_Years*12)-Pay_Num+1,Beg_Bal)),"",IF(Values_Entered,-PMT(Maandelijkse_rente_percentage,(Loan_Years*12)-Pay_Num+1,Beg_Bal),""))</f>
        <v/>
      </c>
      <c r="E305" s="48" t="str">
        <f t="shared" si="36"/>
        <v/>
      </c>
      <c r="F305" s="48" t="e">
        <f t="shared" si="37"/>
        <v>#VALUE!</v>
      </c>
      <c r="G305" s="48" t="str">
        <f t="shared" si="41"/>
        <v/>
      </c>
      <c r="H305" s="19">
        <f t="shared" si="35"/>
        <v>0</v>
      </c>
      <c r="I305" s="19">
        <f t="shared" si="38"/>
        <v>0</v>
      </c>
      <c r="J305" s="4"/>
    </row>
    <row r="306" spans="1:10" ht="14.25">
      <c r="A306" s="46" t="str">
        <f t="shared" si="39"/>
        <v/>
      </c>
      <c r="B306" s="47" t="str">
        <f t="shared" si="40"/>
        <v/>
      </c>
      <c r="C306" s="48" t="str">
        <f t="shared" si="42"/>
        <v/>
      </c>
      <c r="D306" s="48" t="str">
        <f>IF(ISERROR(PMT(Maandelijkse_rente_percentage,(Loan_Years*12)-Pay_Num+1,Beg_Bal)),"",IF(Values_Entered,-PMT(Maandelijkse_rente_percentage,(Loan_Years*12)-Pay_Num+1,Beg_Bal),""))</f>
        <v/>
      </c>
      <c r="E306" s="48" t="str">
        <f t="shared" si="36"/>
        <v/>
      </c>
      <c r="F306" s="48" t="e">
        <f t="shared" si="37"/>
        <v>#VALUE!</v>
      </c>
      <c r="G306" s="48" t="str">
        <f t="shared" si="41"/>
        <v/>
      </c>
      <c r="H306" s="19">
        <f t="shared" si="35"/>
        <v>0</v>
      </c>
      <c r="I306" s="19">
        <f t="shared" si="38"/>
        <v>0</v>
      </c>
      <c r="J306" s="4"/>
    </row>
    <row r="307" spans="1:10" ht="14.25">
      <c r="A307" s="46" t="str">
        <f t="shared" si="39"/>
        <v/>
      </c>
      <c r="B307" s="47" t="str">
        <f t="shared" si="40"/>
        <v/>
      </c>
      <c r="C307" s="48" t="str">
        <f t="shared" si="42"/>
        <v/>
      </c>
      <c r="D307" s="48" t="str">
        <f>IF(ISERROR(PMT(Maandelijkse_rente_percentage,(Loan_Years*12)-Pay_Num+1,Beg_Bal)),"",IF(Values_Entered,-PMT(Maandelijkse_rente_percentage,(Loan_Years*12)-Pay_Num+1,Beg_Bal),""))</f>
        <v/>
      </c>
      <c r="E307" s="48" t="str">
        <f t="shared" si="36"/>
        <v/>
      </c>
      <c r="F307" s="48" t="e">
        <f t="shared" si="37"/>
        <v>#VALUE!</v>
      </c>
      <c r="G307" s="48" t="str">
        <f t="shared" si="41"/>
        <v/>
      </c>
      <c r="H307" s="19">
        <f>N12</f>
        <v>0</v>
      </c>
      <c r="I307" s="19">
        <f t="shared" si="38"/>
        <v>0</v>
      </c>
      <c r="J307" s="4"/>
    </row>
    <row r="308" spans="1:10" ht="14.25">
      <c r="A308" s="46" t="str">
        <f t="shared" si="39"/>
        <v/>
      </c>
      <c r="B308" s="47" t="str">
        <f t="shared" si="40"/>
        <v/>
      </c>
      <c r="C308" s="48" t="str">
        <f t="shared" si="42"/>
        <v/>
      </c>
      <c r="D308" s="48" t="str">
        <f>IF(ISERROR(PMT(Maandelijkse_rente_percentage,(Loan_Years*12)-Pay_Num+1,Beg_Bal)),"",IF(Values_Entered,-PMT(Maandelijkse_rente_percentage,(Loan_Years*12)-Pay_Num+1,Beg_Bal),""))</f>
        <v/>
      </c>
      <c r="E308" s="48" t="str">
        <f t="shared" si="36"/>
        <v/>
      </c>
      <c r="F308" s="48" t="e">
        <f t="shared" si="37"/>
        <v>#VALUE!</v>
      </c>
      <c r="G308" s="48" t="str">
        <f t="shared" si="41"/>
        <v/>
      </c>
      <c r="H308" s="19">
        <f t="shared" si="35"/>
        <v>0</v>
      </c>
      <c r="I308" s="19">
        <f t="shared" si="38"/>
        <v>0</v>
      </c>
      <c r="J308" s="4"/>
    </row>
    <row r="309" spans="1:10" ht="14.25">
      <c r="A309" s="46" t="str">
        <f t="shared" si="39"/>
        <v/>
      </c>
      <c r="B309" s="47" t="str">
        <f t="shared" si="40"/>
        <v/>
      </c>
      <c r="C309" s="48" t="str">
        <f t="shared" si="42"/>
        <v/>
      </c>
      <c r="D309" s="48" t="str">
        <f>IF(ISERROR(PMT(Maandelijkse_rente_percentage,(Loan_Years*12)-Pay_Num+1,Beg_Bal)),"",IF(Values_Entered,-PMT(Maandelijkse_rente_percentage,(Loan_Years*12)-Pay_Num+1,Beg_Bal),""))</f>
        <v/>
      </c>
      <c r="E309" s="48" t="str">
        <f t="shared" si="36"/>
        <v/>
      </c>
      <c r="F309" s="48" t="e">
        <f t="shared" si="37"/>
        <v>#VALUE!</v>
      </c>
      <c r="G309" s="48" t="str">
        <f t="shared" si="41"/>
        <v/>
      </c>
      <c r="H309" s="19">
        <f t="shared" si="35"/>
        <v>0</v>
      </c>
      <c r="I309" s="19">
        <f t="shared" si="38"/>
        <v>0</v>
      </c>
      <c r="J309" s="4"/>
    </row>
    <row r="310" spans="1:10" ht="14.25">
      <c r="A310" s="46" t="str">
        <f t="shared" si="39"/>
        <v/>
      </c>
      <c r="B310" s="47" t="str">
        <f t="shared" si="40"/>
        <v/>
      </c>
      <c r="C310" s="48" t="str">
        <f t="shared" si="42"/>
        <v/>
      </c>
      <c r="D310" s="48" t="str">
        <f>IF(ISERROR(PMT(Maandelijkse_rente_percentage,(Loan_Years*12)-Pay_Num+1,Beg_Bal)),"",IF(Values_Entered,-PMT(Maandelijkse_rente_percentage,(Loan_Years*12)-Pay_Num+1,Beg_Bal),""))</f>
        <v/>
      </c>
      <c r="E310" s="48" t="str">
        <f t="shared" si="36"/>
        <v/>
      </c>
      <c r="F310" s="48" t="e">
        <f t="shared" si="37"/>
        <v>#VALUE!</v>
      </c>
      <c r="G310" s="48" t="str">
        <f t="shared" si="41"/>
        <v/>
      </c>
      <c r="H310" s="19">
        <f t="shared" si="35"/>
        <v>0</v>
      </c>
      <c r="I310" s="19">
        <f t="shared" si="38"/>
        <v>0</v>
      </c>
      <c r="J310" s="4"/>
    </row>
    <row r="311" spans="1:10" ht="14.25">
      <c r="A311" s="46" t="str">
        <f t="shared" si="39"/>
        <v/>
      </c>
      <c r="B311" s="47" t="str">
        <f t="shared" si="40"/>
        <v/>
      </c>
      <c r="C311" s="48" t="str">
        <f t="shared" si="42"/>
        <v/>
      </c>
      <c r="D311" s="48" t="str">
        <f>IF(ISERROR(PMT(Maandelijkse_rente_percentage,(Loan_Years*12)-Pay_Num+1,Beg_Bal)),"",IF(Values_Entered,-PMT(Maandelijkse_rente_percentage,(Loan_Years*12)-Pay_Num+1,Beg_Bal),""))</f>
        <v/>
      </c>
      <c r="E311" s="48" t="str">
        <f t="shared" si="36"/>
        <v/>
      </c>
      <c r="F311" s="48" t="e">
        <f t="shared" si="37"/>
        <v>#VALUE!</v>
      </c>
      <c r="G311" s="48" t="str">
        <f t="shared" si="41"/>
        <v/>
      </c>
      <c r="H311" s="19">
        <f t="shared" si="35"/>
        <v>0</v>
      </c>
      <c r="I311" s="19">
        <f t="shared" si="38"/>
        <v>0</v>
      </c>
      <c r="J311" s="4"/>
    </row>
    <row r="312" spans="1:10" ht="14.25">
      <c r="A312" s="46" t="str">
        <f t="shared" si="39"/>
        <v/>
      </c>
      <c r="B312" s="47" t="str">
        <f t="shared" si="40"/>
        <v/>
      </c>
      <c r="C312" s="48" t="str">
        <f t="shared" si="42"/>
        <v/>
      </c>
      <c r="D312" s="48" t="str">
        <f>IF(ISERROR(PMT(Maandelijkse_rente_percentage,(Loan_Years*12)-Pay_Num+1,Beg_Bal)),"",IF(Values_Entered,-PMT(Maandelijkse_rente_percentage,(Loan_Years*12)-Pay_Num+1,Beg_Bal),""))</f>
        <v/>
      </c>
      <c r="E312" s="48" t="str">
        <f t="shared" si="36"/>
        <v/>
      </c>
      <c r="F312" s="48" t="e">
        <f t="shared" si="37"/>
        <v>#VALUE!</v>
      </c>
      <c r="G312" s="48" t="str">
        <f t="shared" si="41"/>
        <v/>
      </c>
      <c r="H312" s="19">
        <f t="shared" si="35"/>
        <v>0</v>
      </c>
      <c r="I312" s="19">
        <f t="shared" si="38"/>
        <v>0</v>
      </c>
      <c r="J312" s="4"/>
    </row>
    <row r="313" spans="1:10" ht="14.25">
      <c r="A313" s="46" t="str">
        <f t="shared" si="39"/>
        <v/>
      </c>
      <c r="B313" s="47" t="str">
        <f t="shared" si="40"/>
        <v/>
      </c>
      <c r="C313" s="48" t="str">
        <f t="shared" si="42"/>
        <v/>
      </c>
      <c r="D313" s="48" t="str">
        <f>IF(ISERROR(PMT(Maandelijkse_rente_percentage,(Loan_Years*12)-Pay_Num+1,Beg_Bal)),"",IF(Values_Entered,-PMT(Maandelijkse_rente_percentage,(Loan_Years*12)-Pay_Num+1,Beg_Bal),""))</f>
        <v/>
      </c>
      <c r="E313" s="48" t="str">
        <f t="shared" si="36"/>
        <v/>
      </c>
      <c r="F313" s="48" t="e">
        <f t="shared" si="37"/>
        <v>#VALUE!</v>
      </c>
      <c r="G313" s="48" t="str">
        <f t="shared" si="41"/>
        <v/>
      </c>
      <c r="H313" s="19">
        <f t="shared" si="35"/>
        <v>0</v>
      </c>
      <c r="I313" s="19">
        <f t="shared" si="38"/>
        <v>0</v>
      </c>
      <c r="J313" s="4"/>
    </row>
    <row r="314" spans="1:10" ht="14.25">
      <c r="A314" s="46" t="str">
        <f t="shared" si="39"/>
        <v/>
      </c>
      <c r="B314" s="47" t="str">
        <f t="shared" si="40"/>
        <v/>
      </c>
      <c r="C314" s="48" t="str">
        <f t="shared" si="42"/>
        <v/>
      </c>
      <c r="D314" s="48" t="str">
        <f>IF(ISERROR(PMT(Maandelijkse_rente_percentage,(Loan_Years*12)-Pay_Num+1,Beg_Bal)),"",IF(Values_Entered,-PMT(Maandelijkse_rente_percentage,(Loan_Years*12)-Pay_Num+1,Beg_Bal),""))</f>
        <v/>
      </c>
      <c r="E314" s="48" t="str">
        <f t="shared" si="36"/>
        <v/>
      </c>
      <c r="F314" s="48" t="e">
        <f t="shared" si="37"/>
        <v>#VALUE!</v>
      </c>
      <c r="G314" s="48" t="str">
        <f t="shared" si="41"/>
        <v/>
      </c>
      <c r="H314" s="19">
        <f t="shared" si="35"/>
        <v>0</v>
      </c>
      <c r="I314" s="19">
        <f t="shared" si="38"/>
        <v>0</v>
      </c>
      <c r="J314" s="4"/>
    </row>
    <row r="315" spans="1:10" ht="14.25">
      <c r="A315" s="46" t="str">
        <f t="shared" si="39"/>
        <v/>
      </c>
      <c r="B315" s="47" t="str">
        <f t="shared" si="40"/>
        <v/>
      </c>
      <c r="C315" s="48" t="str">
        <f t="shared" si="42"/>
        <v/>
      </c>
      <c r="D315" s="48" t="str">
        <f>IF(ISERROR(PMT(Maandelijkse_rente_percentage,(Loan_Years*12)-Pay_Num+1,Beg_Bal)),"",IF(Values_Entered,-PMT(Maandelijkse_rente_percentage,(Loan_Years*12)-Pay_Num+1,Beg_Bal),""))</f>
        <v/>
      </c>
      <c r="E315" s="48" t="str">
        <f t="shared" si="36"/>
        <v/>
      </c>
      <c r="F315" s="48" t="e">
        <f t="shared" si="37"/>
        <v>#VALUE!</v>
      </c>
      <c r="G315" s="48" t="str">
        <f t="shared" si="41"/>
        <v/>
      </c>
      <c r="H315" s="19">
        <f t="shared" si="35"/>
        <v>0</v>
      </c>
      <c r="I315" s="19">
        <f t="shared" si="38"/>
        <v>0</v>
      </c>
      <c r="J315" s="4"/>
    </row>
    <row r="316" spans="1:10" ht="14.25">
      <c r="A316" s="46" t="str">
        <f t="shared" si="39"/>
        <v/>
      </c>
      <c r="B316" s="47" t="str">
        <f t="shared" si="40"/>
        <v/>
      </c>
      <c r="C316" s="48" t="str">
        <f t="shared" si="42"/>
        <v/>
      </c>
      <c r="D316" s="48" t="str">
        <f>IF(ISERROR(PMT(Maandelijkse_rente_percentage,(Loan_Years*12)-Pay_Num+1,Beg_Bal)),"",IF(Values_Entered,-PMT(Maandelijkse_rente_percentage,(Loan_Years*12)-Pay_Num+1,Beg_Bal),""))</f>
        <v/>
      </c>
      <c r="E316" s="48" t="str">
        <f t="shared" si="36"/>
        <v/>
      </c>
      <c r="F316" s="48" t="e">
        <f t="shared" si="37"/>
        <v>#VALUE!</v>
      </c>
      <c r="G316" s="48" t="str">
        <f t="shared" si="41"/>
        <v/>
      </c>
      <c r="H316" s="19">
        <f t="shared" si="35"/>
        <v>0</v>
      </c>
      <c r="I316" s="19">
        <f t="shared" si="38"/>
        <v>0</v>
      </c>
      <c r="J316" s="4"/>
    </row>
    <row r="317" spans="1:10" ht="14.25">
      <c r="A317" s="46" t="str">
        <f t="shared" si="39"/>
        <v/>
      </c>
      <c r="B317" s="47" t="str">
        <f t="shared" si="40"/>
        <v/>
      </c>
      <c r="C317" s="48" t="str">
        <f t="shared" si="42"/>
        <v/>
      </c>
      <c r="D317" s="48" t="str">
        <f>IF(ISERROR(PMT(Maandelijkse_rente_percentage,(Loan_Years*12)-Pay_Num+1,Beg_Bal)),"",IF(Values_Entered,-PMT(Maandelijkse_rente_percentage,(Loan_Years*12)-Pay_Num+1,Beg_Bal),""))</f>
        <v/>
      </c>
      <c r="E317" s="48" t="str">
        <f t="shared" si="36"/>
        <v/>
      </c>
      <c r="F317" s="48" t="e">
        <f t="shared" si="37"/>
        <v>#VALUE!</v>
      </c>
      <c r="G317" s="48" t="str">
        <f t="shared" si="41"/>
        <v/>
      </c>
      <c r="H317" s="19">
        <f t="shared" si="35"/>
        <v>0</v>
      </c>
      <c r="I317" s="19">
        <f t="shared" si="38"/>
        <v>0</v>
      </c>
      <c r="J317" s="4"/>
    </row>
    <row r="318" spans="1:10" ht="14.25">
      <c r="A318" s="46" t="str">
        <f t="shared" si="39"/>
        <v/>
      </c>
      <c r="B318" s="47" t="str">
        <f t="shared" si="40"/>
        <v/>
      </c>
      <c r="C318" s="48" t="str">
        <f t="shared" si="42"/>
        <v/>
      </c>
      <c r="D318" s="48" t="str">
        <f>IF(ISERROR(PMT(Maandelijkse_rente_percentage,(Loan_Years*12)-Pay_Num+1,Beg_Bal)),"",IF(Values_Entered,-PMT(Maandelijkse_rente_percentage,(Loan_Years*12)-Pay_Num+1,Beg_Bal),""))</f>
        <v/>
      </c>
      <c r="E318" s="48" t="str">
        <f t="shared" si="36"/>
        <v/>
      </c>
      <c r="F318" s="48" t="e">
        <f t="shared" si="37"/>
        <v>#VALUE!</v>
      </c>
      <c r="G318" s="48" t="str">
        <f t="shared" si="41"/>
        <v/>
      </c>
      <c r="H318" s="19">
        <f t="shared" si="35"/>
        <v>0</v>
      </c>
      <c r="I318" s="19">
        <f t="shared" si="38"/>
        <v>0</v>
      </c>
      <c r="J318" s="4"/>
    </row>
    <row r="319" spans="1:10" ht="14.25">
      <c r="A319" s="46" t="str">
        <f t="shared" si="39"/>
        <v/>
      </c>
      <c r="B319" s="47" t="str">
        <f t="shared" si="40"/>
        <v/>
      </c>
      <c r="C319" s="48" t="str">
        <f t="shared" si="42"/>
        <v/>
      </c>
      <c r="D319" s="48" t="str">
        <f>IF(ISERROR(PMT(Maandelijkse_rente_percentage,(Loan_Years*12)-Pay_Num+1,Beg_Bal)),"",IF(Values_Entered,-PMT(Maandelijkse_rente_percentage,(Loan_Years*12)-Pay_Num+1,Beg_Bal),""))</f>
        <v/>
      </c>
      <c r="E319" s="48" t="str">
        <f t="shared" si="36"/>
        <v/>
      </c>
      <c r="F319" s="48" t="e">
        <f t="shared" si="37"/>
        <v>#VALUE!</v>
      </c>
      <c r="G319" s="48" t="str">
        <f t="shared" si="41"/>
        <v/>
      </c>
      <c r="H319" s="19">
        <f>N13</f>
        <v>0</v>
      </c>
      <c r="I319" s="19">
        <f t="shared" si="38"/>
        <v>0</v>
      </c>
      <c r="J319" s="4"/>
    </row>
    <row r="320" spans="1:10" ht="14.25">
      <c r="A320" s="46" t="str">
        <f t="shared" si="39"/>
        <v/>
      </c>
      <c r="B320" s="47" t="str">
        <f t="shared" si="40"/>
        <v/>
      </c>
      <c r="C320" s="48" t="str">
        <f t="shared" si="42"/>
        <v/>
      </c>
      <c r="D320" s="48" t="str">
        <f>IF(ISERROR(PMT(Maandelijkse_rente_percentage,(Loan_Years*12)-Pay_Num+1,Beg_Bal)),"",IF(Values_Entered,-PMT(Maandelijkse_rente_percentage,(Loan_Years*12)-Pay_Num+1,Beg_Bal),""))</f>
        <v/>
      </c>
      <c r="E320" s="48" t="str">
        <f t="shared" si="36"/>
        <v/>
      </c>
      <c r="F320" s="48" t="e">
        <f t="shared" si="37"/>
        <v>#VALUE!</v>
      </c>
      <c r="G320" s="48" t="str">
        <f t="shared" si="41"/>
        <v/>
      </c>
      <c r="H320" s="19">
        <f t="shared" si="35"/>
        <v>0</v>
      </c>
      <c r="I320" s="19">
        <f t="shared" si="38"/>
        <v>0</v>
      </c>
      <c r="J320" s="4"/>
    </row>
    <row r="321" spans="1:10" ht="14.25">
      <c r="A321" s="46" t="str">
        <f t="shared" si="39"/>
        <v/>
      </c>
      <c r="B321" s="47" t="str">
        <f t="shared" si="40"/>
        <v/>
      </c>
      <c r="C321" s="48" t="str">
        <f t="shared" si="42"/>
        <v/>
      </c>
      <c r="D321" s="48" t="str">
        <f>IF(ISERROR(PMT(Maandelijkse_rente_percentage,(Loan_Years*12)-Pay_Num+1,Beg_Bal)),"",IF(Values_Entered,-PMT(Maandelijkse_rente_percentage,(Loan_Years*12)-Pay_Num+1,Beg_Bal),""))</f>
        <v/>
      </c>
      <c r="E321" s="48" t="str">
        <f t="shared" si="36"/>
        <v/>
      </c>
      <c r="F321" s="48" t="e">
        <f t="shared" si="37"/>
        <v>#VALUE!</v>
      </c>
      <c r="G321" s="48" t="str">
        <f t="shared" si="41"/>
        <v/>
      </c>
      <c r="H321" s="19">
        <f t="shared" si="35"/>
        <v>0</v>
      </c>
      <c r="I321" s="19">
        <f t="shared" si="38"/>
        <v>0</v>
      </c>
      <c r="J321" s="4"/>
    </row>
    <row r="322" spans="1:10" ht="14.25">
      <c r="A322" s="46" t="str">
        <f t="shared" si="39"/>
        <v/>
      </c>
      <c r="B322" s="47" t="str">
        <f t="shared" si="40"/>
        <v/>
      </c>
      <c r="C322" s="48" t="str">
        <f t="shared" si="42"/>
        <v/>
      </c>
      <c r="D322" s="48" t="str">
        <f>IF(ISERROR(PMT(Maandelijkse_rente_percentage,(Loan_Years*12)-Pay_Num+1,Beg_Bal)),"",IF(Values_Entered,-PMT(Maandelijkse_rente_percentage,(Loan_Years*12)-Pay_Num+1,Beg_Bal),""))</f>
        <v/>
      </c>
      <c r="E322" s="48" t="str">
        <f t="shared" si="36"/>
        <v/>
      </c>
      <c r="F322" s="48" t="e">
        <f t="shared" si="37"/>
        <v>#VALUE!</v>
      </c>
      <c r="G322" s="48" t="str">
        <f t="shared" si="41"/>
        <v/>
      </c>
      <c r="H322" s="19">
        <f t="shared" si="35"/>
        <v>0</v>
      </c>
      <c r="I322" s="19">
        <f t="shared" si="38"/>
        <v>0</v>
      </c>
      <c r="J322" s="4"/>
    </row>
    <row r="323" spans="1:10" ht="14.25">
      <c r="A323" s="46" t="str">
        <f t="shared" si="39"/>
        <v/>
      </c>
      <c r="B323" s="47" t="str">
        <f t="shared" si="40"/>
        <v/>
      </c>
      <c r="C323" s="48" t="str">
        <f t="shared" si="42"/>
        <v/>
      </c>
      <c r="D323" s="48" t="str">
        <f>IF(ISERROR(PMT(Maandelijkse_rente_percentage,(Loan_Years*12)-Pay_Num+1,Beg_Bal)),"",IF(Values_Entered,-PMT(Maandelijkse_rente_percentage,(Loan_Years*12)-Pay_Num+1,Beg_Bal),""))</f>
        <v/>
      </c>
      <c r="E323" s="48" t="str">
        <f t="shared" si="36"/>
        <v/>
      </c>
      <c r="F323" s="48" t="e">
        <f t="shared" si="37"/>
        <v>#VALUE!</v>
      </c>
      <c r="G323" s="48" t="str">
        <f t="shared" si="41"/>
        <v/>
      </c>
      <c r="H323" s="19">
        <f t="shared" si="35"/>
        <v>0</v>
      </c>
      <c r="I323" s="19">
        <f t="shared" si="38"/>
        <v>0</v>
      </c>
      <c r="J323" s="4"/>
    </row>
    <row r="324" spans="1:10" ht="14.25">
      <c r="A324" s="46" t="str">
        <f t="shared" si="39"/>
        <v/>
      </c>
      <c r="B324" s="47" t="str">
        <f t="shared" si="40"/>
        <v/>
      </c>
      <c r="C324" s="48" t="str">
        <f t="shared" si="42"/>
        <v/>
      </c>
      <c r="D324" s="48" t="str">
        <f>IF(ISERROR(PMT(Maandelijkse_rente_percentage,(Loan_Years*12)-Pay_Num+1,Beg_Bal)),"",IF(Values_Entered,-PMT(Maandelijkse_rente_percentage,(Loan_Years*12)-Pay_Num+1,Beg_Bal),""))</f>
        <v/>
      </c>
      <c r="E324" s="48" t="str">
        <f t="shared" si="36"/>
        <v/>
      </c>
      <c r="F324" s="48" t="e">
        <f t="shared" si="37"/>
        <v>#VALUE!</v>
      </c>
      <c r="G324" s="48" t="str">
        <f t="shared" si="41"/>
        <v/>
      </c>
      <c r="H324" s="19">
        <f t="shared" si="35"/>
        <v>0</v>
      </c>
      <c r="I324" s="19">
        <f t="shared" si="38"/>
        <v>0</v>
      </c>
      <c r="J324" s="4"/>
    </row>
    <row r="325" spans="1:10" ht="14.25">
      <c r="A325" s="46" t="str">
        <f t="shared" si="39"/>
        <v/>
      </c>
      <c r="B325" s="47" t="str">
        <f t="shared" si="40"/>
        <v/>
      </c>
      <c r="C325" s="48" t="str">
        <f t="shared" si="42"/>
        <v/>
      </c>
      <c r="D325" s="48" t="str">
        <f>IF(ISERROR(PMT(Maandelijkse_rente_percentage,(Loan_Years*12)-Pay_Num+1,Beg_Bal)),"",IF(Values_Entered,-PMT(Maandelijkse_rente_percentage,(Loan_Years*12)-Pay_Num+1,Beg_Bal),""))</f>
        <v/>
      </c>
      <c r="E325" s="48" t="str">
        <f t="shared" si="36"/>
        <v/>
      </c>
      <c r="F325" s="48" t="e">
        <f t="shared" si="37"/>
        <v>#VALUE!</v>
      </c>
      <c r="G325" s="48" t="str">
        <f t="shared" si="41"/>
        <v/>
      </c>
      <c r="H325" s="19">
        <f t="shared" si="35"/>
        <v>0</v>
      </c>
      <c r="I325" s="19">
        <f t="shared" si="38"/>
        <v>0</v>
      </c>
      <c r="J325" s="4"/>
    </row>
    <row r="326" spans="1:10" ht="14.25">
      <c r="A326" s="46" t="str">
        <f t="shared" si="39"/>
        <v/>
      </c>
      <c r="B326" s="47" t="str">
        <f t="shared" si="40"/>
        <v/>
      </c>
      <c r="C326" s="48" t="str">
        <f t="shared" si="42"/>
        <v/>
      </c>
      <c r="D326" s="48" t="str">
        <f>IF(ISERROR(PMT(Maandelijkse_rente_percentage,(Loan_Years*12)-Pay_Num+1,Beg_Bal)),"",IF(Values_Entered,-PMT(Maandelijkse_rente_percentage,(Loan_Years*12)-Pay_Num+1,Beg_Bal),""))</f>
        <v/>
      </c>
      <c r="E326" s="48" t="str">
        <f t="shared" si="36"/>
        <v/>
      </c>
      <c r="F326" s="48" t="e">
        <f t="shared" si="37"/>
        <v>#VALUE!</v>
      </c>
      <c r="G326" s="48" t="str">
        <f t="shared" si="41"/>
        <v/>
      </c>
      <c r="H326" s="19">
        <f t="shared" si="35"/>
        <v>0</v>
      </c>
      <c r="I326" s="19">
        <f t="shared" si="38"/>
        <v>0</v>
      </c>
      <c r="J326" s="4"/>
    </row>
    <row r="327" spans="1:10" ht="14.25">
      <c r="A327" s="46" t="str">
        <f t="shared" si="39"/>
        <v/>
      </c>
      <c r="B327" s="47" t="str">
        <f t="shared" si="40"/>
        <v/>
      </c>
      <c r="C327" s="48" t="str">
        <f t="shared" si="42"/>
        <v/>
      </c>
      <c r="D327" s="48" t="str">
        <f>IF(ISERROR(PMT(Maandelijkse_rente_percentage,(Loan_Years*12)-Pay_Num+1,Beg_Bal)),"",IF(Values_Entered,-PMT(Maandelijkse_rente_percentage,(Loan_Years*12)-Pay_Num+1,Beg_Bal),""))</f>
        <v/>
      </c>
      <c r="E327" s="48" t="str">
        <f t="shared" si="36"/>
        <v/>
      </c>
      <c r="F327" s="48" t="e">
        <f t="shared" si="37"/>
        <v>#VALUE!</v>
      </c>
      <c r="G327" s="48" t="str">
        <f t="shared" si="41"/>
        <v/>
      </c>
      <c r="H327" s="19">
        <f t="shared" si="35"/>
        <v>0</v>
      </c>
      <c r="I327" s="19">
        <f t="shared" si="38"/>
        <v>0</v>
      </c>
      <c r="J327" s="4"/>
    </row>
    <row r="328" spans="1:10" ht="14.25">
      <c r="A328" s="46" t="str">
        <f t="shared" si="39"/>
        <v/>
      </c>
      <c r="B328" s="47" t="str">
        <f t="shared" si="40"/>
        <v/>
      </c>
      <c r="C328" s="48" t="str">
        <f t="shared" si="42"/>
        <v/>
      </c>
      <c r="D328" s="48" t="str">
        <f>IF(ISERROR(PMT(Maandelijkse_rente_percentage,(Loan_Years*12)-Pay_Num+1,Beg_Bal)),"",IF(Values_Entered,-PMT(Maandelijkse_rente_percentage,(Loan_Years*12)-Pay_Num+1,Beg_Bal),""))</f>
        <v/>
      </c>
      <c r="E328" s="48" t="str">
        <f t="shared" si="36"/>
        <v/>
      </c>
      <c r="F328" s="48" t="e">
        <f t="shared" si="37"/>
        <v>#VALUE!</v>
      </c>
      <c r="G328" s="48" t="str">
        <f t="shared" si="41"/>
        <v/>
      </c>
      <c r="H328" s="19">
        <f t="shared" si="35"/>
        <v>0</v>
      </c>
      <c r="I328" s="19">
        <f t="shared" si="38"/>
        <v>0</v>
      </c>
      <c r="J328" s="4"/>
    </row>
    <row r="329" spans="1:10" ht="14.25">
      <c r="A329" s="46" t="str">
        <f t="shared" si="39"/>
        <v/>
      </c>
      <c r="B329" s="47" t="str">
        <f t="shared" si="40"/>
        <v/>
      </c>
      <c r="C329" s="48" t="str">
        <f t="shared" si="42"/>
        <v/>
      </c>
      <c r="D329" s="48" t="str">
        <f>IF(ISERROR(PMT(Maandelijkse_rente_percentage,(Loan_Years*12)-Pay_Num+1,Beg_Bal)),"",IF(Values_Entered,-PMT(Maandelijkse_rente_percentage,(Loan_Years*12)-Pay_Num+1,Beg_Bal),""))</f>
        <v/>
      </c>
      <c r="E329" s="48" t="str">
        <f t="shared" si="36"/>
        <v/>
      </c>
      <c r="F329" s="48" t="e">
        <f t="shared" si="37"/>
        <v>#VALUE!</v>
      </c>
      <c r="G329" s="48" t="str">
        <f t="shared" si="41"/>
        <v/>
      </c>
      <c r="H329" s="19">
        <f t="shared" si="35"/>
        <v>0</v>
      </c>
      <c r="I329" s="19">
        <f t="shared" si="38"/>
        <v>0</v>
      </c>
      <c r="J329" s="4"/>
    </row>
    <row r="330" spans="1:10" ht="14.25">
      <c r="A330" s="46" t="str">
        <f t="shared" si="39"/>
        <v/>
      </c>
      <c r="B330" s="47" t="str">
        <f t="shared" si="40"/>
        <v/>
      </c>
      <c r="C330" s="48" t="str">
        <f t="shared" si="42"/>
        <v/>
      </c>
      <c r="D330" s="48" t="str">
        <f>IF(ISERROR(PMT(Maandelijkse_rente_percentage,(Loan_Years*12)-Pay_Num+1,Beg_Bal)),"",IF(Values_Entered,-PMT(Maandelijkse_rente_percentage,(Loan_Years*12)-Pay_Num+1,Beg_Bal),""))</f>
        <v/>
      </c>
      <c r="E330" s="48" t="str">
        <f t="shared" si="36"/>
        <v/>
      </c>
      <c r="F330" s="48" t="e">
        <f t="shared" si="37"/>
        <v>#VALUE!</v>
      </c>
      <c r="G330" s="48" t="str">
        <f t="shared" si="41"/>
        <v/>
      </c>
      <c r="H330" s="19">
        <f t="shared" si="35"/>
        <v>0</v>
      </c>
      <c r="I330" s="19">
        <f t="shared" si="38"/>
        <v>0</v>
      </c>
      <c r="J330" s="4"/>
    </row>
    <row r="331" spans="1:10" ht="14.25">
      <c r="A331" s="46" t="str">
        <f t="shared" si="39"/>
        <v/>
      </c>
      <c r="B331" s="47" t="str">
        <f t="shared" si="40"/>
        <v/>
      </c>
      <c r="C331" s="48" t="str">
        <f t="shared" si="42"/>
        <v/>
      </c>
      <c r="D331" s="48" t="str">
        <f>IF(ISERROR(PMT(Maandelijkse_rente_percentage,(Loan_Years*12)-Pay_Num+1,Beg_Bal)),"",IF(Values_Entered,-PMT(Maandelijkse_rente_percentage,(Loan_Years*12)-Pay_Num+1,Beg_Bal),""))</f>
        <v/>
      </c>
      <c r="E331" s="48" t="str">
        <f t="shared" si="36"/>
        <v/>
      </c>
      <c r="F331" s="48" t="e">
        <f t="shared" si="37"/>
        <v>#VALUE!</v>
      </c>
      <c r="G331" s="48" t="str">
        <f t="shared" si="41"/>
        <v/>
      </c>
      <c r="H331" s="19">
        <f>N14</f>
        <v>0</v>
      </c>
      <c r="I331" s="19">
        <f t="shared" si="38"/>
        <v>0</v>
      </c>
      <c r="J331" s="4"/>
    </row>
    <row r="332" spans="1:10" ht="14.25">
      <c r="A332" s="46" t="str">
        <f t="shared" si="39"/>
        <v/>
      </c>
      <c r="B332" s="47" t="str">
        <f t="shared" si="40"/>
        <v/>
      </c>
      <c r="C332" s="48" t="str">
        <f t="shared" si="42"/>
        <v/>
      </c>
      <c r="D332" s="48" t="str">
        <f>IF(ISERROR(PMT(Maandelijkse_rente_percentage,(Loan_Years*12)-Pay_Num+1,Beg_Bal)),"",IF(Values_Entered,-PMT(Maandelijkse_rente_percentage,(Loan_Years*12)-Pay_Num+1,Beg_Bal),""))</f>
        <v/>
      </c>
      <c r="E332" s="48" t="str">
        <f t="shared" si="36"/>
        <v/>
      </c>
      <c r="F332" s="48" t="e">
        <f t="shared" si="37"/>
        <v>#VALUE!</v>
      </c>
      <c r="G332" s="48" t="str">
        <f t="shared" si="41"/>
        <v/>
      </c>
      <c r="H332" s="19">
        <f t="shared" si="35"/>
        <v>0</v>
      </c>
      <c r="I332" s="19">
        <f t="shared" si="38"/>
        <v>0</v>
      </c>
      <c r="J332" s="4"/>
    </row>
    <row r="333" spans="1:10" ht="14.25">
      <c r="A333" s="46" t="str">
        <f t="shared" si="39"/>
        <v/>
      </c>
      <c r="B333" s="47" t="str">
        <f t="shared" si="40"/>
        <v/>
      </c>
      <c r="C333" s="48" t="str">
        <f t="shared" si="42"/>
        <v/>
      </c>
      <c r="D333" s="48" t="str">
        <f>IF(ISERROR(PMT(Maandelijkse_rente_percentage,(Loan_Years*12)-Pay_Num+1,Beg_Bal)),"",IF(Values_Entered,-PMT(Maandelijkse_rente_percentage,(Loan_Years*12)-Pay_Num+1,Beg_Bal),""))</f>
        <v/>
      </c>
      <c r="E333" s="48" t="str">
        <f t="shared" si="36"/>
        <v/>
      </c>
      <c r="F333" s="48" t="e">
        <f t="shared" si="37"/>
        <v>#VALUE!</v>
      </c>
      <c r="G333" s="48" t="str">
        <f t="shared" si="41"/>
        <v/>
      </c>
      <c r="H333" s="19">
        <f t="shared" si="35"/>
        <v>0</v>
      </c>
      <c r="I333" s="19">
        <f t="shared" si="38"/>
        <v>0</v>
      </c>
      <c r="J333" s="4"/>
    </row>
    <row r="334" spans="1:10" ht="14.25">
      <c r="A334" s="46" t="str">
        <f t="shared" si="39"/>
        <v/>
      </c>
      <c r="B334" s="47" t="str">
        <f t="shared" si="40"/>
        <v/>
      </c>
      <c r="C334" s="48" t="str">
        <f t="shared" si="42"/>
        <v/>
      </c>
      <c r="D334" s="48" t="str">
        <f>IF(ISERROR(PMT(Maandelijkse_rente_percentage,(Loan_Years*12)-Pay_Num+1,Beg_Bal)),"",IF(Values_Entered,-PMT(Maandelijkse_rente_percentage,(Loan_Years*12)-Pay_Num+1,Beg_Bal),""))</f>
        <v/>
      </c>
      <c r="E334" s="48" t="str">
        <f t="shared" si="36"/>
        <v/>
      </c>
      <c r="F334" s="48" t="e">
        <f t="shared" si="37"/>
        <v>#VALUE!</v>
      </c>
      <c r="G334" s="48" t="str">
        <f t="shared" si="41"/>
        <v/>
      </c>
      <c r="H334" s="19">
        <f t="shared" si="35"/>
        <v>0</v>
      </c>
      <c r="I334" s="19">
        <f t="shared" si="38"/>
        <v>0</v>
      </c>
      <c r="J334" s="4"/>
    </row>
    <row r="335" spans="1:10" ht="14.25">
      <c r="A335" s="46" t="str">
        <f t="shared" si="39"/>
        <v/>
      </c>
      <c r="B335" s="47" t="str">
        <f t="shared" si="40"/>
        <v/>
      </c>
      <c r="C335" s="48" t="str">
        <f t="shared" si="42"/>
        <v/>
      </c>
      <c r="D335" s="48" t="str">
        <f>IF(ISERROR(PMT(Maandelijkse_rente_percentage,(Loan_Years*12)-Pay_Num+1,Beg_Bal)),"",IF(Values_Entered,-PMT(Maandelijkse_rente_percentage,(Loan_Years*12)-Pay_Num+1,Beg_Bal),""))</f>
        <v/>
      </c>
      <c r="E335" s="48" t="str">
        <f t="shared" si="36"/>
        <v/>
      </c>
      <c r="F335" s="48" t="e">
        <f t="shared" si="37"/>
        <v>#VALUE!</v>
      </c>
      <c r="G335" s="48" t="str">
        <f t="shared" si="41"/>
        <v/>
      </c>
      <c r="H335" s="19">
        <f t="shared" ref="H335:H378" si="43">H334</f>
        <v>0</v>
      </c>
      <c r="I335" s="19">
        <f t="shared" si="38"/>
        <v>0</v>
      </c>
      <c r="J335" s="4"/>
    </row>
    <row r="336" spans="1:10" ht="14.25">
      <c r="A336" s="46" t="str">
        <f t="shared" si="39"/>
        <v/>
      </c>
      <c r="B336" s="47" t="str">
        <f t="shared" si="40"/>
        <v/>
      </c>
      <c r="C336" s="48" t="str">
        <f t="shared" si="42"/>
        <v/>
      </c>
      <c r="D336" s="48" t="str">
        <f>IF(ISERROR(PMT(Maandelijkse_rente_percentage,(Loan_Years*12)-Pay_Num+1,Beg_Bal)),"",IF(Values_Entered,-PMT(Maandelijkse_rente_percentage,(Loan_Years*12)-Pay_Num+1,Beg_Bal),""))</f>
        <v/>
      </c>
      <c r="E336" s="48" t="str">
        <f t="shared" si="36"/>
        <v/>
      </c>
      <c r="F336" s="48" t="e">
        <f t="shared" si="37"/>
        <v>#VALUE!</v>
      </c>
      <c r="G336" s="48" t="str">
        <f t="shared" si="41"/>
        <v/>
      </c>
      <c r="H336" s="19">
        <f t="shared" si="43"/>
        <v>0</v>
      </c>
      <c r="I336" s="19">
        <f t="shared" si="38"/>
        <v>0</v>
      </c>
      <c r="J336" s="4"/>
    </row>
    <row r="337" spans="1:10" ht="14.25">
      <c r="A337" s="46" t="str">
        <f t="shared" si="39"/>
        <v/>
      </c>
      <c r="B337" s="47" t="str">
        <f t="shared" si="40"/>
        <v/>
      </c>
      <c r="C337" s="48" t="str">
        <f t="shared" si="42"/>
        <v/>
      </c>
      <c r="D337" s="48" t="str">
        <f>IF(ISERROR(PMT(Maandelijkse_rente_percentage,(Loan_Years*12)-Pay_Num+1,Beg_Bal)),"",IF(Values_Entered,-PMT(Maandelijkse_rente_percentage,(Loan_Years*12)-Pay_Num+1,Beg_Bal),""))</f>
        <v/>
      </c>
      <c r="E337" s="48" t="str">
        <f t="shared" si="36"/>
        <v/>
      </c>
      <c r="F337" s="48" t="e">
        <f t="shared" si="37"/>
        <v>#VALUE!</v>
      </c>
      <c r="G337" s="48" t="str">
        <f t="shared" si="41"/>
        <v/>
      </c>
      <c r="H337" s="19">
        <f t="shared" si="43"/>
        <v>0</v>
      </c>
      <c r="I337" s="19">
        <f t="shared" si="38"/>
        <v>0</v>
      </c>
      <c r="J337" s="4"/>
    </row>
    <row r="338" spans="1:10" ht="14.25">
      <c r="A338" s="46" t="str">
        <f t="shared" si="39"/>
        <v/>
      </c>
      <c r="B338" s="47" t="str">
        <f t="shared" si="40"/>
        <v/>
      </c>
      <c r="C338" s="48" t="str">
        <f t="shared" si="42"/>
        <v/>
      </c>
      <c r="D338" s="48" t="str">
        <f>IF(ISERROR(PMT(Maandelijkse_rente_percentage,(Loan_Years*12)-Pay_Num+1,Beg_Bal)),"",IF(Values_Entered,-PMT(Maandelijkse_rente_percentage,(Loan_Years*12)-Pay_Num+1,Beg_Bal),""))</f>
        <v/>
      </c>
      <c r="E338" s="48" t="str">
        <f t="shared" si="36"/>
        <v/>
      </c>
      <c r="F338" s="48" t="e">
        <f t="shared" si="37"/>
        <v>#VALUE!</v>
      </c>
      <c r="G338" s="48" t="str">
        <f t="shared" si="41"/>
        <v/>
      </c>
      <c r="H338" s="19">
        <f t="shared" si="43"/>
        <v>0</v>
      </c>
      <c r="I338" s="19">
        <f t="shared" si="38"/>
        <v>0</v>
      </c>
      <c r="J338" s="4"/>
    </row>
    <row r="339" spans="1:10" ht="14.25">
      <c r="A339" s="46" t="str">
        <f t="shared" si="39"/>
        <v/>
      </c>
      <c r="B339" s="47" t="str">
        <f t="shared" si="40"/>
        <v/>
      </c>
      <c r="C339" s="48" t="str">
        <f t="shared" si="42"/>
        <v/>
      </c>
      <c r="D339" s="48" t="str">
        <f>IF(ISERROR(PMT(Maandelijkse_rente_percentage,(Loan_Years*12)-Pay_Num+1,Beg_Bal)),"",IF(Values_Entered,-PMT(Maandelijkse_rente_percentage,(Loan_Years*12)-Pay_Num+1,Beg_Bal),""))</f>
        <v/>
      </c>
      <c r="E339" s="48" t="str">
        <f t="shared" ref="E339:E378" si="44">IF(Pay_Num&lt;&gt;"",Maandelijkse_aflossing-Int,"")</f>
        <v/>
      </c>
      <c r="F339" s="48" t="e">
        <f t="shared" ref="F339:F378" si="45">Beg_Bal*Maandelijkse_rente_percentage</f>
        <v>#VALUE!</v>
      </c>
      <c r="G339" s="48" t="str">
        <f t="shared" si="41"/>
        <v/>
      </c>
      <c r="H339" s="19">
        <f t="shared" si="43"/>
        <v>0</v>
      </c>
      <c r="I339" s="19">
        <f t="shared" ref="I339:I378" si="46">((1+Jaarlijk_rente_percentage)^(1/12))-1</f>
        <v>0</v>
      </c>
      <c r="J339" s="4"/>
    </row>
    <row r="340" spans="1:10" ht="14.25">
      <c r="A340" s="46" t="str">
        <f t="shared" ref="A340:A378" si="47">IF(Values_Entered,A339+1,"")</f>
        <v/>
      </c>
      <c r="B340" s="47" t="str">
        <f t="shared" ref="B340:B378" si="48">IF(Pay_Num&lt;&gt;"",DATE(YEAR(B339),MONTH(B339)+1,DAY(B339)),"")</f>
        <v/>
      </c>
      <c r="C340" s="48" t="str">
        <f t="shared" si="42"/>
        <v/>
      </c>
      <c r="D340" s="48" t="str">
        <f>IF(ISERROR(PMT(Maandelijkse_rente_percentage,(Loan_Years*12)-Pay_Num+1,Beg_Bal)),"",IF(Values_Entered,-PMT(Maandelijkse_rente_percentage,(Loan_Years*12)-Pay_Num+1,Beg_Bal),""))</f>
        <v/>
      </c>
      <c r="E340" s="48" t="str">
        <f t="shared" si="44"/>
        <v/>
      </c>
      <c r="F340" s="48" t="e">
        <f t="shared" si="45"/>
        <v>#VALUE!</v>
      </c>
      <c r="G340" s="48" t="str">
        <f t="shared" ref="G340:G378" si="49">IF(Pay_Num&lt;&gt;"",Beg_Bal-Princ,"")</f>
        <v/>
      </c>
      <c r="H340" s="19">
        <f t="shared" si="43"/>
        <v>0</v>
      </c>
      <c r="I340" s="19">
        <f t="shared" si="46"/>
        <v>0</v>
      </c>
      <c r="J340" s="4"/>
    </row>
    <row r="341" spans="1:10" ht="14.25">
      <c r="A341" s="46" t="str">
        <f t="shared" si="47"/>
        <v/>
      </c>
      <c r="B341" s="47" t="str">
        <f t="shared" si="48"/>
        <v/>
      </c>
      <c r="C341" s="48" t="str">
        <f t="shared" ref="C341:C378" si="50">IF(Pay_Num&lt;&gt;"",G340,"")</f>
        <v/>
      </c>
      <c r="D341" s="48" t="str">
        <f>IF(ISERROR(PMT(Maandelijkse_rente_percentage,(Loan_Years*12)-Pay_Num+1,Beg_Bal)),"",IF(Values_Entered,-PMT(Maandelijkse_rente_percentage,(Loan_Years*12)-Pay_Num+1,Beg_Bal),""))</f>
        <v/>
      </c>
      <c r="E341" s="48" t="str">
        <f t="shared" si="44"/>
        <v/>
      </c>
      <c r="F341" s="48" t="e">
        <f t="shared" si="45"/>
        <v>#VALUE!</v>
      </c>
      <c r="G341" s="48" t="str">
        <f t="shared" si="49"/>
        <v/>
      </c>
      <c r="H341" s="19">
        <f t="shared" si="43"/>
        <v>0</v>
      </c>
      <c r="I341" s="19">
        <f t="shared" si="46"/>
        <v>0</v>
      </c>
      <c r="J341" s="4"/>
    </row>
    <row r="342" spans="1:10" ht="14.25">
      <c r="A342" s="46" t="str">
        <f t="shared" si="47"/>
        <v/>
      </c>
      <c r="B342" s="47" t="str">
        <f t="shared" si="48"/>
        <v/>
      </c>
      <c r="C342" s="48" t="str">
        <f t="shared" si="50"/>
        <v/>
      </c>
      <c r="D342" s="48" t="str">
        <f>IF(ISERROR(PMT(Maandelijkse_rente_percentage,(Loan_Years*12)-Pay_Num+1,Beg_Bal)),"",IF(Values_Entered,-PMT(Maandelijkse_rente_percentage,(Loan_Years*12)-Pay_Num+1,Beg_Bal),""))</f>
        <v/>
      </c>
      <c r="E342" s="48" t="str">
        <f t="shared" si="44"/>
        <v/>
      </c>
      <c r="F342" s="48" t="e">
        <f t="shared" si="45"/>
        <v>#VALUE!</v>
      </c>
      <c r="G342" s="48" t="str">
        <f t="shared" si="49"/>
        <v/>
      </c>
      <c r="H342" s="19">
        <f t="shared" si="43"/>
        <v>0</v>
      </c>
      <c r="I342" s="19">
        <f t="shared" si="46"/>
        <v>0</v>
      </c>
      <c r="J342" s="4"/>
    </row>
    <row r="343" spans="1:10" ht="14.25">
      <c r="A343" s="46" t="str">
        <f t="shared" si="47"/>
        <v/>
      </c>
      <c r="B343" s="47" t="str">
        <f t="shared" si="48"/>
        <v/>
      </c>
      <c r="C343" s="48" t="str">
        <f t="shared" si="50"/>
        <v/>
      </c>
      <c r="D343" s="48" t="str">
        <f>IF(ISERROR(PMT(Maandelijkse_rente_percentage,(Loan_Years*12)-Pay_Num+1,Beg_Bal)),"",IF(Values_Entered,-PMT(Maandelijkse_rente_percentage,(Loan_Years*12)-Pay_Num+1,Beg_Bal),""))</f>
        <v/>
      </c>
      <c r="E343" s="48" t="str">
        <f t="shared" si="44"/>
        <v/>
      </c>
      <c r="F343" s="48" t="e">
        <f t="shared" si="45"/>
        <v>#VALUE!</v>
      </c>
      <c r="G343" s="48" t="str">
        <f t="shared" si="49"/>
        <v/>
      </c>
      <c r="H343" s="19">
        <f>N15</f>
        <v>0</v>
      </c>
      <c r="I343" s="19">
        <f t="shared" si="46"/>
        <v>0</v>
      </c>
      <c r="J343" s="4"/>
    </row>
    <row r="344" spans="1:10" ht="14.25">
      <c r="A344" s="46" t="str">
        <f t="shared" si="47"/>
        <v/>
      </c>
      <c r="B344" s="47" t="str">
        <f t="shared" si="48"/>
        <v/>
      </c>
      <c r="C344" s="48" t="str">
        <f t="shared" si="50"/>
        <v/>
      </c>
      <c r="D344" s="48" t="str">
        <f>IF(ISERROR(PMT(Maandelijkse_rente_percentage,(Loan_Years*12)-Pay_Num+1,Beg_Bal)),"",IF(Values_Entered,-PMT(Maandelijkse_rente_percentage,(Loan_Years*12)-Pay_Num+1,Beg_Bal),""))</f>
        <v/>
      </c>
      <c r="E344" s="48" t="str">
        <f t="shared" si="44"/>
        <v/>
      </c>
      <c r="F344" s="48" t="e">
        <f t="shared" si="45"/>
        <v>#VALUE!</v>
      </c>
      <c r="G344" s="48" t="str">
        <f t="shared" si="49"/>
        <v/>
      </c>
      <c r="H344" s="19">
        <f t="shared" si="43"/>
        <v>0</v>
      </c>
      <c r="I344" s="19">
        <f t="shared" si="46"/>
        <v>0</v>
      </c>
      <c r="J344" s="4"/>
    </row>
    <row r="345" spans="1:10" ht="14.25">
      <c r="A345" s="46" t="str">
        <f t="shared" si="47"/>
        <v/>
      </c>
      <c r="B345" s="47" t="str">
        <f t="shared" si="48"/>
        <v/>
      </c>
      <c r="C345" s="48" t="str">
        <f t="shared" si="50"/>
        <v/>
      </c>
      <c r="D345" s="48" t="str">
        <f>IF(ISERROR(PMT(Maandelijkse_rente_percentage,(Loan_Years*12)-Pay_Num+1,Beg_Bal)),"",IF(Values_Entered,-PMT(Maandelijkse_rente_percentage,(Loan_Years*12)-Pay_Num+1,Beg_Bal),""))</f>
        <v/>
      </c>
      <c r="E345" s="48" t="str">
        <f t="shared" si="44"/>
        <v/>
      </c>
      <c r="F345" s="48" t="e">
        <f t="shared" si="45"/>
        <v>#VALUE!</v>
      </c>
      <c r="G345" s="48" t="str">
        <f t="shared" si="49"/>
        <v/>
      </c>
      <c r="H345" s="19">
        <f t="shared" si="43"/>
        <v>0</v>
      </c>
      <c r="I345" s="19">
        <f t="shared" si="46"/>
        <v>0</v>
      </c>
      <c r="J345" s="4"/>
    </row>
    <row r="346" spans="1:10" ht="14.25">
      <c r="A346" s="46" t="str">
        <f t="shared" si="47"/>
        <v/>
      </c>
      <c r="B346" s="47" t="str">
        <f t="shared" si="48"/>
        <v/>
      </c>
      <c r="C346" s="48" t="str">
        <f t="shared" si="50"/>
        <v/>
      </c>
      <c r="D346" s="48" t="str">
        <f>IF(ISERROR(PMT(Maandelijkse_rente_percentage,(Loan_Years*12)-Pay_Num+1,Beg_Bal)),"",IF(Values_Entered,-PMT(Maandelijkse_rente_percentage,(Loan_Years*12)-Pay_Num+1,Beg_Bal),""))</f>
        <v/>
      </c>
      <c r="E346" s="48" t="str">
        <f t="shared" si="44"/>
        <v/>
      </c>
      <c r="F346" s="48" t="e">
        <f t="shared" si="45"/>
        <v>#VALUE!</v>
      </c>
      <c r="G346" s="48" t="str">
        <f t="shared" si="49"/>
        <v/>
      </c>
      <c r="H346" s="19">
        <f t="shared" si="43"/>
        <v>0</v>
      </c>
      <c r="I346" s="19">
        <f t="shared" si="46"/>
        <v>0</v>
      </c>
      <c r="J346" s="4"/>
    </row>
    <row r="347" spans="1:10" ht="14.25">
      <c r="A347" s="46" t="str">
        <f t="shared" si="47"/>
        <v/>
      </c>
      <c r="B347" s="47" t="str">
        <f t="shared" si="48"/>
        <v/>
      </c>
      <c r="C347" s="48" t="str">
        <f t="shared" si="50"/>
        <v/>
      </c>
      <c r="D347" s="48" t="str">
        <f>IF(ISERROR(PMT(Maandelijkse_rente_percentage,(Loan_Years*12)-Pay_Num+1,Beg_Bal)),"",IF(Values_Entered,-PMT(Maandelijkse_rente_percentage,(Loan_Years*12)-Pay_Num+1,Beg_Bal),""))</f>
        <v/>
      </c>
      <c r="E347" s="48" t="str">
        <f t="shared" si="44"/>
        <v/>
      </c>
      <c r="F347" s="48" t="e">
        <f t="shared" si="45"/>
        <v>#VALUE!</v>
      </c>
      <c r="G347" s="48" t="str">
        <f t="shared" si="49"/>
        <v/>
      </c>
      <c r="H347" s="19">
        <f t="shared" si="43"/>
        <v>0</v>
      </c>
      <c r="I347" s="19">
        <f t="shared" si="46"/>
        <v>0</v>
      </c>
      <c r="J347" s="4"/>
    </row>
    <row r="348" spans="1:10" ht="14.25">
      <c r="A348" s="46" t="str">
        <f t="shared" si="47"/>
        <v/>
      </c>
      <c r="B348" s="47" t="str">
        <f t="shared" si="48"/>
        <v/>
      </c>
      <c r="C348" s="48" t="str">
        <f t="shared" si="50"/>
        <v/>
      </c>
      <c r="D348" s="48" t="str">
        <f>IF(ISERROR(PMT(Maandelijkse_rente_percentage,(Loan_Years*12)-Pay_Num+1,Beg_Bal)),"",IF(Values_Entered,-PMT(Maandelijkse_rente_percentage,(Loan_Years*12)-Pay_Num+1,Beg_Bal),""))</f>
        <v/>
      </c>
      <c r="E348" s="48" t="str">
        <f t="shared" si="44"/>
        <v/>
      </c>
      <c r="F348" s="48" t="e">
        <f t="shared" si="45"/>
        <v>#VALUE!</v>
      </c>
      <c r="G348" s="48" t="str">
        <f t="shared" si="49"/>
        <v/>
      </c>
      <c r="H348" s="19">
        <f t="shared" si="43"/>
        <v>0</v>
      </c>
      <c r="I348" s="19">
        <f t="shared" si="46"/>
        <v>0</v>
      </c>
      <c r="J348" s="4"/>
    </row>
    <row r="349" spans="1:10" ht="14.25">
      <c r="A349" s="46" t="str">
        <f t="shared" si="47"/>
        <v/>
      </c>
      <c r="B349" s="47" t="str">
        <f t="shared" si="48"/>
        <v/>
      </c>
      <c r="C349" s="48" t="str">
        <f t="shared" si="50"/>
        <v/>
      </c>
      <c r="D349" s="48" t="str">
        <f>IF(ISERROR(PMT(Maandelijkse_rente_percentage,(Loan_Years*12)-Pay_Num+1,Beg_Bal)),"",IF(Values_Entered,-PMT(Maandelijkse_rente_percentage,(Loan_Years*12)-Pay_Num+1,Beg_Bal),""))</f>
        <v/>
      </c>
      <c r="E349" s="48" t="str">
        <f t="shared" si="44"/>
        <v/>
      </c>
      <c r="F349" s="48" t="e">
        <f t="shared" si="45"/>
        <v>#VALUE!</v>
      </c>
      <c r="G349" s="48" t="str">
        <f t="shared" si="49"/>
        <v/>
      </c>
      <c r="H349" s="19">
        <f t="shared" si="43"/>
        <v>0</v>
      </c>
      <c r="I349" s="19">
        <f t="shared" si="46"/>
        <v>0</v>
      </c>
      <c r="J349" s="4"/>
    </row>
    <row r="350" spans="1:10" ht="14.25">
      <c r="A350" s="46" t="str">
        <f t="shared" si="47"/>
        <v/>
      </c>
      <c r="B350" s="47" t="str">
        <f t="shared" si="48"/>
        <v/>
      </c>
      <c r="C350" s="48" t="str">
        <f t="shared" si="50"/>
        <v/>
      </c>
      <c r="D350" s="48" t="str">
        <f>IF(ISERROR(PMT(Maandelijkse_rente_percentage,(Loan_Years*12)-Pay_Num+1,Beg_Bal)),"",IF(Values_Entered,-PMT(Maandelijkse_rente_percentage,(Loan_Years*12)-Pay_Num+1,Beg_Bal),""))</f>
        <v/>
      </c>
      <c r="E350" s="48" t="str">
        <f t="shared" si="44"/>
        <v/>
      </c>
      <c r="F350" s="48" t="e">
        <f t="shared" si="45"/>
        <v>#VALUE!</v>
      </c>
      <c r="G350" s="48" t="str">
        <f t="shared" si="49"/>
        <v/>
      </c>
      <c r="H350" s="19">
        <f t="shared" si="43"/>
        <v>0</v>
      </c>
      <c r="I350" s="19">
        <f t="shared" si="46"/>
        <v>0</v>
      </c>
      <c r="J350" s="4"/>
    </row>
    <row r="351" spans="1:10" ht="14.25">
      <c r="A351" s="46" t="str">
        <f t="shared" si="47"/>
        <v/>
      </c>
      <c r="B351" s="47" t="str">
        <f t="shared" si="48"/>
        <v/>
      </c>
      <c r="C351" s="48" t="str">
        <f t="shared" si="50"/>
        <v/>
      </c>
      <c r="D351" s="48" t="str">
        <f>IF(ISERROR(PMT(Maandelijkse_rente_percentage,(Loan_Years*12)-Pay_Num+1,Beg_Bal)),"",IF(Values_Entered,-PMT(Maandelijkse_rente_percentage,(Loan_Years*12)-Pay_Num+1,Beg_Bal),""))</f>
        <v/>
      </c>
      <c r="E351" s="48" t="str">
        <f t="shared" si="44"/>
        <v/>
      </c>
      <c r="F351" s="48" t="e">
        <f t="shared" si="45"/>
        <v>#VALUE!</v>
      </c>
      <c r="G351" s="48" t="str">
        <f t="shared" si="49"/>
        <v/>
      </c>
      <c r="H351" s="19">
        <f t="shared" si="43"/>
        <v>0</v>
      </c>
      <c r="I351" s="19">
        <f t="shared" si="46"/>
        <v>0</v>
      </c>
      <c r="J351" s="4"/>
    </row>
    <row r="352" spans="1:10" ht="14.25">
      <c r="A352" s="46" t="str">
        <f t="shared" si="47"/>
        <v/>
      </c>
      <c r="B352" s="47" t="str">
        <f t="shared" si="48"/>
        <v/>
      </c>
      <c r="C352" s="48" t="str">
        <f t="shared" si="50"/>
        <v/>
      </c>
      <c r="D352" s="48" t="str">
        <f>IF(ISERROR(PMT(Maandelijkse_rente_percentage,(Loan_Years*12)-Pay_Num+1,Beg_Bal)),"",IF(Values_Entered,-PMT(Maandelijkse_rente_percentage,(Loan_Years*12)-Pay_Num+1,Beg_Bal),""))</f>
        <v/>
      </c>
      <c r="E352" s="48" t="str">
        <f t="shared" si="44"/>
        <v/>
      </c>
      <c r="F352" s="48" t="e">
        <f t="shared" si="45"/>
        <v>#VALUE!</v>
      </c>
      <c r="G352" s="48" t="str">
        <f t="shared" si="49"/>
        <v/>
      </c>
      <c r="H352" s="19">
        <f t="shared" si="43"/>
        <v>0</v>
      </c>
      <c r="I352" s="19">
        <f t="shared" si="46"/>
        <v>0</v>
      </c>
      <c r="J352" s="4"/>
    </row>
    <row r="353" spans="1:10" ht="14.25">
      <c r="A353" s="46" t="str">
        <f t="shared" si="47"/>
        <v/>
      </c>
      <c r="B353" s="47" t="str">
        <f t="shared" si="48"/>
        <v/>
      </c>
      <c r="C353" s="48" t="str">
        <f t="shared" si="50"/>
        <v/>
      </c>
      <c r="D353" s="48" t="str">
        <f>IF(ISERROR(PMT(Maandelijkse_rente_percentage,(Loan_Years*12)-Pay_Num+1,Beg_Bal)),"",IF(Values_Entered,-PMT(Maandelijkse_rente_percentage,(Loan_Years*12)-Pay_Num+1,Beg_Bal),""))</f>
        <v/>
      </c>
      <c r="E353" s="48" t="str">
        <f t="shared" si="44"/>
        <v/>
      </c>
      <c r="F353" s="48" t="e">
        <f t="shared" si="45"/>
        <v>#VALUE!</v>
      </c>
      <c r="G353" s="48" t="str">
        <f t="shared" si="49"/>
        <v/>
      </c>
      <c r="H353" s="19">
        <f t="shared" si="43"/>
        <v>0</v>
      </c>
      <c r="I353" s="19">
        <f t="shared" si="46"/>
        <v>0</v>
      </c>
      <c r="J353" s="4"/>
    </row>
    <row r="354" spans="1:10" ht="14.25">
      <c r="A354" s="46" t="str">
        <f t="shared" si="47"/>
        <v/>
      </c>
      <c r="B354" s="47" t="str">
        <f t="shared" si="48"/>
        <v/>
      </c>
      <c r="C354" s="48" t="str">
        <f t="shared" si="50"/>
        <v/>
      </c>
      <c r="D354" s="48" t="str">
        <f>IF(ISERROR(PMT(Maandelijkse_rente_percentage,(Loan_Years*12)-Pay_Num+1,Beg_Bal)),"",IF(Values_Entered,-PMT(Maandelijkse_rente_percentage,(Loan_Years*12)-Pay_Num+1,Beg_Bal),""))</f>
        <v/>
      </c>
      <c r="E354" s="48" t="str">
        <f t="shared" si="44"/>
        <v/>
      </c>
      <c r="F354" s="48" t="e">
        <f t="shared" si="45"/>
        <v>#VALUE!</v>
      </c>
      <c r="G354" s="48" t="str">
        <f t="shared" si="49"/>
        <v/>
      </c>
      <c r="H354" s="19">
        <f t="shared" si="43"/>
        <v>0</v>
      </c>
      <c r="I354" s="19">
        <f t="shared" si="46"/>
        <v>0</v>
      </c>
      <c r="J354" s="4"/>
    </row>
    <row r="355" spans="1:10" ht="14.25">
      <c r="A355" s="46" t="str">
        <f t="shared" si="47"/>
        <v/>
      </c>
      <c r="B355" s="47" t="str">
        <f t="shared" si="48"/>
        <v/>
      </c>
      <c r="C355" s="48" t="str">
        <f t="shared" si="50"/>
        <v/>
      </c>
      <c r="D355" s="48" t="str">
        <f>IF(ISERROR(PMT(Maandelijkse_rente_percentage,(Loan_Years*12)-Pay_Num+1,Beg_Bal)),"",IF(Values_Entered,-PMT(Maandelijkse_rente_percentage,(Loan_Years*12)-Pay_Num+1,Beg_Bal),""))</f>
        <v/>
      </c>
      <c r="E355" s="48" t="str">
        <f t="shared" si="44"/>
        <v/>
      </c>
      <c r="F355" s="48" t="e">
        <f t="shared" si="45"/>
        <v>#VALUE!</v>
      </c>
      <c r="G355" s="48" t="str">
        <f t="shared" si="49"/>
        <v/>
      </c>
      <c r="H355" s="19">
        <f>N16</f>
        <v>0</v>
      </c>
      <c r="I355" s="19">
        <f t="shared" si="46"/>
        <v>0</v>
      </c>
      <c r="J355" s="4"/>
    </row>
    <row r="356" spans="1:10" ht="14.25">
      <c r="A356" s="46" t="str">
        <f t="shared" si="47"/>
        <v/>
      </c>
      <c r="B356" s="47" t="str">
        <f t="shared" si="48"/>
        <v/>
      </c>
      <c r="C356" s="48" t="str">
        <f t="shared" si="50"/>
        <v/>
      </c>
      <c r="D356" s="48" t="str">
        <f>IF(ISERROR(PMT(Maandelijkse_rente_percentage,(Loan_Years*12)-Pay_Num+1,Beg_Bal)),"",IF(Values_Entered,-PMT(Maandelijkse_rente_percentage,(Loan_Years*12)-Pay_Num+1,Beg_Bal),""))</f>
        <v/>
      </c>
      <c r="E356" s="48" t="str">
        <f t="shared" si="44"/>
        <v/>
      </c>
      <c r="F356" s="48" t="e">
        <f t="shared" si="45"/>
        <v>#VALUE!</v>
      </c>
      <c r="G356" s="48" t="str">
        <f t="shared" si="49"/>
        <v/>
      </c>
      <c r="H356" s="19">
        <f t="shared" si="43"/>
        <v>0</v>
      </c>
      <c r="I356" s="19">
        <f t="shared" si="46"/>
        <v>0</v>
      </c>
      <c r="J356" s="4"/>
    </row>
    <row r="357" spans="1:10" ht="14.25">
      <c r="A357" s="46" t="str">
        <f t="shared" si="47"/>
        <v/>
      </c>
      <c r="B357" s="47" t="str">
        <f t="shared" si="48"/>
        <v/>
      </c>
      <c r="C357" s="48" t="str">
        <f t="shared" si="50"/>
        <v/>
      </c>
      <c r="D357" s="48" t="str">
        <f>IF(ISERROR(PMT(Maandelijkse_rente_percentage,(Loan_Years*12)-Pay_Num+1,Beg_Bal)),"",IF(Values_Entered,-PMT(Maandelijkse_rente_percentage,(Loan_Years*12)-Pay_Num+1,Beg_Bal),""))</f>
        <v/>
      </c>
      <c r="E357" s="48" t="str">
        <f t="shared" si="44"/>
        <v/>
      </c>
      <c r="F357" s="48" t="e">
        <f t="shared" si="45"/>
        <v>#VALUE!</v>
      </c>
      <c r="G357" s="48" t="str">
        <f t="shared" si="49"/>
        <v/>
      </c>
      <c r="H357" s="19">
        <f t="shared" si="43"/>
        <v>0</v>
      </c>
      <c r="I357" s="19">
        <f t="shared" si="46"/>
        <v>0</v>
      </c>
      <c r="J357" s="4"/>
    </row>
    <row r="358" spans="1:10" ht="14.25">
      <c r="A358" s="46" t="str">
        <f t="shared" si="47"/>
        <v/>
      </c>
      <c r="B358" s="47" t="str">
        <f t="shared" si="48"/>
        <v/>
      </c>
      <c r="C358" s="48" t="str">
        <f t="shared" si="50"/>
        <v/>
      </c>
      <c r="D358" s="48" t="str">
        <f>IF(ISERROR(PMT(Maandelijkse_rente_percentage,(Loan_Years*12)-Pay_Num+1,Beg_Bal)),"",IF(Values_Entered,-PMT(Maandelijkse_rente_percentage,(Loan_Years*12)-Pay_Num+1,Beg_Bal),""))</f>
        <v/>
      </c>
      <c r="E358" s="48" t="str">
        <f t="shared" si="44"/>
        <v/>
      </c>
      <c r="F358" s="48" t="e">
        <f t="shared" si="45"/>
        <v>#VALUE!</v>
      </c>
      <c r="G358" s="48" t="str">
        <f t="shared" si="49"/>
        <v/>
      </c>
      <c r="H358" s="19">
        <f t="shared" si="43"/>
        <v>0</v>
      </c>
      <c r="I358" s="19">
        <f t="shared" si="46"/>
        <v>0</v>
      </c>
      <c r="J358" s="4"/>
    </row>
    <row r="359" spans="1:10" ht="14.25">
      <c r="A359" s="46" t="str">
        <f t="shared" si="47"/>
        <v/>
      </c>
      <c r="B359" s="47" t="str">
        <f t="shared" si="48"/>
        <v/>
      </c>
      <c r="C359" s="48" t="str">
        <f t="shared" si="50"/>
        <v/>
      </c>
      <c r="D359" s="48" t="str">
        <f>IF(ISERROR(PMT(Maandelijkse_rente_percentage,(Loan_Years*12)-Pay_Num+1,Beg_Bal)),"",IF(Values_Entered,-PMT(Maandelijkse_rente_percentage,(Loan_Years*12)-Pay_Num+1,Beg_Bal),""))</f>
        <v/>
      </c>
      <c r="E359" s="48" t="str">
        <f t="shared" si="44"/>
        <v/>
      </c>
      <c r="F359" s="48" t="e">
        <f t="shared" si="45"/>
        <v>#VALUE!</v>
      </c>
      <c r="G359" s="48" t="str">
        <f t="shared" si="49"/>
        <v/>
      </c>
      <c r="H359" s="19">
        <f t="shared" si="43"/>
        <v>0</v>
      </c>
      <c r="I359" s="19">
        <f t="shared" si="46"/>
        <v>0</v>
      </c>
      <c r="J359" s="4"/>
    </row>
    <row r="360" spans="1:10" ht="14.25">
      <c r="A360" s="46" t="str">
        <f t="shared" si="47"/>
        <v/>
      </c>
      <c r="B360" s="47" t="str">
        <f t="shared" si="48"/>
        <v/>
      </c>
      <c r="C360" s="48" t="str">
        <f t="shared" si="50"/>
        <v/>
      </c>
      <c r="D360" s="48" t="str">
        <f>IF(ISERROR(PMT(Maandelijkse_rente_percentage,(Loan_Years*12)-Pay_Num+1,Beg_Bal)),"",IF(Values_Entered,-PMT(Maandelijkse_rente_percentage,(Loan_Years*12)-Pay_Num+1,Beg_Bal),""))</f>
        <v/>
      </c>
      <c r="E360" s="48" t="str">
        <f t="shared" si="44"/>
        <v/>
      </c>
      <c r="F360" s="48" t="e">
        <f t="shared" si="45"/>
        <v>#VALUE!</v>
      </c>
      <c r="G360" s="48" t="str">
        <f t="shared" si="49"/>
        <v/>
      </c>
      <c r="H360" s="19">
        <f t="shared" si="43"/>
        <v>0</v>
      </c>
      <c r="I360" s="19">
        <f t="shared" si="46"/>
        <v>0</v>
      </c>
      <c r="J360" s="4"/>
    </row>
    <row r="361" spans="1:10" ht="14.25">
      <c r="A361" s="46" t="str">
        <f t="shared" si="47"/>
        <v/>
      </c>
      <c r="B361" s="47" t="str">
        <f t="shared" si="48"/>
        <v/>
      </c>
      <c r="C361" s="48" t="str">
        <f t="shared" si="50"/>
        <v/>
      </c>
      <c r="D361" s="48" t="str">
        <f>IF(ISERROR(PMT(Maandelijkse_rente_percentage,(Loan_Years*12)-Pay_Num+1,Beg_Bal)),"",IF(Values_Entered,-PMT(Maandelijkse_rente_percentage,(Loan_Years*12)-Pay_Num+1,Beg_Bal),""))</f>
        <v/>
      </c>
      <c r="E361" s="48" t="str">
        <f t="shared" si="44"/>
        <v/>
      </c>
      <c r="F361" s="48" t="e">
        <f t="shared" si="45"/>
        <v>#VALUE!</v>
      </c>
      <c r="G361" s="48" t="str">
        <f t="shared" si="49"/>
        <v/>
      </c>
      <c r="H361" s="19">
        <f t="shared" si="43"/>
        <v>0</v>
      </c>
      <c r="I361" s="19">
        <f t="shared" si="46"/>
        <v>0</v>
      </c>
      <c r="J361" s="4"/>
    </row>
    <row r="362" spans="1:10" ht="14.25">
      <c r="A362" s="46" t="str">
        <f t="shared" si="47"/>
        <v/>
      </c>
      <c r="B362" s="47" t="str">
        <f t="shared" si="48"/>
        <v/>
      </c>
      <c r="C362" s="48" t="str">
        <f t="shared" si="50"/>
        <v/>
      </c>
      <c r="D362" s="48" t="str">
        <f>IF(ISERROR(PMT(Maandelijkse_rente_percentage,(Loan_Years*12)-Pay_Num+1,Beg_Bal)),"",IF(Values_Entered,-PMT(Maandelijkse_rente_percentage,(Loan_Years*12)-Pay_Num+1,Beg_Bal),""))</f>
        <v/>
      </c>
      <c r="E362" s="48" t="str">
        <f t="shared" si="44"/>
        <v/>
      </c>
      <c r="F362" s="48" t="e">
        <f t="shared" si="45"/>
        <v>#VALUE!</v>
      </c>
      <c r="G362" s="48" t="str">
        <f t="shared" si="49"/>
        <v/>
      </c>
      <c r="H362" s="19">
        <f t="shared" si="43"/>
        <v>0</v>
      </c>
      <c r="I362" s="19">
        <f t="shared" si="46"/>
        <v>0</v>
      </c>
      <c r="J362" s="4"/>
    </row>
    <row r="363" spans="1:10" ht="14.25">
      <c r="A363" s="46" t="str">
        <f t="shared" si="47"/>
        <v/>
      </c>
      <c r="B363" s="47" t="str">
        <f t="shared" si="48"/>
        <v/>
      </c>
      <c r="C363" s="48" t="str">
        <f t="shared" si="50"/>
        <v/>
      </c>
      <c r="D363" s="48" t="str">
        <f>IF(ISERROR(PMT(Maandelijkse_rente_percentage,(Loan_Years*12)-Pay_Num+1,Beg_Bal)),"",IF(Values_Entered,-PMT(Maandelijkse_rente_percentage,(Loan_Years*12)-Pay_Num+1,Beg_Bal),""))</f>
        <v/>
      </c>
      <c r="E363" s="48" t="str">
        <f t="shared" si="44"/>
        <v/>
      </c>
      <c r="F363" s="48" t="e">
        <f t="shared" si="45"/>
        <v>#VALUE!</v>
      </c>
      <c r="G363" s="48" t="str">
        <f t="shared" si="49"/>
        <v/>
      </c>
      <c r="H363" s="19">
        <f t="shared" si="43"/>
        <v>0</v>
      </c>
      <c r="I363" s="19">
        <f t="shared" si="46"/>
        <v>0</v>
      </c>
      <c r="J363" s="4"/>
    </row>
    <row r="364" spans="1:10" ht="14.25">
      <c r="A364" s="46" t="str">
        <f t="shared" si="47"/>
        <v/>
      </c>
      <c r="B364" s="47" t="str">
        <f t="shared" si="48"/>
        <v/>
      </c>
      <c r="C364" s="48" t="str">
        <f t="shared" si="50"/>
        <v/>
      </c>
      <c r="D364" s="48" t="str">
        <f>IF(ISERROR(PMT(Maandelijkse_rente_percentage,(Loan_Years*12)-Pay_Num+1,Beg_Bal)),"",IF(Values_Entered,-PMT(Maandelijkse_rente_percentage,(Loan_Years*12)-Pay_Num+1,Beg_Bal),""))</f>
        <v/>
      </c>
      <c r="E364" s="48" t="str">
        <f t="shared" si="44"/>
        <v/>
      </c>
      <c r="F364" s="48" t="e">
        <f t="shared" si="45"/>
        <v>#VALUE!</v>
      </c>
      <c r="G364" s="48" t="str">
        <f t="shared" si="49"/>
        <v/>
      </c>
      <c r="H364" s="19">
        <f t="shared" si="43"/>
        <v>0</v>
      </c>
      <c r="I364" s="19">
        <f t="shared" si="46"/>
        <v>0</v>
      </c>
      <c r="J364" s="4"/>
    </row>
    <row r="365" spans="1:10" ht="14.25">
      <c r="A365" s="46" t="str">
        <f t="shared" si="47"/>
        <v/>
      </c>
      <c r="B365" s="47" t="str">
        <f t="shared" si="48"/>
        <v/>
      </c>
      <c r="C365" s="48" t="str">
        <f t="shared" si="50"/>
        <v/>
      </c>
      <c r="D365" s="48" t="str">
        <f>IF(ISERROR(PMT(Maandelijkse_rente_percentage,(Loan_Years*12)-Pay_Num+1,Beg_Bal)),"",IF(Values_Entered,-PMT(Maandelijkse_rente_percentage,(Loan_Years*12)-Pay_Num+1,Beg_Bal),""))</f>
        <v/>
      </c>
      <c r="E365" s="48" t="str">
        <f t="shared" si="44"/>
        <v/>
      </c>
      <c r="F365" s="48" t="e">
        <f t="shared" si="45"/>
        <v>#VALUE!</v>
      </c>
      <c r="G365" s="48" t="str">
        <f t="shared" si="49"/>
        <v/>
      </c>
      <c r="H365" s="19">
        <f t="shared" si="43"/>
        <v>0</v>
      </c>
      <c r="I365" s="19">
        <f t="shared" si="46"/>
        <v>0</v>
      </c>
      <c r="J365" s="4"/>
    </row>
    <row r="366" spans="1:10" ht="14.25">
      <c r="A366" s="46" t="str">
        <f t="shared" si="47"/>
        <v/>
      </c>
      <c r="B366" s="47" t="str">
        <f t="shared" si="48"/>
        <v/>
      </c>
      <c r="C366" s="48" t="str">
        <f t="shared" si="50"/>
        <v/>
      </c>
      <c r="D366" s="48" t="str">
        <f>IF(ISERROR(PMT(Maandelijkse_rente_percentage,(Loan_Years*12)-Pay_Num+1,Beg_Bal)),"",IF(Values_Entered,-PMT(Maandelijkse_rente_percentage,(Loan_Years*12)-Pay_Num+1,Beg_Bal),""))</f>
        <v/>
      </c>
      <c r="E366" s="48" t="str">
        <f t="shared" si="44"/>
        <v/>
      </c>
      <c r="F366" s="48" t="e">
        <f t="shared" si="45"/>
        <v>#VALUE!</v>
      </c>
      <c r="G366" s="48" t="str">
        <f t="shared" si="49"/>
        <v/>
      </c>
      <c r="H366" s="19">
        <f t="shared" si="43"/>
        <v>0</v>
      </c>
      <c r="I366" s="19">
        <f t="shared" si="46"/>
        <v>0</v>
      </c>
      <c r="J366" s="4"/>
    </row>
    <row r="367" spans="1:10" ht="14.25">
      <c r="A367" s="46" t="str">
        <f t="shared" si="47"/>
        <v/>
      </c>
      <c r="B367" s="47" t="str">
        <f t="shared" si="48"/>
        <v/>
      </c>
      <c r="C367" s="48" t="str">
        <f t="shared" si="50"/>
        <v/>
      </c>
      <c r="D367" s="48" t="str">
        <f>IF(ISERROR(PMT(Maandelijkse_rente_percentage,(Loan_Years*12)-Pay_Num+1,Beg_Bal)),"",IF(Values_Entered,-PMT(Maandelijkse_rente_percentage,(Loan_Years*12)-Pay_Num+1,Beg_Bal),""))</f>
        <v/>
      </c>
      <c r="E367" s="48" t="str">
        <f t="shared" si="44"/>
        <v/>
      </c>
      <c r="F367" s="48" t="e">
        <f t="shared" si="45"/>
        <v>#VALUE!</v>
      </c>
      <c r="G367" s="48" t="str">
        <f t="shared" si="49"/>
        <v/>
      </c>
      <c r="H367" s="19">
        <f>N17</f>
        <v>0</v>
      </c>
      <c r="I367" s="19">
        <f t="shared" si="46"/>
        <v>0</v>
      </c>
      <c r="J367" s="4"/>
    </row>
    <row r="368" spans="1:10" ht="14.25">
      <c r="A368" s="46" t="str">
        <f t="shared" si="47"/>
        <v/>
      </c>
      <c r="B368" s="47" t="str">
        <f t="shared" si="48"/>
        <v/>
      </c>
      <c r="C368" s="48" t="str">
        <f t="shared" si="50"/>
        <v/>
      </c>
      <c r="D368" s="48" t="str">
        <f>IF(ISERROR(PMT(Maandelijkse_rente_percentage,(Loan_Years*12)-Pay_Num+1,Beg_Bal)),"",IF(Values_Entered,-PMT(Maandelijkse_rente_percentage,(Loan_Years*12)-Pay_Num+1,Beg_Bal),""))</f>
        <v/>
      </c>
      <c r="E368" s="48" t="str">
        <f t="shared" si="44"/>
        <v/>
      </c>
      <c r="F368" s="48" t="e">
        <f t="shared" si="45"/>
        <v>#VALUE!</v>
      </c>
      <c r="G368" s="48" t="str">
        <f t="shared" si="49"/>
        <v/>
      </c>
      <c r="H368" s="19">
        <f t="shared" si="43"/>
        <v>0</v>
      </c>
      <c r="I368" s="19">
        <f t="shared" si="46"/>
        <v>0</v>
      </c>
      <c r="J368" s="4"/>
    </row>
    <row r="369" spans="1:10" ht="14.25">
      <c r="A369" s="46" t="str">
        <f t="shared" si="47"/>
        <v/>
      </c>
      <c r="B369" s="47" t="str">
        <f t="shared" si="48"/>
        <v/>
      </c>
      <c r="C369" s="48" t="str">
        <f t="shared" si="50"/>
        <v/>
      </c>
      <c r="D369" s="48" t="str">
        <f>IF(ISERROR(PMT(Maandelijkse_rente_percentage,(Loan_Years*12)-Pay_Num+1,Beg_Bal)),"",IF(Values_Entered,-PMT(Maandelijkse_rente_percentage,(Loan_Years*12)-Pay_Num+1,Beg_Bal),""))</f>
        <v/>
      </c>
      <c r="E369" s="48" t="str">
        <f t="shared" si="44"/>
        <v/>
      </c>
      <c r="F369" s="48" t="e">
        <f t="shared" si="45"/>
        <v>#VALUE!</v>
      </c>
      <c r="G369" s="48" t="str">
        <f t="shared" si="49"/>
        <v/>
      </c>
      <c r="H369" s="19">
        <f t="shared" si="43"/>
        <v>0</v>
      </c>
      <c r="I369" s="19">
        <f t="shared" si="46"/>
        <v>0</v>
      </c>
      <c r="J369" s="4"/>
    </row>
    <row r="370" spans="1:10" ht="14.25">
      <c r="A370" s="46" t="str">
        <f t="shared" si="47"/>
        <v/>
      </c>
      <c r="B370" s="47" t="str">
        <f t="shared" si="48"/>
        <v/>
      </c>
      <c r="C370" s="48" t="str">
        <f t="shared" si="50"/>
        <v/>
      </c>
      <c r="D370" s="48" t="str">
        <f>IF(ISERROR(PMT(Maandelijkse_rente_percentage,(Loan_Years*12)-Pay_Num+1,Beg_Bal)),"",IF(Values_Entered,-PMT(Maandelijkse_rente_percentage,(Loan_Years*12)-Pay_Num+1,Beg_Bal),""))</f>
        <v/>
      </c>
      <c r="E370" s="48" t="str">
        <f t="shared" si="44"/>
        <v/>
      </c>
      <c r="F370" s="48" t="e">
        <f t="shared" si="45"/>
        <v>#VALUE!</v>
      </c>
      <c r="G370" s="48" t="str">
        <f t="shared" si="49"/>
        <v/>
      </c>
      <c r="H370" s="19">
        <f t="shared" si="43"/>
        <v>0</v>
      </c>
      <c r="I370" s="19">
        <f t="shared" si="46"/>
        <v>0</v>
      </c>
      <c r="J370" s="4"/>
    </row>
    <row r="371" spans="1:10" ht="14.25">
      <c r="A371" s="46" t="str">
        <f t="shared" si="47"/>
        <v/>
      </c>
      <c r="B371" s="47" t="str">
        <f t="shared" si="48"/>
        <v/>
      </c>
      <c r="C371" s="48" t="str">
        <f t="shared" si="50"/>
        <v/>
      </c>
      <c r="D371" s="48" t="str">
        <f>IF(ISERROR(PMT(Maandelijkse_rente_percentage,(Loan_Years*12)-Pay_Num+1,Beg_Bal)),"",IF(Values_Entered,-PMT(Maandelijkse_rente_percentage,(Loan_Years*12)-Pay_Num+1,Beg_Bal),""))</f>
        <v/>
      </c>
      <c r="E371" s="48" t="str">
        <f t="shared" si="44"/>
        <v/>
      </c>
      <c r="F371" s="48" t="e">
        <f t="shared" si="45"/>
        <v>#VALUE!</v>
      </c>
      <c r="G371" s="48" t="str">
        <f t="shared" si="49"/>
        <v/>
      </c>
      <c r="H371" s="19">
        <f t="shared" si="43"/>
        <v>0</v>
      </c>
      <c r="I371" s="19">
        <f t="shared" si="46"/>
        <v>0</v>
      </c>
      <c r="J371" s="4"/>
    </row>
    <row r="372" spans="1:10" ht="14.25">
      <c r="A372" s="46" t="str">
        <f t="shared" si="47"/>
        <v/>
      </c>
      <c r="B372" s="47" t="str">
        <f t="shared" si="48"/>
        <v/>
      </c>
      <c r="C372" s="48" t="str">
        <f t="shared" si="50"/>
        <v/>
      </c>
      <c r="D372" s="48" t="str">
        <f>IF(ISERROR(PMT(Maandelijkse_rente_percentage,(Loan_Years*12)-Pay_Num+1,Beg_Bal)),"",IF(Values_Entered,-PMT(Maandelijkse_rente_percentage,(Loan_Years*12)-Pay_Num+1,Beg_Bal),""))</f>
        <v/>
      </c>
      <c r="E372" s="48" t="str">
        <f t="shared" si="44"/>
        <v/>
      </c>
      <c r="F372" s="48" t="e">
        <f t="shared" si="45"/>
        <v>#VALUE!</v>
      </c>
      <c r="G372" s="48" t="str">
        <f t="shared" si="49"/>
        <v/>
      </c>
      <c r="H372" s="19">
        <f t="shared" si="43"/>
        <v>0</v>
      </c>
      <c r="I372" s="19">
        <f t="shared" si="46"/>
        <v>0</v>
      </c>
      <c r="J372" s="4"/>
    </row>
    <row r="373" spans="1:10" ht="14.25">
      <c r="A373" s="46" t="str">
        <f t="shared" si="47"/>
        <v/>
      </c>
      <c r="B373" s="47" t="str">
        <f t="shared" si="48"/>
        <v/>
      </c>
      <c r="C373" s="48" t="str">
        <f t="shared" si="50"/>
        <v/>
      </c>
      <c r="D373" s="48" t="str">
        <f>IF(ISERROR(PMT(Maandelijkse_rente_percentage,(Loan_Years*12)-Pay_Num+1,Beg_Bal)),"",IF(Values_Entered,-PMT(Maandelijkse_rente_percentage,(Loan_Years*12)-Pay_Num+1,Beg_Bal),""))</f>
        <v/>
      </c>
      <c r="E373" s="48" t="str">
        <f t="shared" si="44"/>
        <v/>
      </c>
      <c r="F373" s="48" t="e">
        <f t="shared" si="45"/>
        <v>#VALUE!</v>
      </c>
      <c r="G373" s="48" t="str">
        <f t="shared" si="49"/>
        <v/>
      </c>
      <c r="H373" s="19">
        <f t="shared" si="43"/>
        <v>0</v>
      </c>
      <c r="I373" s="19">
        <f t="shared" si="46"/>
        <v>0</v>
      </c>
      <c r="J373" s="4"/>
    </row>
    <row r="374" spans="1:10" ht="14.25">
      <c r="A374" s="46" t="str">
        <f t="shared" si="47"/>
        <v/>
      </c>
      <c r="B374" s="47" t="str">
        <f t="shared" si="48"/>
        <v/>
      </c>
      <c r="C374" s="48" t="str">
        <f t="shared" si="50"/>
        <v/>
      </c>
      <c r="D374" s="48" t="str">
        <f>IF(ISERROR(PMT(Maandelijkse_rente_percentage,(Loan_Years*12)-Pay_Num+1,Beg_Bal)),"",IF(Values_Entered,-PMT(Maandelijkse_rente_percentage,(Loan_Years*12)-Pay_Num+1,Beg_Bal),""))</f>
        <v/>
      </c>
      <c r="E374" s="48" t="str">
        <f t="shared" si="44"/>
        <v/>
      </c>
      <c r="F374" s="48" t="e">
        <f t="shared" si="45"/>
        <v>#VALUE!</v>
      </c>
      <c r="G374" s="48" t="str">
        <f t="shared" si="49"/>
        <v/>
      </c>
      <c r="H374" s="19">
        <f t="shared" si="43"/>
        <v>0</v>
      </c>
      <c r="I374" s="19">
        <f t="shared" si="46"/>
        <v>0</v>
      </c>
      <c r="J374" s="4"/>
    </row>
    <row r="375" spans="1:10" ht="14.25">
      <c r="A375" s="46" t="str">
        <f t="shared" si="47"/>
        <v/>
      </c>
      <c r="B375" s="47" t="str">
        <f t="shared" si="48"/>
        <v/>
      </c>
      <c r="C375" s="48" t="str">
        <f t="shared" si="50"/>
        <v/>
      </c>
      <c r="D375" s="48" t="str">
        <f>IF(ISERROR(PMT(Maandelijkse_rente_percentage,(Loan_Years*12)-Pay_Num+1,Beg_Bal)),"",IF(Values_Entered,-PMT(Maandelijkse_rente_percentage,(Loan_Years*12)-Pay_Num+1,Beg_Bal),""))</f>
        <v/>
      </c>
      <c r="E375" s="48" t="str">
        <f t="shared" si="44"/>
        <v/>
      </c>
      <c r="F375" s="48" t="e">
        <f t="shared" si="45"/>
        <v>#VALUE!</v>
      </c>
      <c r="G375" s="48" t="str">
        <f t="shared" si="49"/>
        <v/>
      </c>
      <c r="H375" s="19">
        <f t="shared" si="43"/>
        <v>0</v>
      </c>
      <c r="I375" s="19">
        <f t="shared" si="46"/>
        <v>0</v>
      </c>
      <c r="J375" s="4"/>
    </row>
    <row r="376" spans="1:10" ht="14.25">
      <c r="A376" s="46" t="str">
        <f t="shared" si="47"/>
        <v/>
      </c>
      <c r="B376" s="47" t="str">
        <f t="shared" si="48"/>
        <v/>
      </c>
      <c r="C376" s="48" t="str">
        <f t="shared" si="50"/>
        <v/>
      </c>
      <c r="D376" s="48" t="str">
        <f>IF(ISERROR(PMT(Maandelijkse_rente_percentage,(Loan_Years*12)-Pay_Num+1,Beg_Bal)),"",IF(Values_Entered,-PMT(Maandelijkse_rente_percentage,(Loan_Years*12)-Pay_Num+1,Beg_Bal),""))</f>
        <v/>
      </c>
      <c r="E376" s="48" t="str">
        <f t="shared" si="44"/>
        <v/>
      </c>
      <c r="F376" s="48" t="e">
        <f t="shared" si="45"/>
        <v>#VALUE!</v>
      </c>
      <c r="G376" s="48" t="str">
        <f t="shared" si="49"/>
        <v/>
      </c>
      <c r="H376" s="19">
        <f t="shared" si="43"/>
        <v>0</v>
      </c>
      <c r="I376" s="19">
        <f t="shared" si="46"/>
        <v>0</v>
      </c>
      <c r="J376" s="4"/>
    </row>
    <row r="377" spans="1:10" ht="14.25">
      <c r="A377" s="46" t="str">
        <f t="shared" si="47"/>
        <v/>
      </c>
      <c r="B377" s="47" t="str">
        <f t="shared" si="48"/>
        <v/>
      </c>
      <c r="C377" s="48" t="str">
        <f t="shared" si="50"/>
        <v/>
      </c>
      <c r="D377" s="48" t="str">
        <f>IF(ISERROR(PMT(Maandelijkse_rente_percentage,(Loan_Years*12)-Pay_Num+1,Beg_Bal)),"",IF(Values_Entered,-PMT(Maandelijkse_rente_percentage,(Loan_Years*12)-Pay_Num+1,Beg_Bal),""))</f>
        <v/>
      </c>
      <c r="E377" s="48" t="str">
        <f t="shared" si="44"/>
        <v/>
      </c>
      <c r="F377" s="48" t="e">
        <f t="shared" si="45"/>
        <v>#VALUE!</v>
      </c>
      <c r="G377" s="48" t="str">
        <f t="shared" si="49"/>
        <v/>
      </c>
      <c r="H377" s="19">
        <f t="shared" si="43"/>
        <v>0</v>
      </c>
      <c r="I377" s="19">
        <f t="shared" si="46"/>
        <v>0</v>
      </c>
      <c r="J377" s="4"/>
    </row>
    <row r="378" spans="1:10" ht="14.25">
      <c r="A378" s="46" t="str">
        <f t="shared" si="47"/>
        <v/>
      </c>
      <c r="B378" s="47" t="str">
        <f t="shared" si="48"/>
        <v/>
      </c>
      <c r="C378" s="48" t="str">
        <f t="shared" si="50"/>
        <v/>
      </c>
      <c r="D378" s="48" t="str">
        <f>IF(ISERROR(PMT(Maandelijkse_rente_percentage,(Loan_Years*12)-Pay_Num+1,Beg_Bal)),"",IF(Values_Entered,-PMT(Maandelijkse_rente_percentage,(Loan_Years*12)-Pay_Num+1,Beg_Bal),""))</f>
        <v/>
      </c>
      <c r="E378" s="48" t="str">
        <f t="shared" si="44"/>
        <v/>
      </c>
      <c r="F378" s="48" t="e">
        <f t="shared" si="45"/>
        <v>#VALUE!</v>
      </c>
      <c r="G378" s="48" t="str">
        <f t="shared" si="49"/>
        <v/>
      </c>
      <c r="H378" s="19">
        <f t="shared" si="43"/>
        <v>0</v>
      </c>
      <c r="I378" s="19">
        <f t="shared" si="46"/>
        <v>0</v>
      </c>
      <c r="J378" s="4"/>
    </row>
    <row r="379" spans="1:10">
      <c r="A379"/>
      <c r="B379" s="11"/>
      <c r="C379" s="14"/>
      <c r="D379" s="14"/>
      <c r="E379" s="14"/>
      <c r="F379" s="14"/>
      <c r="G379" s="14"/>
      <c r="H379" s="14"/>
      <c r="I379" s="24"/>
      <c r="J379" s="14"/>
    </row>
    <row r="381" spans="1:10">
      <c r="A381" s="4"/>
      <c r="B381" s="12"/>
      <c r="C381" s="15"/>
      <c r="D381" s="15"/>
      <c r="E381" s="15"/>
      <c r="F381" s="15"/>
      <c r="G381" s="15"/>
      <c r="H381" s="15"/>
      <c r="I381" s="17"/>
      <c r="J381" s="15"/>
    </row>
    <row r="382" spans="1:10">
      <c r="A382" s="4"/>
      <c r="B382" s="12"/>
      <c r="C382" s="15"/>
      <c r="D382" s="15"/>
      <c r="E382" s="15"/>
      <c r="F382" s="15"/>
      <c r="G382" s="15"/>
      <c r="H382" s="15"/>
      <c r="I382" s="17"/>
      <c r="J382" s="15"/>
    </row>
    <row r="383" spans="1:10">
      <c r="A383" s="4"/>
      <c r="B383" s="12"/>
      <c r="C383" s="15"/>
      <c r="D383" s="15"/>
      <c r="E383" s="15"/>
      <c r="F383" s="15"/>
      <c r="G383" s="15"/>
      <c r="H383" s="15"/>
      <c r="I383" s="17"/>
      <c r="J383" s="15"/>
    </row>
    <row r="384" spans="1:10">
      <c r="A384" s="4"/>
      <c r="B384" s="12"/>
      <c r="C384" s="15"/>
      <c r="D384" s="15"/>
      <c r="E384" s="15"/>
      <c r="F384" s="15"/>
      <c r="G384" s="15"/>
      <c r="H384" s="15"/>
      <c r="I384" s="17"/>
      <c r="J384" s="15"/>
    </row>
    <row r="385" spans="1:10">
      <c r="A385" s="4"/>
      <c r="B385" s="12"/>
      <c r="C385" s="15"/>
      <c r="D385" s="15"/>
      <c r="E385" s="15"/>
      <c r="F385" s="15"/>
      <c r="G385" s="15"/>
      <c r="H385" s="15"/>
      <c r="I385" s="17"/>
      <c r="J385" s="15"/>
    </row>
    <row r="386" spans="1:10">
      <c r="A386" s="4"/>
      <c r="B386" s="12"/>
      <c r="C386" s="15"/>
      <c r="D386" s="15"/>
      <c r="E386" s="15"/>
      <c r="F386" s="15"/>
      <c r="G386" s="15"/>
      <c r="H386" s="15"/>
      <c r="I386" s="17"/>
      <c r="J386" s="15"/>
    </row>
    <row r="387" spans="1:10">
      <c r="A387" s="4"/>
      <c r="B387" s="12"/>
      <c r="C387" s="15"/>
      <c r="D387" s="15"/>
      <c r="E387" s="15"/>
      <c r="F387" s="15"/>
      <c r="G387" s="15"/>
      <c r="H387" s="15"/>
      <c r="I387" s="17"/>
      <c r="J387" s="15"/>
    </row>
    <row r="388" spans="1:10">
      <c r="A388" s="4"/>
      <c r="B388" s="12"/>
      <c r="C388" s="15"/>
      <c r="D388" s="15"/>
      <c r="E388" s="15"/>
      <c r="F388" s="15"/>
      <c r="G388" s="15"/>
      <c r="H388" s="15"/>
      <c r="I388" s="17"/>
      <c r="J388" s="15"/>
    </row>
    <row r="389" spans="1:10">
      <c r="A389" s="4"/>
      <c r="B389" s="12"/>
      <c r="C389" s="15"/>
      <c r="D389" s="15"/>
      <c r="E389" s="15"/>
      <c r="F389" s="15"/>
      <c r="G389" s="15"/>
      <c r="H389" s="15"/>
      <c r="I389" s="17"/>
      <c r="J389" s="15"/>
    </row>
    <row r="390" spans="1:10">
      <c r="A390" s="4"/>
      <c r="B390" s="12"/>
      <c r="C390" s="15"/>
      <c r="D390" s="15"/>
      <c r="E390" s="15"/>
      <c r="F390" s="15"/>
      <c r="G390" s="15"/>
      <c r="H390" s="15"/>
      <c r="I390" s="17"/>
      <c r="J390" s="15"/>
    </row>
  </sheetData>
  <sheetProtection formatCells="0" formatColumns="0" selectLockedCells="1"/>
  <mergeCells count="14">
    <mergeCell ref="A14:C14"/>
    <mergeCell ref="A15:C15"/>
    <mergeCell ref="A16:C16"/>
    <mergeCell ref="A12:C12"/>
    <mergeCell ref="K1:N1"/>
    <mergeCell ref="A7:C7"/>
    <mergeCell ref="A11:C11"/>
    <mergeCell ref="A13:C13"/>
    <mergeCell ref="A1:J1"/>
    <mergeCell ref="A4:C4"/>
    <mergeCell ref="A5:C5"/>
    <mergeCell ref="A6:C6"/>
    <mergeCell ref="A8:C8"/>
    <mergeCell ref="G4:J9"/>
  </mergeCells>
  <conditionalFormatting sqref="A19:I378">
    <cfRule type="expression" dxfId="3" priority="3" stopIfTrue="1">
      <formula>IF(ROW(A19)&gt;Last_Row,TRUE, FALSE)</formula>
    </cfRule>
    <cfRule type="expression" dxfId="2" priority="4" stopIfTrue="1">
      <formula>IF(ROW(A19)=Last_Row,TRUE, FALSE)</formula>
    </cfRule>
  </conditionalFormatting>
  <dataValidations count="1">
    <dataValidation type="whole" operator="lessThanOrEqual" allowBlank="1" showErrorMessage="1" errorTitle="Aandacht!" error="De maximum looptijd van de lening mag maximaal 30 jaar zijn." sqref="D6">
      <formula1>30</formula1>
    </dataValidation>
  </dataValidations>
  <printOptions horizontalCentered="1" verticalCentered="1"/>
  <pageMargins left="0.74803149606299213" right="0.51181102362204722" top="0.51181102362204722" bottom="0.78740157480314965" header="0.51181102362204722" footer="0.39370078740157483"/>
  <pageSetup paperSize="9" scale="53" fitToHeight="0" orientation="portrait" r:id="rId1"/>
  <headerFooter alignWithMargins="0">
    <oddFooter>&amp;Crenteopdevoet.be, rodv.be of thoroweb kunnen op geen enkele manier aansprakelijk gesteld worden voor fouten, misverstanden of verliezen die voortkomen uit berekeningen met deze rekenmodule</oddFooter>
  </headerFooter>
  <ignoredErrors>
    <ignoredError sqref="A18:I18 A19:C19 G19:H19 G20:H20 A20:B20 M6:M17 H21:H378" formula="1"/>
  </ignoredErrors>
  <drawing r:id="rId2"/>
</worksheet>
</file>

<file path=xl/worksheets/sheet2.xml><?xml version="1.0" encoding="utf-8"?>
<worksheet xmlns="http://schemas.openxmlformats.org/spreadsheetml/2006/main" xmlns:r="http://schemas.openxmlformats.org/officeDocument/2006/relationships">
  <sheetPr codeName="Blad2">
    <pageSetUpPr fitToPage="1"/>
  </sheetPr>
  <dimension ref="A1:N390"/>
  <sheetViews>
    <sheetView showGridLines="0" showRowColHeaders="0" zoomScaleNormal="100" workbookViewId="0">
      <pane ySplit="18" topLeftCell="A19" activePane="bottomLeft" state="frozenSplit"/>
      <selection pane="bottomLeft" activeCell="D5" sqref="D5"/>
    </sheetView>
  </sheetViews>
  <sheetFormatPr defaultRowHeight="13.5"/>
  <cols>
    <col min="1" max="1" width="5.28515625" style="10" customWidth="1"/>
    <col min="2" max="2" width="14.42578125" style="13" customWidth="1"/>
    <col min="3" max="3" width="12.85546875" style="16" bestFit="1" customWidth="1"/>
    <col min="4" max="5" width="13.28515625" style="16" customWidth="1"/>
    <col min="6" max="6" width="11.5703125" style="16" customWidth="1"/>
    <col min="7" max="7" width="16.85546875" style="16" customWidth="1"/>
    <col min="8" max="8" width="10.85546875" style="16" hidden="1" customWidth="1"/>
    <col min="9" max="9" width="14.5703125" style="25" hidden="1" customWidth="1"/>
    <col min="10" max="10" width="46.28515625" style="16" customWidth="1"/>
    <col min="11" max="11" width="9.140625" style="21" hidden="1" customWidth="1"/>
    <col min="12" max="12" width="9.140625" style="17" hidden="1" customWidth="1"/>
    <col min="13" max="13" width="9.140625" style="21" hidden="1" customWidth="1"/>
    <col min="14" max="14" width="9.140625" style="17" hidden="1" customWidth="1"/>
    <col min="15" max="16384" width="9.140625" style="4"/>
  </cols>
  <sheetData>
    <row r="1" spans="1:14" ht="33" customHeight="1">
      <c r="A1" s="68" t="s">
        <v>20</v>
      </c>
      <c r="B1" s="69"/>
      <c r="C1" s="69"/>
      <c r="D1" s="69"/>
      <c r="E1" s="69"/>
      <c r="F1" s="69"/>
      <c r="G1" s="69"/>
      <c r="H1" s="69"/>
      <c r="I1" s="69"/>
      <c r="J1" s="70"/>
      <c r="K1" s="66" t="s">
        <v>21</v>
      </c>
      <c r="L1" s="67"/>
      <c r="M1" s="67"/>
      <c r="N1" s="67"/>
    </row>
    <row r="2" spans="1:14">
      <c r="A2" s="1"/>
      <c r="B2" s="1"/>
      <c r="C2" s="1"/>
      <c r="D2" s="1"/>
      <c r="E2" s="1"/>
      <c r="F2" s="1"/>
      <c r="G2" s="34"/>
      <c r="H2" s="34"/>
      <c r="I2" s="35"/>
      <c r="J2" s="49"/>
      <c r="K2" s="31" t="s">
        <v>16</v>
      </c>
      <c r="L2" s="29" t="s">
        <v>8</v>
      </c>
      <c r="M2" s="31" t="s">
        <v>16</v>
      </c>
      <c r="N2" s="29" t="s">
        <v>8</v>
      </c>
    </row>
    <row r="3" spans="1:14" ht="14.25">
      <c r="A3" s="54"/>
      <c r="B3" s="54"/>
      <c r="C3" s="54"/>
      <c r="D3" s="5" t="s">
        <v>0</v>
      </c>
      <c r="E3" s="5"/>
      <c r="F3" s="54"/>
      <c r="G3" s="6" t="s">
        <v>1</v>
      </c>
      <c r="H3" s="6"/>
      <c r="I3" s="23"/>
      <c r="J3" s="38"/>
      <c r="K3" s="44">
        <v>1</v>
      </c>
      <c r="L3" s="40">
        <f>Interest_Rate</f>
        <v>0</v>
      </c>
      <c r="M3" s="30">
        <v>16</v>
      </c>
      <c r="N3" s="40">
        <f>L17</f>
        <v>0</v>
      </c>
    </row>
    <row r="4" spans="1:14" ht="14.25" customHeight="1">
      <c r="A4" s="63" t="s">
        <v>2</v>
      </c>
      <c r="B4" s="63"/>
      <c r="C4" s="64"/>
      <c r="D4" s="41"/>
      <c r="E4" s="20"/>
      <c r="F4" s="54"/>
      <c r="G4" s="71" t="s">
        <v>25</v>
      </c>
      <c r="H4" s="71"/>
      <c r="I4" s="71"/>
      <c r="J4" s="72"/>
      <c r="K4" s="30">
        <v>2</v>
      </c>
      <c r="L4" s="40">
        <f>L3</f>
        <v>0</v>
      </c>
      <c r="M4" s="30">
        <v>17</v>
      </c>
      <c r="N4" s="40">
        <f>N3</f>
        <v>0</v>
      </c>
    </row>
    <row r="5" spans="1:14" ht="14.25">
      <c r="A5" s="63" t="s">
        <v>19</v>
      </c>
      <c r="B5" s="63"/>
      <c r="C5" s="64"/>
      <c r="D5" s="42"/>
      <c r="E5" s="58"/>
      <c r="F5" s="54"/>
      <c r="G5" s="71"/>
      <c r="H5" s="71"/>
      <c r="I5" s="71"/>
      <c r="J5" s="72"/>
      <c r="K5" s="30">
        <v>3</v>
      </c>
      <c r="L5" s="40">
        <f t="shared" ref="L5:L17" si="0">L4</f>
        <v>0</v>
      </c>
      <c r="M5" s="30">
        <v>18</v>
      </c>
      <c r="N5" s="40">
        <f t="shared" ref="N5:N17" si="1">N4</f>
        <v>0</v>
      </c>
    </row>
    <row r="6" spans="1:14" ht="14.25">
      <c r="A6" s="63" t="s">
        <v>3</v>
      </c>
      <c r="B6" s="63"/>
      <c r="C6" s="64"/>
      <c r="D6" s="43"/>
      <c r="E6" s="58"/>
      <c r="F6" s="54"/>
      <c r="G6" s="71"/>
      <c r="H6" s="71"/>
      <c r="I6" s="71"/>
      <c r="J6" s="72"/>
      <c r="K6" s="30">
        <v>4</v>
      </c>
      <c r="L6" s="40">
        <f t="shared" si="0"/>
        <v>0</v>
      </c>
      <c r="M6" s="30">
        <v>19</v>
      </c>
      <c r="N6" s="40">
        <f t="shared" si="1"/>
        <v>0</v>
      </c>
    </row>
    <row r="7" spans="1:14" ht="14.25">
      <c r="A7" s="63" t="s">
        <v>4</v>
      </c>
      <c r="B7" s="63"/>
      <c r="C7" s="64"/>
      <c r="D7" s="51"/>
      <c r="E7" s="59"/>
      <c r="F7" s="54"/>
      <c r="G7" s="71"/>
      <c r="H7" s="71"/>
      <c r="I7" s="71"/>
      <c r="J7" s="72"/>
      <c r="K7" s="30">
        <v>5</v>
      </c>
      <c r="L7" s="40">
        <f t="shared" si="0"/>
        <v>0</v>
      </c>
      <c r="M7" s="30">
        <v>20</v>
      </c>
      <c r="N7" s="40">
        <f t="shared" si="1"/>
        <v>0</v>
      </c>
    </row>
    <row r="8" spans="1:14" ht="14.25">
      <c r="A8" s="63" t="s">
        <v>23</v>
      </c>
      <c r="B8" s="63"/>
      <c r="C8" s="64"/>
      <c r="D8" s="42"/>
      <c r="E8" s="58"/>
      <c r="F8" s="54"/>
      <c r="G8" s="71"/>
      <c r="H8" s="71"/>
      <c r="I8" s="71"/>
      <c r="J8" s="72"/>
      <c r="K8" s="44">
        <v>6</v>
      </c>
      <c r="L8" s="40">
        <f t="shared" si="0"/>
        <v>0</v>
      </c>
      <c r="M8" s="30">
        <v>21</v>
      </c>
      <c r="N8" s="40">
        <f t="shared" si="1"/>
        <v>0</v>
      </c>
    </row>
    <row r="9" spans="1:14" ht="14.25">
      <c r="A9" s="2"/>
      <c r="B9" s="2"/>
      <c r="C9" s="2"/>
      <c r="D9" s="57"/>
      <c r="E9" s="60"/>
      <c r="F9" s="36"/>
      <c r="G9" s="71"/>
      <c r="H9" s="71"/>
      <c r="I9" s="71"/>
      <c r="J9" s="72"/>
      <c r="K9" s="44">
        <v>7</v>
      </c>
      <c r="L9" s="40">
        <f t="shared" si="0"/>
        <v>0</v>
      </c>
      <c r="M9" s="30">
        <v>22</v>
      </c>
      <c r="N9" s="40">
        <f t="shared" si="1"/>
        <v>0</v>
      </c>
    </row>
    <row r="10" spans="1:14" ht="14.25">
      <c r="A10" s="54"/>
      <c r="B10" s="54"/>
      <c r="C10" s="54"/>
      <c r="D10" s="54"/>
      <c r="F10" s="54"/>
      <c r="G10" s="54"/>
      <c r="H10" s="54"/>
      <c r="I10" s="23"/>
      <c r="J10" s="45"/>
      <c r="K10" s="44">
        <v>8</v>
      </c>
      <c r="L10" s="40">
        <f t="shared" si="0"/>
        <v>0</v>
      </c>
      <c r="M10" s="30">
        <v>23</v>
      </c>
      <c r="N10" s="40">
        <f t="shared" si="1"/>
        <v>0</v>
      </c>
    </row>
    <row r="11" spans="1:14" ht="14.25">
      <c r="A11" s="73" t="s">
        <v>24</v>
      </c>
      <c r="B11" s="73"/>
      <c r="C11" s="73"/>
      <c r="D11" s="62" t="str">
        <f>IF(Values_Entered,MIN(Maandelijkse_aflossing),"")</f>
        <v/>
      </c>
      <c r="F11" s="54"/>
      <c r="G11" s="7"/>
      <c r="H11" s="7"/>
      <c r="I11" s="23"/>
      <c r="J11" s="45"/>
      <c r="K11" s="44">
        <v>9</v>
      </c>
      <c r="L11" s="40">
        <f t="shared" si="0"/>
        <v>0</v>
      </c>
      <c r="M11" s="30">
        <v>24</v>
      </c>
      <c r="N11" s="40">
        <f t="shared" si="1"/>
        <v>0</v>
      </c>
    </row>
    <row r="12" spans="1:14" ht="14.25" customHeight="1">
      <c r="A12" s="73" t="s">
        <v>22</v>
      </c>
      <c r="B12" s="73"/>
      <c r="C12" s="73"/>
      <c r="D12" s="61" t="str">
        <f>IF(Values_Entered,MAX(Maandelijkse_aflossing),"")</f>
        <v/>
      </c>
      <c r="F12" s="54"/>
      <c r="G12" s="7"/>
      <c r="H12" s="7"/>
      <c r="I12" s="23"/>
      <c r="J12" s="45"/>
      <c r="K12" s="44">
        <v>10</v>
      </c>
      <c r="L12" s="40">
        <f t="shared" si="0"/>
        <v>0</v>
      </c>
      <c r="M12" s="30">
        <v>25</v>
      </c>
      <c r="N12" s="40">
        <f t="shared" si="1"/>
        <v>0</v>
      </c>
    </row>
    <row r="13" spans="1:14" ht="14.25">
      <c r="A13" s="63" t="s">
        <v>27</v>
      </c>
      <c r="B13" s="63"/>
      <c r="C13" s="63"/>
      <c r="D13" s="53" t="str">
        <f>IF(Values_Entered,AVERAGE(Maandelijkse_aflossing),"")</f>
        <v/>
      </c>
      <c r="E13" s="32"/>
      <c r="F13" s="54"/>
      <c r="G13" s="8"/>
      <c r="H13" s="8"/>
      <c r="I13" s="23"/>
      <c r="J13" s="45"/>
      <c r="K13" s="44">
        <v>11</v>
      </c>
      <c r="L13" s="40">
        <f t="shared" si="0"/>
        <v>0</v>
      </c>
      <c r="M13" s="30">
        <v>26</v>
      </c>
      <c r="N13" s="40">
        <f t="shared" si="1"/>
        <v>0</v>
      </c>
    </row>
    <row r="14" spans="1:14" ht="14.25">
      <c r="A14" s="63" t="s">
        <v>17</v>
      </c>
      <c r="B14" s="63"/>
      <c r="C14" s="64"/>
      <c r="D14" s="52" t="str">
        <f>IF(Values_Entered,Loan_Years*12,"")</f>
        <v/>
      </c>
      <c r="F14" s="54"/>
      <c r="G14" s="7"/>
      <c r="H14" s="7"/>
      <c r="I14" s="23"/>
      <c r="J14" s="45"/>
      <c r="K14" s="44">
        <v>12</v>
      </c>
      <c r="L14" s="40">
        <f t="shared" si="0"/>
        <v>0</v>
      </c>
      <c r="M14" s="30">
        <v>27</v>
      </c>
      <c r="N14" s="40">
        <f t="shared" si="1"/>
        <v>0</v>
      </c>
    </row>
    <row r="15" spans="1:14" ht="15.75" customHeight="1">
      <c r="A15" s="63" t="s">
        <v>5</v>
      </c>
      <c r="B15" s="63"/>
      <c r="C15" s="64"/>
      <c r="D15" s="39" t="str">
        <f>IF(Values_Entered,SUMIF(Beg_Bal,"&gt;0",Int),"")</f>
        <v/>
      </c>
      <c r="F15" s="26"/>
      <c r="G15" s="26"/>
      <c r="H15" s="26"/>
      <c r="I15" s="23"/>
      <c r="J15" s="38"/>
      <c r="K15" s="44">
        <v>13</v>
      </c>
      <c r="L15" s="40">
        <f t="shared" si="0"/>
        <v>0</v>
      </c>
      <c r="M15" s="30">
        <v>28</v>
      </c>
      <c r="N15" s="40">
        <f t="shared" si="1"/>
        <v>0</v>
      </c>
    </row>
    <row r="16" spans="1:14" ht="15.75" customHeight="1">
      <c r="A16" s="63" t="s">
        <v>18</v>
      </c>
      <c r="B16" s="63"/>
      <c r="C16" s="64"/>
      <c r="D16" s="39" t="str">
        <f>IF(Values_Entered,SUMIF(Beg_Bal,"&gt;0",Int)+Loan_Amount,"")</f>
        <v/>
      </c>
      <c r="F16" s="26"/>
      <c r="G16" s="26"/>
      <c r="H16" s="26"/>
      <c r="I16" s="23"/>
      <c r="J16" s="38"/>
      <c r="K16" s="44">
        <v>14</v>
      </c>
      <c r="L16" s="40">
        <f t="shared" si="0"/>
        <v>0</v>
      </c>
      <c r="M16" s="30">
        <v>29</v>
      </c>
      <c r="N16" s="40">
        <f t="shared" si="1"/>
        <v>0</v>
      </c>
    </row>
    <row r="17" spans="1:14" ht="15.75" customHeight="1">
      <c r="A17" s="54"/>
      <c r="B17" s="54"/>
      <c r="C17" s="54"/>
      <c r="D17" s="54"/>
      <c r="E17" s="54"/>
      <c r="F17" s="26"/>
      <c r="G17" s="26"/>
      <c r="H17" s="26"/>
      <c r="I17" s="23"/>
      <c r="J17" s="38"/>
      <c r="K17" s="44">
        <v>15</v>
      </c>
      <c r="L17" s="40">
        <f t="shared" si="0"/>
        <v>0</v>
      </c>
      <c r="M17" s="30">
        <v>30</v>
      </c>
      <c r="N17" s="40">
        <f t="shared" si="1"/>
        <v>0</v>
      </c>
    </row>
    <row r="18" spans="1:14" s="9" customFormat="1" ht="32.25" customHeight="1">
      <c r="A18" s="33" t="s">
        <v>6</v>
      </c>
      <c r="B18" s="33" t="s">
        <v>7</v>
      </c>
      <c r="C18" s="33" t="s">
        <v>10</v>
      </c>
      <c r="D18" s="33" t="s">
        <v>13</v>
      </c>
      <c r="E18" s="33" t="s">
        <v>11</v>
      </c>
      <c r="F18" s="33" t="s">
        <v>12</v>
      </c>
      <c r="G18" s="33" t="s">
        <v>9</v>
      </c>
      <c r="H18" s="27" t="s">
        <v>14</v>
      </c>
      <c r="I18" s="27" t="s">
        <v>15</v>
      </c>
      <c r="K18" s="22"/>
      <c r="L18" s="18"/>
      <c r="M18" s="22"/>
      <c r="N18" s="18"/>
    </row>
    <row r="19" spans="1:14" s="9" customFormat="1" ht="14.25">
      <c r="A19" s="46" t="str">
        <f>IF(Values_Entered,1,"")</f>
        <v/>
      </c>
      <c r="B19" s="47" t="str">
        <f>IF(Pay_Num&lt;&gt;"",Loan_Start,"")</f>
        <v/>
      </c>
      <c r="C19" s="48" t="str">
        <f>IF(Values_Entered,Loan_Amount,"")</f>
        <v/>
      </c>
      <c r="D19" s="48" t="str">
        <f>IF(Values_Entered,-PMT(Maandelijkse_rente_percentage,(Loan_Years*12)-Pay_Num+1,Beg_Bal),"")</f>
        <v/>
      </c>
      <c r="E19" s="48" t="str">
        <f t="shared" ref="E19:E82" si="2">IF(Pay_Num&lt;&gt;"",Maandelijkse_aflossing-Int,"")</f>
        <v/>
      </c>
      <c r="F19" s="48" t="e">
        <f t="shared" ref="F19:F82" si="3">Beg_Bal*Maandelijkse_rente_percentage</f>
        <v>#VALUE!</v>
      </c>
      <c r="G19" s="50" t="str">
        <f>IF(Pay_Num&lt;&gt;"",Beg_Bal-Princ,"")</f>
        <v/>
      </c>
      <c r="H19" s="19">
        <f>L3</f>
        <v>0</v>
      </c>
      <c r="I19" s="19">
        <f t="shared" ref="I19:I82" si="4">((1+Jaarlijk_rente_percentage)^(1/12))-1</f>
        <v>0</v>
      </c>
      <c r="K19" s="22"/>
      <c r="L19" s="18"/>
      <c r="M19" s="22"/>
      <c r="N19" s="18"/>
    </row>
    <row r="20" spans="1:14" s="9" customFormat="1" ht="12.75" customHeight="1">
      <c r="A20" s="46" t="str">
        <f t="shared" ref="A20:A83" si="5">IF(Values_Entered,A19+1,"")</f>
        <v/>
      </c>
      <c r="B20" s="47" t="str">
        <f t="shared" ref="B20:B83" si="6">IF(Pay_Num&lt;&gt;"",DATE(YEAR(B19),MONTH(B19)+1,DAY(B19)),"")</f>
        <v/>
      </c>
      <c r="C20" s="48" t="str">
        <f t="shared" ref="C20" si="7">IF(Pay_Num&lt;&gt;"",G19,"")</f>
        <v/>
      </c>
      <c r="D20" s="48" t="str">
        <f>IF(ISERROR(PMT(Maandelijkse_rente_percentage,(Loan_Years*12)-Pay_Num+1,Beg_Bal)),"",IF(Values_Entered,-PMT(Maandelijkse_rente_percentage,(Loan_Years*12)-Pay_Num+1,Beg_Bal),""))</f>
        <v/>
      </c>
      <c r="E20" s="48" t="str">
        <f t="shared" si="2"/>
        <v/>
      </c>
      <c r="F20" s="48" t="e">
        <f t="shared" si="3"/>
        <v>#VALUE!</v>
      </c>
      <c r="G20" s="48" t="str">
        <f t="shared" ref="G20:G83" si="8">IF(Pay_Num&lt;&gt;"",Beg_Bal-Princ,"")</f>
        <v/>
      </c>
      <c r="H20" s="19">
        <f>H19</f>
        <v>0</v>
      </c>
      <c r="I20" s="19">
        <f t="shared" si="4"/>
        <v>0</v>
      </c>
      <c r="K20" s="22"/>
      <c r="L20" s="18"/>
      <c r="M20" s="22"/>
      <c r="N20" s="18"/>
    </row>
    <row r="21" spans="1:14" s="9" customFormat="1" ht="12.75" customHeight="1">
      <c r="A21" s="46" t="str">
        <f t="shared" si="5"/>
        <v/>
      </c>
      <c r="B21" s="47" t="str">
        <f t="shared" si="6"/>
        <v/>
      </c>
      <c r="C21" s="48" t="str">
        <f t="shared" ref="C21:C84" si="9">IF(Pay_Num&lt;&gt;"",G20,"")</f>
        <v/>
      </c>
      <c r="D21" s="48" t="str">
        <f>IF(ISERROR(PMT(Maandelijkse_rente_percentage,(Loan_Years*12)-Pay_Num+1,Beg_Bal)),"",IF(Values_Entered,-PMT(Maandelijkse_rente_percentage,(Loan_Years*12)-Pay_Num+1,Beg_Bal),""))</f>
        <v/>
      </c>
      <c r="E21" s="48" t="str">
        <f t="shared" si="2"/>
        <v/>
      </c>
      <c r="F21" s="48" t="e">
        <f t="shared" si="3"/>
        <v>#VALUE!</v>
      </c>
      <c r="G21" s="48" t="str">
        <f t="shared" si="8"/>
        <v/>
      </c>
      <c r="H21" s="19">
        <f t="shared" ref="H21:H78" si="10">H20</f>
        <v>0</v>
      </c>
      <c r="I21" s="19">
        <f t="shared" si="4"/>
        <v>0</v>
      </c>
      <c r="K21" s="22"/>
      <c r="L21" s="18"/>
      <c r="M21" s="22"/>
      <c r="N21" s="18"/>
    </row>
    <row r="22" spans="1:14" s="9" customFormat="1" ht="14.25">
      <c r="A22" s="46" t="str">
        <f t="shared" si="5"/>
        <v/>
      </c>
      <c r="B22" s="47" t="str">
        <f t="shared" si="6"/>
        <v/>
      </c>
      <c r="C22" s="48" t="str">
        <f t="shared" si="9"/>
        <v/>
      </c>
      <c r="D22" s="48" t="str">
        <f>IF(ISERROR(PMT(Maandelijkse_rente_percentage,(Loan_Years*12)-Pay_Num+1,Beg_Bal)),"",IF(Values_Entered,-PMT(Maandelijkse_rente_percentage,(Loan_Years*12)-Pay_Num+1,Beg_Bal),""))</f>
        <v/>
      </c>
      <c r="E22" s="48" t="str">
        <f t="shared" si="2"/>
        <v/>
      </c>
      <c r="F22" s="48" t="e">
        <f t="shared" si="3"/>
        <v>#VALUE!</v>
      </c>
      <c r="G22" s="48" t="str">
        <f t="shared" si="8"/>
        <v/>
      </c>
      <c r="H22" s="19">
        <f t="shared" si="10"/>
        <v>0</v>
      </c>
      <c r="I22" s="19">
        <f t="shared" si="4"/>
        <v>0</v>
      </c>
      <c r="K22" s="22"/>
      <c r="L22" s="18"/>
      <c r="M22" s="22"/>
      <c r="N22" s="18"/>
    </row>
    <row r="23" spans="1:14" s="9" customFormat="1" ht="14.25">
      <c r="A23" s="46" t="str">
        <f t="shared" si="5"/>
        <v/>
      </c>
      <c r="B23" s="47" t="str">
        <f t="shared" si="6"/>
        <v/>
      </c>
      <c r="C23" s="48" t="str">
        <f t="shared" si="9"/>
        <v/>
      </c>
      <c r="D23" s="48" t="str">
        <f>IF(ISERROR(PMT(Maandelijkse_rente_percentage,(Loan_Years*12)-Pay_Num+1,Beg_Bal)),"",IF(Values_Entered,-PMT(Maandelijkse_rente_percentage,(Loan_Years*12)-Pay_Num+1,Beg_Bal),""))</f>
        <v/>
      </c>
      <c r="E23" s="48" t="str">
        <f t="shared" si="2"/>
        <v/>
      </c>
      <c r="F23" s="48" t="e">
        <f t="shared" si="3"/>
        <v>#VALUE!</v>
      </c>
      <c r="G23" s="48" t="str">
        <f t="shared" si="8"/>
        <v/>
      </c>
      <c r="H23" s="19">
        <f t="shared" si="10"/>
        <v>0</v>
      </c>
      <c r="I23" s="19">
        <f t="shared" si="4"/>
        <v>0</v>
      </c>
      <c r="K23" s="22"/>
      <c r="L23" s="18"/>
      <c r="M23" s="22"/>
      <c r="N23" s="18"/>
    </row>
    <row r="24" spans="1:14" ht="14.25">
      <c r="A24" s="46" t="str">
        <f t="shared" si="5"/>
        <v/>
      </c>
      <c r="B24" s="47" t="str">
        <f t="shared" si="6"/>
        <v/>
      </c>
      <c r="C24" s="48" t="str">
        <f t="shared" si="9"/>
        <v/>
      </c>
      <c r="D24" s="48" t="str">
        <f>IF(ISERROR(PMT(Maandelijkse_rente_percentage,(Loan_Years*12)-Pay_Num+1,Beg_Bal)),"",IF(Values_Entered,-PMT(Maandelijkse_rente_percentage,(Loan_Years*12)-Pay_Num+1,Beg_Bal),""))</f>
        <v/>
      </c>
      <c r="E24" s="48" t="str">
        <f t="shared" si="2"/>
        <v/>
      </c>
      <c r="F24" s="48" t="e">
        <f t="shared" si="3"/>
        <v>#VALUE!</v>
      </c>
      <c r="G24" s="48" t="str">
        <f t="shared" si="8"/>
        <v/>
      </c>
      <c r="H24" s="19">
        <f t="shared" si="10"/>
        <v>0</v>
      </c>
      <c r="I24" s="19">
        <f t="shared" si="4"/>
        <v>0</v>
      </c>
      <c r="J24" s="4"/>
    </row>
    <row r="25" spans="1:14" ht="14.25">
      <c r="A25" s="46" t="str">
        <f t="shared" si="5"/>
        <v/>
      </c>
      <c r="B25" s="47" t="str">
        <f t="shared" si="6"/>
        <v/>
      </c>
      <c r="C25" s="48" t="str">
        <f t="shared" si="9"/>
        <v/>
      </c>
      <c r="D25" s="48" t="str">
        <f>IF(ISERROR(PMT(Maandelijkse_rente_percentage,(Loan_Years*12)-Pay_Num+1,Beg_Bal)),"",IF(Values_Entered,-PMT(Maandelijkse_rente_percentage,(Loan_Years*12)-Pay_Num+1,Beg_Bal),""))</f>
        <v/>
      </c>
      <c r="E25" s="48" t="str">
        <f t="shared" si="2"/>
        <v/>
      </c>
      <c r="F25" s="48" t="e">
        <f t="shared" si="3"/>
        <v>#VALUE!</v>
      </c>
      <c r="G25" s="48" t="str">
        <f t="shared" si="8"/>
        <v/>
      </c>
      <c r="H25" s="19">
        <f t="shared" si="10"/>
        <v>0</v>
      </c>
      <c r="I25" s="19">
        <f t="shared" si="4"/>
        <v>0</v>
      </c>
      <c r="J25" s="4"/>
    </row>
    <row r="26" spans="1:14" ht="14.25">
      <c r="A26" s="46" t="str">
        <f t="shared" si="5"/>
        <v/>
      </c>
      <c r="B26" s="47" t="str">
        <f t="shared" si="6"/>
        <v/>
      </c>
      <c r="C26" s="48" t="str">
        <f t="shared" si="9"/>
        <v/>
      </c>
      <c r="D26" s="48" t="str">
        <f>IF(ISERROR(PMT(Maandelijkse_rente_percentage,(Loan_Years*12)-Pay_Num+1,Beg_Bal)),"",IF(Values_Entered,-PMT(Maandelijkse_rente_percentage,(Loan_Years*12)-Pay_Num+1,Beg_Bal),""))</f>
        <v/>
      </c>
      <c r="E26" s="48" t="str">
        <f t="shared" si="2"/>
        <v/>
      </c>
      <c r="F26" s="48" t="e">
        <f t="shared" si="3"/>
        <v>#VALUE!</v>
      </c>
      <c r="G26" s="48" t="str">
        <f t="shared" si="8"/>
        <v/>
      </c>
      <c r="H26" s="19">
        <f t="shared" si="10"/>
        <v>0</v>
      </c>
      <c r="I26" s="19">
        <f t="shared" si="4"/>
        <v>0</v>
      </c>
      <c r="J26" s="4"/>
    </row>
    <row r="27" spans="1:14" ht="14.25">
      <c r="A27" s="46" t="str">
        <f t="shared" si="5"/>
        <v/>
      </c>
      <c r="B27" s="47" t="str">
        <f t="shared" si="6"/>
        <v/>
      </c>
      <c r="C27" s="48" t="str">
        <f t="shared" si="9"/>
        <v/>
      </c>
      <c r="D27" s="48" t="str">
        <f>IF(ISERROR(PMT(Maandelijkse_rente_percentage,(Loan_Years*12)-Pay_Num+1,Beg_Bal)),"",IF(Values_Entered,-PMT(Maandelijkse_rente_percentage,(Loan_Years*12)-Pay_Num+1,Beg_Bal),""))</f>
        <v/>
      </c>
      <c r="E27" s="48" t="str">
        <f>IF(Pay_Num&lt;&gt;"",Maandelijkse_aflossing-Int,"")</f>
        <v/>
      </c>
      <c r="F27" s="48" t="e">
        <f t="shared" si="3"/>
        <v>#VALUE!</v>
      </c>
      <c r="G27" s="48" t="str">
        <f t="shared" si="8"/>
        <v/>
      </c>
      <c r="H27" s="19">
        <f t="shared" si="10"/>
        <v>0</v>
      </c>
      <c r="I27" s="19">
        <f t="shared" si="4"/>
        <v>0</v>
      </c>
      <c r="J27" s="4"/>
    </row>
    <row r="28" spans="1:14" ht="14.25">
      <c r="A28" s="46" t="str">
        <f t="shared" si="5"/>
        <v/>
      </c>
      <c r="B28" s="47" t="str">
        <f t="shared" si="6"/>
        <v/>
      </c>
      <c r="C28" s="48" t="str">
        <f t="shared" si="9"/>
        <v/>
      </c>
      <c r="D28" s="48" t="str">
        <f>IF(ISERROR(PMT(Maandelijkse_rente_percentage,(Loan_Years*12)-Pay_Num+1,Beg_Bal)),"",IF(Values_Entered,-PMT(Maandelijkse_rente_percentage,(Loan_Years*12)-Pay_Num+1,Beg_Bal),""))</f>
        <v/>
      </c>
      <c r="E28" s="48" t="str">
        <f t="shared" si="2"/>
        <v/>
      </c>
      <c r="F28" s="48" t="e">
        <f t="shared" si="3"/>
        <v>#VALUE!</v>
      </c>
      <c r="G28" s="48" t="str">
        <f t="shared" si="8"/>
        <v/>
      </c>
      <c r="H28" s="19">
        <f t="shared" si="10"/>
        <v>0</v>
      </c>
      <c r="I28" s="19">
        <f t="shared" si="4"/>
        <v>0</v>
      </c>
      <c r="J28" s="4"/>
    </row>
    <row r="29" spans="1:14" ht="14.25">
      <c r="A29" s="46" t="str">
        <f t="shared" si="5"/>
        <v/>
      </c>
      <c r="B29" s="47" t="str">
        <f t="shared" si="6"/>
        <v/>
      </c>
      <c r="C29" s="48" t="str">
        <f t="shared" si="9"/>
        <v/>
      </c>
      <c r="D29" s="48" t="str">
        <f>IF(ISERROR(PMT(Maandelijkse_rente_percentage,(Loan_Years*12)-Pay_Num+1,Beg_Bal)),"",IF(Values_Entered,-PMT(Maandelijkse_rente_percentage,(Loan_Years*12)-Pay_Num+1,Beg_Bal),""))</f>
        <v/>
      </c>
      <c r="E29" s="48" t="str">
        <f t="shared" si="2"/>
        <v/>
      </c>
      <c r="F29" s="48" t="e">
        <f t="shared" si="3"/>
        <v>#VALUE!</v>
      </c>
      <c r="G29" s="48" t="str">
        <f t="shared" si="8"/>
        <v/>
      </c>
      <c r="H29" s="19">
        <f t="shared" si="10"/>
        <v>0</v>
      </c>
      <c r="I29" s="19">
        <f t="shared" si="4"/>
        <v>0</v>
      </c>
      <c r="J29" s="4"/>
    </row>
    <row r="30" spans="1:14" ht="14.25">
      <c r="A30" s="46" t="str">
        <f t="shared" si="5"/>
        <v/>
      </c>
      <c r="B30" s="47" t="str">
        <f t="shared" si="6"/>
        <v/>
      </c>
      <c r="C30" s="48" t="str">
        <f t="shared" si="9"/>
        <v/>
      </c>
      <c r="D30" s="48" t="str">
        <f>IF(ISERROR(PMT(Maandelijkse_rente_percentage,(Loan_Years*12)-Pay_Num+1,Beg_Bal)),"",IF(Values_Entered,-PMT(Maandelijkse_rente_percentage,(Loan_Years*12)-Pay_Num+1,Beg_Bal),""))</f>
        <v/>
      </c>
      <c r="E30" s="48" t="str">
        <f t="shared" si="2"/>
        <v/>
      </c>
      <c r="F30" s="48" t="e">
        <f t="shared" si="3"/>
        <v>#VALUE!</v>
      </c>
      <c r="G30" s="48" t="str">
        <f t="shared" si="8"/>
        <v/>
      </c>
      <c r="H30" s="19">
        <f t="shared" si="10"/>
        <v>0</v>
      </c>
      <c r="I30" s="19">
        <f t="shared" si="4"/>
        <v>0</v>
      </c>
      <c r="J30" s="4"/>
    </row>
    <row r="31" spans="1:14" ht="14.25">
      <c r="A31" s="46" t="str">
        <f t="shared" si="5"/>
        <v/>
      </c>
      <c r="B31" s="47" t="str">
        <f t="shared" si="6"/>
        <v/>
      </c>
      <c r="C31" s="48" t="str">
        <f t="shared" si="9"/>
        <v/>
      </c>
      <c r="D31" s="48" t="str">
        <f>IF(ISERROR(PMT(Maandelijkse_rente_percentage,(Loan_Years*12)-Pay_Num+1,Beg_Bal)),"",IF(Values_Entered,-PMT(Maandelijkse_rente_percentage,(Loan_Years*12)-Pay_Num+1,Beg_Bal),""))</f>
        <v/>
      </c>
      <c r="E31" s="48" t="str">
        <f t="shared" si="2"/>
        <v/>
      </c>
      <c r="F31" s="48" t="e">
        <f t="shared" si="3"/>
        <v>#VALUE!</v>
      </c>
      <c r="G31" s="48" t="str">
        <f t="shared" si="8"/>
        <v/>
      </c>
      <c r="H31" s="19">
        <f>L4</f>
        <v>0</v>
      </c>
      <c r="I31" s="19">
        <f t="shared" si="4"/>
        <v>0</v>
      </c>
      <c r="J31" s="4"/>
    </row>
    <row r="32" spans="1:14" ht="14.25">
      <c r="A32" s="46" t="str">
        <f t="shared" si="5"/>
        <v/>
      </c>
      <c r="B32" s="47" t="str">
        <f t="shared" si="6"/>
        <v/>
      </c>
      <c r="C32" s="48" t="str">
        <f t="shared" si="9"/>
        <v/>
      </c>
      <c r="D32" s="48" t="str">
        <f>IF(ISERROR(PMT(Maandelijkse_rente_percentage,(Loan_Years*12)-Pay_Num+1,Beg_Bal)),"",IF(Values_Entered,-PMT(Maandelijkse_rente_percentage,(Loan_Years*12)-Pay_Num+1,Beg_Bal),""))</f>
        <v/>
      </c>
      <c r="E32" s="48" t="str">
        <f t="shared" si="2"/>
        <v/>
      </c>
      <c r="F32" s="48" t="e">
        <f t="shared" si="3"/>
        <v>#VALUE!</v>
      </c>
      <c r="G32" s="48" t="str">
        <f t="shared" si="8"/>
        <v/>
      </c>
      <c r="H32" s="19">
        <f t="shared" si="10"/>
        <v>0</v>
      </c>
      <c r="I32" s="19">
        <f t="shared" si="4"/>
        <v>0</v>
      </c>
      <c r="J32" s="4"/>
    </row>
    <row r="33" spans="1:10" ht="14.25">
      <c r="A33" s="46" t="str">
        <f t="shared" si="5"/>
        <v/>
      </c>
      <c r="B33" s="47" t="str">
        <f t="shared" si="6"/>
        <v/>
      </c>
      <c r="C33" s="48" t="str">
        <f t="shared" si="9"/>
        <v/>
      </c>
      <c r="D33" s="48" t="str">
        <f>IF(ISERROR(PMT(Maandelijkse_rente_percentage,(Loan_Years*12)-Pay_Num+1,Beg_Bal)),"",IF(Values_Entered,-PMT(Maandelijkse_rente_percentage,(Loan_Years*12)-Pay_Num+1,Beg_Bal),""))</f>
        <v/>
      </c>
      <c r="E33" s="48" t="str">
        <f t="shared" si="2"/>
        <v/>
      </c>
      <c r="F33" s="48" t="e">
        <f t="shared" si="3"/>
        <v>#VALUE!</v>
      </c>
      <c r="G33" s="48" t="str">
        <f t="shared" si="8"/>
        <v/>
      </c>
      <c r="H33" s="19">
        <f t="shared" si="10"/>
        <v>0</v>
      </c>
      <c r="I33" s="19">
        <f t="shared" si="4"/>
        <v>0</v>
      </c>
      <c r="J33" s="4"/>
    </row>
    <row r="34" spans="1:10" ht="14.25">
      <c r="A34" s="46" t="str">
        <f t="shared" si="5"/>
        <v/>
      </c>
      <c r="B34" s="47" t="str">
        <f t="shared" si="6"/>
        <v/>
      </c>
      <c r="C34" s="48" t="str">
        <f t="shared" si="9"/>
        <v/>
      </c>
      <c r="D34" s="48" t="str">
        <f>IF(ISERROR(PMT(Maandelijkse_rente_percentage,(Loan_Years*12)-Pay_Num+1,Beg_Bal)),"",IF(Values_Entered,-PMT(Maandelijkse_rente_percentage,(Loan_Years*12)-Pay_Num+1,Beg_Bal),""))</f>
        <v/>
      </c>
      <c r="E34" s="48" t="str">
        <f t="shared" si="2"/>
        <v/>
      </c>
      <c r="F34" s="48" t="e">
        <f t="shared" si="3"/>
        <v>#VALUE!</v>
      </c>
      <c r="G34" s="48" t="str">
        <f t="shared" si="8"/>
        <v/>
      </c>
      <c r="H34" s="19">
        <f t="shared" si="10"/>
        <v>0</v>
      </c>
      <c r="I34" s="19">
        <f t="shared" si="4"/>
        <v>0</v>
      </c>
      <c r="J34" s="4"/>
    </row>
    <row r="35" spans="1:10" ht="14.25">
      <c r="A35" s="46" t="str">
        <f t="shared" si="5"/>
        <v/>
      </c>
      <c r="B35" s="47" t="str">
        <f t="shared" si="6"/>
        <v/>
      </c>
      <c r="C35" s="48" t="str">
        <f t="shared" si="9"/>
        <v/>
      </c>
      <c r="D35" s="48" t="str">
        <f>IF(ISERROR(PMT(Maandelijkse_rente_percentage,(Loan_Years*12)-Pay_Num+1,Beg_Bal)),"",IF(Values_Entered,-PMT(Maandelijkse_rente_percentage,(Loan_Years*12)-Pay_Num+1,Beg_Bal),""))</f>
        <v/>
      </c>
      <c r="E35" s="48" t="str">
        <f t="shared" si="2"/>
        <v/>
      </c>
      <c r="F35" s="48" t="e">
        <f t="shared" si="3"/>
        <v>#VALUE!</v>
      </c>
      <c r="G35" s="48" t="str">
        <f t="shared" si="8"/>
        <v/>
      </c>
      <c r="H35" s="19">
        <f t="shared" si="10"/>
        <v>0</v>
      </c>
      <c r="I35" s="19">
        <f t="shared" si="4"/>
        <v>0</v>
      </c>
      <c r="J35" s="4"/>
    </row>
    <row r="36" spans="1:10" ht="14.25">
      <c r="A36" s="46" t="str">
        <f t="shared" si="5"/>
        <v/>
      </c>
      <c r="B36" s="47" t="str">
        <f t="shared" si="6"/>
        <v/>
      </c>
      <c r="C36" s="48" t="str">
        <f t="shared" si="9"/>
        <v/>
      </c>
      <c r="D36" s="48" t="str">
        <f>IF(ISERROR(PMT(Maandelijkse_rente_percentage,(Loan_Years*12)-Pay_Num+1,Beg_Bal)),"",IF(Values_Entered,-PMT(Maandelijkse_rente_percentage,(Loan_Years*12)-Pay_Num+1,Beg_Bal),""))</f>
        <v/>
      </c>
      <c r="E36" s="48" t="str">
        <f t="shared" si="2"/>
        <v/>
      </c>
      <c r="F36" s="48" t="e">
        <f t="shared" si="3"/>
        <v>#VALUE!</v>
      </c>
      <c r="G36" s="48" t="str">
        <f t="shared" si="8"/>
        <v/>
      </c>
      <c r="H36" s="19">
        <f t="shared" si="10"/>
        <v>0</v>
      </c>
      <c r="I36" s="19">
        <f t="shared" si="4"/>
        <v>0</v>
      </c>
      <c r="J36" s="4"/>
    </row>
    <row r="37" spans="1:10" ht="14.25">
      <c r="A37" s="46" t="str">
        <f t="shared" si="5"/>
        <v/>
      </c>
      <c r="B37" s="47" t="str">
        <f t="shared" si="6"/>
        <v/>
      </c>
      <c r="C37" s="48" t="str">
        <f t="shared" si="9"/>
        <v/>
      </c>
      <c r="D37" s="48" t="str">
        <f>IF(ISERROR(PMT(Maandelijkse_rente_percentage,(Loan_Years*12)-Pay_Num+1,Beg_Bal)),"",IF(Values_Entered,-PMT(Maandelijkse_rente_percentage,(Loan_Years*12)-Pay_Num+1,Beg_Bal),""))</f>
        <v/>
      </c>
      <c r="E37" s="48" t="str">
        <f t="shared" si="2"/>
        <v/>
      </c>
      <c r="F37" s="48" t="e">
        <f t="shared" si="3"/>
        <v>#VALUE!</v>
      </c>
      <c r="G37" s="48" t="str">
        <f t="shared" si="8"/>
        <v/>
      </c>
      <c r="H37" s="19">
        <f t="shared" si="10"/>
        <v>0</v>
      </c>
      <c r="I37" s="19">
        <f t="shared" si="4"/>
        <v>0</v>
      </c>
      <c r="J37" s="4"/>
    </row>
    <row r="38" spans="1:10" ht="14.25">
      <c r="A38" s="46" t="str">
        <f t="shared" si="5"/>
        <v/>
      </c>
      <c r="B38" s="47" t="str">
        <f t="shared" si="6"/>
        <v/>
      </c>
      <c r="C38" s="48" t="str">
        <f t="shared" si="9"/>
        <v/>
      </c>
      <c r="D38" s="48" t="str">
        <f>IF(ISERROR(PMT(Maandelijkse_rente_percentage,(Loan_Years*12)-Pay_Num+1,Beg_Bal)),"",IF(Values_Entered,-PMT(Maandelijkse_rente_percentage,(Loan_Years*12)-Pay_Num+1,Beg_Bal),""))</f>
        <v/>
      </c>
      <c r="E38" s="48" t="str">
        <f t="shared" si="2"/>
        <v/>
      </c>
      <c r="F38" s="48" t="e">
        <f t="shared" si="3"/>
        <v>#VALUE!</v>
      </c>
      <c r="G38" s="48" t="str">
        <f t="shared" si="8"/>
        <v/>
      </c>
      <c r="H38" s="19">
        <f t="shared" si="10"/>
        <v>0</v>
      </c>
      <c r="I38" s="19">
        <f t="shared" si="4"/>
        <v>0</v>
      </c>
      <c r="J38" s="4"/>
    </row>
    <row r="39" spans="1:10" ht="14.25">
      <c r="A39" s="46" t="str">
        <f t="shared" si="5"/>
        <v/>
      </c>
      <c r="B39" s="47" t="str">
        <f t="shared" si="6"/>
        <v/>
      </c>
      <c r="C39" s="48" t="str">
        <f t="shared" si="9"/>
        <v/>
      </c>
      <c r="D39" s="48" t="str">
        <f>IF(ISERROR(PMT(Maandelijkse_rente_percentage,(Loan_Years*12)-Pay_Num+1,Beg_Bal)),"",IF(Values_Entered,-PMT(Maandelijkse_rente_percentage,(Loan_Years*12)-Pay_Num+1,Beg_Bal),""))</f>
        <v/>
      </c>
      <c r="E39" s="48" t="str">
        <f t="shared" si="2"/>
        <v/>
      </c>
      <c r="F39" s="48" t="e">
        <f t="shared" si="3"/>
        <v>#VALUE!</v>
      </c>
      <c r="G39" s="48" t="str">
        <f t="shared" si="8"/>
        <v/>
      </c>
      <c r="H39" s="19">
        <f t="shared" si="10"/>
        <v>0</v>
      </c>
      <c r="I39" s="19">
        <f t="shared" si="4"/>
        <v>0</v>
      </c>
      <c r="J39" s="4"/>
    </row>
    <row r="40" spans="1:10" ht="14.25">
      <c r="A40" s="46" t="str">
        <f t="shared" si="5"/>
        <v/>
      </c>
      <c r="B40" s="47" t="str">
        <f t="shared" si="6"/>
        <v/>
      </c>
      <c r="C40" s="48" t="str">
        <f t="shared" si="9"/>
        <v/>
      </c>
      <c r="D40" s="48" t="str">
        <f>IF(ISERROR(PMT(Maandelijkse_rente_percentage,(Loan_Years*12)-Pay_Num+1,Beg_Bal)),"",IF(Values_Entered,-PMT(Maandelijkse_rente_percentage,(Loan_Years*12)-Pay_Num+1,Beg_Bal),""))</f>
        <v/>
      </c>
      <c r="E40" s="48" t="str">
        <f t="shared" si="2"/>
        <v/>
      </c>
      <c r="F40" s="48" t="e">
        <f t="shared" si="3"/>
        <v>#VALUE!</v>
      </c>
      <c r="G40" s="48" t="str">
        <f t="shared" si="8"/>
        <v/>
      </c>
      <c r="H40" s="19">
        <f t="shared" si="10"/>
        <v>0</v>
      </c>
      <c r="I40" s="19">
        <f t="shared" si="4"/>
        <v>0</v>
      </c>
      <c r="J40" s="4"/>
    </row>
    <row r="41" spans="1:10" ht="14.25">
      <c r="A41" s="46" t="str">
        <f t="shared" si="5"/>
        <v/>
      </c>
      <c r="B41" s="47" t="str">
        <f t="shared" si="6"/>
        <v/>
      </c>
      <c r="C41" s="48" t="str">
        <f t="shared" si="9"/>
        <v/>
      </c>
      <c r="D41" s="48" t="str">
        <f>IF(ISERROR(PMT(Maandelijkse_rente_percentage,(Loan_Years*12)-Pay_Num+1,Beg_Bal)),"",IF(Values_Entered,-PMT(Maandelijkse_rente_percentage,(Loan_Years*12)-Pay_Num+1,Beg_Bal),""))</f>
        <v/>
      </c>
      <c r="E41" s="48" t="str">
        <f t="shared" si="2"/>
        <v/>
      </c>
      <c r="F41" s="48" t="e">
        <f t="shared" si="3"/>
        <v>#VALUE!</v>
      </c>
      <c r="G41" s="48" t="str">
        <f t="shared" si="8"/>
        <v/>
      </c>
      <c r="H41" s="19">
        <f t="shared" si="10"/>
        <v>0</v>
      </c>
      <c r="I41" s="19">
        <f t="shared" si="4"/>
        <v>0</v>
      </c>
      <c r="J41" s="4"/>
    </row>
    <row r="42" spans="1:10" ht="14.25">
      <c r="A42" s="46" t="str">
        <f t="shared" si="5"/>
        <v/>
      </c>
      <c r="B42" s="47" t="str">
        <f t="shared" si="6"/>
        <v/>
      </c>
      <c r="C42" s="48" t="str">
        <f t="shared" si="9"/>
        <v/>
      </c>
      <c r="D42" s="48" t="str">
        <f>IF(ISERROR(PMT(Maandelijkse_rente_percentage,(Loan_Years*12)-Pay_Num+1,Beg_Bal)),"",IF(Values_Entered,-PMT(Maandelijkse_rente_percentage,(Loan_Years*12)-Pay_Num+1,Beg_Bal),""))</f>
        <v/>
      </c>
      <c r="E42" s="48" t="str">
        <f t="shared" si="2"/>
        <v/>
      </c>
      <c r="F42" s="48" t="e">
        <f t="shared" si="3"/>
        <v>#VALUE!</v>
      </c>
      <c r="G42" s="48" t="str">
        <f t="shared" si="8"/>
        <v/>
      </c>
      <c r="H42" s="19">
        <f t="shared" si="10"/>
        <v>0</v>
      </c>
      <c r="I42" s="19">
        <f t="shared" si="4"/>
        <v>0</v>
      </c>
      <c r="J42" s="4"/>
    </row>
    <row r="43" spans="1:10" ht="14.25">
      <c r="A43" s="46" t="str">
        <f t="shared" si="5"/>
        <v/>
      </c>
      <c r="B43" s="47" t="str">
        <f t="shared" si="6"/>
        <v/>
      </c>
      <c r="C43" s="48" t="str">
        <f t="shared" si="9"/>
        <v/>
      </c>
      <c r="D43" s="48" t="str">
        <f>IF(ISERROR(PMT(Maandelijkse_rente_percentage,(Loan_Years*12)-Pay_Num+1,Beg_Bal)),"",IF(Values_Entered,-PMT(Maandelijkse_rente_percentage,(Loan_Years*12)-Pay_Num+1,Beg_Bal),""))</f>
        <v/>
      </c>
      <c r="E43" s="48" t="str">
        <f t="shared" si="2"/>
        <v/>
      </c>
      <c r="F43" s="48" t="e">
        <f t="shared" si="3"/>
        <v>#VALUE!</v>
      </c>
      <c r="G43" s="48" t="str">
        <f t="shared" si="8"/>
        <v/>
      </c>
      <c r="H43" s="19">
        <f>L5</f>
        <v>0</v>
      </c>
      <c r="I43" s="19">
        <f t="shared" si="4"/>
        <v>0</v>
      </c>
      <c r="J43" s="4"/>
    </row>
    <row r="44" spans="1:10" ht="14.25">
      <c r="A44" s="46" t="str">
        <f t="shared" si="5"/>
        <v/>
      </c>
      <c r="B44" s="47" t="str">
        <f t="shared" si="6"/>
        <v/>
      </c>
      <c r="C44" s="48" t="str">
        <f t="shared" si="9"/>
        <v/>
      </c>
      <c r="D44" s="48" t="str">
        <f>IF(ISERROR(PMT(Maandelijkse_rente_percentage,(Loan_Years*12)-Pay_Num+1,Beg_Bal)),"",IF(Values_Entered,-PMT(Maandelijkse_rente_percentage,(Loan_Years*12)-Pay_Num+1,Beg_Bal),""))</f>
        <v/>
      </c>
      <c r="E44" s="48" t="str">
        <f t="shared" si="2"/>
        <v/>
      </c>
      <c r="F44" s="48" t="e">
        <f t="shared" si="3"/>
        <v>#VALUE!</v>
      </c>
      <c r="G44" s="48" t="str">
        <f t="shared" si="8"/>
        <v/>
      </c>
      <c r="H44" s="19">
        <f t="shared" si="10"/>
        <v>0</v>
      </c>
      <c r="I44" s="19">
        <f t="shared" si="4"/>
        <v>0</v>
      </c>
      <c r="J44" s="4"/>
    </row>
    <row r="45" spans="1:10" ht="14.25">
      <c r="A45" s="46" t="str">
        <f t="shared" si="5"/>
        <v/>
      </c>
      <c r="B45" s="47" t="str">
        <f t="shared" si="6"/>
        <v/>
      </c>
      <c r="C45" s="48" t="str">
        <f t="shared" si="9"/>
        <v/>
      </c>
      <c r="D45" s="48" t="str">
        <f>IF(ISERROR(PMT(Maandelijkse_rente_percentage,(Loan_Years*12)-Pay_Num+1,Beg_Bal)),"",IF(Values_Entered,-PMT(Maandelijkse_rente_percentage,(Loan_Years*12)-Pay_Num+1,Beg_Bal),""))</f>
        <v/>
      </c>
      <c r="E45" s="48" t="str">
        <f t="shared" si="2"/>
        <v/>
      </c>
      <c r="F45" s="48" t="e">
        <f t="shared" si="3"/>
        <v>#VALUE!</v>
      </c>
      <c r="G45" s="48" t="str">
        <f t="shared" si="8"/>
        <v/>
      </c>
      <c r="H45" s="19">
        <f t="shared" si="10"/>
        <v>0</v>
      </c>
      <c r="I45" s="19">
        <f t="shared" si="4"/>
        <v>0</v>
      </c>
      <c r="J45" s="4"/>
    </row>
    <row r="46" spans="1:10" ht="14.25">
      <c r="A46" s="46" t="str">
        <f t="shared" si="5"/>
        <v/>
      </c>
      <c r="B46" s="47" t="str">
        <f t="shared" si="6"/>
        <v/>
      </c>
      <c r="C46" s="48" t="str">
        <f t="shared" si="9"/>
        <v/>
      </c>
      <c r="D46" s="48" t="str">
        <f>IF(ISERROR(PMT(Maandelijkse_rente_percentage,(Loan_Years*12)-Pay_Num+1,Beg_Bal)),"",IF(Values_Entered,-PMT(Maandelijkse_rente_percentage,(Loan_Years*12)-Pay_Num+1,Beg_Bal),""))</f>
        <v/>
      </c>
      <c r="E46" s="48" t="str">
        <f t="shared" si="2"/>
        <v/>
      </c>
      <c r="F46" s="48" t="e">
        <f t="shared" si="3"/>
        <v>#VALUE!</v>
      </c>
      <c r="G46" s="48" t="str">
        <f t="shared" si="8"/>
        <v/>
      </c>
      <c r="H46" s="19">
        <f t="shared" si="10"/>
        <v>0</v>
      </c>
      <c r="I46" s="19">
        <f t="shared" si="4"/>
        <v>0</v>
      </c>
      <c r="J46" s="4"/>
    </row>
    <row r="47" spans="1:10" ht="14.25">
      <c r="A47" s="46" t="str">
        <f t="shared" si="5"/>
        <v/>
      </c>
      <c r="B47" s="47" t="str">
        <f t="shared" si="6"/>
        <v/>
      </c>
      <c r="C47" s="48" t="str">
        <f t="shared" si="9"/>
        <v/>
      </c>
      <c r="D47" s="48" t="str">
        <f>IF(ISERROR(PMT(Maandelijkse_rente_percentage,(Loan_Years*12)-Pay_Num+1,Beg_Bal)),"",IF(Values_Entered,-PMT(Maandelijkse_rente_percentage,(Loan_Years*12)-Pay_Num+1,Beg_Bal),""))</f>
        <v/>
      </c>
      <c r="E47" s="48" t="str">
        <f t="shared" si="2"/>
        <v/>
      </c>
      <c r="F47" s="48" t="e">
        <f t="shared" si="3"/>
        <v>#VALUE!</v>
      </c>
      <c r="G47" s="48" t="str">
        <f t="shared" si="8"/>
        <v/>
      </c>
      <c r="H47" s="19">
        <f t="shared" si="10"/>
        <v>0</v>
      </c>
      <c r="I47" s="19">
        <f t="shared" si="4"/>
        <v>0</v>
      </c>
      <c r="J47" s="4"/>
    </row>
    <row r="48" spans="1:10" ht="14.25">
      <c r="A48" s="46" t="str">
        <f t="shared" si="5"/>
        <v/>
      </c>
      <c r="B48" s="47" t="str">
        <f t="shared" si="6"/>
        <v/>
      </c>
      <c r="C48" s="48" t="str">
        <f t="shared" si="9"/>
        <v/>
      </c>
      <c r="D48" s="48" t="str">
        <f>IF(ISERROR(PMT(Maandelijkse_rente_percentage,(Loan_Years*12)-Pay_Num+1,Beg_Bal)),"",IF(Values_Entered,-PMT(Maandelijkse_rente_percentage,(Loan_Years*12)-Pay_Num+1,Beg_Bal),""))</f>
        <v/>
      </c>
      <c r="E48" s="48" t="str">
        <f t="shared" si="2"/>
        <v/>
      </c>
      <c r="F48" s="48" t="e">
        <f t="shared" si="3"/>
        <v>#VALUE!</v>
      </c>
      <c r="G48" s="48" t="str">
        <f t="shared" si="8"/>
        <v/>
      </c>
      <c r="H48" s="19">
        <f t="shared" si="10"/>
        <v>0</v>
      </c>
      <c r="I48" s="19">
        <f t="shared" si="4"/>
        <v>0</v>
      </c>
      <c r="J48" s="4"/>
    </row>
    <row r="49" spans="1:10" ht="14.25">
      <c r="A49" s="46" t="str">
        <f t="shared" si="5"/>
        <v/>
      </c>
      <c r="B49" s="47" t="str">
        <f t="shared" si="6"/>
        <v/>
      </c>
      <c r="C49" s="48" t="str">
        <f t="shared" si="9"/>
        <v/>
      </c>
      <c r="D49" s="48" t="str">
        <f>IF(ISERROR(PMT(Maandelijkse_rente_percentage,(Loan_Years*12)-Pay_Num+1,Beg_Bal)),"",IF(Values_Entered,-PMT(Maandelijkse_rente_percentage,(Loan_Years*12)-Pay_Num+1,Beg_Bal),""))</f>
        <v/>
      </c>
      <c r="E49" s="48" t="str">
        <f t="shared" si="2"/>
        <v/>
      </c>
      <c r="F49" s="48" t="e">
        <f t="shared" si="3"/>
        <v>#VALUE!</v>
      </c>
      <c r="G49" s="48" t="str">
        <f t="shared" si="8"/>
        <v/>
      </c>
      <c r="H49" s="19">
        <f t="shared" si="10"/>
        <v>0</v>
      </c>
      <c r="I49" s="19">
        <f t="shared" si="4"/>
        <v>0</v>
      </c>
      <c r="J49" s="4"/>
    </row>
    <row r="50" spans="1:10" ht="14.25">
      <c r="A50" s="46" t="str">
        <f t="shared" si="5"/>
        <v/>
      </c>
      <c r="B50" s="47" t="str">
        <f t="shared" si="6"/>
        <v/>
      </c>
      <c r="C50" s="48" t="str">
        <f t="shared" si="9"/>
        <v/>
      </c>
      <c r="D50" s="48" t="str">
        <f>IF(ISERROR(PMT(Maandelijkse_rente_percentage,(Loan_Years*12)-Pay_Num+1,Beg_Bal)),"",IF(Values_Entered,-PMT(Maandelijkse_rente_percentage,(Loan_Years*12)-Pay_Num+1,Beg_Bal),""))</f>
        <v/>
      </c>
      <c r="E50" s="48" t="str">
        <f t="shared" si="2"/>
        <v/>
      </c>
      <c r="F50" s="48" t="e">
        <f t="shared" si="3"/>
        <v>#VALUE!</v>
      </c>
      <c r="G50" s="48" t="str">
        <f t="shared" si="8"/>
        <v/>
      </c>
      <c r="H50" s="19">
        <f t="shared" si="10"/>
        <v>0</v>
      </c>
      <c r="I50" s="19">
        <f t="shared" si="4"/>
        <v>0</v>
      </c>
      <c r="J50" s="4"/>
    </row>
    <row r="51" spans="1:10" ht="14.25">
      <c r="A51" s="46" t="str">
        <f t="shared" si="5"/>
        <v/>
      </c>
      <c r="B51" s="47" t="str">
        <f t="shared" si="6"/>
        <v/>
      </c>
      <c r="C51" s="48" t="str">
        <f t="shared" si="9"/>
        <v/>
      </c>
      <c r="D51" s="48" t="str">
        <f>IF(ISERROR(PMT(Maandelijkse_rente_percentage,(Loan_Years*12)-Pay_Num+1,Beg_Bal)),"",IF(Values_Entered,-PMT(Maandelijkse_rente_percentage,(Loan_Years*12)-Pay_Num+1,Beg_Bal),""))</f>
        <v/>
      </c>
      <c r="E51" s="48" t="str">
        <f t="shared" si="2"/>
        <v/>
      </c>
      <c r="F51" s="48" t="e">
        <f t="shared" si="3"/>
        <v>#VALUE!</v>
      </c>
      <c r="G51" s="48" t="str">
        <f t="shared" si="8"/>
        <v/>
      </c>
      <c r="H51" s="19">
        <f t="shared" si="10"/>
        <v>0</v>
      </c>
      <c r="I51" s="19">
        <f t="shared" si="4"/>
        <v>0</v>
      </c>
      <c r="J51" s="4"/>
    </row>
    <row r="52" spans="1:10" ht="14.25">
      <c r="A52" s="46" t="str">
        <f t="shared" si="5"/>
        <v/>
      </c>
      <c r="B52" s="47" t="str">
        <f t="shared" si="6"/>
        <v/>
      </c>
      <c r="C52" s="48" t="str">
        <f t="shared" si="9"/>
        <v/>
      </c>
      <c r="D52" s="48" t="str">
        <f>IF(ISERROR(PMT(Maandelijkse_rente_percentage,(Loan_Years*12)-Pay_Num+1,Beg_Bal)),"",IF(Values_Entered,-PMT(Maandelijkse_rente_percentage,(Loan_Years*12)-Pay_Num+1,Beg_Bal),""))</f>
        <v/>
      </c>
      <c r="E52" s="48" t="str">
        <f t="shared" si="2"/>
        <v/>
      </c>
      <c r="F52" s="48" t="e">
        <f t="shared" si="3"/>
        <v>#VALUE!</v>
      </c>
      <c r="G52" s="48" t="str">
        <f t="shared" si="8"/>
        <v/>
      </c>
      <c r="H52" s="19">
        <f t="shared" si="10"/>
        <v>0</v>
      </c>
      <c r="I52" s="19">
        <f t="shared" si="4"/>
        <v>0</v>
      </c>
      <c r="J52" s="4"/>
    </row>
    <row r="53" spans="1:10" ht="14.25">
      <c r="A53" s="46" t="str">
        <f t="shared" si="5"/>
        <v/>
      </c>
      <c r="B53" s="47" t="str">
        <f t="shared" si="6"/>
        <v/>
      </c>
      <c r="C53" s="48" t="str">
        <f t="shared" si="9"/>
        <v/>
      </c>
      <c r="D53" s="48" t="str">
        <f>IF(ISERROR(PMT(Maandelijkse_rente_percentage,(Loan_Years*12)-Pay_Num+1,Beg_Bal)),"",IF(Values_Entered,-PMT(Maandelijkse_rente_percentage,(Loan_Years*12)-Pay_Num+1,Beg_Bal),""))</f>
        <v/>
      </c>
      <c r="E53" s="48" t="str">
        <f t="shared" si="2"/>
        <v/>
      </c>
      <c r="F53" s="48" t="e">
        <f t="shared" si="3"/>
        <v>#VALUE!</v>
      </c>
      <c r="G53" s="48" t="str">
        <f t="shared" si="8"/>
        <v/>
      </c>
      <c r="H53" s="19">
        <f t="shared" si="10"/>
        <v>0</v>
      </c>
      <c r="I53" s="19">
        <f t="shared" si="4"/>
        <v>0</v>
      </c>
      <c r="J53" s="4"/>
    </row>
    <row r="54" spans="1:10" ht="14.25">
      <c r="A54" s="46" t="str">
        <f t="shared" si="5"/>
        <v/>
      </c>
      <c r="B54" s="47" t="str">
        <f t="shared" si="6"/>
        <v/>
      </c>
      <c r="C54" s="48" t="str">
        <f t="shared" si="9"/>
        <v/>
      </c>
      <c r="D54" s="48" t="str">
        <f>IF(ISERROR(PMT(Maandelijkse_rente_percentage,(Loan_Years*12)-Pay_Num+1,Beg_Bal)),"",IF(Values_Entered,-PMT(Maandelijkse_rente_percentage,(Loan_Years*12)-Pay_Num+1,Beg_Bal),""))</f>
        <v/>
      </c>
      <c r="E54" s="48" t="str">
        <f t="shared" si="2"/>
        <v/>
      </c>
      <c r="F54" s="48" t="e">
        <f t="shared" si="3"/>
        <v>#VALUE!</v>
      </c>
      <c r="G54" s="48" t="str">
        <f t="shared" si="8"/>
        <v/>
      </c>
      <c r="H54" s="19">
        <f t="shared" si="10"/>
        <v>0</v>
      </c>
      <c r="I54" s="19">
        <f t="shared" si="4"/>
        <v>0</v>
      </c>
      <c r="J54" s="4"/>
    </row>
    <row r="55" spans="1:10" ht="14.25">
      <c r="A55" s="46" t="str">
        <f t="shared" si="5"/>
        <v/>
      </c>
      <c r="B55" s="47" t="str">
        <f t="shared" si="6"/>
        <v/>
      </c>
      <c r="C55" s="48" t="str">
        <f t="shared" si="9"/>
        <v/>
      </c>
      <c r="D55" s="48" t="str">
        <f>IF(ISERROR(PMT(Maandelijkse_rente_percentage,(Loan_Years*12)-Pay_Num+1,Beg_Bal)),"",IF(Values_Entered,-PMT(Maandelijkse_rente_percentage,(Loan_Years*12)-Pay_Num+1,Beg_Bal),""))</f>
        <v/>
      </c>
      <c r="E55" s="48" t="str">
        <f t="shared" si="2"/>
        <v/>
      </c>
      <c r="F55" s="48" t="e">
        <f t="shared" si="3"/>
        <v>#VALUE!</v>
      </c>
      <c r="G55" s="48" t="str">
        <f t="shared" si="8"/>
        <v/>
      </c>
      <c r="H55" s="19">
        <f>L6</f>
        <v>0</v>
      </c>
      <c r="I55" s="19">
        <f t="shared" si="4"/>
        <v>0</v>
      </c>
      <c r="J55" s="4"/>
    </row>
    <row r="56" spans="1:10" ht="14.25">
      <c r="A56" s="46" t="str">
        <f t="shared" si="5"/>
        <v/>
      </c>
      <c r="B56" s="47" t="str">
        <f t="shared" si="6"/>
        <v/>
      </c>
      <c r="C56" s="48" t="str">
        <f t="shared" si="9"/>
        <v/>
      </c>
      <c r="D56" s="48" t="str">
        <f>IF(ISERROR(PMT(Maandelijkse_rente_percentage,(Loan_Years*12)-Pay_Num+1,Beg_Bal)),"",IF(Values_Entered,-PMT(Maandelijkse_rente_percentage,(Loan_Years*12)-Pay_Num+1,Beg_Bal),""))</f>
        <v/>
      </c>
      <c r="E56" s="48" t="str">
        <f t="shared" si="2"/>
        <v/>
      </c>
      <c r="F56" s="48" t="e">
        <f t="shared" si="3"/>
        <v>#VALUE!</v>
      </c>
      <c r="G56" s="48" t="str">
        <f t="shared" si="8"/>
        <v/>
      </c>
      <c r="H56" s="19">
        <f t="shared" si="10"/>
        <v>0</v>
      </c>
      <c r="I56" s="19">
        <f t="shared" si="4"/>
        <v>0</v>
      </c>
      <c r="J56" s="4"/>
    </row>
    <row r="57" spans="1:10" ht="14.25">
      <c r="A57" s="46" t="str">
        <f t="shared" si="5"/>
        <v/>
      </c>
      <c r="B57" s="47" t="str">
        <f t="shared" si="6"/>
        <v/>
      </c>
      <c r="C57" s="48" t="str">
        <f t="shared" si="9"/>
        <v/>
      </c>
      <c r="D57" s="48" t="str">
        <f>IF(ISERROR(PMT(Maandelijkse_rente_percentage,(Loan_Years*12)-Pay_Num+1,Beg_Bal)),"",IF(Values_Entered,-PMT(Maandelijkse_rente_percentage,(Loan_Years*12)-Pay_Num+1,Beg_Bal),""))</f>
        <v/>
      </c>
      <c r="E57" s="48" t="str">
        <f t="shared" si="2"/>
        <v/>
      </c>
      <c r="F57" s="48" t="e">
        <f t="shared" si="3"/>
        <v>#VALUE!</v>
      </c>
      <c r="G57" s="48" t="str">
        <f t="shared" si="8"/>
        <v/>
      </c>
      <c r="H57" s="19">
        <f t="shared" si="10"/>
        <v>0</v>
      </c>
      <c r="I57" s="19">
        <f t="shared" si="4"/>
        <v>0</v>
      </c>
      <c r="J57" s="4"/>
    </row>
    <row r="58" spans="1:10" ht="14.25">
      <c r="A58" s="46" t="str">
        <f t="shared" si="5"/>
        <v/>
      </c>
      <c r="B58" s="47" t="str">
        <f t="shared" si="6"/>
        <v/>
      </c>
      <c r="C58" s="48" t="str">
        <f t="shared" si="9"/>
        <v/>
      </c>
      <c r="D58" s="48" t="str">
        <f>IF(ISERROR(PMT(Maandelijkse_rente_percentage,(Loan_Years*12)-Pay_Num+1,Beg_Bal)),"",IF(Values_Entered,-PMT(Maandelijkse_rente_percentage,(Loan_Years*12)-Pay_Num+1,Beg_Bal),""))</f>
        <v/>
      </c>
      <c r="E58" s="48" t="str">
        <f t="shared" si="2"/>
        <v/>
      </c>
      <c r="F58" s="48" t="e">
        <f t="shared" si="3"/>
        <v>#VALUE!</v>
      </c>
      <c r="G58" s="48" t="str">
        <f t="shared" si="8"/>
        <v/>
      </c>
      <c r="H58" s="19">
        <f t="shared" si="10"/>
        <v>0</v>
      </c>
      <c r="I58" s="19">
        <f t="shared" si="4"/>
        <v>0</v>
      </c>
      <c r="J58" s="4"/>
    </row>
    <row r="59" spans="1:10" ht="14.25">
      <c r="A59" s="46" t="str">
        <f t="shared" si="5"/>
        <v/>
      </c>
      <c r="B59" s="47" t="str">
        <f t="shared" si="6"/>
        <v/>
      </c>
      <c r="C59" s="48" t="str">
        <f t="shared" si="9"/>
        <v/>
      </c>
      <c r="D59" s="48" t="str">
        <f>IF(ISERROR(PMT(Maandelijkse_rente_percentage,(Loan_Years*12)-Pay_Num+1,Beg_Bal)),"",IF(Values_Entered,-PMT(Maandelijkse_rente_percentage,(Loan_Years*12)-Pay_Num+1,Beg_Bal),""))</f>
        <v/>
      </c>
      <c r="E59" s="48" t="str">
        <f t="shared" si="2"/>
        <v/>
      </c>
      <c r="F59" s="48" t="e">
        <f t="shared" si="3"/>
        <v>#VALUE!</v>
      </c>
      <c r="G59" s="48" t="str">
        <f t="shared" si="8"/>
        <v/>
      </c>
      <c r="H59" s="19">
        <f t="shared" si="10"/>
        <v>0</v>
      </c>
      <c r="I59" s="19">
        <f t="shared" si="4"/>
        <v>0</v>
      </c>
      <c r="J59" s="4"/>
    </row>
    <row r="60" spans="1:10" ht="14.25">
      <c r="A60" s="46" t="str">
        <f t="shared" si="5"/>
        <v/>
      </c>
      <c r="B60" s="47" t="str">
        <f t="shared" si="6"/>
        <v/>
      </c>
      <c r="C60" s="48" t="str">
        <f t="shared" si="9"/>
        <v/>
      </c>
      <c r="D60" s="48" t="str">
        <f>IF(ISERROR(PMT(Maandelijkse_rente_percentage,(Loan_Years*12)-Pay_Num+1,Beg_Bal)),"",IF(Values_Entered,-PMT(Maandelijkse_rente_percentage,(Loan_Years*12)-Pay_Num+1,Beg_Bal),""))</f>
        <v/>
      </c>
      <c r="E60" s="48" t="str">
        <f t="shared" si="2"/>
        <v/>
      </c>
      <c r="F60" s="48" t="e">
        <f t="shared" si="3"/>
        <v>#VALUE!</v>
      </c>
      <c r="G60" s="48" t="str">
        <f t="shared" si="8"/>
        <v/>
      </c>
      <c r="H60" s="19">
        <f t="shared" si="10"/>
        <v>0</v>
      </c>
      <c r="I60" s="19">
        <f t="shared" si="4"/>
        <v>0</v>
      </c>
      <c r="J60" s="4"/>
    </row>
    <row r="61" spans="1:10" ht="14.25">
      <c r="A61" s="46" t="str">
        <f t="shared" si="5"/>
        <v/>
      </c>
      <c r="B61" s="47" t="str">
        <f t="shared" si="6"/>
        <v/>
      </c>
      <c r="C61" s="48" t="str">
        <f t="shared" si="9"/>
        <v/>
      </c>
      <c r="D61" s="48" t="str">
        <f>IF(ISERROR(PMT(Maandelijkse_rente_percentage,(Loan_Years*12)-Pay_Num+1,Beg_Bal)),"",IF(Values_Entered,-PMT(Maandelijkse_rente_percentage,(Loan_Years*12)-Pay_Num+1,Beg_Bal),""))</f>
        <v/>
      </c>
      <c r="E61" s="48" t="str">
        <f t="shared" si="2"/>
        <v/>
      </c>
      <c r="F61" s="48" t="e">
        <f t="shared" si="3"/>
        <v>#VALUE!</v>
      </c>
      <c r="G61" s="48" t="str">
        <f t="shared" si="8"/>
        <v/>
      </c>
      <c r="H61" s="19">
        <f t="shared" si="10"/>
        <v>0</v>
      </c>
      <c r="I61" s="19">
        <f t="shared" si="4"/>
        <v>0</v>
      </c>
      <c r="J61" s="4"/>
    </row>
    <row r="62" spans="1:10" ht="14.25">
      <c r="A62" s="46" t="str">
        <f t="shared" si="5"/>
        <v/>
      </c>
      <c r="B62" s="47" t="str">
        <f t="shared" si="6"/>
        <v/>
      </c>
      <c r="C62" s="48" t="str">
        <f t="shared" si="9"/>
        <v/>
      </c>
      <c r="D62" s="48" t="str">
        <f>IF(ISERROR(PMT(Maandelijkse_rente_percentage,(Loan_Years*12)-Pay_Num+1,Beg_Bal)),"",IF(Values_Entered,-PMT(Maandelijkse_rente_percentage,(Loan_Years*12)-Pay_Num+1,Beg_Bal),""))</f>
        <v/>
      </c>
      <c r="E62" s="48" t="str">
        <f t="shared" si="2"/>
        <v/>
      </c>
      <c r="F62" s="48" t="e">
        <f t="shared" si="3"/>
        <v>#VALUE!</v>
      </c>
      <c r="G62" s="48" t="str">
        <f t="shared" si="8"/>
        <v/>
      </c>
      <c r="H62" s="19">
        <f t="shared" si="10"/>
        <v>0</v>
      </c>
      <c r="I62" s="19">
        <f t="shared" si="4"/>
        <v>0</v>
      </c>
      <c r="J62" s="4"/>
    </row>
    <row r="63" spans="1:10" ht="14.25">
      <c r="A63" s="46" t="str">
        <f t="shared" si="5"/>
        <v/>
      </c>
      <c r="B63" s="47" t="str">
        <f t="shared" si="6"/>
        <v/>
      </c>
      <c r="C63" s="48" t="str">
        <f t="shared" si="9"/>
        <v/>
      </c>
      <c r="D63" s="48" t="str">
        <f>IF(ISERROR(PMT(Maandelijkse_rente_percentage,(Loan_Years*12)-Pay_Num+1,Beg_Bal)),"",IF(Values_Entered,-PMT(Maandelijkse_rente_percentage,(Loan_Years*12)-Pay_Num+1,Beg_Bal),""))</f>
        <v/>
      </c>
      <c r="E63" s="48" t="str">
        <f t="shared" si="2"/>
        <v/>
      </c>
      <c r="F63" s="48" t="e">
        <f t="shared" si="3"/>
        <v>#VALUE!</v>
      </c>
      <c r="G63" s="48" t="str">
        <f t="shared" si="8"/>
        <v/>
      </c>
      <c r="H63" s="19">
        <f t="shared" si="10"/>
        <v>0</v>
      </c>
      <c r="I63" s="19">
        <f t="shared" si="4"/>
        <v>0</v>
      </c>
      <c r="J63" s="4"/>
    </row>
    <row r="64" spans="1:10" ht="14.25">
      <c r="A64" s="46" t="str">
        <f t="shared" si="5"/>
        <v/>
      </c>
      <c r="B64" s="47" t="str">
        <f t="shared" si="6"/>
        <v/>
      </c>
      <c r="C64" s="48" t="str">
        <f t="shared" si="9"/>
        <v/>
      </c>
      <c r="D64" s="48" t="str">
        <f>IF(ISERROR(PMT(Maandelijkse_rente_percentage,(Loan_Years*12)-Pay_Num+1,Beg_Bal)),"",IF(Values_Entered,-PMT(Maandelijkse_rente_percentage,(Loan_Years*12)-Pay_Num+1,Beg_Bal),""))</f>
        <v/>
      </c>
      <c r="E64" s="48" t="str">
        <f t="shared" si="2"/>
        <v/>
      </c>
      <c r="F64" s="48" t="e">
        <f t="shared" si="3"/>
        <v>#VALUE!</v>
      </c>
      <c r="G64" s="48" t="str">
        <f t="shared" si="8"/>
        <v/>
      </c>
      <c r="H64" s="19">
        <f t="shared" si="10"/>
        <v>0</v>
      </c>
      <c r="I64" s="19">
        <f t="shared" si="4"/>
        <v>0</v>
      </c>
      <c r="J64" s="4"/>
    </row>
    <row r="65" spans="1:10" ht="14.25">
      <c r="A65" s="46" t="str">
        <f t="shared" si="5"/>
        <v/>
      </c>
      <c r="B65" s="47" t="str">
        <f t="shared" si="6"/>
        <v/>
      </c>
      <c r="C65" s="48" t="str">
        <f t="shared" si="9"/>
        <v/>
      </c>
      <c r="D65" s="48" t="str">
        <f>IF(ISERROR(PMT(Maandelijkse_rente_percentage,(Loan_Years*12)-Pay_Num+1,Beg_Bal)),"",IF(Values_Entered,-PMT(Maandelijkse_rente_percentage,(Loan_Years*12)-Pay_Num+1,Beg_Bal),""))</f>
        <v/>
      </c>
      <c r="E65" s="48" t="str">
        <f t="shared" si="2"/>
        <v/>
      </c>
      <c r="F65" s="48" t="e">
        <f t="shared" si="3"/>
        <v>#VALUE!</v>
      </c>
      <c r="G65" s="48" t="str">
        <f t="shared" si="8"/>
        <v/>
      </c>
      <c r="H65" s="19">
        <f t="shared" si="10"/>
        <v>0</v>
      </c>
      <c r="I65" s="19">
        <f t="shared" si="4"/>
        <v>0</v>
      </c>
      <c r="J65" s="4"/>
    </row>
    <row r="66" spans="1:10" ht="14.25">
      <c r="A66" s="46" t="str">
        <f t="shared" si="5"/>
        <v/>
      </c>
      <c r="B66" s="47" t="str">
        <f t="shared" si="6"/>
        <v/>
      </c>
      <c r="C66" s="48" t="str">
        <f t="shared" si="9"/>
        <v/>
      </c>
      <c r="D66" s="48" t="str">
        <f>IF(ISERROR(PMT(Maandelijkse_rente_percentage,(Loan_Years*12)-Pay_Num+1,Beg_Bal)),"",IF(Values_Entered,-PMT(Maandelijkse_rente_percentage,(Loan_Years*12)-Pay_Num+1,Beg_Bal),""))</f>
        <v/>
      </c>
      <c r="E66" s="48" t="str">
        <f t="shared" si="2"/>
        <v/>
      </c>
      <c r="F66" s="48" t="e">
        <f t="shared" si="3"/>
        <v>#VALUE!</v>
      </c>
      <c r="G66" s="48" t="str">
        <f t="shared" si="8"/>
        <v/>
      </c>
      <c r="H66" s="19">
        <f t="shared" si="10"/>
        <v>0</v>
      </c>
      <c r="I66" s="19">
        <f t="shared" si="4"/>
        <v>0</v>
      </c>
      <c r="J66" s="4"/>
    </row>
    <row r="67" spans="1:10" ht="14.25">
      <c r="A67" s="46" t="str">
        <f t="shared" si="5"/>
        <v/>
      </c>
      <c r="B67" s="47" t="str">
        <f t="shared" si="6"/>
        <v/>
      </c>
      <c r="C67" s="48" t="str">
        <f t="shared" si="9"/>
        <v/>
      </c>
      <c r="D67" s="48" t="str">
        <f>IF(ISERROR(PMT(Maandelijkse_rente_percentage,(Loan_Years*12)-Pay_Num+1,Beg_Bal)),"",IF(Values_Entered,-PMT(Maandelijkse_rente_percentage,(Loan_Years*12)-Pay_Num+1,Beg_Bal),""))</f>
        <v/>
      </c>
      <c r="E67" s="48" t="str">
        <f t="shared" si="2"/>
        <v/>
      </c>
      <c r="F67" s="48" t="e">
        <f t="shared" si="3"/>
        <v>#VALUE!</v>
      </c>
      <c r="G67" s="48" t="str">
        <f t="shared" si="8"/>
        <v/>
      </c>
      <c r="H67" s="19">
        <f>L7</f>
        <v>0</v>
      </c>
      <c r="I67" s="19">
        <f t="shared" si="4"/>
        <v>0</v>
      </c>
      <c r="J67" s="4"/>
    </row>
    <row r="68" spans="1:10" ht="14.25">
      <c r="A68" s="46" t="str">
        <f t="shared" si="5"/>
        <v/>
      </c>
      <c r="B68" s="47" t="str">
        <f t="shared" si="6"/>
        <v/>
      </c>
      <c r="C68" s="48" t="str">
        <f t="shared" si="9"/>
        <v/>
      </c>
      <c r="D68" s="48" t="str">
        <f>IF(ISERROR(PMT(Maandelijkse_rente_percentage,(Loan_Years*12)-Pay_Num+1,Beg_Bal)),"",IF(Values_Entered,-PMT(Maandelijkse_rente_percentage,(Loan_Years*12)-Pay_Num+1,Beg_Bal),""))</f>
        <v/>
      </c>
      <c r="E68" s="48" t="str">
        <f t="shared" si="2"/>
        <v/>
      </c>
      <c r="F68" s="48" t="e">
        <f t="shared" si="3"/>
        <v>#VALUE!</v>
      </c>
      <c r="G68" s="48" t="str">
        <f t="shared" si="8"/>
        <v/>
      </c>
      <c r="H68" s="19">
        <f t="shared" si="10"/>
        <v>0</v>
      </c>
      <c r="I68" s="19">
        <f t="shared" si="4"/>
        <v>0</v>
      </c>
      <c r="J68" s="4"/>
    </row>
    <row r="69" spans="1:10" ht="14.25">
      <c r="A69" s="46" t="str">
        <f t="shared" si="5"/>
        <v/>
      </c>
      <c r="B69" s="47" t="str">
        <f t="shared" si="6"/>
        <v/>
      </c>
      <c r="C69" s="48" t="str">
        <f t="shared" si="9"/>
        <v/>
      </c>
      <c r="D69" s="48" t="str">
        <f>IF(ISERROR(PMT(Maandelijkse_rente_percentage,(Loan_Years*12)-Pay_Num+1,Beg_Bal)),"",IF(Values_Entered,-PMT(Maandelijkse_rente_percentage,(Loan_Years*12)-Pay_Num+1,Beg_Bal),""))</f>
        <v/>
      </c>
      <c r="E69" s="48" t="str">
        <f t="shared" si="2"/>
        <v/>
      </c>
      <c r="F69" s="48" t="e">
        <f t="shared" si="3"/>
        <v>#VALUE!</v>
      </c>
      <c r="G69" s="48" t="str">
        <f t="shared" si="8"/>
        <v/>
      </c>
      <c r="H69" s="19">
        <f t="shared" si="10"/>
        <v>0</v>
      </c>
      <c r="I69" s="19">
        <f t="shared" si="4"/>
        <v>0</v>
      </c>
      <c r="J69" s="4"/>
    </row>
    <row r="70" spans="1:10" ht="14.25">
      <c r="A70" s="46" t="str">
        <f t="shared" si="5"/>
        <v/>
      </c>
      <c r="B70" s="47" t="str">
        <f t="shared" si="6"/>
        <v/>
      </c>
      <c r="C70" s="48" t="str">
        <f t="shared" si="9"/>
        <v/>
      </c>
      <c r="D70" s="48" t="str">
        <f>IF(ISERROR(PMT(Maandelijkse_rente_percentage,(Loan_Years*12)-Pay_Num+1,Beg_Bal)),"",IF(Values_Entered,-PMT(Maandelijkse_rente_percentage,(Loan_Years*12)-Pay_Num+1,Beg_Bal),""))</f>
        <v/>
      </c>
      <c r="E70" s="48" t="str">
        <f t="shared" si="2"/>
        <v/>
      </c>
      <c r="F70" s="48" t="e">
        <f t="shared" si="3"/>
        <v>#VALUE!</v>
      </c>
      <c r="G70" s="48" t="str">
        <f t="shared" si="8"/>
        <v/>
      </c>
      <c r="H70" s="19">
        <f t="shared" si="10"/>
        <v>0</v>
      </c>
      <c r="I70" s="19">
        <f t="shared" si="4"/>
        <v>0</v>
      </c>
      <c r="J70" s="4"/>
    </row>
    <row r="71" spans="1:10" ht="14.25">
      <c r="A71" s="46" t="str">
        <f t="shared" si="5"/>
        <v/>
      </c>
      <c r="B71" s="47" t="str">
        <f t="shared" si="6"/>
        <v/>
      </c>
      <c r="C71" s="48" t="str">
        <f t="shared" si="9"/>
        <v/>
      </c>
      <c r="D71" s="48" t="str">
        <f>IF(ISERROR(PMT(Maandelijkse_rente_percentage,(Loan_Years*12)-Pay_Num+1,Beg_Bal)),"",IF(Values_Entered,-PMT(Maandelijkse_rente_percentage,(Loan_Years*12)-Pay_Num+1,Beg_Bal),""))</f>
        <v/>
      </c>
      <c r="E71" s="48" t="str">
        <f t="shared" si="2"/>
        <v/>
      </c>
      <c r="F71" s="48" t="e">
        <f t="shared" si="3"/>
        <v>#VALUE!</v>
      </c>
      <c r="G71" s="48" t="str">
        <f t="shared" si="8"/>
        <v/>
      </c>
      <c r="H71" s="19">
        <f t="shared" si="10"/>
        <v>0</v>
      </c>
      <c r="I71" s="19">
        <f t="shared" si="4"/>
        <v>0</v>
      </c>
      <c r="J71" s="4"/>
    </row>
    <row r="72" spans="1:10" ht="14.25">
      <c r="A72" s="46" t="str">
        <f t="shared" si="5"/>
        <v/>
      </c>
      <c r="B72" s="47" t="str">
        <f t="shared" si="6"/>
        <v/>
      </c>
      <c r="C72" s="48" t="str">
        <f t="shared" si="9"/>
        <v/>
      </c>
      <c r="D72" s="48" t="str">
        <f>IF(ISERROR(PMT(Maandelijkse_rente_percentage,(Loan_Years*12)-Pay_Num+1,Beg_Bal)),"",IF(Values_Entered,-PMT(Maandelijkse_rente_percentage,(Loan_Years*12)-Pay_Num+1,Beg_Bal),""))</f>
        <v/>
      </c>
      <c r="E72" s="48" t="str">
        <f t="shared" si="2"/>
        <v/>
      </c>
      <c r="F72" s="48" t="e">
        <f t="shared" si="3"/>
        <v>#VALUE!</v>
      </c>
      <c r="G72" s="48" t="str">
        <f t="shared" si="8"/>
        <v/>
      </c>
      <c r="H72" s="19">
        <f t="shared" si="10"/>
        <v>0</v>
      </c>
      <c r="I72" s="19">
        <f t="shared" si="4"/>
        <v>0</v>
      </c>
      <c r="J72" s="4"/>
    </row>
    <row r="73" spans="1:10" ht="14.25">
      <c r="A73" s="46" t="str">
        <f t="shared" si="5"/>
        <v/>
      </c>
      <c r="B73" s="47" t="str">
        <f t="shared" si="6"/>
        <v/>
      </c>
      <c r="C73" s="48" t="str">
        <f t="shared" si="9"/>
        <v/>
      </c>
      <c r="D73" s="48" t="str">
        <f>IF(ISERROR(PMT(Maandelijkse_rente_percentage,(Loan_Years*12)-Pay_Num+1,Beg_Bal)),"",IF(Values_Entered,-PMT(Maandelijkse_rente_percentage,(Loan_Years*12)-Pay_Num+1,Beg_Bal),""))</f>
        <v/>
      </c>
      <c r="E73" s="48" t="str">
        <f t="shared" si="2"/>
        <v/>
      </c>
      <c r="F73" s="48" t="e">
        <f t="shared" si="3"/>
        <v>#VALUE!</v>
      </c>
      <c r="G73" s="48" t="str">
        <f t="shared" si="8"/>
        <v/>
      </c>
      <c r="H73" s="19">
        <f t="shared" si="10"/>
        <v>0</v>
      </c>
      <c r="I73" s="19">
        <f t="shared" si="4"/>
        <v>0</v>
      </c>
      <c r="J73" s="4"/>
    </row>
    <row r="74" spans="1:10" ht="14.25">
      <c r="A74" s="46" t="str">
        <f t="shared" si="5"/>
        <v/>
      </c>
      <c r="B74" s="47" t="str">
        <f t="shared" si="6"/>
        <v/>
      </c>
      <c r="C74" s="48" t="str">
        <f t="shared" si="9"/>
        <v/>
      </c>
      <c r="D74" s="48" t="str">
        <f>IF(ISERROR(PMT(Maandelijkse_rente_percentage,(Loan_Years*12)-Pay_Num+1,Beg_Bal)),"",IF(Values_Entered,-PMT(Maandelijkse_rente_percentage,(Loan_Years*12)-Pay_Num+1,Beg_Bal),""))</f>
        <v/>
      </c>
      <c r="E74" s="48" t="str">
        <f t="shared" si="2"/>
        <v/>
      </c>
      <c r="F74" s="48" t="e">
        <f t="shared" si="3"/>
        <v>#VALUE!</v>
      </c>
      <c r="G74" s="48" t="str">
        <f t="shared" si="8"/>
        <v/>
      </c>
      <c r="H74" s="19">
        <f t="shared" si="10"/>
        <v>0</v>
      </c>
      <c r="I74" s="19">
        <f t="shared" si="4"/>
        <v>0</v>
      </c>
      <c r="J74" s="4"/>
    </row>
    <row r="75" spans="1:10" ht="14.25">
      <c r="A75" s="46" t="str">
        <f t="shared" si="5"/>
        <v/>
      </c>
      <c r="B75" s="47" t="str">
        <f t="shared" si="6"/>
        <v/>
      </c>
      <c r="C75" s="48" t="str">
        <f t="shared" si="9"/>
        <v/>
      </c>
      <c r="D75" s="48" t="str">
        <f>IF(ISERROR(PMT(Maandelijkse_rente_percentage,(Loan_Years*12)-Pay_Num+1,Beg_Bal)),"",IF(Values_Entered,-PMT(Maandelijkse_rente_percentage,(Loan_Years*12)-Pay_Num+1,Beg_Bal),""))</f>
        <v/>
      </c>
      <c r="E75" s="48" t="str">
        <f t="shared" si="2"/>
        <v/>
      </c>
      <c r="F75" s="48" t="e">
        <f t="shared" si="3"/>
        <v>#VALUE!</v>
      </c>
      <c r="G75" s="48" t="str">
        <f t="shared" si="8"/>
        <v/>
      </c>
      <c r="H75" s="19">
        <f t="shared" si="10"/>
        <v>0</v>
      </c>
      <c r="I75" s="19">
        <f t="shared" si="4"/>
        <v>0</v>
      </c>
      <c r="J75" s="4"/>
    </row>
    <row r="76" spans="1:10" ht="14.25">
      <c r="A76" s="46" t="str">
        <f t="shared" si="5"/>
        <v/>
      </c>
      <c r="B76" s="47" t="str">
        <f t="shared" si="6"/>
        <v/>
      </c>
      <c r="C76" s="48" t="str">
        <f t="shared" si="9"/>
        <v/>
      </c>
      <c r="D76" s="48" t="str">
        <f>IF(ISERROR(PMT(Maandelijkse_rente_percentage,(Loan_Years*12)-Pay_Num+1,Beg_Bal)),"",IF(Values_Entered,-PMT(Maandelijkse_rente_percentage,(Loan_Years*12)-Pay_Num+1,Beg_Bal),""))</f>
        <v/>
      </c>
      <c r="E76" s="48" t="str">
        <f t="shared" si="2"/>
        <v/>
      </c>
      <c r="F76" s="48" t="e">
        <f t="shared" si="3"/>
        <v>#VALUE!</v>
      </c>
      <c r="G76" s="48" t="str">
        <f t="shared" si="8"/>
        <v/>
      </c>
      <c r="H76" s="19">
        <f t="shared" si="10"/>
        <v>0</v>
      </c>
      <c r="I76" s="19">
        <f t="shared" si="4"/>
        <v>0</v>
      </c>
      <c r="J76" s="4"/>
    </row>
    <row r="77" spans="1:10" ht="14.25">
      <c r="A77" s="46" t="str">
        <f t="shared" si="5"/>
        <v/>
      </c>
      <c r="B77" s="47" t="str">
        <f t="shared" si="6"/>
        <v/>
      </c>
      <c r="C77" s="48" t="str">
        <f t="shared" si="9"/>
        <v/>
      </c>
      <c r="D77" s="48" t="str">
        <f>IF(ISERROR(PMT(Maandelijkse_rente_percentage,(Loan_Years*12)-Pay_Num+1,Beg_Bal)),"",IF(Values_Entered,-PMT(Maandelijkse_rente_percentage,(Loan_Years*12)-Pay_Num+1,Beg_Bal),""))</f>
        <v/>
      </c>
      <c r="E77" s="48" t="str">
        <f t="shared" si="2"/>
        <v/>
      </c>
      <c r="F77" s="48" t="e">
        <f t="shared" si="3"/>
        <v>#VALUE!</v>
      </c>
      <c r="G77" s="48" t="str">
        <f t="shared" si="8"/>
        <v/>
      </c>
      <c r="H77" s="19">
        <f t="shared" si="10"/>
        <v>0</v>
      </c>
      <c r="I77" s="19">
        <f t="shared" si="4"/>
        <v>0</v>
      </c>
      <c r="J77" s="4"/>
    </row>
    <row r="78" spans="1:10" ht="14.25">
      <c r="A78" s="46" t="str">
        <f t="shared" si="5"/>
        <v/>
      </c>
      <c r="B78" s="47" t="str">
        <f t="shared" si="6"/>
        <v/>
      </c>
      <c r="C78" s="48" t="str">
        <f t="shared" si="9"/>
        <v/>
      </c>
      <c r="D78" s="48" t="str">
        <f>IF(ISERROR(PMT(Maandelijkse_rente_percentage,(Loan_Years*12)-Pay_Num+1,Beg_Bal)),"",IF(Values_Entered,-PMT(Maandelijkse_rente_percentage,(Loan_Years*12)-Pay_Num+1,Beg_Bal),""))</f>
        <v/>
      </c>
      <c r="E78" s="48" t="str">
        <f t="shared" si="2"/>
        <v/>
      </c>
      <c r="F78" s="48" t="e">
        <f t="shared" si="3"/>
        <v>#VALUE!</v>
      </c>
      <c r="G78" s="48" t="str">
        <f t="shared" si="8"/>
        <v/>
      </c>
      <c r="H78" s="19">
        <f t="shared" si="10"/>
        <v>0</v>
      </c>
      <c r="I78" s="19">
        <f t="shared" si="4"/>
        <v>0</v>
      </c>
      <c r="J78" s="4"/>
    </row>
    <row r="79" spans="1:10" ht="14.25">
      <c r="A79" s="46" t="str">
        <f t="shared" si="5"/>
        <v/>
      </c>
      <c r="B79" s="47" t="str">
        <f t="shared" si="6"/>
        <v/>
      </c>
      <c r="C79" s="48" t="str">
        <f t="shared" si="9"/>
        <v/>
      </c>
      <c r="D79" s="48" t="str">
        <f>IF(ISERROR(PMT(Maandelijkse_rente_percentage,(Loan_Years*12)-Pay_Num+1,Beg_Bal)),"",IF(Values_Entered,-PMT(Maandelijkse_rente_percentage,(Loan_Years*12)-Pay_Num+1,Beg_Bal),""))</f>
        <v/>
      </c>
      <c r="E79" s="48" t="str">
        <f t="shared" si="2"/>
        <v/>
      </c>
      <c r="F79" s="48" t="e">
        <f t="shared" si="3"/>
        <v>#VALUE!</v>
      </c>
      <c r="G79" s="48" t="str">
        <f t="shared" si="8"/>
        <v/>
      </c>
      <c r="H79" s="19">
        <f>L8</f>
        <v>0</v>
      </c>
      <c r="I79" s="19">
        <f t="shared" si="4"/>
        <v>0</v>
      </c>
      <c r="J79" s="4"/>
    </row>
    <row r="80" spans="1:10" ht="14.25">
      <c r="A80" s="46" t="str">
        <f t="shared" si="5"/>
        <v/>
      </c>
      <c r="B80" s="47" t="str">
        <f t="shared" si="6"/>
        <v/>
      </c>
      <c r="C80" s="48" t="str">
        <f t="shared" si="9"/>
        <v/>
      </c>
      <c r="D80" s="48" t="str">
        <f>IF(ISERROR(PMT(Maandelijkse_rente_percentage,(Loan_Years*12)-Pay_Num+1,Beg_Bal)),"",IF(Values_Entered,-PMT(Maandelijkse_rente_percentage,(Loan_Years*12)-Pay_Num+1,Beg_Bal),""))</f>
        <v/>
      </c>
      <c r="E80" s="48" t="str">
        <f t="shared" si="2"/>
        <v/>
      </c>
      <c r="F80" s="48" t="e">
        <f t="shared" si="3"/>
        <v>#VALUE!</v>
      </c>
      <c r="G80" s="48" t="str">
        <f t="shared" si="8"/>
        <v/>
      </c>
      <c r="H80" s="19">
        <f t="shared" ref="H80:H143" si="11">H79</f>
        <v>0</v>
      </c>
      <c r="I80" s="19">
        <f t="shared" si="4"/>
        <v>0</v>
      </c>
      <c r="J80" s="4"/>
    </row>
    <row r="81" spans="1:10" ht="14.25">
      <c r="A81" s="46" t="str">
        <f t="shared" si="5"/>
        <v/>
      </c>
      <c r="B81" s="47" t="str">
        <f t="shared" si="6"/>
        <v/>
      </c>
      <c r="C81" s="48" t="str">
        <f t="shared" si="9"/>
        <v/>
      </c>
      <c r="D81" s="48" t="str">
        <f>IF(ISERROR(PMT(Maandelijkse_rente_percentage,(Loan_Years*12)-Pay_Num+1,Beg_Bal)),"",IF(Values_Entered,-PMT(Maandelijkse_rente_percentage,(Loan_Years*12)-Pay_Num+1,Beg_Bal),""))</f>
        <v/>
      </c>
      <c r="E81" s="48" t="str">
        <f t="shared" si="2"/>
        <v/>
      </c>
      <c r="F81" s="48" t="e">
        <f t="shared" si="3"/>
        <v>#VALUE!</v>
      </c>
      <c r="G81" s="48" t="str">
        <f t="shared" si="8"/>
        <v/>
      </c>
      <c r="H81" s="19">
        <f t="shared" si="11"/>
        <v>0</v>
      </c>
      <c r="I81" s="19">
        <f t="shared" si="4"/>
        <v>0</v>
      </c>
      <c r="J81" s="4"/>
    </row>
    <row r="82" spans="1:10" ht="14.25">
      <c r="A82" s="46" t="str">
        <f t="shared" si="5"/>
        <v/>
      </c>
      <c r="B82" s="47" t="str">
        <f t="shared" si="6"/>
        <v/>
      </c>
      <c r="C82" s="48" t="str">
        <f t="shared" si="9"/>
        <v/>
      </c>
      <c r="D82" s="48" t="str">
        <f>IF(ISERROR(PMT(Maandelijkse_rente_percentage,(Loan_Years*12)-Pay_Num+1,Beg_Bal)),"",IF(Values_Entered,-PMT(Maandelijkse_rente_percentage,(Loan_Years*12)-Pay_Num+1,Beg_Bal),""))</f>
        <v/>
      </c>
      <c r="E82" s="48" t="str">
        <f t="shared" si="2"/>
        <v/>
      </c>
      <c r="F82" s="48" t="e">
        <f t="shared" si="3"/>
        <v>#VALUE!</v>
      </c>
      <c r="G82" s="48" t="str">
        <f t="shared" si="8"/>
        <v/>
      </c>
      <c r="H82" s="19">
        <f t="shared" si="11"/>
        <v>0</v>
      </c>
      <c r="I82" s="19">
        <f t="shared" si="4"/>
        <v>0</v>
      </c>
      <c r="J82" s="4"/>
    </row>
    <row r="83" spans="1:10" ht="14.25">
      <c r="A83" s="46" t="str">
        <f t="shared" si="5"/>
        <v/>
      </c>
      <c r="B83" s="47" t="str">
        <f t="shared" si="6"/>
        <v/>
      </c>
      <c r="C83" s="48" t="str">
        <f t="shared" si="9"/>
        <v/>
      </c>
      <c r="D83" s="48" t="str">
        <f>IF(ISERROR(PMT(Maandelijkse_rente_percentage,(Loan_Years*12)-Pay_Num+1,Beg_Bal)),"",IF(Values_Entered,-PMT(Maandelijkse_rente_percentage,(Loan_Years*12)-Pay_Num+1,Beg_Bal),""))</f>
        <v/>
      </c>
      <c r="E83" s="48" t="str">
        <f t="shared" ref="E83:E146" si="12">IF(Pay_Num&lt;&gt;"",Maandelijkse_aflossing-Int,"")</f>
        <v/>
      </c>
      <c r="F83" s="48" t="e">
        <f t="shared" ref="F83:F146" si="13">Beg_Bal*Maandelijkse_rente_percentage</f>
        <v>#VALUE!</v>
      </c>
      <c r="G83" s="48" t="str">
        <f t="shared" si="8"/>
        <v/>
      </c>
      <c r="H83" s="19">
        <f t="shared" si="11"/>
        <v>0</v>
      </c>
      <c r="I83" s="19">
        <f t="shared" ref="I83:I146" si="14">((1+Jaarlijk_rente_percentage)^(1/12))-1</f>
        <v>0</v>
      </c>
      <c r="J83" s="4"/>
    </row>
    <row r="84" spans="1:10" ht="14.25">
      <c r="A84" s="46" t="str">
        <f t="shared" ref="A84:A147" si="15">IF(Values_Entered,A83+1,"")</f>
        <v/>
      </c>
      <c r="B84" s="47" t="str">
        <f t="shared" ref="B84:B147" si="16">IF(Pay_Num&lt;&gt;"",DATE(YEAR(B83),MONTH(B83)+1,DAY(B83)),"")</f>
        <v/>
      </c>
      <c r="C84" s="48" t="str">
        <f t="shared" si="9"/>
        <v/>
      </c>
      <c r="D84" s="48" t="str">
        <f>IF(ISERROR(PMT(Maandelijkse_rente_percentage,(Loan_Years*12)-Pay_Num+1,Beg_Bal)),"",IF(Values_Entered,-PMT(Maandelijkse_rente_percentage,(Loan_Years*12)-Pay_Num+1,Beg_Bal),""))</f>
        <v/>
      </c>
      <c r="E84" s="48" t="str">
        <f t="shared" si="12"/>
        <v/>
      </c>
      <c r="F84" s="48" t="e">
        <f t="shared" si="13"/>
        <v>#VALUE!</v>
      </c>
      <c r="G84" s="48" t="str">
        <f t="shared" ref="G84:G147" si="17">IF(Pay_Num&lt;&gt;"",Beg_Bal-Princ,"")</f>
        <v/>
      </c>
      <c r="H84" s="19">
        <f t="shared" si="11"/>
        <v>0</v>
      </c>
      <c r="I84" s="19">
        <f t="shared" si="14"/>
        <v>0</v>
      </c>
      <c r="J84" s="4"/>
    </row>
    <row r="85" spans="1:10" ht="14.25">
      <c r="A85" s="46" t="str">
        <f t="shared" si="15"/>
        <v/>
      </c>
      <c r="B85" s="47" t="str">
        <f t="shared" si="16"/>
        <v/>
      </c>
      <c r="C85" s="48" t="str">
        <f t="shared" ref="C85:C148" si="18">IF(Pay_Num&lt;&gt;"",G84,"")</f>
        <v/>
      </c>
      <c r="D85" s="48" t="str">
        <f>IF(ISERROR(PMT(Maandelijkse_rente_percentage,(Loan_Years*12)-Pay_Num+1,Beg_Bal)),"",IF(Values_Entered,-PMT(Maandelijkse_rente_percentage,(Loan_Years*12)-Pay_Num+1,Beg_Bal),""))</f>
        <v/>
      </c>
      <c r="E85" s="48" t="str">
        <f t="shared" si="12"/>
        <v/>
      </c>
      <c r="F85" s="48" t="e">
        <f t="shared" si="13"/>
        <v>#VALUE!</v>
      </c>
      <c r="G85" s="48" t="str">
        <f t="shared" si="17"/>
        <v/>
      </c>
      <c r="H85" s="19">
        <f t="shared" si="11"/>
        <v>0</v>
      </c>
      <c r="I85" s="19">
        <f t="shared" si="14"/>
        <v>0</v>
      </c>
      <c r="J85" s="4"/>
    </row>
    <row r="86" spans="1:10" ht="14.25">
      <c r="A86" s="46" t="str">
        <f t="shared" si="15"/>
        <v/>
      </c>
      <c r="B86" s="47" t="str">
        <f t="shared" si="16"/>
        <v/>
      </c>
      <c r="C86" s="48" t="str">
        <f t="shared" si="18"/>
        <v/>
      </c>
      <c r="D86" s="48" t="str">
        <f>IF(ISERROR(PMT(Maandelijkse_rente_percentage,(Loan_Years*12)-Pay_Num+1,Beg_Bal)),"",IF(Values_Entered,-PMT(Maandelijkse_rente_percentage,(Loan_Years*12)-Pay_Num+1,Beg_Bal),""))</f>
        <v/>
      </c>
      <c r="E86" s="48" t="str">
        <f t="shared" si="12"/>
        <v/>
      </c>
      <c r="F86" s="48" t="e">
        <f t="shared" si="13"/>
        <v>#VALUE!</v>
      </c>
      <c r="G86" s="48" t="str">
        <f t="shared" si="17"/>
        <v/>
      </c>
      <c r="H86" s="19">
        <f t="shared" si="11"/>
        <v>0</v>
      </c>
      <c r="I86" s="19">
        <f t="shared" si="14"/>
        <v>0</v>
      </c>
      <c r="J86" s="4"/>
    </row>
    <row r="87" spans="1:10" ht="14.25">
      <c r="A87" s="46" t="str">
        <f t="shared" si="15"/>
        <v/>
      </c>
      <c r="B87" s="47" t="str">
        <f t="shared" si="16"/>
        <v/>
      </c>
      <c r="C87" s="48" t="str">
        <f t="shared" si="18"/>
        <v/>
      </c>
      <c r="D87" s="48" t="str">
        <f>IF(ISERROR(PMT(Maandelijkse_rente_percentage,(Loan_Years*12)-Pay_Num+1,Beg_Bal)),"",IF(Values_Entered,-PMT(Maandelijkse_rente_percentage,(Loan_Years*12)-Pay_Num+1,Beg_Bal),""))</f>
        <v/>
      </c>
      <c r="E87" s="48" t="str">
        <f t="shared" si="12"/>
        <v/>
      </c>
      <c r="F87" s="48" t="e">
        <f t="shared" si="13"/>
        <v>#VALUE!</v>
      </c>
      <c r="G87" s="48" t="str">
        <f t="shared" si="17"/>
        <v/>
      </c>
      <c r="H87" s="19">
        <f t="shared" si="11"/>
        <v>0</v>
      </c>
      <c r="I87" s="19">
        <f t="shared" si="14"/>
        <v>0</v>
      </c>
      <c r="J87" s="4"/>
    </row>
    <row r="88" spans="1:10" ht="14.25">
      <c r="A88" s="46" t="str">
        <f t="shared" si="15"/>
        <v/>
      </c>
      <c r="B88" s="47" t="str">
        <f t="shared" si="16"/>
        <v/>
      </c>
      <c r="C88" s="48" t="str">
        <f t="shared" si="18"/>
        <v/>
      </c>
      <c r="D88" s="48" t="str">
        <f>IF(ISERROR(PMT(Maandelijkse_rente_percentage,(Loan_Years*12)-Pay_Num+1,Beg_Bal)),"",IF(Values_Entered,-PMT(Maandelijkse_rente_percentage,(Loan_Years*12)-Pay_Num+1,Beg_Bal),""))</f>
        <v/>
      </c>
      <c r="E88" s="48" t="str">
        <f t="shared" si="12"/>
        <v/>
      </c>
      <c r="F88" s="48" t="e">
        <f t="shared" si="13"/>
        <v>#VALUE!</v>
      </c>
      <c r="G88" s="48" t="str">
        <f t="shared" si="17"/>
        <v/>
      </c>
      <c r="H88" s="19">
        <f t="shared" si="11"/>
        <v>0</v>
      </c>
      <c r="I88" s="19">
        <f t="shared" si="14"/>
        <v>0</v>
      </c>
      <c r="J88" s="4"/>
    </row>
    <row r="89" spans="1:10" ht="14.25">
      <c r="A89" s="46" t="str">
        <f t="shared" si="15"/>
        <v/>
      </c>
      <c r="B89" s="47" t="str">
        <f t="shared" si="16"/>
        <v/>
      </c>
      <c r="C89" s="48" t="str">
        <f t="shared" si="18"/>
        <v/>
      </c>
      <c r="D89" s="48" t="str">
        <f>IF(ISERROR(PMT(Maandelijkse_rente_percentage,(Loan_Years*12)-Pay_Num+1,Beg_Bal)),"",IF(Values_Entered,-PMT(Maandelijkse_rente_percentage,(Loan_Years*12)-Pay_Num+1,Beg_Bal),""))</f>
        <v/>
      </c>
      <c r="E89" s="48" t="str">
        <f t="shared" si="12"/>
        <v/>
      </c>
      <c r="F89" s="48" t="e">
        <f t="shared" si="13"/>
        <v>#VALUE!</v>
      </c>
      <c r="G89" s="48" t="str">
        <f t="shared" si="17"/>
        <v/>
      </c>
      <c r="H89" s="19">
        <f t="shared" si="11"/>
        <v>0</v>
      </c>
      <c r="I89" s="19">
        <f t="shared" si="14"/>
        <v>0</v>
      </c>
      <c r="J89" s="4"/>
    </row>
    <row r="90" spans="1:10" ht="14.25">
      <c r="A90" s="46" t="str">
        <f t="shared" si="15"/>
        <v/>
      </c>
      <c r="B90" s="47" t="str">
        <f t="shared" si="16"/>
        <v/>
      </c>
      <c r="C90" s="48" t="str">
        <f t="shared" si="18"/>
        <v/>
      </c>
      <c r="D90" s="48" t="str">
        <f>IF(ISERROR(PMT(Maandelijkse_rente_percentage,(Loan_Years*12)-Pay_Num+1,Beg_Bal)),"",IF(Values_Entered,-PMT(Maandelijkse_rente_percentage,(Loan_Years*12)-Pay_Num+1,Beg_Bal),""))</f>
        <v/>
      </c>
      <c r="E90" s="48" t="str">
        <f t="shared" si="12"/>
        <v/>
      </c>
      <c r="F90" s="48" t="e">
        <f t="shared" si="13"/>
        <v>#VALUE!</v>
      </c>
      <c r="G90" s="48" t="str">
        <f t="shared" si="17"/>
        <v/>
      </c>
      <c r="H90" s="19">
        <f t="shared" si="11"/>
        <v>0</v>
      </c>
      <c r="I90" s="19">
        <f t="shared" si="14"/>
        <v>0</v>
      </c>
      <c r="J90" s="4"/>
    </row>
    <row r="91" spans="1:10" ht="14.25">
      <c r="A91" s="46" t="str">
        <f t="shared" si="15"/>
        <v/>
      </c>
      <c r="B91" s="47" t="str">
        <f t="shared" si="16"/>
        <v/>
      </c>
      <c r="C91" s="48" t="str">
        <f t="shared" si="18"/>
        <v/>
      </c>
      <c r="D91" s="48" t="str">
        <f>IF(ISERROR(PMT(Maandelijkse_rente_percentage,(Loan_Years*12)-Pay_Num+1,Beg_Bal)),"",IF(Values_Entered,-PMT(Maandelijkse_rente_percentage,(Loan_Years*12)-Pay_Num+1,Beg_Bal),""))</f>
        <v/>
      </c>
      <c r="E91" s="48" t="str">
        <f t="shared" si="12"/>
        <v/>
      </c>
      <c r="F91" s="48" t="e">
        <f t="shared" si="13"/>
        <v>#VALUE!</v>
      </c>
      <c r="G91" s="48" t="str">
        <f t="shared" si="17"/>
        <v/>
      </c>
      <c r="H91" s="19">
        <f>L9</f>
        <v>0</v>
      </c>
      <c r="I91" s="19">
        <f t="shared" si="14"/>
        <v>0</v>
      </c>
      <c r="J91" s="4"/>
    </row>
    <row r="92" spans="1:10" ht="14.25">
      <c r="A92" s="46" t="str">
        <f t="shared" si="15"/>
        <v/>
      </c>
      <c r="B92" s="47" t="str">
        <f t="shared" si="16"/>
        <v/>
      </c>
      <c r="C92" s="48" t="str">
        <f t="shared" si="18"/>
        <v/>
      </c>
      <c r="D92" s="48" t="str">
        <f>IF(ISERROR(PMT(Maandelijkse_rente_percentage,(Loan_Years*12)-Pay_Num+1,Beg_Bal)),"",IF(Values_Entered,-PMT(Maandelijkse_rente_percentage,(Loan_Years*12)-Pay_Num+1,Beg_Bal),""))</f>
        <v/>
      </c>
      <c r="E92" s="48" t="str">
        <f t="shared" si="12"/>
        <v/>
      </c>
      <c r="F92" s="48" t="e">
        <f t="shared" si="13"/>
        <v>#VALUE!</v>
      </c>
      <c r="G92" s="48" t="str">
        <f t="shared" si="17"/>
        <v/>
      </c>
      <c r="H92" s="19">
        <f t="shared" si="11"/>
        <v>0</v>
      </c>
      <c r="I92" s="19">
        <f t="shared" si="14"/>
        <v>0</v>
      </c>
      <c r="J92" s="4"/>
    </row>
    <row r="93" spans="1:10" ht="14.25">
      <c r="A93" s="46" t="str">
        <f t="shared" si="15"/>
        <v/>
      </c>
      <c r="B93" s="47" t="str">
        <f t="shared" si="16"/>
        <v/>
      </c>
      <c r="C93" s="48" t="str">
        <f t="shared" si="18"/>
        <v/>
      </c>
      <c r="D93" s="48" t="str">
        <f>IF(ISERROR(PMT(Maandelijkse_rente_percentage,(Loan_Years*12)-Pay_Num+1,Beg_Bal)),"",IF(Values_Entered,-PMT(Maandelijkse_rente_percentage,(Loan_Years*12)-Pay_Num+1,Beg_Bal),""))</f>
        <v/>
      </c>
      <c r="E93" s="48" t="str">
        <f t="shared" si="12"/>
        <v/>
      </c>
      <c r="F93" s="48" t="e">
        <f t="shared" si="13"/>
        <v>#VALUE!</v>
      </c>
      <c r="G93" s="48" t="str">
        <f t="shared" si="17"/>
        <v/>
      </c>
      <c r="H93" s="19">
        <f t="shared" si="11"/>
        <v>0</v>
      </c>
      <c r="I93" s="19">
        <f t="shared" si="14"/>
        <v>0</v>
      </c>
      <c r="J93" s="4"/>
    </row>
    <row r="94" spans="1:10" ht="14.25">
      <c r="A94" s="46" t="str">
        <f t="shared" si="15"/>
        <v/>
      </c>
      <c r="B94" s="47" t="str">
        <f t="shared" si="16"/>
        <v/>
      </c>
      <c r="C94" s="48" t="str">
        <f t="shared" si="18"/>
        <v/>
      </c>
      <c r="D94" s="48" t="str">
        <f>IF(ISERROR(PMT(Maandelijkse_rente_percentage,(Loan_Years*12)-Pay_Num+1,Beg_Bal)),"",IF(Values_Entered,-PMT(Maandelijkse_rente_percentage,(Loan_Years*12)-Pay_Num+1,Beg_Bal),""))</f>
        <v/>
      </c>
      <c r="E94" s="48" t="str">
        <f t="shared" si="12"/>
        <v/>
      </c>
      <c r="F94" s="48" t="e">
        <f t="shared" si="13"/>
        <v>#VALUE!</v>
      </c>
      <c r="G94" s="48" t="str">
        <f t="shared" si="17"/>
        <v/>
      </c>
      <c r="H94" s="19">
        <f t="shared" si="11"/>
        <v>0</v>
      </c>
      <c r="I94" s="19">
        <f t="shared" si="14"/>
        <v>0</v>
      </c>
      <c r="J94" s="4"/>
    </row>
    <row r="95" spans="1:10" ht="14.25">
      <c r="A95" s="46" t="str">
        <f t="shared" si="15"/>
        <v/>
      </c>
      <c r="B95" s="47" t="str">
        <f t="shared" si="16"/>
        <v/>
      </c>
      <c r="C95" s="48" t="str">
        <f t="shared" si="18"/>
        <v/>
      </c>
      <c r="D95" s="48" t="str">
        <f>IF(ISERROR(PMT(Maandelijkse_rente_percentage,(Loan_Years*12)-Pay_Num+1,Beg_Bal)),"",IF(Values_Entered,-PMT(Maandelijkse_rente_percentage,(Loan_Years*12)-Pay_Num+1,Beg_Bal),""))</f>
        <v/>
      </c>
      <c r="E95" s="48" t="str">
        <f t="shared" si="12"/>
        <v/>
      </c>
      <c r="F95" s="48" t="e">
        <f t="shared" si="13"/>
        <v>#VALUE!</v>
      </c>
      <c r="G95" s="48" t="str">
        <f t="shared" si="17"/>
        <v/>
      </c>
      <c r="H95" s="19">
        <f t="shared" si="11"/>
        <v>0</v>
      </c>
      <c r="I95" s="19">
        <f t="shared" si="14"/>
        <v>0</v>
      </c>
      <c r="J95" s="4"/>
    </row>
    <row r="96" spans="1:10" ht="14.25">
      <c r="A96" s="46" t="str">
        <f t="shared" si="15"/>
        <v/>
      </c>
      <c r="B96" s="47" t="str">
        <f t="shared" si="16"/>
        <v/>
      </c>
      <c r="C96" s="48" t="str">
        <f t="shared" si="18"/>
        <v/>
      </c>
      <c r="D96" s="48" t="str">
        <f>IF(ISERROR(PMT(Maandelijkse_rente_percentage,(Loan_Years*12)-Pay_Num+1,Beg_Bal)),"",IF(Values_Entered,-PMT(Maandelijkse_rente_percentage,(Loan_Years*12)-Pay_Num+1,Beg_Bal),""))</f>
        <v/>
      </c>
      <c r="E96" s="48" t="str">
        <f t="shared" si="12"/>
        <v/>
      </c>
      <c r="F96" s="48" t="e">
        <f t="shared" si="13"/>
        <v>#VALUE!</v>
      </c>
      <c r="G96" s="48" t="str">
        <f t="shared" si="17"/>
        <v/>
      </c>
      <c r="H96" s="19">
        <f t="shared" si="11"/>
        <v>0</v>
      </c>
      <c r="I96" s="19">
        <f t="shared" si="14"/>
        <v>0</v>
      </c>
      <c r="J96" s="4"/>
    </row>
    <row r="97" spans="1:10" ht="14.25">
      <c r="A97" s="46" t="str">
        <f t="shared" si="15"/>
        <v/>
      </c>
      <c r="B97" s="47" t="str">
        <f t="shared" si="16"/>
        <v/>
      </c>
      <c r="C97" s="48" t="str">
        <f t="shared" si="18"/>
        <v/>
      </c>
      <c r="D97" s="48" t="str">
        <f>IF(ISERROR(PMT(Maandelijkse_rente_percentage,(Loan_Years*12)-Pay_Num+1,Beg_Bal)),"",IF(Values_Entered,-PMT(Maandelijkse_rente_percentage,(Loan_Years*12)-Pay_Num+1,Beg_Bal),""))</f>
        <v/>
      </c>
      <c r="E97" s="48" t="str">
        <f t="shared" si="12"/>
        <v/>
      </c>
      <c r="F97" s="48" t="e">
        <f t="shared" si="13"/>
        <v>#VALUE!</v>
      </c>
      <c r="G97" s="48" t="str">
        <f t="shared" si="17"/>
        <v/>
      </c>
      <c r="H97" s="19">
        <f t="shared" si="11"/>
        <v>0</v>
      </c>
      <c r="I97" s="19">
        <f t="shared" si="14"/>
        <v>0</v>
      </c>
      <c r="J97" s="4"/>
    </row>
    <row r="98" spans="1:10" ht="14.25">
      <c r="A98" s="46" t="str">
        <f t="shared" si="15"/>
        <v/>
      </c>
      <c r="B98" s="47" t="str">
        <f t="shared" si="16"/>
        <v/>
      </c>
      <c r="C98" s="48" t="str">
        <f t="shared" si="18"/>
        <v/>
      </c>
      <c r="D98" s="48" t="str">
        <f>IF(ISERROR(PMT(Maandelijkse_rente_percentage,(Loan_Years*12)-Pay_Num+1,Beg_Bal)),"",IF(Values_Entered,-PMT(Maandelijkse_rente_percentage,(Loan_Years*12)-Pay_Num+1,Beg_Bal),""))</f>
        <v/>
      </c>
      <c r="E98" s="48" t="str">
        <f t="shared" si="12"/>
        <v/>
      </c>
      <c r="F98" s="48" t="e">
        <f t="shared" si="13"/>
        <v>#VALUE!</v>
      </c>
      <c r="G98" s="48" t="str">
        <f t="shared" si="17"/>
        <v/>
      </c>
      <c r="H98" s="19">
        <f t="shared" si="11"/>
        <v>0</v>
      </c>
      <c r="I98" s="19">
        <f t="shared" si="14"/>
        <v>0</v>
      </c>
      <c r="J98" s="4"/>
    </row>
    <row r="99" spans="1:10" ht="14.25">
      <c r="A99" s="46" t="str">
        <f t="shared" si="15"/>
        <v/>
      </c>
      <c r="B99" s="47" t="str">
        <f t="shared" si="16"/>
        <v/>
      </c>
      <c r="C99" s="48" t="str">
        <f t="shared" si="18"/>
        <v/>
      </c>
      <c r="D99" s="48" t="str">
        <f>IF(ISERROR(PMT(Maandelijkse_rente_percentage,(Loan_Years*12)-Pay_Num+1,Beg_Bal)),"",IF(Values_Entered,-PMT(Maandelijkse_rente_percentage,(Loan_Years*12)-Pay_Num+1,Beg_Bal),""))</f>
        <v/>
      </c>
      <c r="E99" s="48" t="str">
        <f t="shared" si="12"/>
        <v/>
      </c>
      <c r="F99" s="48" t="e">
        <f t="shared" si="13"/>
        <v>#VALUE!</v>
      </c>
      <c r="G99" s="48" t="str">
        <f t="shared" si="17"/>
        <v/>
      </c>
      <c r="H99" s="19">
        <f t="shared" si="11"/>
        <v>0</v>
      </c>
      <c r="I99" s="19">
        <f t="shared" si="14"/>
        <v>0</v>
      </c>
      <c r="J99" s="4"/>
    </row>
    <row r="100" spans="1:10" ht="14.25">
      <c r="A100" s="46" t="str">
        <f t="shared" si="15"/>
        <v/>
      </c>
      <c r="B100" s="47" t="str">
        <f t="shared" si="16"/>
        <v/>
      </c>
      <c r="C100" s="48" t="str">
        <f t="shared" si="18"/>
        <v/>
      </c>
      <c r="D100" s="48" t="str">
        <f>IF(ISERROR(PMT(Maandelijkse_rente_percentage,(Loan_Years*12)-Pay_Num+1,Beg_Bal)),"",IF(Values_Entered,-PMT(Maandelijkse_rente_percentage,(Loan_Years*12)-Pay_Num+1,Beg_Bal),""))</f>
        <v/>
      </c>
      <c r="E100" s="48" t="str">
        <f t="shared" si="12"/>
        <v/>
      </c>
      <c r="F100" s="48" t="e">
        <f t="shared" si="13"/>
        <v>#VALUE!</v>
      </c>
      <c r="G100" s="48" t="str">
        <f t="shared" si="17"/>
        <v/>
      </c>
      <c r="H100" s="19">
        <f t="shared" si="11"/>
        <v>0</v>
      </c>
      <c r="I100" s="19">
        <f t="shared" si="14"/>
        <v>0</v>
      </c>
      <c r="J100" s="4"/>
    </row>
    <row r="101" spans="1:10" ht="14.25">
      <c r="A101" s="46" t="str">
        <f t="shared" si="15"/>
        <v/>
      </c>
      <c r="B101" s="47" t="str">
        <f t="shared" si="16"/>
        <v/>
      </c>
      <c r="C101" s="48" t="str">
        <f t="shared" si="18"/>
        <v/>
      </c>
      <c r="D101" s="48" t="str">
        <f>IF(ISERROR(PMT(Maandelijkse_rente_percentage,(Loan_Years*12)-Pay_Num+1,Beg_Bal)),"",IF(Values_Entered,-PMT(Maandelijkse_rente_percentage,(Loan_Years*12)-Pay_Num+1,Beg_Bal),""))</f>
        <v/>
      </c>
      <c r="E101" s="48" t="str">
        <f t="shared" si="12"/>
        <v/>
      </c>
      <c r="F101" s="48" t="e">
        <f t="shared" si="13"/>
        <v>#VALUE!</v>
      </c>
      <c r="G101" s="48" t="str">
        <f t="shared" si="17"/>
        <v/>
      </c>
      <c r="H101" s="19">
        <f t="shared" si="11"/>
        <v>0</v>
      </c>
      <c r="I101" s="19">
        <f t="shared" si="14"/>
        <v>0</v>
      </c>
      <c r="J101" s="4"/>
    </row>
    <row r="102" spans="1:10" ht="14.25">
      <c r="A102" s="46" t="str">
        <f t="shared" si="15"/>
        <v/>
      </c>
      <c r="B102" s="47" t="str">
        <f t="shared" si="16"/>
        <v/>
      </c>
      <c r="C102" s="48" t="str">
        <f t="shared" si="18"/>
        <v/>
      </c>
      <c r="D102" s="48" t="str">
        <f>IF(ISERROR(PMT(Maandelijkse_rente_percentage,(Loan_Years*12)-Pay_Num+1,Beg_Bal)),"",IF(Values_Entered,-PMT(Maandelijkse_rente_percentage,(Loan_Years*12)-Pay_Num+1,Beg_Bal),""))</f>
        <v/>
      </c>
      <c r="E102" s="48" t="str">
        <f t="shared" si="12"/>
        <v/>
      </c>
      <c r="F102" s="48" t="e">
        <f t="shared" si="13"/>
        <v>#VALUE!</v>
      </c>
      <c r="G102" s="48" t="str">
        <f t="shared" si="17"/>
        <v/>
      </c>
      <c r="H102" s="19">
        <f t="shared" si="11"/>
        <v>0</v>
      </c>
      <c r="I102" s="19">
        <f t="shared" si="14"/>
        <v>0</v>
      </c>
      <c r="J102" s="4"/>
    </row>
    <row r="103" spans="1:10" ht="14.25">
      <c r="A103" s="46" t="str">
        <f t="shared" si="15"/>
        <v/>
      </c>
      <c r="B103" s="47" t="str">
        <f t="shared" si="16"/>
        <v/>
      </c>
      <c r="C103" s="48" t="str">
        <f t="shared" si="18"/>
        <v/>
      </c>
      <c r="D103" s="48" t="str">
        <f>IF(ISERROR(PMT(Maandelijkse_rente_percentage,(Loan_Years*12)-Pay_Num+1,Beg_Bal)),"",IF(Values_Entered,-PMT(Maandelijkse_rente_percentage,(Loan_Years*12)-Pay_Num+1,Beg_Bal),""))</f>
        <v/>
      </c>
      <c r="E103" s="48" t="str">
        <f t="shared" si="12"/>
        <v/>
      </c>
      <c r="F103" s="48" t="e">
        <f t="shared" si="13"/>
        <v>#VALUE!</v>
      </c>
      <c r="G103" s="48" t="str">
        <f t="shared" si="17"/>
        <v/>
      </c>
      <c r="H103" s="19">
        <f>L10</f>
        <v>0</v>
      </c>
      <c r="I103" s="19">
        <f t="shared" si="14"/>
        <v>0</v>
      </c>
      <c r="J103" s="4"/>
    </row>
    <row r="104" spans="1:10" ht="14.25">
      <c r="A104" s="46" t="str">
        <f t="shared" si="15"/>
        <v/>
      </c>
      <c r="B104" s="47" t="str">
        <f t="shared" si="16"/>
        <v/>
      </c>
      <c r="C104" s="48" t="str">
        <f t="shared" si="18"/>
        <v/>
      </c>
      <c r="D104" s="48" t="str">
        <f>IF(ISERROR(PMT(Maandelijkse_rente_percentage,(Loan_Years*12)-Pay_Num+1,Beg_Bal)),"",IF(Values_Entered,-PMT(Maandelijkse_rente_percentage,(Loan_Years*12)-Pay_Num+1,Beg_Bal),""))</f>
        <v/>
      </c>
      <c r="E104" s="48" t="str">
        <f t="shared" si="12"/>
        <v/>
      </c>
      <c r="F104" s="48" t="e">
        <f t="shared" si="13"/>
        <v>#VALUE!</v>
      </c>
      <c r="G104" s="48" t="str">
        <f t="shared" si="17"/>
        <v/>
      </c>
      <c r="H104" s="19">
        <f t="shared" si="11"/>
        <v>0</v>
      </c>
      <c r="I104" s="19">
        <f t="shared" si="14"/>
        <v>0</v>
      </c>
      <c r="J104" s="4"/>
    </row>
    <row r="105" spans="1:10" ht="14.25">
      <c r="A105" s="46" t="str">
        <f t="shared" si="15"/>
        <v/>
      </c>
      <c r="B105" s="47" t="str">
        <f t="shared" si="16"/>
        <v/>
      </c>
      <c r="C105" s="48" t="str">
        <f t="shared" si="18"/>
        <v/>
      </c>
      <c r="D105" s="48" t="str">
        <f>IF(ISERROR(PMT(Maandelijkse_rente_percentage,(Loan_Years*12)-Pay_Num+1,Beg_Bal)),"",IF(Values_Entered,-PMT(Maandelijkse_rente_percentage,(Loan_Years*12)-Pay_Num+1,Beg_Bal),""))</f>
        <v/>
      </c>
      <c r="E105" s="48" t="str">
        <f t="shared" si="12"/>
        <v/>
      </c>
      <c r="F105" s="48" t="e">
        <f t="shared" si="13"/>
        <v>#VALUE!</v>
      </c>
      <c r="G105" s="48" t="str">
        <f t="shared" si="17"/>
        <v/>
      </c>
      <c r="H105" s="19">
        <f t="shared" si="11"/>
        <v>0</v>
      </c>
      <c r="I105" s="19">
        <f t="shared" si="14"/>
        <v>0</v>
      </c>
      <c r="J105" s="4"/>
    </row>
    <row r="106" spans="1:10" ht="14.25">
      <c r="A106" s="46" t="str">
        <f t="shared" si="15"/>
        <v/>
      </c>
      <c r="B106" s="47" t="str">
        <f t="shared" si="16"/>
        <v/>
      </c>
      <c r="C106" s="48" t="str">
        <f t="shared" si="18"/>
        <v/>
      </c>
      <c r="D106" s="48" t="str">
        <f>IF(ISERROR(PMT(Maandelijkse_rente_percentage,(Loan_Years*12)-Pay_Num+1,Beg_Bal)),"",IF(Values_Entered,-PMT(Maandelijkse_rente_percentage,(Loan_Years*12)-Pay_Num+1,Beg_Bal),""))</f>
        <v/>
      </c>
      <c r="E106" s="48" t="str">
        <f t="shared" si="12"/>
        <v/>
      </c>
      <c r="F106" s="48" t="e">
        <f t="shared" si="13"/>
        <v>#VALUE!</v>
      </c>
      <c r="G106" s="48" t="str">
        <f t="shared" si="17"/>
        <v/>
      </c>
      <c r="H106" s="19">
        <f t="shared" si="11"/>
        <v>0</v>
      </c>
      <c r="I106" s="19">
        <f t="shared" si="14"/>
        <v>0</v>
      </c>
      <c r="J106" s="4"/>
    </row>
    <row r="107" spans="1:10" ht="14.25">
      <c r="A107" s="46" t="str">
        <f t="shared" si="15"/>
        <v/>
      </c>
      <c r="B107" s="47" t="str">
        <f t="shared" si="16"/>
        <v/>
      </c>
      <c r="C107" s="48" t="str">
        <f t="shared" si="18"/>
        <v/>
      </c>
      <c r="D107" s="48" t="str">
        <f>IF(ISERROR(PMT(Maandelijkse_rente_percentage,(Loan_Years*12)-Pay_Num+1,Beg_Bal)),"",IF(Values_Entered,-PMT(Maandelijkse_rente_percentage,(Loan_Years*12)-Pay_Num+1,Beg_Bal),""))</f>
        <v/>
      </c>
      <c r="E107" s="48" t="str">
        <f t="shared" si="12"/>
        <v/>
      </c>
      <c r="F107" s="48" t="e">
        <f t="shared" si="13"/>
        <v>#VALUE!</v>
      </c>
      <c r="G107" s="48" t="str">
        <f t="shared" si="17"/>
        <v/>
      </c>
      <c r="H107" s="19">
        <f t="shared" si="11"/>
        <v>0</v>
      </c>
      <c r="I107" s="19">
        <f t="shared" si="14"/>
        <v>0</v>
      </c>
      <c r="J107" s="4"/>
    </row>
    <row r="108" spans="1:10" ht="14.25">
      <c r="A108" s="46" t="str">
        <f t="shared" si="15"/>
        <v/>
      </c>
      <c r="B108" s="47" t="str">
        <f t="shared" si="16"/>
        <v/>
      </c>
      <c r="C108" s="48" t="str">
        <f t="shared" si="18"/>
        <v/>
      </c>
      <c r="D108" s="48" t="str">
        <f>IF(ISERROR(PMT(Maandelijkse_rente_percentage,(Loan_Years*12)-Pay_Num+1,Beg_Bal)),"",IF(Values_Entered,-PMT(Maandelijkse_rente_percentage,(Loan_Years*12)-Pay_Num+1,Beg_Bal),""))</f>
        <v/>
      </c>
      <c r="E108" s="48" t="str">
        <f t="shared" si="12"/>
        <v/>
      </c>
      <c r="F108" s="48" t="e">
        <f t="shared" si="13"/>
        <v>#VALUE!</v>
      </c>
      <c r="G108" s="48" t="str">
        <f t="shared" si="17"/>
        <v/>
      </c>
      <c r="H108" s="19">
        <f t="shared" si="11"/>
        <v>0</v>
      </c>
      <c r="I108" s="19">
        <f t="shared" si="14"/>
        <v>0</v>
      </c>
      <c r="J108" s="4"/>
    </row>
    <row r="109" spans="1:10" ht="14.25">
      <c r="A109" s="46" t="str">
        <f t="shared" si="15"/>
        <v/>
      </c>
      <c r="B109" s="47" t="str">
        <f t="shared" si="16"/>
        <v/>
      </c>
      <c r="C109" s="48" t="str">
        <f t="shared" si="18"/>
        <v/>
      </c>
      <c r="D109" s="48" t="str">
        <f>IF(ISERROR(PMT(Maandelijkse_rente_percentage,(Loan_Years*12)-Pay_Num+1,Beg_Bal)),"",IF(Values_Entered,-PMT(Maandelijkse_rente_percentage,(Loan_Years*12)-Pay_Num+1,Beg_Bal),""))</f>
        <v/>
      </c>
      <c r="E109" s="48" t="str">
        <f t="shared" si="12"/>
        <v/>
      </c>
      <c r="F109" s="48" t="e">
        <f t="shared" si="13"/>
        <v>#VALUE!</v>
      </c>
      <c r="G109" s="48" t="str">
        <f t="shared" si="17"/>
        <v/>
      </c>
      <c r="H109" s="19">
        <f t="shared" si="11"/>
        <v>0</v>
      </c>
      <c r="I109" s="19">
        <f t="shared" si="14"/>
        <v>0</v>
      </c>
      <c r="J109" s="4"/>
    </row>
    <row r="110" spans="1:10" ht="14.25">
      <c r="A110" s="46" t="str">
        <f t="shared" si="15"/>
        <v/>
      </c>
      <c r="B110" s="47" t="str">
        <f t="shared" si="16"/>
        <v/>
      </c>
      <c r="C110" s="48" t="str">
        <f t="shared" si="18"/>
        <v/>
      </c>
      <c r="D110" s="48" t="str">
        <f>IF(ISERROR(PMT(Maandelijkse_rente_percentage,(Loan_Years*12)-Pay_Num+1,Beg_Bal)),"",IF(Values_Entered,-PMT(Maandelijkse_rente_percentage,(Loan_Years*12)-Pay_Num+1,Beg_Bal),""))</f>
        <v/>
      </c>
      <c r="E110" s="48" t="str">
        <f t="shared" si="12"/>
        <v/>
      </c>
      <c r="F110" s="48" t="e">
        <f t="shared" si="13"/>
        <v>#VALUE!</v>
      </c>
      <c r="G110" s="48" t="str">
        <f t="shared" si="17"/>
        <v/>
      </c>
      <c r="H110" s="19">
        <f t="shared" si="11"/>
        <v>0</v>
      </c>
      <c r="I110" s="19">
        <f t="shared" si="14"/>
        <v>0</v>
      </c>
      <c r="J110" s="4"/>
    </row>
    <row r="111" spans="1:10" ht="14.25">
      <c r="A111" s="46" t="str">
        <f t="shared" si="15"/>
        <v/>
      </c>
      <c r="B111" s="47" t="str">
        <f t="shared" si="16"/>
        <v/>
      </c>
      <c r="C111" s="48" t="str">
        <f t="shared" si="18"/>
        <v/>
      </c>
      <c r="D111" s="48" t="str">
        <f>IF(ISERROR(PMT(Maandelijkse_rente_percentage,(Loan_Years*12)-Pay_Num+1,Beg_Bal)),"",IF(Values_Entered,-PMT(Maandelijkse_rente_percentage,(Loan_Years*12)-Pay_Num+1,Beg_Bal),""))</f>
        <v/>
      </c>
      <c r="E111" s="48" t="str">
        <f t="shared" si="12"/>
        <v/>
      </c>
      <c r="F111" s="48" t="e">
        <f t="shared" si="13"/>
        <v>#VALUE!</v>
      </c>
      <c r="G111" s="48" t="str">
        <f t="shared" si="17"/>
        <v/>
      </c>
      <c r="H111" s="19">
        <f t="shared" si="11"/>
        <v>0</v>
      </c>
      <c r="I111" s="19">
        <f t="shared" si="14"/>
        <v>0</v>
      </c>
      <c r="J111" s="4"/>
    </row>
    <row r="112" spans="1:10" ht="14.25">
      <c r="A112" s="46" t="str">
        <f t="shared" si="15"/>
        <v/>
      </c>
      <c r="B112" s="47" t="str">
        <f t="shared" si="16"/>
        <v/>
      </c>
      <c r="C112" s="48" t="str">
        <f t="shared" si="18"/>
        <v/>
      </c>
      <c r="D112" s="48" t="str">
        <f>IF(ISERROR(PMT(Maandelijkse_rente_percentage,(Loan_Years*12)-Pay_Num+1,Beg_Bal)),"",IF(Values_Entered,-PMT(Maandelijkse_rente_percentage,(Loan_Years*12)-Pay_Num+1,Beg_Bal),""))</f>
        <v/>
      </c>
      <c r="E112" s="48" t="str">
        <f t="shared" si="12"/>
        <v/>
      </c>
      <c r="F112" s="48" t="e">
        <f t="shared" si="13"/>
        <v>#VALUE!</v>
      </c>
      <c r="G112" s="48" t="str">
        <f t="shared" si="17"/>
        <v/>
      </c>
      <c r="H112" s="19">
        <f t="shared" si="11"/>
        <v>0</v>
      </c>
      <c r="I112" s="19">
        <f t="shared" si="14"/>
        <v>0</v>
      </c>
      <c r="J112" s="4"/>
    </row>
    <row r="113" spans="1:10" ht="14.25">
      <c r="A113" s="46" t="str">
        <f t="shared" si="15"/>
        <v/>
      </c>
      <c r="B113" s="47" t="str">
        <f t="shared" si="16"/>
        <v/>
      </c>
      <c r="C113" s="48" t="str">
        <f t="shared" si="18"/>
        <v/>
      </c>
      <c r="D113" s="48" t="str">
        <f>IF(ISERROR(PMT(Maandelijkse_rente_percentage,(Loan_Years*12)-Pay_Num+1,Beg_Bal)),"",IF(Values_Entered,-PMT(Maandelijkse_rente_percentage,(Loan_Years*12)-Pay_Num+1,Beg_Bal),""))</f>
        <v/>
      </c>
      <c r="E113" s="48" t="str">
        <f t="shared" si="12"/>
        <v/>
      </c>
      <c r="F113" s="48" t="e">
        <f t="shared" si="13"/>
        <v>#VALUE!</v>
      </c>
      <c r="G113" s="48" t="str">
        <f t="shared" si="17"/>
        <v/>
      </c>
      <c r="H113" s="19">
        <f t="shared" si="11"/>
        <v>0</v>
      </c>
      <c r="I113" s="19">
        <f t="shared" si="14"/>
        <v>0</v>
      </c>
      <c r="J113" s="4"/>
    </row>
    <row r="114" spans="1:10" ht="14.25">
      <c r="A114" s="46" t="str">
        <f t="shared" si="15"/>
        <v/>
      </c>
      <c r="B114" s="47" t="str">
        <f t="shared" si="16"/>
        <v/>
      </c>
      <c r="C114" s="48" t="str">
        <f t="shared" si="18"/>
        <v/>
      </c>
      <c r="D114" s="48" t="str">
        <f>IF(ISERROR(PMT(Maandelijkse_rente_percentage,(Loan_Years*12)-Pay_Num+1,Beg_Bal)),"",IF(Values_Entered,-PMT(Maandelijkse_rente_percentage,(Loan_Years*12)-Pay_Num+1,Beg_Bal),""))</f>
        <v/>
      </c>
      <c r="E114" s="48" t="str">
        <f t="shared" si="12"/>
        <v/>
      </c>
      <c r="F114" s="48" t="e">
        <f t="shared" si="13"/>
        <v>#VALUE!</v>
      </c>
      <c r="G114" s="48" t="str">
        <f t="shared" si="17"/>
        <v/>
      </c>
      <c r="H114" s="19">
        <f t="shared" si="11"/>
        <v>0</v>
      </c>
      <c r="I114" s="19">
        <f t="shared" si="14"/>
        <v>0</v>
      </c>
      <c r="J114" s="4"/>
    </row>
    <row r="115" spans="1:10" ht="14.25">
      <c r="A115" s="46" t="str">
        <f t="shared" si="15"/>
        <v/>
      </c>
      <c r="B115" s="47" t="str">
        <f t="shared" si="16"/>
        <v/>
      </c>
      <c r="C115" s="48" t="str">
        <f t="shared" si="18"/>
        <v/>
      </c>
      <c r="D115" s="48" t="str">
        <f>IF(ISERROR(PMT(Maandelijkse_rente_percentage,(Loan_Years*12)-Pay_Num+1,Beg_Bal)),"",IF(Values_Entered,-PMT(Maandelijkse_rente_percentage,(Loan_Years*12)-Pay_Num+1,Beg_Bal),""))</f>
        <v/>
      </c>
      <c r="E115" s="48" t="str">
        <f t="shared" si="12"/>
        <v/>
      </c>
      <c r="F115" s="48" t="e">
        <f t="shared" si="13"/>
        <v>#VALUE!</v>
      </c>
      <c r="G115" s="48" t="str">
        <f t="shared" si="17"/>
        <v/>
      </c>
      <c r="H115" s="19">
        <f>L11</f>
        <v>0</v>
      </c>
      <c r="I115" s="19">
        <f t="shared" si="14"/>
        <v>0</v>
      </c>
      <c r="J115" s="4"/>
    </row>
    <row r="116" spans="1:10" ht="14.25">
      <c r="A116" s="46" t="str">
        <f t="shared" si="15"/>
        <v/>
      </c>
      <c r="B116" s="47" t="str">
        <f t="shared" si="16"/>
        <v/>
      </c>
      <c r="C116" s="48" t="str">
        <f t="shared" si="18"/>
        <v/>
      </c>
      <c r="D116" s="48" t="str">
        <f>IF(ISERROR(PMT(Maandelijkse_rente_percentage,(Loan_Years*12)-Pay_Num+1,Beg_Bal)),"",IF(Values_Entered,-PMT(Maandelijkse_rente_percentage,(Loan_Years*12)-Pay_Num+1,Beg_Bal),""))</f>
        <v/>
      </c>
      <c r="E116" s="48" t="str">
        <f t="shared" si="12"/>
        <v/>
      </c>
      <c r="F116" s="48" t="e">
        <f t="shared" si="13"/>
        <v>#VALUE!</v>
      </c>
      <c r="G116" s="48" t="str">
        <f t="shared" si="17"/>
        <v/>
      </c>
      <c r="H116" s="19">
        <f t="shared" si="11"/>
        <v>0</v>
      </c>
      <c r="I116" s="19">
        <f t="shared" si="14"/>
        <v>0</v>
      </c>
      <c r="J116" s="4"/>
    </row>
    <row r="117" spans="1:10" ht="14.25">
      <c r="A117" s="46" t="str">
        <f t="shared" si="15"/>
        <v/>
      </c>
      <c r="B117" s="47" t="str">
        <f t="shared" si="16"/>
        <v/>
      </c>
      <c r="C117" s="48" t="str">
        <f t="shared" si="18"/>
        <v/>
      </c>
      <c r="D117" s="48" t="str">
        <f>IF(ISERROR(PMT(Maandelijkse_rente_percentage,(Loan_Years*12)-Pay_Num+1,Beg_Bal)),"",IF(Values_Entered,-PMT(Maandelijkse_rente_percentage,(Loan_Years*12)-Pay_Num+1,Beg_Bal),""))</f>
        <v/>
      </c>
      <c r="E117" s="48" t="str">
        <f t="shared" si="12"/>
        <v/>
      </c>
      <c r="F117" s="48" t="e">
        <f t="shared" si="13"/>
        <v>#VALUE!</v>
      </c>
      <c r="G117" s="48" t="str">
        <f t="shared" si="17"/>
        <v/>
      </c>
      <c r="H117" s="19">
        <f t="shared" si="11"/>
        <v>0</v>
      </c>
      <c r="I117" s="19">
        <f t="shared" si="14"/>
        <v>0</v>
      </c>
      <c r="J117" s="4"/>
    </row>
    <row r="118" spans="1:10" ht="14.25">
      <c r="A118" s="46" t="str">
        <f t="shared" si="15"/>
        <v/>
      </c>
      <c r="B118" s="47" t="str">
        <f t="shared" si="16"/>
        <v/>
      </c>
      <c r="C118" s="48" t="str">
        <f t="shared" si="18"/>
        <v/>
      </c>
      <c r="D118" s="48" t="str">
        <f>IF(ISERROR(PMT(Maandelijkse_rente_percentage,(Loan_Years*12)-Pay_Num+1,Beg_Bal)),"",IF(Values_Entered,-PMT(Maandelijkse_rente_percentage,(Loan_Years*12)-Pay_Num+1,Beg_Bal),""))</f>
        <v/>
      </c>
      <c r="E118" s="48" t="str">
        <f t="shared" si="12"/>
        <v/>
      </c>
      <c r="F118" s="48" t="e">
        <f t="shared" si="13"/>
        <v>#VALUE!</v>
      </c>
      <c r="G118" s="48" t="str">
        <f t="shared" si="17"/>
        <v/>
      </c>
      <c r="H118" s="19">
        <f t="shared" si="11"/>
        <v>0</v>
      </c>
      <c r="I118" s="19">
        <f t="shared" si="14"/>
        <v>0</v>
      </c>
      <c r="J118" s="4"/>
    </row>
    <row r="119" spans="1:10" ht="14.25">
      <c r="A119" s="46" t="str">
        <f t="shared" si="15"/>
        <v/>
      </c>
      <c r="B119" s="47" t="str">
        <f t="shared" si="16"/>
        <v/>
      </c>
      <c r="C119" s="48" t="str">
        <f t="shared" si="18"/>
        <v/>
      </c>
      <c r="D119" s="48" t="str">
        <f>IF(ISERROR(PMT(Maandelijkse_rente_percentage,(Loan_Years*12)-Pay_Num+1,Beg_Bal)),"",IF(Values_Entered,-PMT(Maandelijkse_rente_percentage,(Loan_Years*12)-Pay_Num+1,Beg_Bal),""))</f>
        <v/>
      </c>
      <c r="E119" s="48" t="str">
        <f t="shared" si="12"/>
        <v/>
      </c>
      <c r="F119" s="48" t="e">
        <f t="shared" si="13"/>
        <v>#VALUE!</v>
      </c>
      <c r="G119" s="48" t="str">
        <f t="shared" si="17"/>
        <v/>
      </c>
      <c r="H119" s="19">
        <f t="shared" si="11"/>
        <v>0</v>
      </c>
      <c r="I119" s="19">
        <f t="shared" si="14"/>
        <v>0</v>
      </c>
      <c r="J119" s="4"/>
    </row>
    <row r="120" spans="1:10" ht="14.25">
      <c r="A120" s="46" t="str">
        <f t="shared" si="15"/>
        <v/>
      </c>
      <c r="B120" s="47" t="str">
        <f t="shared" si="16"/>
        <v/>
      </c>
      <c r="C120" s="48" t="str">
        <f t="shared" si="18"/>
        <v/>
      </c>
      <c r="D120" s="48" t="str">
        <f>IF(ISERROR(PMT(Maandelijkse_rente_percentage,(Loan_Years*12)-Pay_Num+1,Beg_Bal)),"",IF(Values_Entered,-PMT(Maandelijkse_rente_percentage,(Loan_Years*12)-Pay_Num+1,Beg_Bal),""))</f>
        <v/>
      </c>
      <c r="E120" s="48" t="str">
        <f t="shared" si="12"/>
        <v/>
      </c>
      <c r="F120" s="48" t="e">
        <f t="shared" si="13"/>
        <v>#VALUE!</v>
      </c>
      <c r="G120" s="48" t="str">
        <f t="shared" si="17"/>
        <v/>
      </c>
      <c r="H120" s="19">
        <f t="shared" si="11"/>
        <v>0</v>
      </c>
      <c r="I120" s="19">
        <f t="shared" si="14"/>
        <v>0</v>
      </c>
      <c r="J120" s="4"/>
    </row>
    <row r="121" spans="1:10" ht="14.25">
      <c r="A121" s="46" t="str">
        <f t="shared" si="15"/>
        <v/>
      </c>
      <c r="B121" s="47" t="str">
        <f t="shared" si="16"/>
        <v/>
      </c>
      <c r="C121" s="48" t="str">
        <f t="shared" si="18"/>
        <v/>
      </c>
      <c r="D121" s="48" t="str">
        <f>IF(ISERROR(PMT(Maandelijkse_rente_percentage,(Loan_Years*12)-Pay_Num+1,Beg_Bal)),"",IF(Values_Entered,-PMT(Maandelijkse_rente_percentage,(Loan_Years*12)-Pay_Num+1,Beg_Bal),""))</f>
        <v/>
      </c>
      <c r="E121" s="48" t="str">
        <f t="shared" si="12"/>
        <v/>
      </c>
      <c r="F121" s="48" t="e">
        <f t="shared" si="13"/>
        <v>#VALUE!</v>
      </c>
      <c r="G121" s="48" t="str">
        <f t="shared" si="17"/>
        <v/>
      </c>
      <c r="H121" s="19">
        <f t="shared" si="11"/>
        <v>0</v>
      </c>
      <c r="I121" s="19">
        <f t="shared" si="14"/>
        <v>0</v>
      </c>
      <c r="J121" s="4"/>
    </row>
    <row r="122" spans="1:10" ht="14.25">
      <c r="A122" s="46" t="str">
        <f t="shared" si="15"/>
        <v/>
      </c>
      <c r="B122" s="47" t="str">
        <f t="shared" si="16"/>
        <v/>
      </c>
      <c r="C122" s="48" t="str">
        <f t="shared" si="18"/>
        <v/>
      </c>
      <c r="D122" s="48" t="str">
        <f>IF(ISERROR(PMT(Maandelijkse_rente_percentage,(Loan_Years*12)-Pay_Num+1,Beg_Bal)),"",IF(Values_Entered,-PMT(Maandelijkse_rente_percentage,(Loan_Years*12)-Pay_Num+1,Beg_Bal),""))</f>
        <v/>
      </c>
      <c r="E122" s="48" t="str">
        <f t="shared" si="12"/>
        <v/>
      </c>
      <c r="F122" s="48" t="e">
        <f t="shared" si="13"/>
        <v>#VALUE!</v>
      </c>
      <c r="G122" s="48" t="str">
        <f t="shared" si="17"/>
        <v/>
      </c>
      <c r="H122" s="19">
        <f t="shared" si="11"/>
        <v>0</v>
      </c>
      <c r="I122" s="19">
        <f t="shared" si="14"/>
        <v>0</v>
      </c>
      <c r="J122" s="4"/>
    </row>
    <row r="123" spans="1:10" ht="14.25">
      <c r="A123" s="46" t="str">
        <f t="shared" si="15"/>
        <v/>
      </c>
      <c r="B123" s="47" t="str">
        <f t="shared" si="16"/>
        <v/>
      </c>
      <c r="C123" s="48" t="str">
        <f t="shared" si="18"/>
        <v/>
      </c>
      <c r="D123" s="48" t="str">
        <f>IF(ISERROR(PMT(Maandelijkse_rente_percentage,(Loan_Years*12)-Pay_Num+1,Beg_Bal)),"",IF(Values_Entered,-PMT(Maandelijkse_rente_percentage,(Loan_Years*12)-Pay_Num+1,Beg_Bal),""))</f>
        <v/>
      </c>
      <c r="E123" s="48" t="str">
        <f t="shared" si="12"/>
        <v/>
      </c>
      <c r="F123" s="48" t="e">
        <f t="shared" si="13"/>
        <v>#VALUE!</v>
      </c>
      <c r="G123" s="48" t="str">
        <f t="shared" si="17"/>
        <v/>
      </c>
      <c r="H123" s="19">
        <f t="shared" si="11"/>
        <v>0</v>
      </c>
      <c r="I123" s="19">
        <f t="shared" si="14"/>
        <v>0</v>
      </c>
      <c r="J123" s="4"/>
    </row>
    <row r="124" spans="1:10" ht="14.25">
      <c r="A124" s="46" t="str">
        <f t="shared" si="15"/>
        <v/>
      </c>
      <c r="B124" s="47" t="str">
        <f t="shared" si="16"/>
        <v/>
      </c>
      <c r="C124" s="48" t="str">
        <f t="shared" si="18"/>
        <v/>
      </c>
      <c r="D124" s="48" t="str">
        <f>IF(ISERROR(PMT(Maandelijkse_rente_percentage,(Loan_Years*12)-Pay_Num+1,Beg_Bal)),"",IF(Values_Entered,-PMT(Maandelijkse_rente_percentage,(Loan_Years*12)-Pay_Num+1,Beg_Bal),""))</f>
        <v/>
      </c>
      <c r="E124" s="48" t="str">
        <f t="shared" si="12"/>
        <v/>
      </c>
      <c r="F124" s="48" t="e">
        <f t="shared" si="13"/>
        <v>#VALUE!</v>
      </c>
      <c r="G124" s="48" t="str">
        <f t="shared" si="17"/>
        <v/>
      </c>
      <c r="H124" s="19">
        <f t="shared" si="11"/>
        <v>0</v>
      </c>
      <c r="I124" s="19">
        <f t="shared" si="14"/>
        <v>0</v>
      </c>
      <c r="J124" s="4"/>
    </row>
    <row r="125" spans="1:10" ht="14.25">
      <c r="A125" s="46" t="str">
        <f t="shared" si="15"/>
        <v/>
      </c>
      <c r="B125" s="47" t="str">
        <f t="shared" si="16"/>
        <v/>
      </c>
      <c r="C125" s="48" t="str">
        <f t="shared" si="18"/>
        <v/>
      </c>
      <c r="D125" s="48" t="str">
        <f>IF(ISERROR(PMT(Maandelijkse_rente_percentage,(Loan_Years*12)-Pay_Num+1,Beg_Bal)),"",IF(Values_Entered,-PMT(Maandelijkse_rente_percentage,(Loan_Years*12)-Pay_Num+1,Beg_Bal),""))</f>
        <v/>
      </c>
      <c r="E125" s="48" t="str">
        <f t="shared" si="12"/>
        <v/>
      </c>
      <c r="F125" s="48" t="e">
        <f t="shared" si="13"/>
        <v>#VALUE!</v>
      </c>
      <c r="G125" s="48" t="str">
        <f t="shared" si="17"/>
        <v/>
      </c>
      <c r="H125" s="19">
        <f t="shared" si="11"/>
        <v>0</v>
      </c>
      <c r="I125" s="19">
        <f t="shared" si="14"/>
        <v>0</v>
      </c>
      <c r="J125" s="4"/>
    </row>
    <row r="126" spans="1:10" ht="14.25">
      <c r="A126" s="46" t="str">
        <f t="shared" si="15"/>
        <v/>
      </c>
      <c r="B126" s="47" t="str">
        <f t="shared" si="16"/>
        <v/>
      </c>
      <c r="C126" s="48" t="str">
        <f t="shared" si="18"/>
        <v/>
      </c>
      <c r="D126" s="48" t="str">
        <f>IF(ISERROR(PMT(Maandelijkse_rente_percentage,(Loan_Years*12)-Pay_Num+1,Beg_Bal)),"",IF(Values_Entered,-PMT(Maandelijkse_rente_percentage,(Loan_Years*12)-Pay_Num+1,Beg_Bal),""))</f>
        <v/>
      </c>
      <c r="E126" s="48" t="str">
        <f t="shared" si="12"/>
        <v/>
      </c>
      <c r="F126" s="48" t="e">
        <f t="shared" si="13"/>
        <v>#VALUE!</v>
      </c>
      <c r="G126" s="48" t="str">
        <f t="shared" si="17"/>
        <v/>
      </c>
      <c r="H126" s="19">
        <f t="shared" si="11"/>
        <v>0</v>
      </c>
      <c r="I126" s="19">
        <f t="shared" si="14"/>
        <v>0</v>
      </c>
      <c r="J126" s="4"/>
    </row>
    <row r="127" spans="1:10" ht="14.25">
      <c r="A127" s="46" t="str">
        <f t="shared" si="15"/>
        <v/>
      </c>
      <c r="B127" s="47" t="str">
        <f t="shared" si="16"/>
        <v/>
      </c>
      <c r="C127" s="48" t="str">
        <f t="shared" si="18"/>
        <v/>
      </c>
      <c r="D127" s="48" t="str">
        <f>IF(ISERROR(PMT(Maandelijkse_rente_percentage,(Loan_Years*12)-Pay_Num+1,Beg_Bal)),"",IF(Values_Entered,-PMT(Maandelijkse_rente_percentage,(Loan_Years*12)-Pay_Num+1,Beg_Bal),""))</f>
        <v/>
      </c>
      <c r="E127" s="48" t="str">
        <f t="shared" si="12"/>
        <v/>
      </c>
      <c r="F127" s="48" t="e">
        <f t="shared" si="13"/>
        <v>#VALUE!</v>
      </c>
      <c r="G127" s="48" t="str">
        <f t="shared" si="17"/>
        <v/>
      </c>
      <c r="H127" s="19">
        <f>L12</f>
        <v>0</v>
      </c>
      <c r="I127" s="19">
        <f t="shared" si="14"/>
        <v>0</v>
      </c>
      <c r="J127" s="4"/>
    </row>
    <row r="128" spans="1:10" ht="14.25">
      <c r="A128" s="46" t="str">
        <f t="shared" si="15"/>
        <v/>
      </c>
      <c r="B128" s="47" t="str">
        <f t="shared" si="16"/>
        <v/>
      </c>
      <c r="C128" s="48" t="str">
        <f t="shared" si="18"/>
        <v/>
      </c>
      <c r="D128" s="48" t="str">
        <f>IF(ISERROR(PMT(Maandelijkse_rente_percentage,(Loan_Years*12)-Pay_Num+1,Beg_Bal)),"",IF(Values_Entered,-PMT(Maandelijkse_rente_percentage,(Loan_Years*12)-Pay_Num+1,Beg_Bal),""))</f>
        <v/>
      </c>
      <c r="E128" s="48" t="str">
        <f t="shared" si="12"/>
        <v/>
      </c>
      <c r="F128" s="48" t="e">
        <f t="shared" si="13"/>
        <v>#VALUE!</v>
      </c>
      <c r="G128" s="48" t="str">
        <f t="shared" si="17"/>
        <v/>
      </c>
      <c r="H128" s="19">
        <f t="shared" si="11"/>
        <v>0</v>
      </c>
      <c r="I128" s="19">
        <f t="shared" si="14"/>
        <v>0</v>
      </c>
      <c r="J128" s="4"/>
    </row>
    <row r="129" spans="1:10" ht="14.25">
      <c r="A129" s="46" t="str">
        <f t="shared" si="15"/>
        <v/>
      </c>
      <c r="B129" s="47" t="str">
        <f t="shared" si="16"/>
        <v/>
      </c>
      <c r="C129" s="48" t="str">
        <f t="shared" si="18"/>
        <v/>
      </c>
      <c r="D129" s="48" t="str">
        <f>IF(ISERROR(PMT(Maandelijkse_rente_percentage,(Loan_Years*12)-Pay_Num+1,Beg_Bal)),"",IF(Values_Entered,-PMT(Maandelijkse_rente_percentage,(Loan_Years*12)-Pay_Num+1,Beg_Bal),""))</f>
        <v/>
      </c>
      <c r="E129" s="48" t="str">
        <f t="shared" si="12"/>
        <v/>
      </c>
      <c r="F129" s="48" t="e">
        <f t="shared" si="13"/>
        <v>#VALUE!</v>
      </c>
      <c r="G129" s="48" t="str">
        <f t="shared" si="17"/>
        <v/>
      </c>
      <c r="H129" s="19">
        <f t="shared" si="11"/>
        <v>0</v>
      </c>
      <c r="I129" s="19">
        <f t="shared" si="14"/>
        <v>0</v>
      </c>
      <c r="J129" s="4"/>
    </row>
    <row r="130" spans="1:10" ht="14.25">
      <c r="A130" s="46" t="str">
        <f t="shared" si="15"/>
        <v/>
      </c>
      <c r="B130" s="47" t="str">
        <f t="shared" si="16"/>
        <v/>
      </c>
      <c r="C130" s="48" t="str">
        <f t="shared" si="18"/>
        <v/>
      </c>
      <c r="D130" s="48" t="str">
        <f>IF(ISERROR(PMT(Maandelijkse_rente_percentage,(Loan_Years*12)-Pay_Num+1,Beg_Bal)),"",IF(Values_Entered,-PMT(Maandelijkse_rente_percentage,(Loan_Years*12)-Pay_Num+1,Beg_Bal),""))</f>
        <v/>
      </c>
      <c r="E130" s="48" t="str">
        <f t="shared" si="12"/>
        <v/>
      </c>
      <c r="F130" s="48" t="e">
        <f t="shared" si="13"/>
        <v>#VALUE!</v>
      </c>
      <c r="G130" s="48" t="str">
        <f t="shared" si="17"/>
        <v/>
      </c>
      <c r="H130" s="19">
        <f t="shared" si="11"/>
        <v>0</v>
      </c>
      <c r="I130" s="19">
        <f t="shared" si="14"/>
        <v>0</v>
      </c>
      <c r="J130" s="4"/>
    </row>
    <row r="131" spans="1:10" ht="14.25">
      <c r="A131" s="46" t="str">
        <f t="shared" si="15"/>
        <v/>
      </c>
      <c r="B131" s="47" t="str">
        <f t="shared" si="16"/>
        <v/>
      </c>
      <c r="C131" s="48" t="str">
        <f t="shared" si="18"/>
        <v/>
      </c>
      <c r="D131" s="48" t="str">
        <f>IF(ISERROR(PMT(Maandelijkse_rente_percentage,(Loan_Years*12)-Pay_Num+1,Beg_Bal)),"",IF(Values_Entered,-PMT(Maandelijkse_rente_percentage,(Loan_Years*12)-Pay_Num+1,Beg_Bal),""))</f>
        <v/>
      </c>
      <c r="E131" s="48" t="str">
        <f t="shared" si="12"/>
        <v/>
      </c>
      <c r="F131" s="48" t="e">
        <f t="shared" si="13"/>
        <v>#VALUE!</v>
      </c>
      <c r="G131" s="48" t="str">
        <f t="shared" si="17"/>
        <v/>
      </c>
      <c r="H131" s="19">
        <f t="shared" si="11"/>
        <v>0</v>
      </c>
      <c r="I131" s="19">
        <f t="shared" si="14"/>
        <v>0</v>
      </c>
      <c r="J131" s="4"/>
    </row>
    <row r="132" spans="1:10" ht="14.25">
      <c r="A132" s="46" t="str">
        <f t="shared" si="15"/>
        <v/>
      </c>
      <c r="B132" s="47" t="str">
        <f t="shared" si="16"/>
        <v/>
      </c>
      <c r="C132" s="48" t="str">
        <f t="shared" si="18"/>
        <v/>
      </c>
      <c r="D132" s="48" t="str">
        <f>IF(ISERROR(PMT(Maandelijkse_rente_percentage,(Loan_Years*12)-Pay_Num+1,Beg_Bal)),"",IF(Values_Entered,-PMT(Maandelijkse_rente_percentage,(Loan_Years*12)-Pay_Num+1,Beg_Bal),""))</f>
        <v/>
      </c>
      <c r="E132" s="48" t="str">
        <f t="shared" si="12"/>
        <v/>
      </c>
      <c r="F132" s="48" t="e">
        <f t="shared" si="13"/>
        <v>#VALUE!</v>
      </c>
      <c r="G132" s="48" t="str">
        <f t="shared" si="17"/>
        <v/>
      </c>
      <c r="H132" s="19">
        <f t="shared" si="11"/>
        <v>0</v>
      </c>
      <c r="I132" s="19">
        <f t="shared" si="14"/>
        <v>0</v>
      </c>
      <c r="J132" s="4"/>
    </row>
    <row r="133" spans="1:10" ht="14.25">
      <c r="A133" s="46" t="str">
        <f t="shared" si="15"/>
        <v/>
      </c>
      <c r="B133" s="47" t="str">
        <f t="shared" si="16"/>
        <v/>
      </c>
      <c r="C133" s="48" t="str">
        <f t="shared" si="18"/>
        <v/>
      </c>
      <c r="D133" s="48" t="str">
        <f>IF(ISERROR(PMT(Maandelijkse_rente_percentage,(Loan_Years*12)-Pay_Num+1,Beg_Bal)),"",IF(Values_Entered,-PMT(Maandelijkse_rente_percentage,(Loan_Years*12)-Pay_Num+1,Beg_Bal),""))</f>
        <v/>
      </c>
      <c r="E133" s="48" t="str">
        <f t="shared" si="12"/>
        <v/>
      </c>
      <c r="F133" s="48" t="e">
        <f t="shared" si="13"/>
        <v>#VALUE!</v>
      </c>
      <c r="G133" s="48" t="str">
        <f t="shared" si="17"/>
        <v/>
      </c>
      <c r="H133" s="19">
        <f t="shared" si="11"/>
        <v>0</v>
      </c>
      <c r="I133" s="19">
        <f t="shared" si="14"/>
        <v>0</v>
      </c>
      <c r="J133" s="4"/>
    </row>
    <row r="134" spans="1:10" ht="14.25">
      <c r="A134" s="46" t="str">
        <f t="shared" si="15"/>
        <v/>
      </c>
      <c r="B134" s="47" t="str">
        <f t="shared" si="16"/>
        <v/>
      </c>
      <c r="C134" s="48" t="str">
        <f t="shared" si="18"/>
        <v/>
      </c>
      <c r="D134" s="48" t="str">
        <f>IF(ISERROR(PMT(Maandelijkse_rente_percentage,(Loan_Years*12)-Pay_Num+1,Beg_Bal)),"",IF(Values_Entered,-PMT(Maandelijkse_rente_percentage,(Loan_Years*12)-Pay_Num+1,Beg_Bal),""))</f>
        <v/>
      </c>
      <c r="E134" s="48" t="str">
        <f t="shared" si="12"/>
        <v/>
      </c>
      <c r="F134" s="48" t="e">
        <f t="shared" si="13"/>
        <v>#VALUE!</v>
      </c>
      <c r="G134" s="48" t="str">
        <f t="shared" si="17"/>
        <v/>
      </c>
      <c r="H134" s="19">
        <f t="shared" si="11"/>
        <v>0</v>
      </c>
      <c r="I134" s="19">
        <f t="shared" si="14"/>
        <v>0</v>
      </c>
      <c r="J134" s="4"/>
    </row>
    <row r="135" spans="1:10" ht="14.25">
      <c r="A135" s="46" t="str">
        <f t="shared" si="15"/>
        <v/>
      </c>
      <c r="B135" s="47" t="str">
        <f t="shared" si="16"/>
        <v/>
      </c>
      <c r="C135" s="48" t="str">
        <f t="shared" si="18"/>
        <v/>
      </c>
      <c r="D135" s="48" t="str">
        <f>IF(ISERROR(PMT(Maandelijkse_rente_percentage,(Loan_Years*12)-Pay_Num+1,Beg_Bal)),"",IF(Values_Entered,-PMT(Maandelijkse_rente_percentage,(Loan_Years*12)-Pay_Num+1,Beg_Bal),""))</f>
        <v/>
      </c>
      <c r="E135" s="48" t="str">
        <f t="shared" si="12"/>
        <v/>
      </c>
      <c r="F135" s="48" t="e">
        <f t="shared" si="13"/>
        <v>#VALUE!</v>
      </c>
      <c r="G135" s="48" t="str">
        <f t="shared" si="17"/>
        <v/>
      </c>
      <c r="H135" s="19">
        <f t="shared" si="11"/>
        <v>0</v>
      </c>
      <c r="I135" s="19">
        <f t="shared" si="14"/>
        <v>0</v>
      </c>
      <c r="J135" s="4"/>
    </row>
    <row r="136" spans="1:10" ht="14.25">
      <c r="A136" s="46" t="str">
        <f t="shared" si="15"/>
        <v/>
      </c>
      <c r="B136" s="47" t="str">
        <f t="shared" si="16"/>
        <v/>
      </c>
      <c r="C136" s="48" t="str">
        <f t="shared" si="18"/>
        <v/>
      </c>
      <c r="D136" s="48" t="str">
        <f>IF(ISERROR(PMT(Maandelijkse_rente_percentage,(Loan_Years*12)-Pay_Num+1,Beg_Bal)),"",IF(Values_Entered,-PMT(Maandelijkse_rente_percentage,(Loan_Years*12)-Pay_Num+1,Beg_Bal),""))</f>
        <v/>
      </c>
      <c r="E136" s="48" t="str">
        <f t="shared" si="12"/>
        <v/>
      </c>
      <c r="F136" s="48" t="e">
        <f t="shared" si="13"/>
        <v>#VALUE!</v>
      </c>
      <c r="G136" s="48" t="str">
        <f t="shared" si="17"/>
        <v/>
      </c>
      <c r="H136" s="19">
        <f t="shared" si="11"/>
        <v>0</v>
      </c>
      <c r="I136" s="19">
        <f t="shared" si="14"/>
        <v>0</v>
      </c>
      <c r="J136" s="4"/>
    </row>
    <row r="137" spans="1:10" ht="14.25">
      <c r="A137" s="46" t="str">
        <f t="shared" si="15"/>
        <v/>
      </c>
      <c r="B137" s="47" t="str">
        <f t="shared" si="16"/>
        <v/>
      </c>
      <c r="C137" s="48" t="str">
        <f t="shared" si="18"/>
        <v/>
      </c>
      <c r="D137" s="48" t="str">
        <f>IF(ISERROR(PMT(Maandelijkse_rente_percentage,(Loan_Years*12)-Pay_Num+1,Beg_Bal)),"",IF(Values_Entered,-PMT(Maandelijkse_rente_percentage,(Loan_Years*12)-Pay_Num+1,Beg_Bal),""))</f>
        <v/>
      </c>
      <c r="E137" s="48" t="str">
        <f t="shared" si="12"/>
        <v/>
      </c>
      <c r="F137" s="48" t="e">
        <f t="shared" si="13"/>
        <v>#VALUE!</v>
      </c>
      <c r="G137" s="48" t="str">
        <f t="shared" si="17"/>
        <v/>
      </c>
      <c r="H137" s="19">
        <f t="shared" si="11"/>
        <v>0</v>
      </c>
      <c r="I137" s="19">
        <f t="shared" si="14"/>
        <v>0</v>
      </c>
      <c r="J137" s="4"/>
    </row>
    <row r="138" spans="1:10" ht="14.25">
      <c r="A138" s="46" t="str">
        <f t="shared" si="15"/>
        <v/>
      </c>
      <c r="B138" s="47" t="str">
        <f t="shared" si="16"/>
        <v/>
      </c>
      <c r="C138" s="48" t="str">
        <f t="shared" si="18"/>
        <v/>
      </c>
      <c r="D138" s="48" t="str">
        <f>IF(ISERROR(PMT(Maandelijkse_rente_percentage,(Loan_Years*12)-Pay_Num+1,Beg_Bal)),"",IF(Values_Entered,-PMT(Maandelijkse_rente_percentage,(Loan_Years*12)-Pay_Num+1,Beg_Bal),""))</f>
        <v/>
      </c>
      <c r="E138" s="48" t="str">
        <f t="shared" si="12"/>
        <v/>
      </c>
      <c r="F138" s="48" t="e">
        <f t="shared" si="13"/>
        <v>#VALUE!</v>
      </c>
      <c r="G138" s="48" t="str">
        <f t="shared" si="17"/>
        <v/>
      </c>
      <c r="H138" s="19">
        <f t="shared" si="11"/>
        <v>0</v>
      </c>
      <c r="I138" s="19">
        <f t="shared" si="14"/>
        <v>0</v>
      </c>
      <c r="J138" s="4"/>
    </row>
    <row r="139" spans="1:10" ht="14.25">
      <c r="A139" s="46" t="str">
        <f t="shared" si="15"/>
        <v/>
      </c>
      <c r="B139" s="47" t="str">
        <f t="shared" si="16"/>
        <v/>
      </c>
      <c r="C139" s="48" t="str">
        <f t="shared" si="18"/>
        <v/>
      </c>
      <c r="D139" s="48" t="str">
        <f>IF(ISERROR(PMT(Maandelijkse_rente_percentage,(Loan_Years*12)-Pay_Num+1,Beg_Bal)),"",IF(Values_Entered,-PMT(Maandelijkse_rente_percentage,(Loan_Years*12)-Pay_Num+1,Beg_Bal),""))</f>
        <v/>
      </c>
      <c r="E139" s="48" t="str">
        <f t="shared" si="12"/>
        <v/>
      </c>
      <c r="F139" s="48" t="e">
        <f t="shared" si="13"/>
        <v>#VALUE!</v>
      </c>
      <c r="G139" s="48" t="str">
        <f t="shared" si="17"/>
        <v/>
      </c>
      <c r="H139" s="19">
        <f>L13</f>
        <v>0</v>
      </c>
      <c r="I139" s="19">
        <f t="shared" si="14"/>
        <v>0</v>
      </c>
      <c r="J139" s="4"/>
    </row>
    <row r="140" spans="1:10" ht="14.25">
      <c r="A140" s="46" t="str">
        <f t="shared" si="15"/>
        <v/>
      </c>
      <c r="B140" s="47" t="str">
        <f t="shared" si="16"/>
        <v/>
      </c>
      <c r="C140" s="48" t="str">
        <f t="shared" si="18"/>
        <v/>
      </c>
      <c r="D140" s="48" t="str">
        <f>IF(ISERROR(PMT(Maandelijkse_rente_percentage,(Loan_Years*12)-Pay_Num+1,Beg_Bal)),"",IF(Values_Entered,-PMT(Maandelijkse_rente_percentage,(Loan_Years*12)-Pay_Num+1,Beg_Bal),""))</f>
        <v/>
      </c>
      <c r="E140" s="48" t="str">
        <f t="shared" si="12"/>
        <v/>
      </c>
      <c r="F140" s="48" t="e">
        <f t="shared" si="13"/>
        <v>#VALUE!</v>
      </c>
      <c r="G140" s="48" t="str">
        <f t="shared" si="17"/>
        <v/>
      </c>
      <c r="H140" s="19">
        <f t="shared" si="11"/>
        <v>0</v>
      </c>
      <c r="I140" s="19">
        <f t="shared" si="14"/>
        <v>0</v>
      </c>
      <c r="J140" s="4"/>
    </row>
    <row r="141" spans="1:10" ht="14.25">
      <c r="A141" s="46" t="str">
        <f t="shared" si="15"/>
        <v/>
      </c>
      <c r="B141" s="47" t="str">
        <f t="shared" si="16"/>
        <v/>
      </c>
      <c r="C141" s="48" t="str">
        <f t="shared" si="18"/>
        <v/>
      </c>
      <c r="D141" s="48" t="str">
        <f>IF(ISERROR(PMT(Maandelijkse_rente_percentage,(Loan_Years*12)-Pay_Num+1,Beg_Bal)),"",IF(Values_Entered,-PMT(Maandelijkse_rente_percentage,(Loan_Years*12)-Pay_Num+1,Beg_Bal),""))</f>
        <v/>
      </c>
      <c r="E141" s="48" t="str">
        <f t="shared" si="12"/>
        <v/>
      </c>
      <c r="F141" s="48" t="e">
        <f t="shared" si="13"/>
        <v>#VALUE!</v>
      </c>
      <c r="G141" s="48" t="str">
        <f t="shared" si="17"/>
        <v/>
      </c>
      <c r="H141" s="19">
        <f t="shared" si="11"/>
        <v>0</v>
      </c>
      <c r="I141" s="19">
        <f t="shared" si="14"/>
        <v>0</v>
      </c>
      <c r="J141" s="4"/>
    </row>
    <row r="142" spans="1:10" ht="14.25">
      <c r="A142" s="46" t="str">
        <f t="shared" si="15"/>
        <v/>
      </c>
      <c r="B142" s="47" t="str">
        <f t="shared" si="16"/>
        <v/>
      </c>
      <c r="C142" s="48" t="str">
        <f t="shared" si="18"/>
        <v/>
      </c>
      <c r="D142" s="48" t="str">
        <f>IF(ISERROR(PMT(Maandelijkse_rente_percentage,(Loan_Years*12)-Pay_Num+1,Beg_Bal)),"",IF(Values_Entered,-PMT(Maandelijkse_rente_percentage,(Loan_Years*12)-Pay_Num+1,Beg_Bal),""))</f>
        <v/>
      </c>
      <c r="E142" s="48" t="str">
        <f t="shared" si="12"/>
        <v/>
      </c>
      <c r="F142" s="48" t="e">
        <f t="shared" si="13"/>
        <v>#VALUE!</v>
      </c>
      <c r="G142" s="48" t="str">
        <f t="shared" si="17"/>
        <v/>
      </c>
      <c r="H142" s="19">
        <f t="shared" si="11"/>
        <v>0</v>
      </c>
      <c r="I142" s="19">
        <f t="shared" si="14"/>
        <v>0</v>
      </c>
      <c r="J142" s="4"/>
    </row>
    <row r="143" spans="1:10" ht="14.25">
      <c r="A143" s="46" t="str">
        <f t="shared" si="15"/>
        <v/>
      </c>
      <c r="B143" s="47" t="str">
        <f t="shared" si="16"/>
        <v/>
      </c>
      <c r="C143" s="48" t="str">
        <f t="shared" si="18"/>
        <v/>
      </c>
      <c r="D143" s="48" t="str">
        <f>IF(ISERROR(PMT(Maandelijkse_rente_percentage,(Loan_Years*12)-Pay_Num+1,Beg_Bal)),"",IF(Values_Entered,-PMT(Maandelijkse_rente_percentage,(Loan_Years*12)-Pay_Num+1,Beg_Bal),""))</f>
        <v/>
      </c>
      <c r="E143" s="48" t="str">
        <f t="shared" si="12"/>
        <v/>
      </c>
      <c r="F143" s="48" t="e">
        <f t="shared" si="13"/>
        <v>#VALUE!</v>
      </c>
      <c r="G143" s="48" t="str">
        <f t="shared" si="17"/>
        <v/>
      </c>
      <c r="H143" s="19">
        <f t="shared" si="11"/>
        <v>0</v>
      </c>
      <c r="I143" s="19">
        <f t="shared" si="14"/>
        <v>0</v>
      </c>
      <c r="J143" s="4"/>
    </row>
    <row r="144" spans="1:10" ht="14.25">
      <c r="A144" s="46" t="str">
        <f t="shared" si="15"/>
        <v/>
      </c>
      <c r="B144" s="47" t="str">
        <f t="shared" si="16"/>
        <v/>
      </c>
      <c r="C144" s="48" t="str">
        <f t="shared" si="18"/>
        <v/>
      </c>
      <c r="D144" s="48" t="str">
        <f>IF(ISERROR(PMT(Maandelijkse_rente_percentage,(Loan_Years*12)-Pay_Num+1,Beg_Bal)),"",IF(Values_Entered,-PMT(Maandelijkse_rente_percentage,(Loan_Years*12)-Pay_Num+1,Beg_Bal),""))</f>
        <v/>
      </c>
      <c r="E144" s="48" t="str">
        <f t="shared" si="12"/>
        <v/>
      </c>
      <c r="F144" s="48" t="e">
        <f t="shared" si="13"/>
        <v>#VALUE!</v>
      </c>
      <c r="G144" s="48" t="str">
        <f t="shared" si="17"/>
        <v/>
      </c>
      <c r="H144" s="19">
        <f t="shared" ref="H144:H207" si="19">H143</f>
        <v>0</v>
      </c>
      <c r="I144" s="19">
        <f t="shared" si="14"/>
        <v>0</v>
      </c>
      <c r="J144" s="4"/>
    </row>
    <row r="145" spans="1:10" ht="14.25">
      <c r="A145" s="46" t="str">
        <f t="shared" si="15"/>
        <v/>
      </c>
      <c r="B145" s="47" t="str">
        <f t="shared" si="16"/>
        <v/>
      </c>
      <c r="C145" s="48" t="str">
        <f t="shared" si="18"/>
        <v/>
      </c>
      <c r="D145" s="48" t="str">
        <f>IF(ISERROR(PMT(Maandelijkse_rente_percentage,(Loan_Years*12)-Pay_Num+1,Beg_Bal)),"",IF(Values_Entered,-PMT(Maandelijkse_rente_percentage,(Loan_Years*12)-Pay_Num+1,Beg_Bal),""))</f>
        <v/>
      </c>
      <c r="E145" s="48" t="str">
        <f t="shared" si="12"/>
        <v/>
      </c>
      <c r="F145" s="48" t="e">
        <f t="shared" si="13"/>
        <v>#VALUE!</v>
      </c>
      <c r="G145" s="48" t="str">
        <f t="shared" si="17"/>
        <v/>
      </c>
      <c r="H145" s="19">
        <f t="shared" si="19"/>
        <v>0</v>
      </c>
      <c r="I145" s="19">
        <f t="shared" si="14"/>
        <v>0</v>
      </c>
      <c r="J145" s="4"/>
    </row>
    <row r="146" spans="1:10" ht="14.25">
      <c r="A146" s="46" t="str">
        <f t="shared" si="15"/>
        <v/>
      </c>
      <c r="B146" s="47" t="str">
        <f t="shared" si="16"/>
        <v/>
      </c>
      <c r="C146" s="48" t="str">
        <f t="shared" si="18"/>
        <v/>
      </c>
      <c r="D146" s="48" t="str">
        <f>IF(ISERROR(PMT(Maandelijkse_rente_percentage,(Loan_Years*12)-Pay_Num+1,Beg_Bal)),"",IF(Values_Entered,-PMT(Maandelijkse_rente_percentage,(Loan_Years*12)-Pay_Num+1,Beg_Bal),""))</f>
        <v/>
      </c>
      <c r="E146" s="48" t="str">
        <f t="shared" si="12"/>
        <v/>
      </c>
      <c r="F146" s="48" t="e">
        <f t="shared" si="13"/>
        <v>#VALUE!</v>
      </c>
      <c r="G146" s="48" t="str">
        <f t="shared" si="17"/>
        <v/>
      </c>
      <c r="H146" s="19">
        <f t="shared" si="19"/>
        <v>0</v>
      </c>
      <c r="I146" s="19">
        <f t="shared" si="14"/>
        <v>0</v>
      </c>
      <c r="J146" s="4"/>
    </row>
    <row r="147" spans="1:10" ht="14.25">
      <c r="A147" s="46" t="str">
        <f t="shared" si="15"/>
        <v/>
      </c>
      <c r="B147" s="47" t="str">
        <f t="shared" si="16"/>
        <v/>
      </c>
      <c r="C147" s="48" t="str">
        <f t="shared" si="18"/>
        <v/>
      </c>
      <c r="D147" s="48" t="str">
        <f>IF(ISERROR(PMT(Maandelijkse_rente_percentage,(Loan_Years*12)-Pay_Num+1,Beg_Bal)),"",IF(Values_Entered,-PMT(Maandelijkse_rente_percentage,(Loan_Years*12)-Pay_Num+1,Beg_Bal),""))</f>
        <v/>
      </c>
      <c r="E147" s="48" t="str">
        <f t="shared" ref="E147:E210" si="20">IF(Pay_Num&lt;&gt;"",Maandelijkse_aflossing-Int,"")</f>
        <v/>
      </c>
      <c r="F147" s="48" t="e">
        <f t="shared" ref="F147:F210" si="21">Beg_Bal*Maandelijkse_rente_percentage</f>
        <v>#VALUE!</v>
      </c>
      <c r="G147" s="48" t="str">
        <f t="shared" si="17"/>
        <v/>
      </c>
      <c r="H147" s="19">
        <f t="shared" si="19"/>
        <v>0</v>
      </c>
      <c r="I147" s="19">
        <f t="shared" ref="I147:I210" si="22">((1+Jaarlijk_rente_percentage)^(1/12))-1</f>
        <v>0</v>
      </c>
      <c r="J147" s="4"/>
    </row>
    <row r="148" spans="1:10" ht="14.25">
      <c r="A148" s="46" t="str">
        <f t="shared" ref="A148:A211" si="23">IF(Values_Entered,A147+1,"")</f>
        <v/>
      </c>
      <c r="B148" s="47" t="str">
        <f t="shared" ref="B148:B211" si="24">IF(Pay_Num&lt;&gt;"",DATE(YEAR(B147),MONTH(B147)+1,DAY(B147)),"")</f>
        <v/>
      </c>
      <c r="C148" s="48" t="str">
        <f t="shared" si="18"/>
        <v/>
      </c>
      <c r="D148" s="48" t="str">
        <f>IF(ISERROR(PMT(Maandelijkse_rente_percentage,(Loan_Years*12)-Pay_Num+1,Beg_Bal)),"",IF(Values_Entered,-PMT(Maandelijkse_rente_percentage,(Loan_Years*12)-Pay_Num+1,Beg_Bal),""))</f>
        <v/>
      </c>
      <c r="E148" s="48" t="str">
        <f t="shared" si="20"/>
        <v/>
      </c>
      <c r="F148" s="48" t="e">
        <f t="shared" si="21"/>
        <v>#VALUE!</v>
      </c>
      <c r="G148" s="48" t="str">
        <f t="shared" ref="G148:G211" si="25">IF(Pay_Num&lt;&gt;"",Beg_Bal-Princ,"")</f>
        <v/>
      </c>
      <c r="H148" s="19">
        <f t="shared" si="19"/>
        <v>0</v>
      </c>
      <c r="I148" s="19">
        <f t="shared" si="22"/>
        <v>0</v>
      </c>
      <c r="J148" s="4"/>
    </row>
    <row r="149" spans="1:10" ht="14.25">
      <c r="A149" s="46" t="str">
        <f t="shared" si="23"/>
        <v/>
      </c>
      <c r="B149" s="47" t="str">
        <f t="shared" si="24"/>
        <v/>
      </c>
      <c r="C149" s="48" t="str">
        <f t="shared" ref="C149:C212" si="26">IF(Pay_Num&lt;&gt;"",G148,"")</f>
        <v/>
      </c>
      <c r="D149" s="48" t="str">
        <f>IF(ISERROR(PMT(Maandelijkse_rente_percentage,(Loan_Years*12)-Pay_Num+1,Beg_Bal)),"",IF(Values_Entered,-PMT(Maandelijkse_rente_percentage,(Loan_Years*12)-Pay_Num+1,Beg_Bal),""))</f>
        <v/>
      </c>
      <c r="E149" s="48" t="str">
        <f t="shared" si="20"/>
        <v/>
      </c>
      <c r="F149" s="48" t="e">
        <f t="shared" si="21"/>
        <v>#VALUE!</v>
      </c>
      <c r="G149" s="48" t="str">
        <f t="shared" si="25"/>
        <v/>
      </c>
      <c r="H149" s="19">
        <f t="shared" si="19"/>
        <v>0</v>
      </c>
      <c r="I149" s="19">
        <f t="shared" si="22"/>
        <v>0</v>
      </c>
      <c r="J149" s="4"/>
    </row>
    <row r="150" spans="1:10" ht="14.25">
      <c r="A150" s="46" t="str">
        <f t="shared" si="23"/>
        <v/>
      </c>
      <c r="B150" s="47" t="str">
        <f t="shared" si="24"/>
        <v/>
      </c>
      <c r="C150" s="48" t="str">
        <f t="shared" si="26"/>
        <v/>
      </c>
      <c r="D150" s="48" t="str">
        <f>IF(ISERROR(PMT(Maandelijkse_rente_percentage,(Loan_Years*12)-Pay_Num+1,Beg_Bal)),"",IF(Values_Entered,-PMT(Maandelijkse_rente_percentage,(Loan_Years*12)-Pay_Num+1,Beg_Bal),""))</f>
        <v/>
      </c>
      <c r="E150" s="48" t="str">
        <f t="shared" si="20"/>
        <v/>
      </c>
      <c r="F150" s="48" t="e">
        <f t="shared" si="21"/>
        <v>#VALUE!</v>
      </c>
      <c r="G150" s="48" t="str">
        <f t="shared" si="25"/>
        <v/>
      </c>
      <c r="H150" s="19">
        <f t="shared" si="19"/>
        <v>0</v>
      </c>
      <c r="I150" s="19">
        <f t="shared" si="22"/>
        <v>0</v>
      </c>
      <c r="J150" s="4"/>
    </row>
    <row r="151" spans="1:10" ht="14.25">
      <c r="A151" s="46" t="str">
        <f t="shared" si="23"/>
        <v/>
      </c>
      <c r="B151" s="47" t="str">
        <f t="shared" si="24"/>
        <v/>
      </c>
      <c r="C151" s="48" t="str">
        <f t="shared" si="26"/>
        <v/>
      </c>
      <c r="D151" s="48" t="str">
        <f>IF(ISERROR(PMT(Maandelijkse_rente_percentage,(Loan_Years*12)-Pay_Num+1,Beg_Bal)),"",IF(Values_Entered,-PMT(Maandelijkse_rente_percentage,(Loan_Years*12)-Pay_Num+1,Beg_Bal),""))</f>
        <v/>
      </c>
      <c r="E151" s="48" t="str">
        <f t="shared" si="20"/>
        <v/>
      </c>
      <c r="F151" s="48" t="e">
        <f t="shared" si="21"/>
        <v>#VALUE!</v>
      </c>
      <c r="G151" s="48" t="str">
        <f t="shared" si="25"/>
        <v/>
      </c>
      <c r="H151" s="19">
        <f>L14</f>
        <v>0</v>
      </c>
      <c r="I151" s="19">
        <f t="shared" si="22"/>
        <v>0</v>
      </c>
      <c r="J151" s="4"/>
    </row>
    <row r="152" spans="1:10" ht="14.25">
      <c r="A152" s="46" t="str">
        <f t="shared" si="23"/>
        <v/>
      </c>
      <c r="B152" s="47" t="str">
        <f t="shared" si="24"/>
        <v/>
      </c>
      <c r="C152" s="48" t="str">
        <f t="shared" si="26"/>
        <v/>
      </c>
      <c r="D152" s="48" t="str">
        <f>IF(ISERROR(PMT(Maandelijkse_rente_percentage,(Loan_Years*12)-Pay_Num+1,Beg_Bal)),"",IF(Values_Entered,-PMT(Maandelijkse_rente_percentage,(Loan_Years*12)-Pay_Num+1,Beg_Bal),""))</f>
        <v/>
      </c>
      <c r="E152" s="48" t="str">
        <f t="shared" si="20"/>
        <v/>
      </c>
      <c r="F152" s="48" t="e">
        <f t="shared" si="21"/>
        <v>#VALUE!</v>
      </c>
      <c r="G152" s="48" t="str">
        <f t="shared" si="25"/>
        <v/>
      </c>
      <c r="H152" s="19">
        <f t="shared" si="19"/>
        <v>0</v>
      </c>
      <c r="I152" s="19">
        <f t="shared" si="22"/>
        <v>0</v>
      </c>
      <c r="J152" s="4"/>
    </row>
    <row r="153" spans="1:10" ht="14.25">
      <c r="A153" s="46" t="str">
        <f t="shared" si="23"/>
        <v/>
      </c>
      <c r="B153" s="47" t="str">
        <f t="shared" si="24"/>
        <v/>
      </c>
      <c r="C153" s="48" t="str">
        <f t="shared" si="26"/>
        <v/>
      </c>
      <c r="D153" s="48" t="str">
        <f>IF(ISERROR(PMT(Maandelijkse_rente_percentage,(Loan_Years*12)-Pay_Num+1,Beg_Bal)),"",IF(Values_Entered,-PMT(Maandelijkse_rente_percentage,(Loan_Years*12)-Pay_Num+1,Beg_Bal),""))</f>
        <v/>
      </c>
      <c r="E153" s="48" t="str">
        <f t="shared" si="20"/>
        <v/>
      </c>
      <c r="F153" s="48" t="e">
        <f t="shared" si="21"/>
        <v>#VALUE!</v>
      </c>
      <c r="G153" s="48" t="str">
        <f t="shared" si="25"/>
        <v/>
      </c>
      <c r="H153" s="19">
        <f t="shared" si="19"/>
        <v>0</v>
      </c>
      <c r="I153" s="19">
        <f t="shared" si="22"/>
        <v>0</v>
      </c>
      <c r="J153" s="4"/>
    </row>
    <row r="154" spans="1:10" ht="14.25">
      <c r="A154" s="46" t="str">
        <f t="shared" si="23"/>
        <v/>
      </c>
      <c r="B154" s="47" t="str">
        <f t="shared" si="24"/>
        <v/>
      </c>
      <c r="C154" s="48" t="str">
        <f t="shared" si="26"/>
        <v/>
      </c>
      <c r="D154" s="48" t="str">
        <f>IF(ISERROR(PMT(Maandelijkse_rente_percentage,(Loan_Years*12)-Pay_Num+1,Beg_Bal)),"",IF(Values_Entered,-PMT(Maandelijkse_rente_percentage,(Loan_Years*12)-Pay_Num+1,Beg_Bal),""))</f>
        <v/>
      </c>
      <c r="E154" s="48" t="str">
        <f t="shared" si="20"/>
        <v/>
      </c>
      <c r="F154" s="48" t="e">
        <f t="shared" si="21"/>
        <v>#VALUE!</v>
      </c>
      <c r="G154" s="48" t="str">
        <f t="shared" si="25"/>
        <v/>
      </c>
      <c r="H154" s="19">
        <f t="shared" si="19"/>
        <v>0</v>
      </c>
      <c r="I154" s="19">
        <f t="shared" si="22"/>
        <v>0</v>
      </c>
      <c r="J154" s="4"/>
    </row>
    <row r="155" spans="1:10" ht="14.25">
      <c r="A155" s="46" t="str">
        <f t="shared" si="23"/>
        <v/>
      </c>
      <c r="B155" s="47" t="str">
        <f t="shared" si="24"/>
        <v/>
      </c>
      <c r="C155" s="48" t="str">
        <f t="shared" si="26"/>
        <v/>
      </c>
      <c r="D155" s="48" t="str">
        <f>IF(ISERROR(PMT(Maandelijkse_rente_percentage,(Loan_Years*12)-Pay_Num+1,Beg_Bal)),"",IF(Values_Entered,-PMT(Maandelijkse_rente_percentage,(Loan_Years*12)-Pay_Num+1,Beg_Bal),""))</f>
        <v/>
      </c>
      <c r="E155" s="48" t="str">
        <f t="shared" si="20"/>
        <v/>
      </c>
      <c r="F155" s="48" t="e">
        <f t="shared" si="21"/>
        <v>#VALUE!</v>
      </c>
      <c r="G155" s="48" t="str">
        <f t="shared" si="25"/>
        <v/>
      </c>
      <c r="H155" s="19">
        <f t="shared" si="19"/>
        <v>0</v>
      </c>
      <c r="I155" s="19">
        <f t="shared" si="22"/>
        <v>0</v>
      </c>
      <c r="J155" s="4"/>
    </row>
    <row r="156" spans="1:10" ht="14.25">
      <c r="A156" s="46" t="str">
        <f t="shared" si="23"/>
        <v/>
      </c>
      <c r="B156" s="47" t="str">
        <f t="shared" si="24"/>
        <v/>
      </c>
      <c r="C156" s="48" t="str">
        <f t="shared" si="26"/>
        <v/>
      </c>
      <c r="D156" s="48" t="str">
        <f>IF(ISERROR(PMT(Maandelijkse_rente_percentage,(Loan_Years*12)-Pay_Num+1,Beg_Bal)),"",IF(Values_Entered,-PMT(Maandelijkse_rente_percentage,(Loan_Years*12)-Pay_Num+1,Beg_Bal),""))</f>
        <v/>
      </c>
      <c r="E156" s="48" t="str">
        <f t="shared" si="20"/>
        <v/>
      </c>
      <c r="F156" s="48" t="e">
        <f t="shared" si="21"/>
        <v>#VALUE!</v>
      </c>
      <c r="G156" s="48" t="str">
        <f t="shared" si="25"/>
        <v/>
      </c>
      <c r="H156" s="19">
        <f t="shared" si="19"/>
        <v>0</v>
      </c>
      <c r="I156" s="19">
        <f t="shared" si="22"/>
        <v>0</v>
      </c>
      <c r="J156" s="4"/>
    </row>
    <row r="157" spans="1:10" ht="14.25">
      <c r="A157" s="46" t="str">
        <f t="shared" si="23"/>
        <v/>
      </c>
      <c r="B157" s="47" t="str">
        <f t="shared" si="24"/>
        <v/>
      </c>
      <c r="C157" s="48" t="str">
        <f t="shared" si="26"/>
        <v/>
      </c>
      <c r="D157" s="48" t="str">
        <f>IF(ISERROR(PMT(Maandelijkse_rente_percentage,(Loan_Years*12)-Pay_Num+1,Beg_Bal)),"",IF(Values_Entered,-PMT(Maandelijkse_rente_percentage,(Loan_Years*12)-Pay_Num+1,Beg_Bal),""))</f>
        <v/>
      </c>
      <c r="E157" s="48" t="str">
        <f t="shared" si="20"/>
        <v/>
      </c>
      <c r="F157" s="48" t="e">
        <f t="shared" si="21"/>
        <v>#VALUE!</v>
      </c>
      <c r="G157" s="48" t="str">
        <f t="shared" si="25"/>
        <v/>
      </c>
      <c r="H157" s="19">
        <f t="shared" si="19"/>
        <v>0</v>
      </c>
      <c r="I157" s="19">
        <f t="shared" si="22"/>
        <v>0</v>
      </c>
      <c r="J157" s="4"/>
    </row>
    <row r="158" spans="1:10" ht="14.25">
      <c r="A158" s="46" t="str">
        <f t="shared" si="23"/>
        <v/>
      </c>
      <c r="B158" s="47" t="str">
        <f t="shared" si="24"/>
        <v/>
      </c>
      <c r="C158" s="48" t="str">
        <f t="shared" si="26"/>
        <v/>
      </c>
      <c r="D158" s="48" t="str">
        <f>IF(ISERROR(PMT(Maandelijkse_rente_percentage,(Loan_Years*12)-Pay_Num+1,Beg_Bal)),"",IF(Values_Entered,-PMT(Maandelijkse_rente_percentage,(Loan_Years*12)-Pay_Num+1,Beg_Bal),""))</f>
        <v/>
      </c>
      <c r="E158" s="48" t="str">
        <f t="shared" si="20"/>
        <v/>
      </c>
      <c r="F158" s="48" t="e">
        <f t="shared" si="21"/>
        <v>#VALUE!</v>
      </c>
      <c r="G158" s="48" t="str">
        <f t="shared" si="25"/>
        <v/>
      </c>
      <c r="H158" s="19">
        <f t="shared" si="19"/>
        <v>0</v>
      </c>
      <c r="I158" s="19">
        <f t="shared" si="22"/>
        <v>0</v>
      </c>
      <c r="J158" s="4"/>
    </row>
    <row r="159" spans="1:10" ht="14.25">
      <c r="A159" s="46" t="str">
        <f t="shared" si="23"/>
        <v/>
      </c>
      <c r="B159" s="47" t="str">
        <f t="shared" si="24"/>
        <v/>
      </c>
      <c r="C159" s="48" t="str">
        <f t="shared" si="26"/>
        <v/>
      </c>
      <c r="D159" s="48" t="str">
        <f>IF(ISERROR(PMT(Maandelijkse_rente_percentage,(Loan_Years*12)-Pay_Num+1,Beg_Bal)),"",IF(Values_Entered,-PMT(Maandelijkse_rente_percentage,(Loan_Years*12)-Pay_Num+1,Beg_Bal),""))</f>
        <v/>
      </c>
      <c r="E159" s="48" t="str">
        <f t="shared" si="20"/>
        <v/>
      </c>
      <c r="F159" s="48" t="e">
        <f t="shared" si="21"/>
        <v>#VALUE!</v>
      </c>
      <c r="G159" s="48" t="str">
        <f t="shared" si="25"/>
        <v/>
      </c>
      <c r="H159" s="19">
        <f t="shared" si="19"/>
        <v>0</v>
      </c>
      <c r="I159" s="19">
        <f t="shared" si="22"/>
        <v>0</v>
      </c>
      <c r="J159" s="4"/>
    </row>
    <row r="160" spans="1:10" ht="14.25">
      <c r="A160" s="46" t="str">
        <f t="shared" si="23"/>
        <v/>
      </c>
      <c r="B160" s="47" t="str">
        <f t="shared" si="24"/>
        <v/>
      </c>
      <c r="C160" s="48" t="str">
        <f t="shared" si="26"/>
        <v/>
      </c>
      <c r="D160" s="48" t="str">
        <f>IF(ISERROR(PMT(Maandelijkse_rente_percentage,(Loan_Years*12)-Pay_Num+1,Beg_Bal)),"",IF(Values_Entered,-PMT(Maandelijkse_rente_percentage,(Loan_Years*12)-Pay_Num+1,Beg_Bal),""))</f>
        <v/>
      </c>
      <c r="E160" s="48" t="str">
        <f t="shared" si="20"/>
        <v/>
      </c>
      <c r="F160" s="48" t="e">
        <f t="shared" si="21"/>
        <v>#VALUE!</v>
      </c>
      <c r="G160" s="48" t="str">
        <f t="shared" si="25"/>
        <v/>
      </c>
      <c r="H160" s="19">
        <f t="shared" si="19"/>
        <v>0</v>
      </c>
      <c r="I160" s="19">
        <f t="shared" si="22"/>
        <v>0</v>
      </c>
      <c r="J160" s="4"/>
    </row>
    <row r="161" spans="1:10" ht="14.25">
      <c r="A161" s="46" t="str">
        <f t="shared" si="23"/>
        <v/>
      </c>
      <c r="B161" s="47" t="str">
        <f t="shared" si="24"/>
        <v/>
      </c>
      <c r="C161" s="48" t="str">
        <f t="shared" si="26"/>
        <v/>
      </c>
      <c r="D161" s="48" t="str">
        <f>IF(ISERROR(PMT(Maandelijkse_rente_percentage,(Loan_Years*12)-Pay_Num+1,Beg_Bal)),"",IF(Values_Entered,-PMT(Maandelijkse_rente_percentage,(Loan_Years*12)-Pay_Num+1,Beg_Bal),""))</f>
        <v/>
      </c>
      <c r="E161" s="48" t="str">
        <f t="shared" si="20"/>
        <v/>
      </c>
      <c r="F161" s="48" t="e">
        <f t="shared" si="21"/>
        <v>#VALUE!</v>
      </c>
      <c r="G161" s="48" t="str">
        <f t="shared" si="25"/>
        <v/>
      </c>
      <c r="H161" s="19">
        <f t="shared" si="19"/>
        <v>0</v>
      </c>
      <c r="I161" s="19">
        <f t="shared" si="22"/>
        <v>0</v>
      </c>
      <c r="J161" s="4"/>
    </row>
    <row r="162" spans="1:10" ht="14.25">
      <c r="A162" s="46" t="str">
        <f t="shared" si="23"/>
        <v/>
      </c>
      <c r="B162" s="47" t="str">
        <f t="shared" si="24"/>
        <v/>
      </c>
      <c r="C162" s="48" t="str">
        <f t="shared" si="26"/>
        <v/>
      </c>
      <c r="D162" s="48" t="str">
        <f>IF(ISERROR(PMT(Maandelijkse_rente_percentage,(Loan_Years*12)-Pay_Num+1,Beg_Bal)),"",IF(Values_Entered,-PMT(Maandelijkse_rente_percentage,(Loan_Years*12)-Pay_Num+1,Beg_Bal),""))</f>
        <v/>
      </c>
      <c r="E162" s="48" t="str">
        <f t="shared" si="20"/>
        <v/>
      </c>
      <c r="F162" s="48" t="e">
        <f t="shared" si="21"/>
        <v>#VALUE!</v>
      </c>
      <c r="G162" s="48" t="str">
        <f t="shared" si="25"/>
        <v/>
      </c>
      <c r="H162" s="19">
        <f t="shared" si="19"/>
        <v>0</v>
      </c>
      <c r="I162" s="19">
        <f t="shared" si="22"/>
        <v>0</v>
      </c>
      <c r="J162" s="4"/>
    </row>
    <row r="163" spans="1:10" ht="14.25">
      <c r="A163" s="46" t="str">
        <f t="shared" si="23"/>
        <v/>
      </c>
      <c r="B163" s="47" t="str">
        <f t="shared" si="24"/>
        <v/>
      </c>
      <c r="C163" s="48" t="str">
        <f t="shared" si="26"/>
        <v/>
      </c>
      <c r="D163" s="48" t="str">
        <f>IF(ISERROR(PMT(Maandelijkse_rente_percentage,(Loan_Years*12)-Pay_Num+1,Beg_Bal)),"",IF(Values_Entered,-PMT(Maandelijkse_rente_percentage,(Loan_Years*12)-Pay_Num+1,Beg_Bal),""))</f>
        <v/>
      </c>
      <c r="E163" s="48" t="str">
        <f t="shared" si="20"/>
        <v/>
      </c>
      <c r="F163" s="48" t="e">
        <f t="shared" si="21"/>
        <v>#VALUE!</v>
      </c>
      <c r="G163" s="48" t="str">
        <f t="shared" si="25"/>
        <v/>
      </c>
      <c r="H163" s="19">
        <f>L15</f>
        <v>0</v>
      </c>
      <c r="I163" s="19">
        <f t="shared" si="22"/>
        <v>0</v>
      </c>
      <c r="J163" s="4"/>
    </row>
    <row r="164" spans="1:10" ht="14.25">
      <c r="A164" s="46" t="str">
        <f t="shared" si="23"/>
        <v/>
      </c>
      <c r="B164" s="47" t="str">
        <f t="shared" si="24"/>
        <v/>
      </c>
      <c r="C164" s="48" t="str">
        <f t="shared" si="26"/>
        <v/>
      </c>
      <c r="D164" s="48" t="str">
        <f>IF(ISERROR(PMT(Maandelijkse_rente_percentage,(Loan_Years*12)-Pay_Num+1,Beg_Bal)),"",IF(Values_Entered,-PMT(Maandelijkse_rente_percentage,(Loan_Years*12)-Pay_Num+1,Beg_Bal),""))</f>
        <v/>
      </c>
      <c r="E164" s="48" t="str">
        <f t="shared" si="20"/>
        <v/>
      </c>
      <c r="F164" s="48" t="e">
        <f t="shared" si="21"/>
        <v>#VALUE!</v>
      </c>
      <c r="G164" s="48" t="str">
        <f t="shared" si="25"/>
        <v/>
      </c>
      <c r="H164" s="19">
        <f t="shared" si="19"/>
        <v>0</v>
      </c>
      <c r="I164" s="19">
        <f t="shared" si="22"/>
        <v>0</v>
      </c>
      <c r="J164" s="4"/>
    </row>
    <row r="165" spans="1:10" ht="14.25">
      <c r="A165" s="46" t="str">
        <f t="shared" si="23"/>
        <v/>
      </c>
      <c r="B165" s="47" t="str">
        <f t="shared" si="24"/>
        <v/>
      </c>
      <c r="C165" s="48" t="str">
        <f t="shared" si="26"/>
        <v/>
      </c>
      <c r="D165" s="48" t="str">
        <f>IF(ISERROR(PMT(Maandelijkse_rente_percentage,(Loan_Years*12)-Pay_Num+1,Beg_Bal)),"",IF(Values_Entered,-PMT(Maandelijkse_rente_percentage,(Loan_Years*12)-Pay_Num+1,Beg_Bal),""))</f>
        <v/>
      </c>
      <c r="E165" s="48" t="str">
        <f t="shared" si="20"/>
        <v/>
      </c>
      <c r="F165" s="48" t="e">
        <f t="shared" si="21"/>
        <v>#VALUE!</v>
      </c>
      <c r="G165" s="48" t="str">
        <f t="shared" si="25"/>
        <v/>
      </c>
      <c r="H165" s="19">
        <f t="shared" si="19"/>
        <v>0</v>
      </c>
      <c r="I165" s="19">
        <f t="shared" si="22"/>
        <v>0</v>
      </c>
      <c r="J165" s="4"/>
    </row>
    <row r="166" spans="1:10" ht="14.25">
      <c r="A166" s="46" t="str">
        <f t="shared" si="23"/>
        <v/>
      </c>
      <c r="B166" s="47" t="str">
        <f t="shared" si="24"/>
        <v/>
      </c>
      <c r="C166" s="48" t="str">
        <f t="shared" si="26"/>
        <v/>
      </c>
      <c r="D166" s="48" t="str">
        <f>IF(ISERROR(PMT(Maandelijkse_rente_percentage,(Loan_Years*12)-Pay_Num+1,Beg_Bal)),"",IF(Values_Entered,-PMT(Maandelijkse_rente_percentage,(Loan_Years*12)-Pay_Num+1,Beg_Bal),""))</f>
        <v/>
      </c>
      <c r="E166" s="48" t="str">
        <f t="shared" si="20"/>
        <v/>
      </c>
      <c r="F166" s="48" t="e">
        <f t="shared" si="21"/>
        <v>#VALUE!</v>
      </c>
      <c r="G166" s="48" t="str">
        <f t="shared" si="25"/>
        <v/>
      </c>
      <c r="H166" s="19">
        <f t="shared" si="19"/>
        <v>0</v>
      </c>
      <c r="I166" s="19">
        <f t="shared" si="22"/>
        <v>0</v>
      </c>
      <c r="J166" s="4"/>
    </row>
    <row r="167" spans="1:10" ht="14.25">
      <c r="A167" s="46" t="str">
        <f t="shared" si="23"/>
        <v/>
      </c>
      <c r="B167" s="47" t="str">
        <f t="shared" si="24"/>
        <v/>
      </c>
      <c r="C167" s="48" t="str">
        <f t="shared" si="26"/>
        <v/>
      </c>
      <c r="D167" s="48" t="str">
        <f>IF(ISERROR(PMT(Maandelijkse_rente_percentage,(Loan_Years*12)-Pay_Num+1,Beg_Bal)),"",IF(Values_Entered,-PMT(Maandelijkse_rente_percentage,(Loan_Years*12)-Pay_Num+1,Beg_Bal),""))</f>
        <v/>
      </c>
      <c r="E167" s="48" t="str">
        <f t="shared" si="20"/>
        <v/>
      </c>
      <c r="F167" s="48" t="e">
        <f t="shared" si="21"/>
        <v>#VALUE!</v>
      </c>
      <c r="G167" s="48" t="str">
        <f t="shared" si="25"/>
        <v/>
      </c>
      <c r="H167" s="19">
        <f t="shared" si="19"/>
        <v>0</v>
      </c>
      <c r="I167" s="19">
        <f t="shared" si="22"/>
        <v>0</v>
      </c>
      <c r="J167" s="4"/>
    </row>
    <row r="168" spans="1:10" ht="14.25">
      <c r="A168" s="46" t="str">
        <f t="shared" si="23"/>
        <v/>
      </c>
      <c r="B168" s="47" t="str">
        <f t="shared" si="24"/>
        <v/>
      </c>
      <c r="C168" s="48" t="str">
        <f t="shared" si="26"/>
        <v/>
      </c>
      <c r="D168" s="48" t="str">
        <f>IF(ISERROR(PMT(Maandelijkse_rente_percentage,(Loan_Years*12)-Pay_Num+1,Beg_Bal)),"",IF(Values_Entered,-PMT(Maandelijkse_rente_percentage,(Loan_Years*12)-Pay_Num+1,Beg_Bal),""))</f>
        <v/>
      </c>
      <c r="E168" s="48" t="str">
        <f t="shared" si="20"/>
        <v/>
      </c>
      <c r="F168" s="48" t="e">
        <f t="shared" si="21"/>
        <v>#VALUE!</v>
      </c>
      <c r="G168" s="48" t="str">
        <f t="shared" si="25"/>
        <v/>
      </c>
      <c r="H168" s="19">
        <f t="shared" si="19"/>
        <v>0</v>
      </c>
      <c r="I168" s="19">
        <f t="shared" si="22"/>
        <v>0</v>
      </c>
      <c r="J168" s="4"/>
    </row>
    <row r="169" spans="1:10" ht="14.25">
      <c r="A169" s="46" t="str">
        <f t="shared" si="23"/>
        <v/>
      </c>
      <c r="B169" s="47" t="str">
        <f t="shared" si="24"/>
        <v/>
      </c>
      <c r="C169" s="48" t="str">
        <f t="shared" si="26"/>
        <v/>
      </c>
      <c r="D169" s="48" t="str">
        <f>IF(ISERROR(PMT(Maandelijkse_rente_percentage,(Loan_Years*12)-Pay_Num+1,Beg_Bal)),"",IF(Values_Entered,-PMT(Maandelijkse_rente_percentage,(Loan_Years*12)-Pay_Num+1,Beg_Bal),""))</f>
        <v/>
      </c>
      <c r="E169" s="48" t="str">
        <f t="shared" si="20"/>
        <v/>
      </c>
      <c r="F169" s="48" t="e">
        <f t="shared" si="21"/>
        <v>#VALUE!</v>
      </c>
      <c r="G169" s="48" t="str">
        <f t="shared" si="25"/>
        <v/>
      </c>
      <c r="H169" s="19">
        <f t="shared" si="19"/>
        <v>0</v>
      </c>
      <c r="I169" s="19">
        <f t="shared" si="22"/>
        <v>0</v>
      </c>
      <c r="J169" s="4"/>
    </row>
    <row r="170" spans="1:10" ht="14.25">
      <c r="A170" s="46" t="str">
        <f t="shared" si="23"/>
        <v/>
      </c>
      <c r="B170" s="47" t="str">
        <f t="shared" si="24"/>
        <v/>
      </c>
      <c r="C170" s="48" t="str">
        <f t="shared" si="26"/>
        <v/>
      </c>
      <c r="D170" s="48" t="str">
        <f>IF(ISERROR(PMT(Maandelijkse_rente_percentage,(Loan_Years*12)-Pay_Num+1,Beg_Bal)),"",IF(Values_Entered,-PMT(Maandelijkse_rente_percentage,(Loan_Years*12)-Pay_Num+1,Beg_Bal),""))</f>
        <v/>
      </c>
      <c r="E170" s="48" t="str">
        <f t="shared" si="20"/>
        <v/>
      </c>
      <c r="F170" s="48" t="e">
        <f t="shared" si="21"/>
        <v>#VALUE!</v>
      </c>
      <c r="G170" s="48" t="str">
        <f t="shared" si="25"/>
        <v/>
      </c>
      <c r="H170" s="19">
        <f t="shared" si="19"/>
        <v>0</v>
      </c>
      <c r="I170" s="19">
        <f t="shared" si="22"/>
        <v>0</v>
      </c>
      <c r="J170" s="4"/>
    </row>
    <row r="171" spans="1:10" ht="14.25">
      <c r="A171" s="46" t="str">
        <f t="shared" si="23"/>
        <v/>
      </c>
      <c r="B171" s="47" t="str">
        <f t="shared" si="24"/>
        <v/>
      </c>
      <c r="C171" s="48" t="str">
        <f t="shared" si="26"/>
        <v/>
      </c>
      <c r="D171" s="48" t="str">
        <f>IF(ISERROR(PMT(Maandelijkse_rente_percentage,(Loan_Years*12)-Pay_Num+1,Beg_Bal)),"",IF(Values_Entered,-PMT(Maandelijkse_rente_percentage,(Loan_Years*12)-Pay_Num+1,Beg_Bal),""))</f>
        <v/>
      </c>
      <c r="E171" s="48" t="str">
        <f t="shared" si="20"/>
        <v/>
      </c>
      <c r="F171" s="48" t="e">
        <f t="shared" si="21"/>
        <v>#VALUE!</v>
      </c>
      <c r="G171" s="48" t="str">
        <f t="shared" si="25"/>
        <v/>
      </c>
      <c r="H171" s="19">
        <f t="shared" si="19"/>
        <v>0</v>
      </c>
      <c r="I171" s="19">
        <f t="shared" si="22"/>
        <v>0</v>
      </c>
      <c r="J171" s="4"/>
    </row>
    <row r="172" spans="1:10" ht="14.25">
      <c r="A172" s="46" t="str">
        <f t="shared" si="23"/>
        <v/>
      </c>
      <c r="B172" s="47" t="str">
        <f t="shared" si="24"/>
        <v/>
      </c>
      <c r="C172" s="48" t="str">
        <f t="shared" si="26"/>
        <v/>
      </c>
      <c r="D172" s="48" t="str">
        <f>IF(ISERROR(PMT(Maandelijkse_rente_percentage,(Loan_Years*12)-Pay_Num+1,Beg_Bal)),"",IF(Values_Entered,-PMT(Maandelijkse_rente_percentage,(Loan_Years*12)-Pay_Num+1,Beg_Bal),""))</f>
        <v/>
      </c>
      <c r="E172" s="48" t="str">
        <f t="shared" si="20"/>
        <v/>
      </c>
      <c r="F172" s="48" t="e">
        <f t="shared" si="21"/>
        <v>#VALUE!</v>
      </c>
      <c r="G172" s="48" t="str">
        <f t="shared" si="25"/>
        <v/>
      </c>
      <c r="H172" s="19">
        <f t="shared" si="19"/>
        <v>0</v>
      </c>
      <c r="I172" s="19">
        <f t="shared" si="22"/>
        <v>0</v>
      </c>
      <c r="J172" s="4"/>
    </row>
    <row r="173" spans="1:10" ht="14.25">
      <c r="A173" s="46" t="str">
        <f t="shared" si="23"/>
        <v/>
      </c>
      <c r="B173" s="47" t="str">
        <f t="shared" si="24"/>
        <v/>
      </c>
      <c r="C173" s="48" t="str">
        <f t="shared" si="26"/>
        <v/>
      </c>
      <c r="D173" s="48" t="str">
        <f>IF(ISERROR(PMT(Maandelijkse_rente_percentage,(Loan_Years*12)-Pay_Num+1,Beg_Bal)),"",IF(Values_Entered,-PMT(Maandelijkse_rente_percentage,(Loan_Years*12)-Pay_Num+1,Beg_Bal),""))</f>
        <v/>
      </c>
      <c r="E173" s="48" t="str">
        <f t="shared" si="20"/>
        <v/>
      </c>
      <c r="F173" s="48" t="e">
        <f t="shared" si="21"/>
        <v>#VALUE!</v>
      </c>
      <c r="G173" s="48" t="str">
        <f t="shared" si="25"/>
        <v/>
      </c>
      <c r="H173" s="19">
        <f t="shared" si="19"/>
        <v>0</v>
      </c>
      <c r="I173" s="19">
        <f t="shared" si="22"/>
        <v>0</v>
      </c>
      <c r="J173" s="4"/>
    </row>
    <row r="174" spans="1:10" ht="14.25">
      <c r="A174" s="46" t="str">
        <f t="shared" si="23"/>
        <v/>
      </c>
      <c r="B174" s="47" t="str">
        <f t="shared" si="24"/>
        <v/>
      </c>
      <c r="C174" s="48" t="str">
        <f t="shared" si="26"/>
        <v/>
      </c>
      <c r="D174" s="48" t="str">
        <f>IF(ISERROR(PMT(Maandelijkse_rente_percentage,(Loan_Years*12)-Pay_Num+1,Beg_Bal)),"",IF(Values_Entered,-PMT(Maandelijkse_rente_percentage,(Loan_Years*12)-Pay_Num+1,Beg_Bal),""))</f>
        <v/>
      </c>
      <c r="E174" s="48" t="str">
        <f t="shared" si="20"/>
        <v/>
      </c>
      <c r="F174" s="48" t="e">
        <f t="shared" si="21"/>
        <v>#VALUE!</v>
      </c>
      <c r="G174" s="48" t="str">
        <f t="shared" si="25"/>
        <v/>
      </c>
      <c r="H174" s="19">
        <f t="shared" si="19"/>
        <v>0</v>
      </c>
      <c r="I174" s="19">
        <f t="shared" si="22"/>
        <v>0</v>
      </c>
      <c r="J174" s="4"/>
    </row>
    <row r="175" spans="1:10" ht="14.25">
      <c r="A175" s="46" t="str">
        <f t="shared" si="23"/>
        <v/>
      </c>
      <c r="B175" s="47" t="str">
        <f t="shared" si="24"/>
        <v/>
      </c>
      <c r="C175" s="48" t="str">
        <f t="shared" si="26"/>
        <v/>
      </c>
      <c r="D175" s="48" t="str">
        <f>IF(ISERROR(PMT(Maandelijkse_rente_percentage,(Loan_Years*12)-Pay_Num+1,Beg_Bal)),"",IF(Values_Entered,-PMT(Maandelijkse_rente_percentage,(Loan_Years*12)-Pay_Num+1,Beg_Bal),""))</f>
        <v/>
      </c>
      <c r="E175" s="48" t="str">
        <f t="shared" si="20"/>
        <v/>
      </c>
      <c r="F175" s="48" t="e">
        <f t="shared" si="21"/>
        <v>#VALUE!</v>
      </c>
      <c r="G175" s="48" t="str">
        <f t="shared" si="25"/>
        <v/>
      </c>
      <c r="H175" s="19">
        <f>L16</f>
        <v>0</v>
      </c>
      <c r="I175" s="19">
        <f t="shared" si="22"/>
        <v>0</v>
      </c>
      <c r="J175" s="4"/>
    </row>
    <row r="176" spans="1:10" ht="14.25">
      <c r="A176" s="46" t="str">
        <f t="shared" si="23"/>
        <v/>
      </c>
      <c r="B176" s="47" t="str">
        <f t="shared" si="24"/>
        <v/>
      </c>
      <c r="C176" s="48" t="str">
        <f t="shared" si="26"/>
        <v/>
      </c>
      <c r="D176" s="48" t="str">
        <f>IF(ISERROR(PMT(Maandelijkse_rente_percentage,(Loan_Years*12)-Pay_Num+1,Beg_Bal)),"",IF(Values_Entered,-PMT(Maandelijkse_rente_percentage,(Loan_Years*12)-Pay_Num+1,Beg_Bal),""))</f>
        <v/>
      </c>
      <c r="E176" s="48" t="str">
        <f t="shared" si="20"/>
        <v/>
      </c>
      <c r="F176" s="48" t="e">
        <f t="shared" si="21"/>
        <v>#VALUE!</v>
      </c>
      <c r="G176" s="48" t="str">
        <f t="shared" si="25"/>
        <v/>
      </c>
      <c r="H176" s="19">
        <f t="shared" si="19"/>
        <v>0</v>
      </c>
      <c r="I176" s="19">
        <f t="shared" si="22"/>
        <v>0</v>
      </c>
      <c r="J176" s="4"/>
    </row>
    <row r="177" spans="1:10" ht="14.25">
      <c r="A177" s="46" t="str">
        <f t="shared" si="23"/>
        <v/>
      </c>
      <c r="B177" s="47" t="str">
        <f t="shared" si="24"/>
        <v/>
      </c>
      <c r="C177" s="48" t="str">
        <f t="shared" si="26"/>
        <v/>
      </c>
      <c r="D177" s="48" t="str">
        <f>IF(ISERROR(PMT(Maandelijkse_rente_percentage,(Loan_Years*12)-Pay_Num+1,Beg_Bal)),"",IF(Values_Entered,-PMT(Maandelijkse_rente_percentage,(Loan_Years*12)-Pay_Num+1,Beg_Bal),""))</f>
        <v/>
      </c>
      <c r="E177" s="48" t="str">
        <f t="shared" si="20"/>
        <v/>
      </c>
      <c r="F177" s="48" t="e">
        <f t="shared" si="21"/>
        <v>#VALUE!</v>
      </c>
      <c r="G177" s="48" t="str">
        <f t="shared" si="25"/>
        <v/>
      </c>
      <c r="H177" s="19">
        <f t="shared" si="19"/>
        <v>0</v>
      </c>
      <c r="I177" s="19">
        <f t="shared" si="22"/>
        <v>0</v>
      </c>
      <c r="J177" s="4"/>
    </row>
    <row r="178" spans="1:10" ht="14.25">
      <c r="A178" s="46" t="str">
        <f t="shared" si="23"/>
        <v/>
      </c>
      <c r="B178" s="47" t="str">
        <f t="shared" si="24"/>
        <v/>
      </c>
      <c r="C178" s="48" t="str">
        <f t="shared" si="26"/>
        <v/>
      </c>
      <c r="D178" s="48" t="str">
        <f>IF(ISERROR(PMT(Maandelijkse_rente_percentage,(Loan_Years*12)-Pay_Num+1,Beg_Bal)),"",IF(Values_Entered,-PMT(Maandelijkse_rente_percentage,(Loan_Years*12)-Pay_Num+1,Beg_Bal),""))</f>
        <v/>
      </c>
      <c r="E178" s="48" t="str">
        <f t="shared" si="20"/>
        <v/>
      </c>
      <c r="F178" s="48" t="e">
        <f t="shared" si="21"/>
        <v>#VALUE!</v>
      </c>
      <c r="G178" s="48" t="str">
        <f t="shared" si="25"/>
        <v/>
      </c>
      <c r="H178" s="19">
        <f t="shared" si="19"/>
        <v>0</v>
      </c>
      <c r="I178" s="19">
        <f t="shared" si="22"/>
        <v>0</v>
      </c>
      <c r="J178" s="4"/>
    </row>
    <row r="179" spans="1:10" ht="14.25">
      <c r="A179" s="46" t="str">
        <f t="shared" si="23"/>
        <v/>
      </c>
      <c r="B179" s="47" t="str">
        <f t="shared" si="24"/>
        <v/>
      </c>
      <c r="C179" s="48" t="str">
        <f t="shared" si="26"/>
        <v/>
      </c>
      <c r="D179" s="48" t="str">
        <f>IF(ISERROR(PMT(Maandelijkse_rente_percentage,(Loan_Years*12)-Pay_Num+1,Beg_Bal)),"",IF(Values_Entered,-PMT(Maandelijkse_rente_percentage,(Loan_Years*12)-Pay_Num+1,Beg_Bal),""))</f>
        <v/>
      </c>
      <c r="E179" s="48" t="str">
        <f t="shared" si="20"/>
        <v/>
      </c>
      <c r="F179" s="48" t="e">
        <f t="shared" si="21"/>
        <v>#VALUE!</v>
      </c>
      <c r="G179" s="48" t="str">
        <f t="shared" si="25"/>
        <v/>
      </c>
      <c r="H179" s="19">
        <f t="shared" si="19"/>
        <v>0</v>
      </c>
      <c r="I179" s="19">
        <f t="shared" si="22"/>
        <v>0</v>
      </c>
      <c r="J179" s="4"/>
    </row>
    <row r="180" spans="1:10" ht="14.25">
      <c r="A180" s="46" t="str">
        <f t="shared" si="23"/>
        <v/>
      </c>
      <c r="B180" s="47" t="str">
        <f t="shared" si="24"/>
        <v/>
      </c>
      <c r="C180" s="48" t="str">
        <f t="shared" si="26"/>
        <v/>
      </c>
      <c r="D180" s="48" t="str">
        <f>IF(ISERROR(PMT(Maandelijkse_rente_percentage,(Loan_Years*12)-Pay_Num+1,Beg_Bal)),"",IF(Values_Entered,-PMT(Maandelijkse_rente_percentage,(Loan_Years*12)-Pay_Num+1,Beg_Bal),""))</f>
        <v/>
      </c>
      <c r="E180" s="48" t="str">
        <f t="shared" si="20"/>
        <v/>
      </c>
      <c r="F180" s="48" t="e">
        <f t="shared" si="21"/>
        <v>#VALUE!</v>
      </c>
      <c r="G180" s="48" t="str">
        <f t="shared" si="25"/>
        <v/>
      </c>
      <c r="H180" s="19">
        <f t="shared" si="19"/>
        <v>0</v>
      </c>
      <c r="I180" s="19">
        <f t="shared" si="22"/>
        <v>0</v>
      </c>
      <c r="J180" s="4"/>
    </row>
    <row r="181" spans="1:10" ht="14.25">
      <c r="A181" s="46" t="str">
        <f t="shared" si="23"/>
        <v/>
      </c>
      <c r="B181" s="47" t="str">
        <f t="shared" si="24"/>
        <v/>
      </c>
      <c r="C181" s="48" t="str">
        <f t="shared" si="26"/>
        <v/>
      </c>
      <c r="D181" s="48" t="str">
        <f>IF(ISERROR(PMT(Maandelijkse_rente_percentage,(Loan_Years*12)-Pay_Num+1,Beg_Bal)),"",IF(Values_Entered,-PMT(Maandelijkse_rente_percentage,(Loan_Years*12)-Pay_Num+1,Beg_Bal),""))</f>
        <v/>
      </c>
      <c r="E181" s="48" t="str">
        <f t="shared" si="20"/>
        <v/>
      </c>
      <c r="F181" s="48" t="e">
        <f t="shared" si="21"/>
        <v>#VALUE!</v>
      </c>
      <c r="G181" s="48" t="str">
        <f t="shared" si="25"/>
        <v/>
      </c>
      <c r="H181" s="19">
        <f t="shared" si="19"/>
        <v>0</v>
      </c>
      <c r="I181" s="19">
        <f t="shared" si="22"/>
        <v>0</v>
      </c>
      <c r="J181" s="4"/>
    </row>
    <row r="182" spans="1:10" ht="14.25">
      <c r="A182" s="46" t="str">
        <f t="shared" si="23"/>
        <v/>
      </c>
      <c r="B182" s="47" t="str">
        <f t="shared" si="24"/>
        <v/>
      </c>
      <c r="C182" s="48" t="str">
        <f t="shared" si="26"/>
        <v/>
      </c>
      <c r="D182" s="48" t="str">
        <f>IF(ISERROR(PMT(Maandelijkse_rente_percentage,(Loan_Years*12)-Pay_Num+1,Beg_Bal)),"",IF(Values_Entered,-PMT(Maandelijkse_rente_percentage,(Loan_Years*12)-Pay_Num+1,Beg_Bal),""))</f>
        <v/>
      </c>
      <c r="E182" s="48" t="str">
        <f t="shared" si="20"/>
        <v/>
      </c>
      <c r="F182" s="48" t="e">
        <f t="shared" si="21"/>
        <v>#VALUE!</v>
      </c>
      <c r="G182" s="48" t="str">
        <f t="shared" si="25"/>
        <v/>
      </c>
      <c r="H182" s="19">
        <f t="shared" si="19"/>
        <v>0</v>
      </c>
      <c r="I182" s="19">
        <f t="shared" si="22"/>
        <v>0</v>
      </c>
      <c r="J182" s="4"/>
    </row>
    <row r="183" spans="1:10" ht="14.25">
      <c r="A183" s="46" t="str">
        <f t="shared" si="23"/>
        <v/>
      </c>
      <c r="B183" s="47" t="str">
        <f t="shared" si="24"/>
        <v/>
      </c>
      <c r="C183" s="48" t="str">
        <f t="shared" si="26"/>
        <v/>
      </c>
      <c r="D183" s="48" t="str">
        <f>IF(ISERROR(PMT(Maandelijkse_rente_percentage,(Loan_Years*12)-Pay_Num+1,Beg_Bal)),"",IF(Values_Entered,-PMT(Maandelijkse_rente_percentage,(Loan_Years*12)-Pay_Num+1,Beg_Bal),""))</f>
        <v/>
      </c>
      <c r="E183" s="48" t="str">
        <f t="shared" si="20"/>
        <v/>
      </c>
      <c r="F183" s="48" t="e">
        <f t="shared" si="21"/>
        <v>#VALUE!</v>
      </c>
      <c r="G183" s="48" t="str">
        <f t="shared" si="25"/>
        <v/>
      </c>
      <c r="H183" s="19">
        <f t="shared" si="19"/>
        <v>0</v>
      </c>
      <c r="I183" s="19">
        <f t="shared" si="22"/>
        <v>0</v>
      </c>
      <c r="J183" s="4"/>
    </row>
    <row r="184" spans="1:10" ht="14.25">
      <c r="A184" s="46" t="str">
        <f t="shared" si="23"/>
        <v/>
      </c>
      <c r="B184" s="47" t="str">
        <f t="shared" si="24"/>
        <v/>
      </c>
      <c r="C184" s="48" t="str">
        <f t="shared" si="26"/>
        <v/>
      </c>
      <c r="D184" s="48" t="str">
        <f>IF(ISERROR(PMT(Maandelijkse_rente_percentage,(Loan_Years*12)-Pay_Num+1,Beg_Bal)),"",IF(Values_Entered,-PMT(Maandelijkse_rente_percentage,(Loan_Years*12)-Pay_Num+1,Beg_Bal),""))</f>
        <v/>
      </c>
      <c r="E184" s="48" t="str">
        <f t="shared" si="20"/>
        <v/>
      </c>
      <c r="F184" s="48" t="e">
        <f t="shared" si="21"/>
        <v>#VALUE!</v>
      </c>
      <c r="G184" s="48" t="str">
        <f t="shared" si="25"/>
        <v/>
      </c>
      <c r="H184" s="19">
        <f t="shared" si="19"/>
        <v>0</v>
      </c>
      <c r="I184" s="19">
        <f t="shared" si="22"/>
        <v>0</v>
      </c>
      <c r="J184" s="4"/>
    </row>
    <row r="185" spans="1:10" ht="14.25">
      <c r="A185" s="46" t="str">
        <f t="shared" si="23"/>
        <v/>
      </c>
      <c r="B185" s="47" t="str">
        <f t="shared" si="24"/>
        <v/>
      </c>
      <c r="C185" s="48" t="str">
        <f t="shared" si="26"/>
        <v/>
      </c>
      <c r="D185" s="48" t="str">
        <f>IF(ISERROR(PMT(Maandelijkse_rente_percentage,(Loan_Years*12)-Pay_Num+1,Beg_Bal)),"",IF(Values_Entered,-PMT(Maandelijkse_rente_percentage,(Loan_Years*12)-Pay_Num+1,Beg_Bal),""))</f>
        <v/>
      </c>
      <c r="E185" s="48" t="str">
        <f t="shared" si="20"/>
        <v/>
      </c>
      <c r="F185" s="48" t="e">
        <f t="shared" si="21"/>
        <v>#VALUE!</v>
      </c>
      <c r="G185" s="48" t="str">
        <f t="shared" si="25"/>
        <v/>
      </c>
      <c r="H185" s="19">
        <f t="shared" si="19"/>
        <v>0</v>
      </c>
      <c r="I185" s="19">
        <f t="shared" si="22"/>
        <v>0</v>
      </c>
      <c r="J185" s="4"/>
    </row>
    <row r="186" spans="1:10" ht="14.25">
      <c r="A186" s="46" t="str">
        <f t="shared" si="23"/>
        <v/>
      </c>
      <c r="B186" s="47" t="str">
        <f t="shared" si="24"/>
        <v/>
      </c>
      <c r="C186" s="48" t="str">
        <f t="shared" si="26"/>
        <v/>
      </c>
      <c r="D186" s="48" t="str">
        <f>IF(ISERROR(PMT(Maandelijkse_rente_percentage,(Loan_Years*12)-Pay_Num+1,Beg_Bal)),"",IF(Values_Entered,-PMT(Maandelijkse_rente_percentage,(Loan_Years*12)-Pay_Num+1,Beg_Bal),""))</f>
        <v/>
      </c>
      <c r="E186" s="48" t="str">
        <f t="shared" si="20"/>
        <v/>
      </c>
      <c r="F186" s="48" t="e">
        <f t="shared" si="21"/>
        <v>#VALUE!</v>
      </c>
      <c r="G186" s="48" t="str">
        <f t="shared" si="25"/>
        <v/>
      </c>
      <c r="H186" s="19">
        <f t="shared" si="19"/>
        <v>0</v>
      </c>
      <c r="I186" s="19">
        <f t="shared" si="22"/>
        <v>0</v>
      </c>
      <c r="J186" s="4"/>
    </row>
    <row r="187" spans="1:10" ht="14.25">
      <c r="A187" s="46" t="str">
        <f t="shared" si="23"/>
        <v/>
      </c>
      <c r="B187" s="47" t="str">
        <f t="shared" si="24"/>
        <v/>
      </c>
      <c r="C187" s="48" t="str">
        <f t="shared" si="26"/>
        <v/>
      </c>
      <c r="D187" s="48" t="str">
        <f>IF(ISERROR(PMT(Maandelijkse_rente_percentage,(Loan_Years*12)-Pay_Num+1,Beg_Bal)),"",IF(Values_Entered,-PMT(Maandelijkse_rente_percentage,(Loan_Years*12)-Pay_Num+1,Beg_Bal),""))</f>
        <v/>
      </c>
      <c r="E187" s="48" t="str">
        <f t="shared" si="20"/>
        <v/>
      </c>
      <c r="F187" s="48" t="e">
        <f t="shared" si="21"/>
        <v>#VALUE!</v>
      </c>
      <c r="G187" s="48" t="str">
        <f t="shared" si="25"/>
        <v/>
      </c>
      <c r="H187" s="19">
        <f>L17</f>
        <v>0</v>
      </c>
      <c r="I187" s="19">
        <f t="shared" si="22"/>
        <v>0</v>
      </c>
      <c r="J187" s="4"/>
    </row>
    <row r="188" spans="1:10" ht="14.25">
      <c r="A188" s="46" t="str">
        <f t="shared" si="23"/>
        <v/>
      </c>
      <c r="B188" s="47" t="str">
        <f t="shared" si="24"/>
        <v/>
      </c>
      <c r="C188" s="48" t="str">
        <f t="shared" si="26"/>
        <v/>
      </c>
      <c r="D188" s="48" t="str">
        <f>IF(ISERROR(PMT(Maandelijkse_rente_percentage,(Loan_Years*12)-Pay_Num+1,Beg_Bal)),"",IF(Values_Entered,-PMT(Maandelijkse_rente_percentage,(Loan_Years*12)-Pay_Num+1,Beg_Bal),""))</f>
        <v/>
      </c>
      <c r="E188" s="48" t="str">
        <f t="shared" si="20"/>
        <v/>
      </c>
      <c r="F188" s="48" t="e">
        <f t="shared" si="21"/>
        <v>#VALUE!</v>
      </c>
      <c r="G188" s="48" t="str">
        <f t="shared" si="25"/>
        <v/>
      </c>
      <c r="H188" s="19">
        <f t="shared" si="19"/>
        <v>0</v>
      </c>
      <c r="I188" s="19">
        <f t="shared" si="22"/>
        <v>0</v>
      </c>
      <c r="J188" s="4"/>
    </row>
    <row r="189" spans="1:10" ht="14.25">
      <c r="A189" s="46" t="str">
        <f t="shared" si="23"/>
        <v/>
      </c>
      <c r="B189" s="47" t="str">
        <f t="shared" si="24"/>
        <v/>
      </c>
      <c r="C189" s="48" t="str">
        <f t="shared" si="26"/>
        <v/>
      </c>
      <c r="D189" s="48" t="str">
        <f>IF(ISERROR(PMT(Maandelijkse_rente_percentage,(Loan_Years*12)-Pay_Num+1,Beg_Bal)),"",IF(Values_Entered,-PMT(Maandelijkse_rente_percentage,(Loan_Years*12)-Pay_Num+1,Beg_Bal),""))</f>
        <v/>
      </c>
      <c r="E189" s="48" t="str">
        <f t="shared" si="20"/>
        <v/>
      </c>
      <c r="F189" s="48" t="e">
        <f t="shared" si="21"/>
        <v>#VALUE!</v>
      </c>
      <c r="G189" s="48" t="str">
        <f t="shared" si="25"/>
        <v/>
      </c>
      <c r="H189" s="19">
        <f t="shared" si="19"/>
        <v>0</v>
      </c>
      <c r="I189" s="19">
        <f t="shared" si="22"/>
        <v>0</v>
      </c>
      <c r="J189" s="4"/>
    </row>
    <row r="190" spans="1:10" ht="14.25">
      <c r="A190" s="46" t="str">
        <f t="shared" si="23"/>
        <v/>
      </c>
      <c r="B190" s="47" t="str">
        <f t="shared" si="24"/>
        <v/>
      </c>
      <c r="C190" s="48" t="str">
        <f t="shared" si="26"/>
        <v/>
      </c>
      <c r="D190" s="48" t="str">
        <f>IF(ISERROR(PMT(Maandelijkse_rente_percentage,(Loan_Years*12)-Pay_Num+1,Beg_Bal)),"",IF(Values_Entered,-PMT(Maandelijkse_rente_percentage,(Loan_Years*12)-Pay_Num+1,Beg_Bal),""))</f>
        <v/>
      </c>
      <c r="E190" s="48" t="str">
        <f t="shared" si="20"/>
        <v/>
      </c>
      <c r="F190" s="48" t="e">
        <f t="shared" si="21"/>
        <v>#VALUE!</v>
      </c>
      <c r="G190" s="48" t="str">
        <f t="shared" si="25"/>
        <v/>
      </c>
      <c r="H190" s="19">
        <f t="shared" si="19"/>
        <v>0</v>
      </c>
      <c r="I190" s="19">
        <f t="shared" si="22"/>
        <v>0</v>
      </c>
      <c r="J190" s="4"/>
    </row>
    <row r="191" spans="1:10" ht="14.25">
      <c r="A191" s="46" t="str">
        <f t="shared" si="23"/>
        <v/>
      </c>
      <c r="B191" s="47" t="str">
        <f t="shared" si="24"/>
        <v/>
      </c>
      <c r="C191" s="48" t="str">
        <f t="shared" si="26"/>
        <v/>
      </c>
      <c r="D191" s="48" t="str">
        <f>IF(ISERROR(PMT(Maandelijkse_rente_percentage,(Loan_Years*12)-Pay_Num+1,Beg_Bal)),"",IF(Values_Entered,-PMT(Maandelijkse_rente_percentage,(Loan_Years*12)-Pay_Num+1,Beg_Bal),""))</f>
        <v/>
      </c>
      <c r="E191" s="48" t="str">
        <f t="shared" si="20"/>
        <v/>
      </c>
      <c r="F191" s="48" t="e">
        <f t="shared" si="21"/>
        <v>#VALUE!</v>
      </c>
      <c r="G191" s="48" t="str">
        <f t="shared" si="25"/>
        <v/>
      </c>
      <c r="H191" s="19">
        <f t="shared" si="19"/>
        <v>0</v>
      </c>
      <c r="I191" s="19">
        <f t="shared" si="22"/>
        <v>0</v>
      </c>
      <c r="J191" s="4"/>
    </row>
    <row r="192" spans="1:10" ht="14.25">
      <c r="A192" s="46" t="str">
        <f t="shared" si="23"/>
        <v/>
      </c>
      <c r="B192" s="47" t="str">
        <f t="shared" si="24"/>
        <v/>
      </c>
      <c r="C192" s="48" t="str">
        <f t="shared" si="26"/>
        <v/>
      </c>
      <c r="D192" s="48" t="str">
        <f>IF(ISERROR(PMT(Maandelijkse_rente_percentage,(Loan_Years*12)-Pay_Num+1,Beg_Bal)),"",IF(Values_Entered,-PMT(Maandelijkse_rente_percentage,(Loan_Years*12)-Pay_Num+1,Beg_Bal),""))</f>
        <v/>
      </c>
      <c r="E192" s="48" t="str">
        <f t="shared" si="20"/>
        <v/>
      </c>
      <c r="F192" s="48" t="e">
        <f t="shared" si="21"/>
        <v>#VALUE!</v>
      </c>
      <c r="G192" s="48" t="str">
        <f t="shared" si="25"/>
        <v/>
      </c>
      <c r="H192" s="19">
        <f t="shared" si="19"/>
        <v>0</v>
      </c>
      <c r="I192" s="19">
        <f t="shared" si="22"/>
        <v>0</v>
      </c>
      <c r="J192" s="4"/>
    </row>
    <row r="193" spans="1:10" ht="14.25">
      <c r="A193" s="46" t="str">
        <f t="shared" si="23"/>
        <v/>
      </c>
      <c r="B193" s="47" t="str">
        <f t="shared" si="24"/>
        <v/>
      </c>
      <c r="C193" s="48" t="str">
        <f t="shared" si="26"/>
        <v/>
      </c>
      <c r="D193" s="48" t="str">
        <f>IF(ISERROR(PMT(Maandelijkse_rente_percentage,(Loan_Years*12)-Pay_Num+1,Beg_Bal)),"",IF(Values_Entered,-PMT(Maandelijkse_rente_percentage,(Loan_Years*12)-Pay_Num+1,Beg_Bal),""))</f>
        <v/>
      </c>
      <c r="E193" s="48" t="str">
        <f t="shared" si="20"/>
        <v/>
      </c>
      <c r="F193" s="48" t="e">
        <f t="shared" si="21"/>
        <v>#VALUE!</v>
      </c>
      <c r="G193" s="48" t="str">
        <f t="shared" si="25"/>
        <v/>
      </c>
      <c r="H193" s="19">
        <f t="shared" si="19"/>
        <v>0</v>
      </c>
      <c r="I193" s="19">
        <f t="shared" si="22"/>
        <v>0</v>
      </c>
      <c r="J193" s="4"/>
    </row>
    <row r="194" spans="1:10" ht="14.25">
      <c r="A194" s="46" t="str">
        <f t="shared" si="23"/>
        <v/>
      </c>
      <c r="B194" s="47" t="str">
        <f t="shared" si="24"/>
        <v/>
      </c>
      <c r="C194" s="48" t="str">
        <f t="shared" si="26"/>
        <v/>
      </c>
      <c r="D194" s="48" t="str">
        <f>IF(ISERROR(PMT(Maandelijkse_rente_percentage,(Loan_Years*12)-Pay_Num+1,Beg_Bal)),"",IF(Values_Entered,-PMT(Maandelijkse_rente_percentage,(Loan_Years*12)-Pay_Num+1,Beg_Bal),""))</f>
        <v/>
      </c>
      <c r="E194" s="48" t="str">
        <f t="shared" si="20"/>
        <v/>
      </c>
      <c r="F194" s="48" t="e">
        <f t="shared" si="21"/>
        <v>#VALUE!</v>
      </c>
      <c r="G194" s="48" t="str">
        <f t="shared" si="25"/>
        <v/>
      </c>
      <c r="H194" s="19">
        <f t="shared" si="19"/>
        <v>0</v>
      </c>
      <c r="I194" s="19">
        <f t="shared" si="22"/>
        <v>0</v>
      </c>
      <c r="J194" s="4"/>
    </row>
    <row r="195" spans="1:10" ht="14.25">
      <c r="A195" s="46" t="str">
        <f t="shared" si="23"/>
        <v/>
      </c>
      <c r="B195" s="47" t="str">
        <f t="shared" si="24"/>
        <v/>
      </c>
      <c r="C195" s="48" t="str">
        <f t="shared" si="26"/>
        <v/>
      </c>
      <c r="D195" s="48" t="str">
        <f>IF(ISERROR(PMT(Maandelijkse_rente_percentage,(Loan_Years*12)-Pay_Num+1,Beg_Bal)),"",IF(Values_Entered,-PMT(Maandelijkse_rente_percentage,(Loan_Years*12)-Pay_Num+1,Beg_Bal),""))</f>
        <v/>
      </c>
      <c r="E195" s="48" t="str">
        <f t="shared" si="20"/>
        <v/>
      </c>
      <c r="F195" s="48" t="e">
        <f t="shared" si="21"/>
        <v>#VALUE!</v>
      </c>
      <c r="G195" s="48" t="str">
        <f t="shared" si="25"/>
        <v/>
      </c>
      <c r="H195" s="19">
        <f t="shared" si="19"/>
        <v>0</v>
      </c>
      <c r="I195" s="19">
        <f t="shared" si="22"/>
        <v>0</v>
      </c>
      <c r="J195" s="4"/>
    </row>
    <row r="196" spans="1:10" ht="14.25">
      <c r="A196" s="46" t="str">
        <f t="shared" si="23"/>
        <v/>
      </c>
      <c r="B196" s="47" t="str">
        <f t="shared" si="24"/>
        <v/>
      </c>
      <c r="C196" s="48" t="str">
        <f t="shared" si="26"/>
        <v/>
      </c>
      <c r="D196" s="48" t="str">
        <f>IF(ISERROR(PMT(Maandelijkse_rente_percentage,(Loan_Years*12)-Pay_Num+1,Beg_Bal)),"",IF(Values_Entered,-PMT(Maandelijkse_rente_percentage,(Loan_Years*12)-Pay_Num+1,Beg_Bal),""))</f>
        <v/>
      </c>
      <c r="E196" s="48" t="str">
        <f t="shared" si="20"/>
        <v/>
      </c>
      <c r="F196" s="48" t="e">
        <f t="shared" si="21"/>
        <v>#VALUE!</v>
      </c>
      <c r="G196" s="48" t="str">
        <f t="shared" si="25"/>
        <v/>
      </c>
      <c r="H196" s="19">
        <f t="shared" si="19"/>
        <v>0</v>
      </c>
      <c r="I196" s="19">
        <f t="shared" si="22"/>
        <v>0</v>
      </c>
      <c r="J196" s="4"/>
    </row>
    <row r="197" spans="1:10" ht="14.25">
      <c r="A197" s="46" t="str">
        <f t="shared" si="23"/>
        <v/>
      </c>
      <c r="B197" s="47" t="str">
        <f t="shared" si="24"/>
        <v/>
      </c>
      <c r="C197" s="48" t="str">
        <f t="shared" si="26"/>
        <v/>
      </c>
      <c r="D197" s="48" t="str">
        <f>IF(ISERROR(PMT(Maandelijkse_rente_percentage,(Loan_Years*12)-Pay_Num+1,Beg_Bal)),"",IF(Values_Entered,-PMT(Maandelijkse_rente_percentage,(Loan_Years*12)-Pay_Num+1,Beg_Bal),""))</f>
        <v/>
      </c>
      <c r="E197" s="48" t="str">
        <f t="shared" si="20"/>
        <v/>
      </c>
      <c r="F197" s="48" t="e">
        <f t="shared" si="21"/>
        <v>#VALUE!</v>
      </c>
      <c r="G197" s="48" t="str">
        <f t="shared" si="25"/>
        <v/>
      </c>
      <c r="H197" s="19">
        <f t="shared" si="19"/>
        <v>0</v>
      </c>
      <c r="I197" s="19">
        <f t="shared" si="22"/>
        <v>0</v>
      </c>
      <c r="J197" s="4"/>
    </row>
    <row r="198" spans="1:10" ht="14.25">
      <c r="A198" s="46" t="str">
        <f t="shared" si="23"/>
        <v/>
      </c>
      <c r="B198" s="47" t="str">
        <f t="shared" si="24"/>
        <v/>
      </c>
      <c r="C198" s="48" t="str">
        <f t="shared" si="26"/>
        <v/>
      </c>
      <c r="D198" s="48" t="str">
        <f>IF(ISERROR(PMT(Maandelijkse_rente_percentage,(Loan_Years*12)-Pay_Num+1,Beg_Bal)),"",IF(Values_Entered,-PMT(Maandelijkse_rente_percentage,(Loan_Years*12)-Pay_Num+1,Beg_Bal),""))</f>
        <v/>
      </c>
      <c r="E198" s="48" t="str">
        <f t="shared" si="20"/>
        <v/>
      </c>
      <c r="F198" s="48" t="e">
        <f t="shared" si="21"/>
        <v>#VALUE!</v>
      </c>
      <c r="G198" s="48" t="str">
        <f t="shared" si="25"/>
        <v/>
      </c>
      <c r="H198" s="19">
        <f t="shared" si="19"/>
        <v>0</v>
      </c>
      <c r="I198" s="19">
        <f t="shared" si="22"/>
        <v>0</v>
      </c>
      <c r="J198" s="4"/>
    </row>
    <row r="199" spans="1:10" ht="14.25">
      <c r="A199" s="46" t="str">
        <f t="shared" si="23"/>
        <v/>
      </c>
      <c r="B199" s="47" t="str">
        <f t="shared" si="24"/>
        <v/>
      </c>
      <c r="C199" s="48" t="str">
        <f t="shared" si="26"/>
        <v/>
      </c>
      <c r="D199" s="48" t="str">
        <f>IF(ISERROR(PMT(Maandelijkse_rente_percentage,(Loan_Years*12)-Pay_Num+1,Beg_Bal)),"",IF(Values_Entered,-PMT(Maandelijkse_rente_percentage,(Loan_Years*12)-Pay_Num+1,Beg_Bal),""))</f>
        <v/>
      </c>
      <c r="E199" s="48" t="str">
        <f t="shared" si="20"/>
        <v/>
      </c>
      <c r="F199" s="48" t="e">
        <f t="shared" si="21"/>
        <v>#VALUE!</v>
      </c>
      <c r="G199" s="48" t="str">
        <f t="shared" si="25"/>
        <v/>
      </c>
      <c r="H199" s="19">
        <f>N3</f>
        <v>0</v>
      </c>
      <c r="I199" s="19">
        <f t="shared" si="22"/>
        <v>0</v>
      </c>
      <c r="J199" s="4"/>
    </row>
    <row r="200" spans="1:10" ht="14.25">
      <c r="A200" s="46" t="str">
        <f t="shared" si="23"/>
        <v/>
      </c>
      <c r="B200" s="47" t="str">
        <f t="shared" si="24"/>
        <v/>
      </c>
      <c r="C200" s="48" t="str">
        <f t="shared" si="26"/>
        <v/>
      </c>
      <c r="D200" s="48" t="str">
        <f>IF(ISERROR(PMT(Maandelijkse_rente_percentage,(Loan_Years*12)-Pay_Num+1,Beg_Bal)),"",IF(Values_Entered,-PMT(Maandelijkse_rente_percentage,(Loan_Years*12)-Pay_Num+1,Beg_Bal),""))</f>
        <v/>
      </c>
      <c r="E200" s="48" t="str">
        <f t="shared" si="20"/>
        <v/>
      </c>
      <c r="F200" s="48" t="e">
        <f t="shared" si="21"/>
        <v>#VALUE!</v>
      </c>
      <c r="G200" s="48" t="str">
        <f t="shared" si="25"/>
        <v/>
      </c>
      <c r="H200" s="19">
        <f t="shared" si="19"/>
        <v>0</v>
      </c>
      <c r="I200" s="19">
        <f t="shared" si="22"/>
        <v>0</v>
      </c>
      <c r="J200" s="4"/>
    </row>
    <row r="201" spans="1:10" ht="14.25">
      <c r="A201" s="46" t="str">
        <f t="shared" si="23"/>
        <v/>
      </c>
      <c r="B201" s="47" t="str">
        <f t="shared" si="24"/>
        <v/>
      </c>
      <c r="C201" s="48" t="str">
        <f t="shared" si="26"/>
        <v/>
      </c>
      <c r="D201" s="48" t="str">
        <f>IF(ISERROR(PMT(Maandelijkse_rente_percentage,(Loan_Years*12)-Pay_Num+1,Beg_Bal)),"",IF(Values_Entered,-PMT(Maandelijkse_rente_percentage,(Loan_Years*12)-Pay_Num+1,Beg_Bal),""))</f>
        <v/>
      </c>
      <c r="E201" s="48" t="str">
        <f t="shared" si="20"/>
        <v/>
      </c>
      <c r="F201" s="48" t="e">
        <f t="shared" si="21"/>
        <v>#VALUE!</v>
      </c>
      <c r="G201" s="48" t="str">
        <f t="shared" si="25"/>
        <v/>
      </c>
      <c r="H201" s="19">
        <f t="shared" si="19"/>
        <v>0</v>
      </c>
      <c r="I201" s="19">
        <f t="shared" si="22"/>
        <v>0</v>
      </c>
      <c r="J201" s="4"/>
    </row>
    <row r="202" spans="1:10" ht="14.25">
      <c r="A202" s="46" t="str">
        <f t="shared" si="23"/>
        <v/>
      </c>
      <c r="B202" s="47" t="str">
        <f t="shared" si="24"/>
        <v/>
      </c>
      <c r="C202" s="48" t="str">
        <f t="shared" si="26"/>
        <v/>
      </c>
      <c r="D202" s="48" t="str">
        <f>IF(ISERROR(PMT(Maandelijkse_rente_percentage,(Loan_Years*12)-Pay_Num+1,Beg_Bal)),"",IF(Values_Entered,-PMT(Maandelijkse_rente_percentage,(Loan_Years*12)-Pay_Num+1,Beg_Bal),""))</f>
        <v/>
      </c>
      <c r="E202" s="48" t="str">
        <f t="shared" si="20"/>
        <v/>
      </c>
      <c r="F202" s="48" t="e">
        <f t="shared" si="21"/>
        <v>#VALUE!</v>
      </c>
      <c r="G202" s="48" t="str">
        <f t="shared" si="25"/>
        <v/>
      </c>
      <c r="H202" s="19">
        <f t="shared" si="19"/>
        <v>0</v>
      </c>
      <c r="I202" s="19">
        <f t="shared" si="22"/>
        <v>0</v>
      </c>
      <c r="J202" s="4"/>
    </row>
    <row r="203" spans="1:10" ht="14.25">
      <c r="A203" s="46" t="str">
        <f t="shared" si="23"/>
        <v/>
      </c>
      <c r="B203" s="47" t="str">
        <f t="shared" si="24"/>
        <v/>
      </c>
      <c r="C203" s="48" t="str">
        <f t="shared" si="26"/>
        <v/>
      </c>
      <c r="D203" s="48" t="str">
        <f>IF(ISERROR(PMT(Maandelijkse_rente_percentage,(Loan_Years*12)-Pay_Num+1,Beg_Bal)),"",IF(Values_Entered,-PMT(Maandelijkse_rente_percentage,(Loan_Years*12)-Pay_Num+1,Beg_Bal),""))</f>
        <v/>
      </c>
      <c r="E203" s="48" t="str">
        <f t="shared" si="20"/>
        <v/>
      </c>
      <c r="F203" s="48" t="e">
        <f t="shared" si="21"/>
        <v>#VALUE!</v>
      </c>
      <c r="G203" s="48" t="str">
        <f t="shared" si="25"/>
        <v/>
      </c>
      <c r="H203" s="19">
        <f t="shared" si="19"/>
        <v>0</v>
      </c>
      <c r="I203" s="19">
        <f t="shared" si="22"/>
        <v>0</v>
      </c>
      <c r="J203" s="4"/>
    </row>
    <row r="204" spans="1:10" ht="14.25">
      <c r="A204" s="46" t="str">
        <f t="shared" si="23"/>
        <v/>
      </c>
      <c r="B204" s="47" t="str">
        <f t="shared" si="24"/>
        <v/>
      </c>
      <c r="C204" s="48" t="str">
        <f t="shared" si="26"/>
        <v/>
      </c>
      <c r="D204" s="48" t="str">
        <f>IF(ISERROR(PMT(Maandelijkse_rente_percentage,(Loan_Years*12)-Pay_Num+1,Beg_Bal)),"",IF(Values_Entered,-PMT(Maandelijkse_rente_percentage,(Loan_Years*12)-Pay_Num+1,Beg_Bal),""))</f>
        <v/>
      </c>
      <c r="E204" s="48" t="str">
        <f t="shared" si="20"/>
        <v/>
      </c>
      <c r="F204" s="48" t="e">
        <f t="shared" si="21"/>
        <v>#VALUE!</v>
      </c>
      <c r="G204" s="48" t="str">
        <f t="shared" si="25"/>
        <v/>
      </c>
      <c r="H204" s="19">
        <f t="shared" si="19"/>
        <v>0</v>
      </c>
      <c r="I204" s="19">
        <f t="shared" si="22"/>
        <v>0</v>
      </c>
      <c r="J204" s="4"/>
    </row>
    <row r="205" spans="1:10" ht="14.25">
      <c r="A205" s="46" t="str">
        <f t="shared" si="23"/>
        <v/>
      </c>
      <c r="B205" s="47" t="str">
        <f t="shared" si="24"/>
        <v/>
      </c>
      <c r="C205" s="48" t="str">
        <f t="shared" si="26"/>
        <v/>
      </c>
      <c r="D205" s="48" t="str">
        <f>IF(ISERROR(PMT(Maandelijkse_rente_percentage,(Loan_Years*12)-Pay_Num+1,Beg_Bal)),"",IF(Values_Entered,-PMT(Maandelijkse_rente_percentage,(Loan_Years*12)-Pay_Num+1,Beg_Bal),""))</f>
        <v/>
      </c>
      <c r="E205" s="48" t="str">
        <f t="shared" si="20"/>
        <v/>
      </c>
      <c r="F205" s="48" t="e">
        <f t="shared" si="21"/>
        <v>#VALUE!</v>
      </c>
      <c r="G205" s="48" t="str">
        <f t="shared" si="25"/>
        <v/>
      </c>
      <c r="H205" s="19">
        <f t="shared" si="19"/>
        <v>0</v>
      </c>
      <c r="I205" s="19">
        <f t="shared" si="22"/>
        <v>0</v>
      </c>
      <c r="J205" s="4"/>
    </row>
    <row r="206" spans="1:10" ht="14.25">
      <c r="A206" s="46" t="str">
        <f t="shared" si="23"/>
        <v/>
      </c>
      <c r="B206" s="47" t="str">
        <f t="shared" si="24"/>
        <v/>
      </c>
      <c r="C206" s="48" t="str">
        <f t="shared" si="26"/>
        <v/>
      </c>
      <c r="D206" s="48" t="str">
        <f>IF(ISERROR(PMT(Maandelijkse_rente_percentage,(Loan_Years*12)-Pay_Num+1,Beg_Bal)),"",IF(Values_Entered,-PMT(Maandelijkse_rente_percentage,(Loan_Years*12)-Pay_Num+1,Beg_Bal),""))</f>
        <v/>
      </c>
      <c r="E206" s="48" t="str">
        <f t="shared" si="20"/>
        <v/>
      </c>
      <c r="F206" s="48" t="e">
        <f t="shared" si="21"/>
        <v>#VALUE!</v>
      </c>
      <c r="G206" s="48" t="str">
        <f t="shared" si="25"/>
        <v/>
      </c>
      <c r="H206" s="19">
        <f t="shared" si="19"/>
        <v>0</v>
      </c>
      <c r="I206" s="19">
        <f t="shared" si="22"/>
        <v>0</v>
      </c>
      <c r="J206" s="4"/>
    </row>
    <row r="207" spans="1:10" ht="14.25">
      <c r="A207" s="46" t="str">
        <f t="shared" si="23"/>
        <v/>
      </c>
      <c r="B207" s="47" t="str">
        <f t="shared" si="24"/>
        <v/>
      </c>
      <c r="C207" s="48" t="str">
        <f t="shared" si="26"/>
        <v/>
      </c>
      <c r="D207" s="48" t="str">
        <f>IF(ISERROR(PMT(Maandelijkse_rente_percentage,(Loan_Years*12)-Pay_Num+1,Beg_Bal)),"",IF(Values_Entered,-PMT(Maandelijkse_rente_percentage,(Loan_Years*12)-Pay_Num+1,Beg_Bal),""))</f>
        <v/>
      </c>
      <c r="E207" s="48" t="str">
        <f t="shared" si="20"/>
        <v/>
      </c>
      <c r="F207" s="48" t="e">
        <f t="shared" si="21"/>
        <v>#VALUE!</v>
      </c>
      <c r="G207" s="48" t="str">
        <f t="shared" si="25"/>
        <v/>
      </c>
      <c r="H207" s="19">
        <f t="shared" si="19"/>
        <v>0</v>
      </c>
      <c r="I207" s="19">
        <f t="shared" si="22"/>
        <v>0</v>
      </c>
      <c r="J207" s="4"/>
    </row>
    <row r="208" spans="1:10" ht="14.25">
      <c r="A208" s="46" t="str">
        <f t="shared" si="23"/>
        <v/>
      </c>
      <c r="B208" s="47" t="str">
        <f t="shared" si="24"/>
        <v/>
      </c>
      <c r="C208" s="48" t="str">
        <f t="shared" si="26"/>
        <v/>
      </c>
      <c r="D208" s="48" t="str">
        <f>IF(ISERROR(PMT(Maandelijkse_rente_percentage,(Loan_Years*12)-Pay_Num+1,Beg_Bal)),"",IF(Values_Entered,-PMT(Maandelijkse_rente_percentage,(Loan_Years*12)-Pay_Num+1,Beg_Bal),""))</f>
        <v/>
      </c>
      <c r="E208" s="48" t="str">
        <f t="shared" si="20"/>
        <v/>
      </c>
      <c r="F208" s="48" t="e">
        <f t="shared" si="21"/>
        <v>#VALUE!</v>
      </c>
      <c r="G208" s="48" t="str">
        <f t="shared" si="25"/>
        <v/>
      </c>
      <c r="H208" s="19">
        <f t="shared" ref="H208:H270" si="27">H207</f>
        <v>0</v>
      </c>
      <c r="I208" s="19">
        <f t="shared" si="22"/>
        <v>0</v>
      </c>
      <c r="J208" s="4"/>
    </row>
    <row r="209" spans="1:10" ht="14.25">
      <c r="A209" s="46" t="str">
        <f t="shared" si="23"/>
        <v/>
      </c>
      <c r="B209" s="47" t="str">
        <f t="shared" si="24"/>
        <v/>
      </c>
      <c r="C209" s="48" t="str">
        <f t="shared" si="26"/>
        <v/>
      </c>
      <c r="D209" s="48" t="str">
        <f>IF(ISERROR(PMT(Maandelijkse_rente_percentage,(Loan_Years*12)-Pay_Num+1,Beg_Bal)),"",IF(Values_Entered,-PMT(Maandelijkse_rente_percentage,(Loan_Years*12)-Pay_Num+1,Beg_Bal),""))</f>
        <v/>
      </c>
      <c r="E209" s="48" t="str">
        <f t="shared" si="20"/>
        <v/>
      </c>
      <c r="F209" s="48" t="e">
        <f t="shared" si="21"/>
        <v>#VALUE!</v>
      </c>
      <c r="G209" s="48" t="str">
        <f t="shared" si="25"/>
        <v/>
      </c>
      <c r="H209" s="19">
        <f t="shared" si="27"/>
        <v>0</v>
      </c>
      <c r="I209" s="19">
        <f t="shared" si="22"/>
        <v>0</v>
      </c>
      <c r="J209" s="4"/>
    </row>
    <row r="210" spans="1:10" ht="14.25">
      <c r="A210" s="46" t="str">
        <f t="shared" si="23"/>
        <v/>
      </c>
      <c r="B210" s="47" t="str">
        <f t="shared" si="24"/>
        <v/>
      </c>
      <c r="C210" s="48" t="str">
        <f t="shared" si="26"/>
        <v/>
      </c>
      <c r="D210" s="48" t="str">
        <f>IF(ISERROR(PMT(Maandelijkse_rente_percentage,(Loan_Years*12)-Pay_Num+1,Beg_Bal)),"",IF(Values_Entered,-PMT(Maandelijkse_rente_percentage,(Loan_Years*12)-Pay_Num+1,Beg_Bal),""))</f>
        <v/>
      </c>
      <c r="E210" s="48" t="str">
        <f t="shared" si="20"/>
        <v/>
      </c>
      <c r="F210" s="48" t="e">
        <f t="shared" si="21"/>
        <v>#VALUE!</v>
      </c>
      <c r="G210" s="48" t="str">
        <f t="shared" si="25"/>
        <v/>
      </c>
      <c r="H210" s="19">
        <f t="shared" si="27"/>
        <v>0</v>
      </c>
      <c r="I210" s="19">
        <f t="shared" si="22"/>
        <v>0</v>
      </c>
      <c r="J210" s="4"/>
    </row>
    <row r="211" spans="1:10" ht="14.25">
      <c r="A211" s="46" t="str">
        <f t="shared" si="23"/>
        <v/>
      </c>
      <c r="B211" s="47" t="str">
        <f t="shared" si="24"/>
        <v/>
      </c>
      <c r="C211" s="48" t="str">
        <f t="shared" si="26"/>
        <v/>
      </c>
      <c r="D211" s="48" t="str">
        <f>IF(ISERROR(PMT(Maandelijkse_rente_percentage,(Loan_Years*12)-Pay_Num+1,Beg_Bal)),"",IF(Values_Entered,-PMT(Maandelijkse_rente_percentage,(Loan_Years*12)-Pay_Num+1,Beg_Bal),""))</f>
        <v/>
      </c>
      <c r="E211" s="48" t="str">
        <f t="shared" ref="E211:E274" si="28">IF(Pay_Num&lt;&gt;"",Maandelijkse_aflossing-Int,"")</f>
        <v/>
      </c>
      <c r="F211" s="48" t="e">
        <f t="shared" ref="F211:F274" si="29">Beg_Bal*Maandelijkse_rente_percentage</f>
        <v>#VALUE!</v>
      </c>
      <c r="G211" s="48" t="str">
        <f t="shared" si="25"/>
        <v/>
      </c>
      <c r="H211" s="19">
        <f>N4</f>
        <v>0</v>
      </c>
      <c r="I211" s="19">
        <f t="shared" ref="I211:I274" si="30">((1+Jaarlijk_rente_percentage)^(1/12))-1</f>
        <v>0</v>
      </c>
      <c r="J211" s="4"/>
    </row>
    <row r="212" spans="1:10" ht="14.25">
      <c r="A212" s="46" t="str">
        <f t="shared" ref="A212:A275" si="31">IF(Values_Entered,A211+1,"")</f>
        <v/>
      </c>
      <c r="B212" s="47" t="str">
        <f t="shared" ref="B212:B275" si="32">IF(Pay_Num&lt;&gt;"",DATE(YEAR(B211),MONTH(B211)+1,DAY(B211)),"")</f>
        <v/>
      </c>
      <c r="C212" s="48" t="str">
        <f t="shared" si="26"/>
        <v/>
      </c>
      <c r="D212" s="48" t="str">
        <f>IF(ISERROR(PMT(Maandelijkse_rente_percentage,(Loan_Years*12)-Pay_Num+1,Beg_Bal)),"",IF(Values_Entered,-PMT(Maandelijkse_rente_percentage,(Loan_Years*12)-Pay_Num+1,Beg_Bal),""))</f>
        <v/>
      </c>
      <c r="E212" s="48" t="str">
        <f t="shared" si="28"/>
        <v/>
      </c>
      <c r="F212" s="48" t="e">
        <f t="shared" si="29"/>
        <v>#VALUE!</v>
      </c>
      <c r="G212" s="48" t="str">
        <f t="shared" ref="G212:G275" si="33">IF(Pay_Num&lt;&gt;"",Beg_Bal-Princ,"")</f>
        <v/>
      </c>
      <c r="H212" s="19">
        <f t="shared" si="27"/>
        <v>0</v>
      </c>
      <c r="I212" s="19">
        <f t="shared" si="30"/>
        <v>0</v>
      </c>
      <c r="J212" s="4"/>
    </row>
    <row r="213" spans="1:10" ht="14.25">
      <c r="A213" s="46" t="str">
        <f t="shared" si="31"/>
        <v/>
      </c>
      <c r="B213" s="47" t="str">
        <f t="shared" si="32"/>
        <v/>
      </c>
      <c r="C213" s="48" t="str">
        <f t="shared" ref="C213:C276" si="34">IF(Pay_Num&lt;&gt;"",G212,"")</f>
        <v/>
      </c>
      <c r="D213" s="48" t="str">
        <f>IF(ISERROR(PMT(Maandelijkse_rente_percentage,(Loan_Years*12)-Pay_Num+1,Beg_Bal)),"",IF(Values_Entered,-PMT(Maandelijkse_rente_percentage,(Loan_Years*12)-Pay_Num+1,Beg_Bal),""))</f>
        <v/>
      </c>
      <c r="E213" s="48" t="str">
        <f t="shared" si="28"/>
        <v/>
      </c>
      <c r="F213" s="48" t="e">
        <f t="shared" si="29"/>
        <v>#VALUE!</v>
      </c>
      <c r="G213" s="48" t="str">
        <f t="shared" si="33"/>
        <v/>
      </c>
      <c r="H213" s="19">
        <f t="shared" si="27"/>
        <v>0</v>
      </c>
      <c r="I213" s="19">
        <f t="shared" si="30"/>
        <v>0</v>
      </c>
      <c r="J213" s="4"/>
    </row>
    <row r="214" spans="1:10" ht="14.25">
      <c r="A214" s="46" t="str">
        <f t="shared" si="31"/>
        <v/>
      </c>
      <c r="B214" s="47" t="str">
        <f t="shared" si="32"/>
        <v/>
      </c>
      <c r="C214" s="48" t="str">
        <f t="shared" si="34"/>
        <v/>
      </c>
      <c r="D214" s="48" t="str">
        <f>IF(ISERROR(PMT(Maandelijkse_rente_percentage,(Loan_Years*12)-Pay_Num+1,Beg_Bal)),"",IF(Values_Entered,-PMT(Maandelijkse_rente_percentage,(Loan_Years*12)-Pay_Num+1,Beg_Bal),""))</f>
        <v/>
      </c>
      <c r="E214" s="48" t="str">
        <f t="shared" si="28"/>
        <v/>
      </c>
      <c r="F214" s="48" t="e">
        <f t="shared" si="29"/>
        <v>#VALUE!</v>
      </c>
      <c r="G214" s="48" t="str">
        <f t="shared" si="33"/>
        <v/>
      </c>
      <c r="H214" s="19">
        <f t="shared" si="27"/>
        <v>0</v>
      </c>
      <c r="I214" s="19">
        <f t="shared" si="30"/>
        <v>0</v>
      </c>
      <c r="J214" s="4"/>
    </row>
    <row r="215" spans="1:10" ht="14.25">
      <c r="A215" s="46" t="str">
        <f t="shared" si="31"/>
        <v/>
      </c>
      <c r="B215" s="47" t="str">
        <f t="shared" si="32"/>
        <v/>
      </c>
      <c r="C215" s="48" t="str">
        <f t="shared" si="34"/>
        <v/>
      </c>
      <c r="D215" s="48" t="str">
        <f>IF(ISERROR(PMT(Maandelijkse_rente_percentage,(Loan_Years*12)-Pay_Num+1,Beg_Bal)),"",IF(Values_Entered,-PMT(Maandelijkse_rente_percentage,(Loan_Years*12)-Pay_Num+1,Beg_Bal),""))</f>
        <v/>
      </c>
      <c r="E215" s="48" t="str">
        <f t="shared" si="28"/>
        <v/>
      </c>
      <c r="F215" s="48" t="e">
        <f t="shared" si="29"/>
        <v>#VALUE!</v>
      </c>
      <c r="G215" s="48" t="str">
        <f t="shared" si="33"/>
        <v/>
      </c>
      <c r="H215" s="19">
        <f t="shared" si="27"/>
        <v>0</v>
      </c>
      <c r="I215" s="19">
        <f t="shared" si="30"/>
        <v>0</v>
      </c>
      <c r="J215" s="4"/>
    </row>
    <row r="216" spans="1:10" ht="14.25">
      <c r="A216" s="46" t="str">
        <f t="shared" si="31"/>
        <v/>
      </c>
      <c r="B216" s="47" t="str">
        <f t="shared" si="32"/>
        <v/>
      </c>
      <c r="C216" s="48" t="str">
        <f t="shared" si="34"/>
        <v/>
      </c>
      <c r="D216" s="48" t="str">
        <f>IF(ISERROR(PMT(Maandelijkse_rente_percentage,(Loan_Years*12)-Pay_Num+1,Beg_Bal)),"",IF(Values_Entered,-PMT(Maandelijkse_rente_percentage,(Loan_Years*12)-Pay_Num+1,Beg_Bal),""))</f>
        <v/>
      </c>
      <c r="E216" s="48" t="str">
        <f t="shared" si="28"/>
        <v/>
      </c>
      <c r="F216" s="48" t="e">
        <f t="shared" si="29"/>
        <v>#VALUE!</v>
      </c>
      <c r="G216" s="48" t="str">
        <f t="shared" si="33"/>
        <v/>
      </c>
      <c r="H216" s="19">
        <f t="shared" si="27"/>
        <v>0</v>
      </c>
      <c r="I216" s="19">
        <f t="shared" si="30"/>
        <v>0</v>
      </c>
      <c r="J216" s="4"/>
    </row>
    <row r="217" spans="1:10" ht="14.25">
      <c r="A217" s="46" t="str">
        <f t="shared" si="31"/>
        <v/>
      </c>
      <c r="B217" s="47" t="str">
        <f t="shared" si="32"/>
        <v/>
      </c>
      <c r="C217" s="48" t="str">
        <f t="shared" si="34"/>
        <v/>
      </c>
      <c r="D217" s="48" t="str">
        <f>IF(ISERROR(PMT(Maandelijkse_rente_percentage,(Loan_Years*12)-Pay_Num+1,Beg_Bal)),"",IF(Values_Entered,-PMT(Maandelijkse_rente_percentage,(Loan_Years*12)-Pay_Num+1,Beg_Bal),""))</f>
        <v/>
      </c>
      <c r="E217" s="48" t="str">
        <f t="shared" si="28"/>
        <v/>
      </c>
      <c r="F217" s="48" t="e">
        <f t="shared" si="29"/>
        <v>#VALUE!</v>
      </c>
      <c r="G217" s="48" t="str">
        <f t="shared" si="33"/>
        <v/>
      </c>
      <c r="H217" s="19">
        <f t="shared" si="27"/>
        <v>0</v>
      </c>
      <c r="I217" s="19">
        <f t="shared" si="30"/>
        <v>0</v>
      </c>
      <c r="J217" s="4"/>
    </row>
    <row r="218" spans="1:10" ht="14.25">
      <c r="A218" s="46" t="str">
        <f t="shared" si="31"/>
        <v/>
      </c>
      <c r="B218" s="47" t="str">
        <f t="shared" si="32"/>
        <v/>
      </c>
      <c r="C218" s="48" t="str">
        <f t="shared" si="34"/>
        <v/>
      </c>
      <c r="D218" s="48" t="str">
        <f>IF(ISERROR(PMT(Maandelijkse_rente_percentage,(Loan_Years*12)-Pay_Num+1,Beg_Bal)),"",IF(Values_Entered,-PMT(Maandelijkse_rente_percentage,(Loan_Years*12)-Pay_Num+1,Beg_Bal),""))</f>
        <v/>
      </c>
      <c r="E218" s="48" t="str">
        <f t="shared" si="28"/>
        <v/>
      </c>
      <c r="F218" s="48" t="e">
        <f t="shared" si="29"/>
        <v>#VALUE!</v>
      </c>
      <c r="G218" s="48" t="str">
        <f t="shared" si="33"/>
        <v/>
      </c>
      <c r="H218" s="19">
        <f t="shared" si="27"/>
        <v>0</v>
      </c>
      <c r="I218" s="19">
        <f t="shared" si="30"/>
        <v>0</v>
      </c>
      <c r="J218" s="4"/>
    </row>
    <row r="219" spans="1:10" ht="14.25">
      <c r="A219" s="46" t="str">
        <f t="shared" si="31"/>
        <v/>
      </c>
      <c r="B219" s="47" t="str">
        <f t="shared" si="32"/>
        <v/>
      </c>
      <c r="C219" s="48" t="str">
        <f t="shared" si="34"/>
        <v/>
      </c>
      <c r="D219" s="48" t="str">
        <f>IF(ISERROR(PMT(Maandelijkse_rente_percentage,(Loan_Years*12)-Pay_Num+1,Beg_Bal)),"",IF(Values_Entered,-PMT(Maandelijkse_rente_percentage,(Loan_Years*12)-Pay_Num+1,Beg_Bal),""))</f>
        <v/>
      </c>
      <c r="E219" s="48" t="str">
        <f t="shared" si="28"/>
        <v/>
      </c>
      <c r="F219" s="48" t="e">
        <f t="shared" si="29"/>
        <v>#VALUE!</v>
      </c>
      <c r="G219" s="48" t="str">
        <f t="shared" si="33"/>
        <v/>
      </c>
      <c r="H219" s="19">
        <f t="shared" si="27"/>
        <v>0</v>
      </c>
      <c r="I219" s="19">
        <f t="shared" si="30"/>
        <v>0</v>
      </c>
      <c r="J219" s="4"/>
    </row>
    <row r="220" spans="1:10" ht="14.25">
      <c r="A220" s="46" t="str">
        <f t="shared" si="31"/>
        <v/>
      </c>
      <c r="B220" s="47" t="str">
        <f t="shared" si="32"/>
        <v/>
      </c>
      <c r="C220" s="48" t="str">
        <f t="shared" si="34"/>
        <v/>
      </c>
      <c r="D220" s="48" t="str">
        <f>IF(ISERROR(PMT(Maandelijkse_rente_percentage,(Loan_Years*12)-Pay_Num+1,Beg_Bal)),"",IF(Values_Entered,-PMT(Maandelijkse_rente_percentage,(Loan_Years*12)-Pay_Num+1,Beg_Bal),""))</f>
        <v/>
      </c>
      <c r="E220" s="48" t="str">
        <f t="shared" si="28"/>
        <v/>
      </c>
      <c r="F220" s="48" t="e">
        <f t="shared" si="29"/>
        <v>#VALUE!</v>
      </c>
      <c r="G220" s="48" t="str">
        <f t="shared" si="33"/>
        <v/>
      </c>
      <c r="H220" s="19">
        <f t="shared" si="27"/>
        <v>0</v>
      </c>
      <c r="I220" s="19">
        <f t="shared" si="30"/>
        <v>0</v>
      </c>
      <c r="J220" s="4"/>
    </row>
    <row r="221" spans="1:10" ht="14.25">
      <c r="A221" s="46" t="str">
        <f t="shared" si="31"/>
        <v/>
      </c>
      <c r="B221" s="47" t="str">
        <f t="shared" si="32"/>
        <v/>
      </c>
      <c r="C221" s="48" t="str">
        <f t="shared" si="34"/>
        <v/>
      </c>
      <c r="D221" s="48" t="str">
        <f>IF(ISERROR(PMT(Maandelijkse_rente_percentage,(Loan_Years*12)-Pay_Num+1,Beg_Bal)),"",IF(Values_Entered,-PMT(Maandelijkse_rente_percentage,(Loan_Years*12)-Pay_Num+1,Beg_Bal),""))</f>
        <v/>
      </c>
      <c r="E221" s="48" t="str">
        <f t="shared" si="28"/>
        <v/>
      </c>
      <c r="F221" s="48" t="e">
        <f t="shared" si="29"/>
        <v>#VALUE!</v>
      </c>
      <c r="G221" s="48" t="str">
        <f t="shared" si="33"/>
        <v/>
      </c>
      <c r="H221" s="19">
        <f t="shared" si="27"/>
        <v>0</v>
      </c>
      <c r="I221" s="19">
        <f t="shared" si="30"/>
        <v>0</v>
      </c>
      <c r="J221" s="4"/>
    </row>
    <row r="222" spans="1:10" ht="14.25">
      <c r="A222" s="46" t="str">
        <f t="shared" si="31"/>
        <v/>
      </c>
      <c r="B222" s="47" t="str">
        <f t="shared" si="32"/>
        <v/>
      </c>
      <c r="C222" s="48" t="str">
        <f t="shared" si="34"/>
        <v/>
      </c>
      <c r="D222" s="48" t="str">
        <f>IF(ISERROR(PMT(Maandelijkse_rente_percentage,(Loan_Years*12)-Pay_Num+1,Beg_Bal)),"",IF(Values_Entered,-PMT(Maandelijkse_rente_percentage,(Loan_Years*12)-Pay_Num+1,Beg_Bal),""))</f>
        <v/>
      </c>
      <c r="E222" s="48" t="str">
        <f t="shared" si="28"/>
        <v/>
      </c>
      <c r="F222" s="48" t="e">
        <f t="shared" si="29"/>
        <v>#VALUE!</v>
      </c>
      <c r="G222" s="48" t="str">
        <f t="shared" si="33"/>
        <v/>
      </c>
      <c r="H222" s="19">
        <f t="shared" si="27"/>
        <v>0</v>
      </c>
      <c r="I222" s="19">
        <f t="shared" si="30"/>
        <v>0</v>
      </c>
      <c r="J222" s="4"/>
    </row>
    <row r="223" spans="1:10" ht="14.25">
      <c r="A223" s="46" t="str">
        <f t="shared" si="31"/>
        <v/>
      </c>
      <c r="B223" s="47" t="str">
        <f t="shared" si="32"/>
        <v/>
      </c>
      <c r="C223" s="48" t="str">
        <f t="shared" si="34"/>
        <v/>
      </c>
      <c r="D223" s="48" t="str">
        <f>IF(ISERROR(PMT(Maandelijkse_rente_percentage,(Loan_Years*12)-Pay_Num+1,Beg_Bal)),"",IF(Values_Entered,-PMT(Maandelijkse_rente_percentage,(Loan_Years*12)-Pay_Num+1,Beg_Bal),""))</f>
        <v/>
      </c>
      <c r="E223" s="48" t="str">
        <f t="shared" si="28"/>
        <v/>
      </c>
      <c r="F223" s="48" t="e">
        <f t="shared" si="29"/>
        <v>#VALUE!</v>
      </c>
      <c r="G223" s="48" t="str">
        <f t="shared" si="33"/>
        <v/>
      </c>
      <c r="H223" s="19">
        <f>N5</f>
        <v>0</v>
      </c>
      <c r="I223" s="19">
        <f t="shared" si="30"/>
        <v>0</v>
      </c>
      <c r="J223" s="4"/>
    </row>
    <row r="224" spans="1:10" ht="14.25">
      <c r="A224" s="46" t="str">
        <f t="shared" si="31"/>
        <v/>
      </c>
      <c r="B224" s="47" t="str">
        <f t="shared" si="32"/>
        <v/>
      </c>
      <c r="C224" s="48" t="str">
        <f t="shared" si="34"/>
        <v/>
      </c>
      <c r="D224" s="48" t="str">
        <f>IF(ISERROR(PMT(Maandelijkse_rente_percentage,(Loan_Years*12)-Pay_Num+1,Beg_Bal)),"",IF(Values_Entered,-PMT(Maandelijkse_rente_percentage,(Loan_Years*12)-Pay_Num+1,Beg_Bal),""))</f>
        <v/>
      </c>
      <c r="E224" s="48" t="str">
        <f t="shared" si="28"/>
        <v/>
      </c>
      <c r="F224" s="48" t="e">
        <f t="shared" si="29"/>
        <v>#VALUE!</v>
      </c>
      <c r="G224" s="48" t="str">
        <f t="shared" si="33"/>
        <v/>
      </c>
      <c r="H224" s="19">
        <f t="shared" si="27"/>
        <v>0</v>
      </c>
      <c r="I224" s="19">
        <f t="shared" si="30"/>
        <v>0</v>
      </c>
      <c r="J224" s="4"/>
    </row>
    <row r="225" spans="1:10" ht="14.25">
      <c r="A225" s="46" t="str">
        <f t="shared" si="31"/>
        <v/>
      </c>
      <c r="B225" s="47" t="str">
        <f t="shared" si="32"/>
        <v/>
      </c>
      <c r="C225" s="48" t="str">
        <f t="shared" si="34"/>
        <v/>
      </c>
      <c r="D225" s="48" t="str">
        <f>IF(ISERROR(PMT(Maandelijkse_rente_percentage,(Loan_Years*12)-Pay_Num+1,Beg_Bal)),"",IF(Values_Entered,-PMT(Maandelijkse_rente_percentage,(Loan_Years*12)-Pay_Num+1,Beg_Bal),""))</f>
        <v/>
      </c>
      <c r="E225" s="48" t="str">
        <f t="shared" si="28"/>
        <v/>
      </c>
      <c r="F225" s="48" t="e">
        <f t="shared" si="29"/>
        <v>#VALUE!</v>
      </c>
      <c r="G225" s="48" t="str">
        <f t="shared" si="33"/>
        <v/>
      </c>
      <c r="H225" s="19">
        <f t="shared" si="27"/>
        <v>0</v>
      </c>
      <c r="I225" s="19">
        <f t="shared" si="30"/>
        <v>0</v>
      </c>
      <c r="J225" s="4"/>
    </row>
    <row r="226" spans="1:10" ht="14.25">
      <c r="A226" s="46" t="str">
        <f t="shared" si="31"/>
        <v/>
      </c>
      <c r="B226" s="47" t="str">
        <f t="shared" si="32"/>
        <v/>
      </c>
      <c r="C226" s="48" t="str">
        <f t="shared" si="34"/>
        <v/>
      </c>
      <c r="D226" s="48" t="str">
        <f>IF(ISERROR(PMT(Maandelijkse_rente_percentage,(Loan_Years*12)-Pay_Num+1,Beg_Bal)),"",IF(Values_Entered,-PMT(Maandelijkse_rente_percentage,(Loan_Years*12)-Pay_Num+1,Beg_Bal),""))</f>
        <v/>
      </c>
      <c r="E226" s="48" t="str">
        <f t="shared" si="28"/>
        <v/>
      </c>
      <c r="F226" s="48" t="e">
        <f t="shared" si="29"/>
        <v>#VALUE!</v>
      </c>
      <c r="G226" s="48" t="str">
        <f t="shared" si="33"/>
        <v/>
      </c>
      <c r="H226" s="19">
        <f t="shared" si="27"/>
        <v>0</v>
      </c>
      <c r="I226" s="19">
        <f t="shared" si="30"/>
        <v>0</v>
      </c>
      <c r="J226" s="4"/>
    </row>
    <row r="227" spans="1:10" ht="14.25">
      <c r="A227" s="46" t="str">
        <f t="shared" si="31"/>
        <v/>
      </c>
      <c r="B227" s="47" t="str">
        <f t="shared" si="32"/>
        <v/>
      </c>
      <c r="C227" s="48" t="str">
        <f t="shared" si="34"/>
        <v/>
      </c>
      <c r="D227" s="48" t="str">
        <f>IF(ISERROR(PMT(Maandelijkse_rente_percentage,(Loan_Years*12)-Pay_Num+1,Beg_Bal)),"",IF(Values_Entered,-PMT(Maandelijkse_rente_percentage,(Loan_Years*12)-Pay_Num+1,Beg_Bal),""))</f>
        <v/>
      </c>
      <c r="E227" s="48" t="str">
        <f t="shared" si="28"/>
        <v/>
      </c>
      <c r="F227" s="48" t="e">
        <f t="shared" si="29"/>
        <v>#VALUE!</v>
      </c>
      <c r="G227" s="48" t="str">
        <f t="shared" si="33"/>
        <v/>
      </c>
      <c r="H227" s="19">
        <f t="shared" si="27"/>
        <v>0</v>
      </c>
      <c r="I227" s="19">
        <f t="shared" si="30"/>
        <v>0</v>
      </c>
      <c r="J227" s="4"/>
    </row>
    <row r="228" spans="1:10" ht="14.25">
      <c r="A228" s="46" t="str">
        <f t="shared" si="31"/>
        <v/>
      </c>
      <c r="B228" s="47" t="str">
        <f t="shared" si="32"/>
        <v/>
      </c>
      <c r="C228" s="48" t="str">
        <f t="shared" si="34"/>
        <v/>
      </c>
      <c r="D228" s="48" t="str">
        <f>IF(ISERROR(PMT(Maandelijkse_rente_percentage,(Loan_Years*12)-Pay_Num+1,Beg_Bal)),"",IF(Values_Entered,-PMT(Maandelijkse_rente_percentage,(Loan_Years*12)-Pay_Num+1,Beg_Bal),""))</f>
        <v/>
      </c>
      <c r="E228" s="48" t="str">
        <f t="shared" si="28"/>
        <v/>
      </c>
      <c r="F228" s="48" t="e">
        <f t="shared" si="29"/>
        <v>#VALUE!</v>
      </c>
      <c r="G228" s="48" t="str">
        <f t="shared" si="33"/>
        <v/>
      </c>
      <c r="H228" s="19">
        <f t="shared" si="27"/>
        <v>0</v>
      </c>
      <c r="I228" s="19">
        <f t="shared" si="30"/>
        <v>0</v>
      </c>
      <c r="J228" s="4"/>
    </row>
    <row r="229" spans="1:10" ht="14.25">
      <c r="A229" s="46" t="str">
        <f t="shared" si="31"/>
        <v/>
      </c>
      <c r="B229" s="47" t="str">
        <f t="shared" si="32"/>
        <v/>
      </c>
      <c r="C229" s="48" t="str">
        <f t="shared" si="34"/>
        <v/>
      </c>
      <c r="D229" s="48" t="str">
        <f>IF(ISERROR(PMT(Maandelijkse_rente_percentage,(Loan_Years*12)-Pay_Num+1,Beg_Bal)),"",IF(Values_Entered,-PMT(Maandelijkse_rente_percentage,(Loan_Years*12)-Pay_Num+1,Beg_Bal),""))</f>
        <v/>
      </c>
      <c r="E229" s="48" t="str">
        <f t="shared" si="28"/>
        <v/>
      </c>
      <c r="F229" s="48" t="e">
        <f t="shared" si="29"/>
        <v>#VALUE!</v>
      </c>
      <c r="G229" s="48" t="str">
        <f t="shared" si="33"/>
        <v/>
      </c>
      <c r="H229" s="19">
        <f t="shared" si="27"/>
        <v>0</v>
      </c>
      <c r="I229" s="19">
        <f t="shared" si="30"/>
        <v>0</v>
      </c>
      <c r="J229" s="4"/>
    </row>
    <row r="230" spans="1:10" ht="14.25">
      <c r="A230" s="46" t="str">
        <f t="shared" si="31"/>
        <v/>
      </c>
      <c r="B230" s="47" t="str">
        <f t="shared" si="32"/>
        <v/>
      </c>
      <c r="C230" s="48" t="str">
        <f t="shared" si="34"/>
        <v/>
      </c>
      <c r="D230" s="48" t="str">
        <f>IF(ISERROR(PMT(Maandelijkse_rente_percentage,(Loan_Years*12)-Pay_Num+1,Beg_Bal)),"",IF(Values_Entered,-PMT(Maandelijkse_rente_percentage,(Loan_Years*12)-Pay_Num+1,Beg_Bal),""))</f>
        <v/>
      </c>
      <c r="E230" s="48" t="str">
        <f t="shared" si="28"/>
        <v/>
      </c>
      <c r="F230" s="48" t="e">
        <f t="shared" si="29"/>
        <v>#VALUE!</v>
      </c>
      <c r="G230" s="48" t="str">
        <f t="shared" si="33"/>
        <v/>
      </c>
      <c r="H230" s="19">
        <f t="shared" si="27"/>
        <v>0</v>
      </c>
      <c r="I230" s="19">
        <f t="shared" si="30"/>
        <v>0</v>
      </c>
      <c r="J230" s="4"/>
    </row>
    <row r="231" spans="1:10" ht="14.25">
      <c r="A231" s="46" t="str">
        <f t="shared" si="31"/>
        <v/>
      </c>
      <c r="B231" s="47" t="str">
        <f t="shared" si="32"/>
        <v/>
      </c>
      <c r="C231" s="48" t="str">
        <f t="shared" si="34"/>
        <v/>
      </c>
      <c r="D231" s="48" t="str">
        <f>IF(ISERROR(PMT(Maandelijkse_rente_percentage,(Loan_Years*12)-Pay_Num+1,Beg_Bal)),"",IF(Values_Entered,-PMT(Maandelijkse_rente_percentage,(Loan_Years*12)-Pay_Num+1,Beg_Bal),""))</f>
        <v/>
      </c>
      <c r="E231" s="48" t="str">
        <f t="shared" si="28"/>
        <v/>
      </c>
      <c r="F231" s="48" t="e">
        <f t="shared" si="29"/>
        <v>#VALUE!</v>
      </c>
      <c r="G231" s="48" t="str">
        <f t="shared" si="33"/>
        <v/>
      </c>
      <c r="H231" s="19">
        <f t="shared" si="27"/>
        <v>0</v>
      </c>
      <c r="I231" s="19">
        <f t="shared" si="30"/>
        <v>0</v>
      </c>
      <c r="J231" s="4"/>
    </row>
    <row r="232" spans="1:10" ht="14.25">
      <c r="A232" s="46" t="str">
        <f t="shared" si="31"/>
        <v/>
      </c>
      <c r="B232" s="47" t="str">
        <f t="shared" si="32"/>
        <v/>
      </c>
      <c r="C232" s="48" t="str">
        <f t="shared" si="34"/>
        <v/>
      </c>
      <c r="D232" s="48" t="str">
        <f>IF(ISERROR(PMT(Maandelijkse_rente_percentage,(Loan_Years*12)-Pay_Num+1,Beg_Bal)),"",IF(Values_Entered,-PMT(Maandelijkse_rente_percentage,(Loan_Years*12)-Pay_Num+1,Beg_Bal),""))</f>
        <v/>
      </c>
      <c r="E232" s="48" t="str">
        <f t="shared" si="28"/>
        <v/>
      </c>
      <c r="F232" s="48" t="e">
        <f t="shared" si="29"/>
        <v>#VALUE!</v>
      </c>
      <c r="G232" s="48" t="str">
        <f t="shared" si="33"/>
        <v/>
      </c>
      <c r="H232" s="19">
        <f t="shared" si="27"/>
        <v>0</v>
      </c>
      <c r="I232" s="19">
        <f t="shared" si="30"/>
        <v>0</v>
      </c>
      <c r="J232" s="4"/>
    </row>
    <row r="233" spans="1:10" ht="14.25">
      <c r="A233" s="46" t="str">
        <f t="shared" si="31"/>
        <v/>
      </c>
      <c r="B233" s="47" t="str">
        <f t="shared" si="32"/>
        <v/>
      </c>
      <c r="C233" s="48" t="str">
        <f t="shared" si="34"/>
        <v/>
      </c>
      <c r="D233" s="48" t="str">
        <f>IF(ISERROR(PMT(Maandelijkse_rente_percentage,(Loan_Years*12)-Pay_Num+1,Beg_Bal)),"",IF(Values_Entered,-PMT(Maandelijkse_rente_percentage,(Loan_Years*12)-Pay_Num+1,Beg_Bal),""))</f>
        <v/>
      </c>
      <c r="E233" s="48" t="str">
        <f t="shared" si="28"/>
        <v/>
      </c>
      <c r="F233" s="48" t="e">
        <f t="shared" si="29"/>
        <v>#VALUE!</v>
      </c>
      <c r="G233" s="48" t="str">
        <f t="shared" si="33"/>
        <v/>
      </c>
      <c r="H233" s="19">
        <f t="shared" si="27"/>
        <v>0</v>
      </c>
      <c r="I233" s="19">
        <f t="shared" si="30"/>
        <v>0</v>
      </c>
      <c r="J233" s="4"/>
    </row>
    <row r="234" spans="1:10" ht="14.25">
      <c r="A234" s="46" t="str">
        <f t="shared" si="31"/>
        <v/>
      </c>
      <c r="B234" s="47" t="str">
        <f t="shared" si="32"/>
        <v/>
      </c>
      <c r="C234" s="48" t="str">
        <f t="shared" si="34"/>
        <v/>
      </c>
      <c r="D234" s="48" t="str">
        <f>IF(ISERROR(PMT(Maandelijkse_rente_percentage,(Loan_Years*12)-Pay_Num+1,Beg_Bal)),"",IF(Values_Entered,-PMT(Maandelijkse_rente_percentage,(Loan_Years*12)-Pay_Num+1,Beg_Bal),""))</f>
        <v/>
      </c>
      <c r="E234" s="48" t="str">
        <f t="shared" si="28"/>
        <v/>
      </c>
      <c r="F234" s="48" t="e">
        <f t="shared" si="29"/>
        <v>#VALUE!</v>
      </c>
      <c r="G234" s="48" t="str">
        <f t="shared" si="33"/>
        <v/>
      </c>
      <c r="H234" s="19">
        <f t="shared" si="27"/>
        <v>0</v>
      </c>
      <c r="I234" s="19">
        <f t="shared" si="30"/>
        <v>0</v>
      </c>
      <c r="J234" s="4"/>
    </row>
    <row r="235" spans="1:10" ht="14.25">
      <c r="A235" s="46" t="str">
        <f t="shared" si="31"/>
        <v/>
      </c>
      <c r="B235" s="47" t="str">
        <f t="shared" si="32"/>
        <v/>
      </c>
      <c r="C235" s="48" t="str">
        <f t="shared" si="34"/>
        <v/>
      </c>
      <c r="D235" s="48" t="str">
        <f>IF(ISERROR(PMT(Maandelijkse_rente_percentage,(Loan_Years*12)-Pay_Num+1,Beg_Bal)),"",IF(Values_Entered,-PMT(Maandelijkse_rente_percentage,(Loan_Years*12)-Pay_Num+1,Beg_Bal),""))</f>
        <v/>
      </c>
      <c r="E235" s="48" t="str">
        <f t="shared" si="28"/>
        <v/>
      </c>
      <c r="F235" s="48" t="e">
        <f t="shared" si="29"/>
        <v>#VALUE!</v>
      </c>
      <c r="G235" s="48" t="str">
        <f t="shared" si="33"/>
        <v/>
      </c>
      <c r="H235" s="19">
        <f>N6</f>
        <v>0</v>
      </c>
      <c r="I235" s="19">
        <f t="shared" si="30"/>
        <v>0</v>
      </c>
      <c r="J235" s="4"/>
    </row>
    <row r="236" spans="1:10" ht="14.25">
      <c r="A236" s="46" t="str">
        <f t="shared" si="31"/>
        <v/>
      </c>
      <c r="B236" s="47" t="str">
        <f t="shared" si="32"/>
        <v/>
      </c>
      <c r="C236" s="48" t="str">
        <f t="shared" si="34"/>
        <v/>
      </c>
      <c r="D236" s="48" t="str">
        <f>IF(ISERROR(PMT(Maandelijkse_rente_percentage,(Loan_Years*12)-Pay_Num+1,Beg_Bal)),"",IF(Values_Entered,-PMT(Maandelijkse_rente_percentage,(Loan_Years*12)-Pay_Num+1,Beg_Bal),""))</f>
        <v/>
      </c>
      <c r="E236" s="48" t="str">
        <f t="shared" si="28"/>
        <v/>
      </c>
      <c r="F236" s="48" t="e">
        <f t="shared" si="29"/>
        <v>#VALUE!</v>
      </c>
      <c r="G236" s="48" t="str">
        <f t="shared" si="33"/>
        <v/>
      </c>
      <c r="H236" s="19">
        <f t="shared" si="27"/>
        <v>0</v>
      </c>
      <c r="I236" s="19">
        <f t="shared" si="30"/>
        <v>0</v>
      </c>
      <c r="J236" s="4"/>
    </row>
    <row r="237" spans="1:10" ht="14.25">
      <c r="A237" s="46" t="str">
        <f t="shared" si="31"/>
        <v/>
      </c>
      <c r="B237" s="47" t="str">
        <f t="shared" si="32"/>
        <v/>
      </c>
      <c r="C237" s="48" t="str">
        <f t="shared" si="34"/>
        <v/>
      </c>
      <c r="D237" s="48" t="str">
        <f>IF(ISERROR(PMT(Maandelijkse_rente_percentage,(Loan_Years*12)-Pay_Num+1,Beg_Bal)),"",IF(Values_Entered,-PMT(Maandelijkse_rente_percentage,(Loan_Years*12)-Pay_Num+1,Beg_Bal),""))</f>
        <v/>
      </c>
      <c r="E237" s="48" t="str">
        <f t="shared" si="28"/>
        <v/>
      </c>
      <c r="F237" s="48" t="e">
        <f t="shared" si="29"/>
        <v>#VALUE!</v>
      </c>
      <c r="G237" s="48" t="str">
        <f t="shared" si="33"/>
        <v/>
      </c>
      <c r="H237" s="19">
        <f t="shared" si="27"/>
        <v>0</v>
      </c>
      <c r="I237" s="19">
        <f t="shared" si="30"/>
        <v>0</v>
      </c>
      <c r="J237" s="4"/>
    </row>
    <row r="238" spans="1:10" ht="14.25">
      <c r="A238" s="46" t="str">
        <f t="shared" si="31"/>
        <v/>
      </c>
      <c r="B238" s="47" t="str">
        <f t="shared" si="32"/>
        <v/>
      </c>
      <c r="C238" s="48" t="str">
        <f t="shared" si="34"/>
        <v/>
      </c>
      <c r="D238" s="48" t="str">
        <f>IF(ISERROR(PMT(Maandelijkse_rente_percentage,(Loan_Years*12)-Pay_Num+1,Beg_Bal)),"",IF(Values_Entered,-PMT(Maandelijkse_rente_percentage,(Loan_Years*12)-Pay_Num+1,Beg_Bal),""))</f>
        <v/>
      </c>
      <c r="E238" s="48" t="str">
        <f t="shared" si="28"/>
        <v/>
      </c>
      <c r="F238" s="48" t="e">
        <f t="shared" si="29"/>
        <v>#VALUE!</v>
      </c>
      <c r="G238" s="48" t="str">
        <f t="shared" si="33"/>
        <v/>
      </c>
      <c r="H238" s="19">
        <f t="shared" si="27"/>
        <v>0</v>
      </c>
      <c r="I238" s="19">
        <f t="shared" si="30"/>
        <v>0</v>
      </c>
      <c r="J238" s="4"/>
    </row>
    <row r="239" spans="1:10" ht="14.25">
      <c r="A239" s="46" t="str">
        <f t="shared" si="31"/>
        <v/>
      </c>
      <c r="B239" s="47" t="str">
        <f t="shared" si="32"/>
        <v/>
      </c>
      <c r="C239" s="48" t="str">
        <f t="shared" si="34"/>
        <v/>
      </c>
      <c r="D239" s="48" t="str">
        <f>IF(ISERROR(PMT(Maandelijkse_rente_percentage,(Loan_Years*12)-Pay_Num+1,Beg_Bal)),"",IF(Values_Entered,-PMT(Maandelijkse_rente_percentage,(Loan_Years*12)-Pay_Num+1,Beg_Bal),""))</f>
        <v/>
      </c>
      <c r="E239" s="48" t="str">
        <f t="shared" si="28"/>
        <v/>
      </c>
      <c r="F239" s="48" t="e">
        <f t="shared" si="29"/>
        <v>#VALUE!</v>
      </c>
      <c r="G239" s="48" t="str">
        <f t="shared" si="33"/>
        <v/>
      </c>
      <c r="H239" s="19">
        <f t="shared" si="27"/>
        <v>0</v>
      </c>
      <c r="I239" s="19">
        <f t="shared" si="30"/>
        <v>0</v>
      </c>
      <c r="J239" s="4"/>
    </row>
    <row r="240" spans="1:10" ht="14.25">
      <c r="A240" s="46" t="str">
        <f t="shared" si="31"/>
        <v/>
      </c>
      <c r="B240" s="47" t="str">
        <f t="shared" si="32"/>
        <v/>
      </c>
      <c r="C240" s="48" t="str">
        <f t="shared" si="34"/>
        <v/>
      </c>
      <c r="D240" s="48" t="str">
        <f>IF(ISERROR(PMT(Maandelijkse_rente_percentage,(Loan_Years*12)-Pay_Num+1,Beg_Bal)),"",IF(Values_Entered,-PMT(Maandelijkse_rente_percentage,(Loan_Years*12)-Pay_Num+1,Beg_Bal),""))</f>
        <v/>
      </c>
      <c r="E240" s="48" t="str">
        <f t="shared" si="28"/>
        <v/>
      </c>
      <c r="F240" s="48" t="e">
        <f t="shared" si="29"/>
        <v>#VALUE!</v>
      </c>
      <c r="G240" s="48" t="str">
        <f t="shared" si="33"/>
        <v/>
      </c>
      <c r="H240" s="19">
        <f t="shared" si="27"/>
        <v>0</v>
      </c>
      <c r="I240" s="19">
        <f t="shared" si="30"/>
        <v>0</v>
      </c>
      <c r="J240" s="4"/>
    </row>
    <row r="241" spans="1:10" ht="14.25">
      <c r="A241" s="46" t="str">
        <f t="shared" si="31"/>
        <v/>
      </c>
      <c r="B241" s="47" t="str">
        <f t="shared" si="32"/>
        <v/>
      </c>
      <c r="C241" s="48" t="str">
        <f t="shared" si="34"/>
        <v/>
      </c>
      <c r="D241" s="48" t="str">
        <f>IF(ISERROR(PMT(Maandelijkse_rente_percentage,(Loan_Years*12)-Pay_Num+1,Beg_Bal)),"",IF(Values_Entered,-PMT(Maandelijkse_rente_percentage,(Loan_Years*12)-Pay_Num+1,Beg_Bal),""))</f>
        <v/>
      </c>
      <c r="E241" s="48" t="str">
        <f t="shared" si="28"/>
        <v/>
      </c>
      <c r="F241" s="48" t="e">
        <f t="shared" si="29"/>
        <v>#VALUE!</v>
      </c>
      <c r="G241" s="48" t="str">
        <f t="shared" si="33"/>
        <v/>
      </c>
      <c r="H241" s="19">
        <f t="shared" si="27"/>
        <v>0</v>
      </c>
      <c r="I241" s="19">
        <f t="shared" si="30"/>
        <v>0</v>
      </c>
      <c r="J241" s="4"/>
    </row>
    <row r="242" spans="1:10" ht="14.25">
      <c r="A242" s="46" t="str">
        <f t="shared" si="31"/>
        <v/>
      </c>
      <c r="B242" s="47" t="str">
        <f t="shared" si="32"/>
        <v/>
      </c>
      <c r="C242" s="48" t="str">
        <f t="shared" si="34"/>
        <v/>
      </c>
      <c r="D242" s="48" t="str">
        <f>IF(ISERROR(PMT(Maandelijkse_rente_percentage,(Loan_Years*12)-Pay_Num+1,Beg_Bal)),"",IF(Values_Entered,-PMT(Maandelijkse_rente_percentage,(Loan_Years*12)-Pay_Num+1,Beg_Bal),""))</f>
        <v/>
      </c>
      <c r="E242" s="48" t="str">
        <f t="shared" si="28"/>
        <v/>
      </c>
      <c r="F242" s="48" t="e">
        <f t="shared" si="29"/>
        <v>#VALUE!</v>
      </c>
      <c r="G242" s="48" t="str">
        <f t="shared" si="33"/>
        <v/>
      </c>
      <c r="H242" s="19">
        <f t="shared" si="27"/>
        <v>0</v>
      </c>
      <c r="I242" s="19">
        <f t="shared" si="30"/>
        <v>0</v>
      </c>
      <c r="J242" s="4"/>
    </row>
    <row r="243" spans="1:10" ht="14.25">
      <c r="A243" s="46" t="str">
        <f t="shared" si="31"/>
        <v/>
      </c>
      <c r="B243" s="47" t="str">
        <f t="shared" si="32"/>
        <v/>
      </c>
      <c r="C243" s="48" t="str">
        <f t="shared" si="34"/>
        <v/>
      </c>
      <c r="D243" s="48" t="str">
        <f>IF(ISERROR(PMT(Maandelijkse_rente_percentage,(Loan_Years*12)-Pay_Num+1,Beg_Bal)),"",IF(Values_Entered,-PMT(Maandelijkse_rente_percentage,(Loan_Years*12)-Pay_Num+1,Beg_Bal),""))</f>
        <v/>
      </c>
      <c r="E243" s="48" t="str">
        <f t="shared" si="28"/>
        <v/>
      </c>
      <c r="F243" s="48" t="e">
        <f t="shared" si="29"/>
        <v>#VALUE!</v>
      </c>
      <c r="G243" s="48" t="str">
        <f t="shared" si="33"/>
        <v/>
      </c>
      <c r="H243" s="19">
        <f t="shared" si="27"/>
        <v>0</v>
      </c>
      <c r="I243" s="19">
        <f t="shared" si="30"/>
        <v>0</v>
      </c>
      <c r="J243" s="4"/>
    </row>
    <row r="244" spans="1:10" ht="14.25">
      <c r="A244" s="46" t="str">
        <f t="shared" si="31"/>
        <v/>
      </c>
      <c r="B244" s="47" t="str">
        <f t="shared" si="32"/>
        <v/>
      </c>
      <c r="C244" s="48" t="str">
        <f t="shared" si="34"/>
        <v/>
      </c>
      <c r="D244" s="48" t="str">
        <f>IF(ISERROR(PMT(Maandelijkse_rente_percentage,(Loan_Years*12)-Pay_Num+1,Beg_Bal)),"",IF(Values_Entered,-PMT(Maandelijkse_rente_percentage,(Loan_Years*12)-Pay_Num+1,Beg_Bal),""))</f>
        <v/>
      </c>
      <c r="E244" s="48" t="str">
        <f t="shared" si="28"/>
        <v/>
      </c>
      <c r="F244" s="48" t="e">
        <f t="shared" si="29"/>
        <v>#VALUE!</v>
      </c>
      <c r="G244" s="48" t="str">
        <f t="shared" si="33"/>
        <v/>
      </c>
      <c r="H244" s="19">
        <f t="shared" si="27"/>
        <v>0</v>
      </c>
      <c r="I244" s="19">
        <f t="shared" si="30"/>
        <v>0</v>
      </c>
      <c r="J244" s="4"/>
    </row>
    <row r="245" spans="1:10" ht="14.25">
      <c r="A245" s="46" t="str">
        <f t="shared" si="31"/>
        <v/>
      </c>
      <c r="B245" s="47" t="str">
        <f t="shared" si="32"/>
        <v/>
      </c>
      <c r="C245" s="48" t="str">
        <f t="shared" si="34"/>
        <v/>
      </c>
      <c r="D245" s="48" t="str">
        <f>IF(ISERROR(PMT(Maandelijkse_rente_percentage,(Loan_Years*12)-Pay_Num+1,Beg_Bal)),"",IF(Values_Entered,-PMT(Maandelijkse_rente_percentage,(Loan_Years*12)-Pay_Num+1,Beg_Bal),""))</f>
        <v/>
      </c>
      <c r="E245" s="48" t="str">
        <f t="shared" si="28"/>
        <v/>
      </c>
      <c r="F245" s="48" t="e">
        <f t="shared" si="29"/>
        <v>#VALUE!</v>
      </c>
      <c r="G245" s="48" t="str">
        <f t="shared" si="33"/>
        <v/>
      </c>
      <c r="H245" s="19">
        <f t="shared" si="27"/>
        <v>0</v>
      </c>
      <c r="I245" s="19">
        <f t="shared" si="30"/>
        <v>0</v>
      </c>
      <c r="J245" s="4"/>
    </row>
    <row r="246" spans="1:10" ht="14.25">
      <c r="A246" s="46" t="str">
        <f t="shared" si="31"/>
        <v/>
      </c>
      <c r="B246" s="47" t="str">
        <f t="shared" si="32"/>
        <v/>
      </c>
      <c r="C246" s="48" t="str">
        <f t="shared" si="34"/>
        <v/>
      </c>
      <c r="D246" s="48" t="str">
        <f>IF(ISERROR(PMT(Maandelijkse_rente_percentage,(Loan_Years*12)-Pay_Num+1,Beg_Bal)),"",IF(Values_Entered,-PMT(Maandelijkse_rente_percentage,(Loan_Years*12)-Pay_Num+1,Beg_Bal),""))</f>
        <v/>
      </c>
      <c r="E246" s="48" t="str">
        <f t="shared" si="28"/>
        <v/>
      </c>
      <c r="F246" s="48" t="e">
        <f t="shared" si="29"/>
        <v>#VALUE!</v>
      </c>
      <c r="G246" s="48" t="str">
        <f t="shared" si="33"/>
        <v/>
      </c>
      <c r="H246" s="19">
        <f t="shared" si="27"/>
        <v>0</v>
      </c>
      <c r="I246" s="19">
        <f t="shared" si="30"/>
        <v>0</v>
      </c>
      <c r="J246" s="4"/>
    </row>
    <row r="247" spans="1:10" ht="14.25">
      <c r="A247" s="46" t="str">
        <f t="shared" si="31"/>
        <v/>
      </c>
      <c r="B247" s="47" t="str">
        <f t="shared" si="32"/>
        <v/>
      </c>
      <c r="C247" s="48" t="str">
        <f t="shared" si="34"/>
        <v/>
      </c>
      <c r="D247" s="48" t="str">
        <f>IF(ISERROR(PMT(Maandelijkse_rente_percentage,(Loan_Years*12)-Pay_Num+1,Beg_Bal)),"",IF(Values_Entered,-PMT(Maandelijkse_rente_percentage,(Loan_Years*12)-Pay_Num+1,Beg_Bal),""))</f>
        <v/>
      </c>
      <c r="E247" s="48" t="str">
        <f t="shared" si="28"/>
        <v/>
      </c>
      <c r="F247" s="48" t="e">
        <f t="shared" si="29"/>
        <v>#VALUE!</v>
      </c>
      <c r="G247" s="48" t="str">
        <f t="shared" si="33"/>
        <v/>
      </c>
      <c r="H247" s="19">
        <f>N7</f>
        <v>0</v>
      </c>
      <c r="I247" s="19">
        <f t="shared" si="30"/>
        <v>0</v>
      </c>
      <c r="J247" s="4"/>
    </row>
    <row r="248" spans="1:10" ht="14.25">
      <c r="A248" s="46" t="str">
        <f t="shared" si="31"/>
        <v/>
      </c>
      <c r="B248" s="47" t="str">
        <f t="shared" si="32"/>
        <v/>
      </c>
      <c r="C248" s="48" t="str">
        <f t="shared" si="34"/>
        <v/>
      </c>
      <c r="D248" s="48" t="str">
        <f>IF(ISERROR(PMT(Maandelijkse_rente_percentage,(Loan_Years*12)-Pay_Num+1,Beg_Bal)),"",IF(Values_Entered,-PMT(Maandelijkse_rente_percentage,(Loan_Years*12)-Pay_Num+1,Beg_Bal),""))</f>
        <v/>
      </c>
      <c r="E248" s="48" t="str">
        <f t="shared" si="28"/>
        <v/>
      </c>
      <c r="F248" s="48" t="e">
        <f t="shared" si="29"/>
        <v>#VALUE!</v>
      </c>
      <c r="G248" s="48" t="str">
        <f t="shared" si="33"/>
        <v/>
      </c>
      <c r="H248" s="19">
        <f t="shared" si="27"/>
        <v>0</v>
      </c>
      <c r="I248" s="19">
        <f t="shared" si="30"/>
        <v>0</v>
      </c>
      <c r="J248" s="4"/>
    </row>
    <row r="249" spans="1:10" ht="14.25">
      <c r="A249" s="46" t="str">
        <f t="shared" si="31"/>
        <v/>
      </c>
      <c r="B249" s="47" t="str">
        <f t="shared" si="32"/>
        <v/>
      </c>
      <c r="C249" s="48" t="str">
        <f t="shared" si="34"/>
        <v/>
      </c>
      <c r="D249" s="48" t="str">
        <f>IF(ISERROR(PMT(Maandelijkse_rente_percentage,(Loan_Years*12)-Pay_Num+1,Beg_Bal)),"",IF(Values_Entered,-PMT(Maandelijkse_rente_percentage,(Loan_Years*12)-Pay_Num+1,Beg_Bal),""))</f>
        <v/>
      </c>
      <c r="E249" s="48" t="str">
        <f t="shared" si="28"/>
        <v/>
      </c>
      <c r="F249" s="48" t="e">
        <f t="shared" si="29"/>
        <v>#VALUE!</v>
      </c>
      <c r="G249" s="48" t="str">
        <f t="shared" si="33"/>
        <v/>
      </c>
      <c r="H249" s="19">
        <f t="shared" si="27"/>
        <v>0</v>
      </c>
      <c r="I249" s="19">
        <f t="shared" si="30"/>
        <v>0</v>
      </c>
      <c r="J249" s="4"/>
    </row>
    <row r="250" spans="1:10" ht="14.25">
      <c r="A250" s="46" t="str">
        <f t="shared" si="31"/>
        <v/>
      </c>
      <c r="B250" s="47" t="str">
        <f t="shared" si="32"/>
        <v/>
      </c>
      <c r="C250" s="48" t="str">
        <f t="shared" si="34"/>
        <v/>
      </c>
      <c r="D250" s="48" t="str">
        <f>IF(ISERROR(PMT(Maandelijkse_rente_percentage,(Loan_Years*12)-Pay_Num+1,Beg_Bal)),"",IF(Values_Entered,-PMT(Maandelijkse_rente_percentage,(Loan_Years*12)-Pay_Num+1,Beg_Bal),""))</f>
        <v/>
      </c>
      <c r="E250" s="48" t="str">
        <f t="shared" si="28"/>
        <v/>
      </c>
      <c r="F250" s="48" t="e">
        <f t="shared" si="29"/>
        <v>#VALUE!</v>
      </c>
      <c r="G250" s="48" t="str">
        <f t="shared" si="33"/>
        <v/>
      </c>
      <c r="H250" s="19">
        <f t="shared" si="27"/>
        <v>0</v>
      </c>
      <c r="I250" s="19">
        <f t="shared" si="30"/>
        <v>0</v>
      </c>
      <c r="J250" s="4"/>
    </row>
    <row r="251" spans="1:10" ht="14.25">
      <c r="A251" s="46" t="str">
        <f t="shared" si="31"/>
        <v/>
      </c>
      <c r="B251" s="47" t="str">
        <f t="shared" si="32"/>
        <v/>
      </c>
      <c r="C251" s="48" t="str">
        <f t="shared" si="34"/>
        <v/>
      </c>
      <c r="D251" s="48" t="str">
        <f>IF(ISERROR(PMT(Maandelijkse_rente_percentage,(Loan_Years*12)-Pay_Num+1,Beg_Bal)),"",IF(Values_Entered,-PMT(Maandelijkse_rente_percentage,(Loan_Years*12)-Pay_Num+1,Beg_Bal),""))</f>
        <v/>
      </c>
      <c r="E251" s="48" t="str">
        <f t="shared" si="28"/>
        <v/>
      </c>
      <c r="F251" s="48" t="e">
        <f t="shared" si="29"/>
        <v>#VALUE!</v>
      </c>
      <c r="G251" s="48" t="str">
        <f t="shared" si="33"/>
        <v/>
      </c>
      <c r="H251" s="19">
        <f t="shared" si="27"/>
        <v>0</v>
      </c>
      <c r="I251" s="19">
        <f t="shared" si="30"/>
        <v>0</v>
      </c>
      <c r="J251" s="4"/>
    </row>
    <row r="252" spans="1:10" ht="14.25">
      <c r="A252" s="46" t="str">
        <f t="shared" si="31"/>
        <v/>
      </c>
      <c r="B252" s="47" t="str">
        <f t="shared" si="32"/>
        <v/>
      </c>
      <c r="C252" s="48" t="str">
        <f t="shared" si="34"/>
        <v/>
      </c>
      <c r="D252" s="48" t="str">
        <f>IF(ISERROR(PMT(Maandelijkse_rente_percentage,(Loan_Years*12)-Pay_Num+1,Beg_Bal)),"",IF(Values_Entered,-PMT(Maandelijkse_rente_percentage,(Loan_Years*12)-Pay_Num+1,Beg_Bal),""))</f>
        <v/>
      </c>
      <c r="E252" s="48" t="str">
        <f t="shared" si="28"/>
        <v/>
      </c>
      <c r="F252" s="48" t="e">
        <f t="shared" si="29"/>
        <v>#VALUE!</v>
      </c>
      <c r="G252" s="48" t="str">
        <f t="shared" si="33"/>
        <v/>
      </c>
      <c r="H252" s="19">
        <f t="shared" si="27"/>
        <v>0</v>
      </c>
      <c r="I252" s="19">
        <f t="shared" si="30"/>
        <v>0</v>
      </c>
      <c r="J252" s="4"/>
    </row>
    <row r="253" spans="1:10" ht="14.25">
      <c r="A253" s="46" t="str">
        <f t="shared" si="31"/>
        <v/>
      </c>
      <c r="B253" s="47" t="str">
        <f t="shared" si="32"/>
        <v/>
      </c>
      <c r="C253" s="48" t="str">
        <f t="shared" si="34"/>
        <v/>
      </c>
      <c r="D253" s="48" t="str">
        <f>IF(ISERROR(PMT(Maandelijkse_rente_percentage,(Loan_Years*12)-Pay_Num+1,Beg_Bal)),"",IF(Values_Entered,-PMT(Maandelijkse_rente_percentage,(Loan_Years*12)-Pay_Num+1,Beg_Bal),""))</f>
        <v/>
      </c>
      <c r="E253" s="48" t="str">
        <f t="shared" si="28"/>
        <v/>
      </c>
      <c r="F253" s="48" t="e">
        <f t="shared" si="29"/>
        <v>#VALUE!</v>
      </c>
      <c r="G253" s="48" t="str">
        <f t="shared" si="33"/>
        <v/>
      </c>
      <c r="H253" s="19">
        <f t="shared" si="27"/>
        <v>0</v>
      </c>
      <c r="I253" s="19">
        <f t="shared" si="30"/>
        <v>0</v>
      </c>
      <c r="J253" s="4"/>
    </row>
    <row r="254" spans="1:10" ht="14.25">
      <c r="A254" s="46" t="str">
        <f t="shared" si="31"/>
        <v/>
      </c>
      <c r="B254" s="47" t="str">
        <f t="shared" si="32"/>
        <v/>
      </c>
      <c r="C254" s="48" t="str">
        <f t="shared" si="34"/>
        <v/>
      </c>
      <c r="D254" s="48" t="str">
        <f>IF(ISERROR(PMT(Maandelijkse_rente_percentage,(Loan_Years*12)-Pay_Num+1,Beg_Bal)),"",IF(Values_Entered,-PMT(Maandelijkse_rente_percentage,(Loan_Years*12)-Pay_Num+1,Beg_Bal),""))</f>
        <v/>
      </c>
      <c r="E254" s="48" t="str">
        <f t="shared" si="28"/>
        <v/>
      </c>
      <c r="F254" s="48" t="e">
        <f t="shared" si="29"/>
        <v>#VALUE!</v>
      </c>
      <c r="G254" s="48" t="str">
        <f t="shared" si="33"/>
        <v/>
      </c>
      <c r="H254" s="19">
        <f t="shared" si="27"/>
        <v>0</v>
      </c>
      <c r="I254" s="19">
        <f t="shared" si="30"/>
        <v>0</v>
      </c>
      <c r="J254" s="4"/>
    </row>
    <row r="255" spans="1:10" ht="14.25">
      <c r="A255" s="46" t="str">
        <f t="shared" si="31"/>
        <v/>
      </c>
      <c r="B255" s="47" t="str">
        <f t="shared" si="32"/>
        <v/>
      </c>
      <c r="C255" s="48" t="str">
        <f t="shared" si="34"/>
        <v/>
      </c>
      <c r="D255" s="48" t="str">
        <f>IF(ISERROR(PMT(Maandelijkse_rente_percentage,(Loan_Years*12)-Pay_Num+1,Beg_Bal)),"",IF(Values_Entered,-PMT(Maandelijkse_rente_percentage,(Loan_Years*12)-Pay_Num+1,Beg_Bal),""))</f>
        <v/>
      </c>
      <c r="E255" s="48" t="str">
        <f t="shared" si="28"/>
        <v/>
      </c>
      <c r="F255" s="48" t="e">
        <f t="shared" si="29"/>
        <v>#VALUE!</v>
      </c>
      <c r="G255" s="48" t="str">
        <f t="shared" si="33"/>
        <v/>
      </c>
      <c r="H255" s="19">
        <f t="shared" si="27"/>
        <v>0</v>
      </c>
      <c r="I255" s="19">
        <f t="shared" si="30"/>
        <v>0</v>
      </c>
      <c r="J255" s="4"/>
    </row>
    <row r="256" spans="1:10" ht="14.25">
      <c r="A256" s="46" t="str">
        <f t="shared" si="31"/>
        <v/>
      </c>
      <c r="B256" s="47" t="str">
        <f t="shared" si="32"/>
        <v/>
      </c>
      <c r="C256" s="48" t="str">
        <f t="shared" si="34"/>
        <v/>
      </c>
      <c r="D256" s="48" t="str">
        <f>IF(ISERROR(PMT(Maandelijkse_rente_percentage,(Loan_Years*12)-Pay_Num+1,Beg_Bal)),"",IF(Values_Entered,-PMT(Maandelijkse_rente_percentage,(Loan_Years*12)-Pay_Num+1,Beg_Bal),""))</f>
        <v/>
      </c>
      <c r="E256" s="48" t="str">
        <f t="shared" si="28"/>
        <v/>
      </c>
      <c r="F256" s="48" t="e">
        <f t="shared" si="29"/>
        <v>#VALUE!</v>
      </c>
      <c r="G256" s="48" t="str">
        <f t="shared" si="33"/>
        <v/>
      </c>
      <c r="H256" s="19">
        <f t="shared" si="27"/>
        <v>0</v>
      </c>
      <c r="I256" s="19">
        <f t="shared" si="30"/>
        <v>0</v>
      </c>
      <c r="J256" s="4"/>
    </row>
    <row r="257" spans="1:10" ht="14.25">
      <c r="A257" s="46" t="str">
        <f t="shared" si="31"/>
        <v/>
      </c>
      <c r="B257" s="47" t="str">
        <f t="shared" si="32"/>
        <v/>
      </c>
      <c r="C257" s="48" t="str">
        <f t="shared" si="34"/>
        <v/>
      </c>
      <c r="D257" s="48" t="str">
        <f>IF(ISERROR(PMT(Maandelijkse_rente_percentage,(Loan_Years*12)-Pay_Num+1,Beg_Bal)),"",IF(Values_Entered,-PMT(Maandelijkse_rente_percentage,(Loan_Years*12)-Pay_Num+1,Beg_Bal),""))</f>
        <v/>
      </c>
      <c r="E257" s="48" t="str">
        <f t="shared" si="28"/>
        <v/>
      </c>
      <c r="F257" s="48" t="e">
        <f t="shared" si="29"/>
        <v>#VALUE!</v>
      </c>
      <c r="G257" s="48" t="str">
        <f t="shared" si="33"/>
        <v/>
      </c>
      <c r="H257" s="19">
        <f t="shared" si="27"/>
        <v>0</v>
      </c>
      <c r="I257" s="19">
        <f t="shared" si="30"/>
        <v>0</v>
      </c>
      <c r="J257" s="4"/>
    </row>
    <row r="258" spans="1:10" ht="14.25">
      <c r="A258" s="46" t="str">
        <f t="shared" si="31"/>
        <v/>
      </c>
      <c r="B258" s="47" t="str">
        <f t="shared" si="32"/>
        <v/>
      </c>
      <c r="C258" s="48" t="str">
        <f t="shared" si="34"/>
        <v/>
      </c>
      <c r="D258" s="48" t="str">
        <f>IF(ISERROR(PMT(Maandelijkse_rente_percentage,(Loan_Years*12)-Pay_Num+1,Beg_Bal)),"",IF(Values_Entered,-PMT(Maandelijkse_rente_percentage,(Loan_Years*12)-Pay_Num+1,Beg_Bal),""))</f>
        <v/>
      </c>
      <c r="E258" s="48" t="str">
        <f t="shared" si="28"/>
        <v/>
      </c>
      <c r="F258" s="48" t="e">
        <f t="shared" si="29"/>
        <v>#VALUE!</v>
      </c>
      <c r="G258" s="48" t="str">
        <f t="shared" si="33"/>
        <v/>
      </c>
      <c r="H258" s="19">
        <f t="shared" si="27"/>
        <v>0</v>
      </c>
      <c r="I258" s="19">
        <f t="shared" si="30"/>
        <v>0</v>
      </c>
      <c r="J258" s="4"/>
    </row>
    <row r="259" spans="1:10" ht="14.25">
      <c r="A259" s="46" t="str">
        <f t="shared" si="31"/>
        <v/>
      </c>
      <c r="B259" s="47" t="str">
        <f t="shared" si="32"/>
        <v/>
      </c>
      <c r="C259" s="48" t="str">
        <f t="shared" si="34"/>
        <v/>
      </c>
      <c r="D259" s="48" t="str">
        <f>IF(ISERROR(PMT(Maandelijkse_rente_percentage,(Loan_Years*12)-Pay_Num+1,Beg_Bal)),"",IF(Values_Entered,-PMT(Maandelijkse_rente_percentage,(Loan_Years*12)-Pay_Num+1,Beg_Bal),""))</f>
        <v/>
      </c>
      <c r="E259" s="48" t="str">
        <f t="shared" si="28"/>
        <v/>
      </c>
      <c r="F259" s="48" t="e">
        <f t="shared" si="29"/>
        <v>#VALUE!</v>
      </c>
      <c r="G259" s="48" t="str">
        <f t="shared" si="33"/>
        <v/>
      </c>
      <c r="H259" s="19">
        <f>N8</f>
        <v>0</v>
      </c>
      <c r="I259" s="19">
        <f t="shared" si="30"/>
        <v>0</v>
      </c>
      <c r="J259" s="4"/>
    </row>
    <row r="260" spans="1:10" ht="14.25">
      <c r="A260" s="46" t="str">
        <f t="shared" si="31"/>
        <v/>
      </c>
      <c r="B260" s="47" t="str">
        <f t="shared" si="32"/>
        <v/>
      </c>
      <c r="C260" s="48" t="str">
        <f t="shared" si="34"/>
        <v/>
      </c>
      <c r="D260" s="48" t="str">
        <f>IF(ISERROR(PMT(Maandelijkse_rente_percentage,(Loan_Years*12)-Pay_Num+1,Beg_Bal)),"",IF(Values_Entered,-PMT(Maandelijkse_rente_percentage,(Loan_Years*12)-Pay_Num+1,Beg_Bal),""))</f>
        <v/>
      </c>
      <c r="E260" s="48" t="str">
        <f t="shared" si="28"/>
        <v/>
      </c>
      <c r="F260" s="48" t="e">
        <f t="shared" si="29"/>
        <v>#VALUE!</v>
      </c>
      <c r="G260" s="48" t="str">
        <f t="shared" si="33"/>
        <v/>
      </c>
      <c r="H260" s="19">
        <f t="shared" si="27"/>
        <v>0</v>
      </c>
      <c r="I260" s="19">
        <f t="shared" si="30"/>
        <v>0</v>
      </c>
      <c r="J260" s="4"/>
    </row>
    <row r="261" spans="1:10" ht="14.25">
      <c r="A261" s="46" t="str">
        <f t="shared" si="31"/>
        <v/>
      </c>
      <c r="B261" s="47" t="str">
        <f t="shared" si="32"/>
        <v/>
      </c>
      <c r="C261" s="48" t="str">
        <f t="shared" si="34"/>
        <v/>
      </c>
      <c r="D261" s="48" t="str">
        <f>IF(ISERROR(PMT(Maandelijkse_rente_percentage,(Loan_Years*12)-Pay_Num+1,Beg_Bal)),"",IF(Values_Entered,-PMT(Maandelijkse_rente_percentage,(Loan_Years*12)-Pay_Num+1,Beg_Bal),""))</f>
        <v/>
      </c>
      <c r="E261" s="48" t="str">
        <f t="shared" si="28"/>
        <v/>
      </c>
      <c r="F261" s="48" t="e">
        <f t="shared" si="29"/>
        <v>#VALUE!</v>
      </c>
      <c r="G261" s="48" t="str">
        <f t="shared" si="33"/>
        <v/>
      </c>
      <c r="H261" s="19">
        <f t="shared" si="27"/>
        <v>0</v>
      </c>
      <c r="I261" s="19">
        <f t="shared" si="30"/>
        <v>0</v>
      </c>
      <c r="J261" s="4"/>
    </row>
    <row r="262" spans="1:10" ht="14.25">
      <c r="A262" s="46" t="str">
        <f t="shared" si="31"/>
        <v/>
      </c>
      <c r="B262" s="47" t="str">
        <f t="shared" si="32"/>
        <v/>
      </c>
      <c r="C262" s="48" t="str">
        <f t="shared" si="34"/>
        <v/>
      </c>
      <c r="D262" s="48" t="str">
        <f>IF(ISERROR(PMT(Maandelijkse_rente_percentage,(Loan_Years*12)-Pay_Num+1,Beg_Bal)),"",IF(Values_Entered,-PMT(Maandelijkse_rente_percentage,(Loan_Years*12)-Pay_Num+1,Beg_Bal),""))</f>
        <v/>
      </c>
      <c r="E262" s="48" t="str">
        <f t="shared" si="28"/>
        <v/>
      </c>
      <c r="F262" s="48" t="e">
        <f t="shared" si="29"/>
        <v>#VALUE!</v>
      </c>
      <c r="G262" s="48" t="str">
        <f t="shared" si="33"/>
        <v/>
      </c>
      <c r="H262" s="19">
        <f t="shared" si="27"/>
        <v>0</v>
      </c>
      <c r="I262" s="19">
        <f t="shared" si="30"/>
        <v>0</v>
      </c>
      <c r="J262" s="4"/>
    </row>
    <row r="263" spans="1:10" ht="14.25">
      <c r="A263" s="46" t="str">
        <f t="shared" si="31"/>
        <v/>
      </c>
      <c r="B263" s="47" t="str">
        <f t="shared" si="32"/>
        <v/>
      </c>
      <c r="C263" s="48" t="str">
        <f t="shared" si="34"/>
        <v/>
      </c>
      <c r="D263" s="48" t="str">
        <f>IF(ISERROR(PMT(Maandelijkse_rente_percentage,(Loan_Years*12)-Pay_Num+1,Beg_Bal)),"",IF(Values_Entered,-PMT(Maandelijkse_rente_percentage,(Loan_Years*12)-Pay_Num+1,Beg_Bal),""))</f>
        <v/>
      </c>
      <c r="E263" s="48" t="str">
        <f t="shared" si="28"/>
        <v/>
      </c>
      <c r="F263" s="48" t="e">
        <f t="shared" si="29"/>
        <v>#VALUE!</v>
      </c>
      <c r="G263" s="48" t="str">
        <f t="shared" si="33"/>
        <v/>
      </c>
      <c r="H263" s="19">
        <f t="shared" si="27"/>
        <v>0</v>
      </c>
      <c r="I263" s="19">
        <f t="shared" si="30"/>
        <v>0</v>
      </c>
      <c r="J263" s="4"/>
    </row>
    <row r="264" spans="1:10" ht="14.25">
      <c r="A264" s="46" t="str">
        <f t="shared" si="31"/>
        <v/>
      </c>
      <c r="B264" s="47" t="str">
        <f t="shared" si="32"/>
        <v/>
      </c>
      <c r="C264" s="48" t="str">
        <f t="shared" si="34"/>
        <v/>
      </c>
      <c r="D264" s="48" t="str">
        <f>IF(ISERROR(PMT(Maandelijkse_rente_percentage,(Loan_Years*12)-Pay_Num+1,Beg_Bal)),"",IF(Values_Entered,-PMT(Maandelijkse_rente_percentage,(Loan_Years*12)-Pay_Num+1,Beg_Bal),""))</f>
        <v/>
      </c>
      <c r="E264" s="48" t="str">
        <f t="shared" si="28"/>
        <v/>
      </c>
      <c r="F264" s="48" t="e">
        <f t="shared" si="29"/>
        <v>#VALUE!</v>
      </c>
      <c r="G264" s="48" t="str">
        <f t="shared" si="33"/>
        <v/>
      </c>
      <c r="H264" s="19">
        <f t="shared" si="27"/>
        <v>0</v>
      </c>
      <c r="I264" s="19">
        <f t="shared" si="30"/>
        <v>0</v>
      </c>
      <c r="J264" s="4"/>
    </row>
    <row r="265" spans="1:10" ht="14.25">
      <c r="A265" s="46" t="str">
        <f t="shared" si="31"/>
        <v/>
      </c>
      <c r="B265" s="47" t="str">
        <f t="shared" si="32"/>
        <v/>
      </c>
      <c r="C265" s="48" t="str">
        <f t="shared" si="34"/>
        <v/>
      </c>
      <c r="D265" s="48" t="str">
        <f>IF(ISERROR(PMT(Maandelijkse_rente_percentage,(Loan_Years*12)-Pay_Num+1,Beg_Bal)),"",IF(Values_Entered,-PMT(Maandelijkse_rente_percentage,(Loan_Years*12)-Pay_Num+1,Beg_Bal),""))</f>
        <v/>
      </c>
      <c r="E265" s="48" t="str">
        <f t="shared" si="28"/>
        <v/>
      </c>
      <c r="F265" s="48" t="e">
        <f t="shared" si="29"/>
        <v>#VALUE!</v>
      </c>
      <c r="G265" s="48" t="str">
        <f t="shared" si="33"/>
        <v/>
      </c>
      <c r="H265" s="19">
        <f t="shared" si="27"/>
        <v>0</v>
      </c>
      <c r="I265" s="19">
        <f t="shared" si="30"/>
        <v>0</v>
      </c>
      <c r="J265" s="4"/>
    </row>
    <row r="266" spans="1:10" ht="14.25">
      <c r="A266" s="46" t="str">
        <f t="shared" si="31"/>
        <v/>
      </c>
      <c r="B266" s="47" t="str">
        <f t="shared" si="32"/>
        <v/>
      </c>
      <c r="C266" s="48" t="str">
        <f t="shared" si="34"/>
        <v/>
      </c>
      <c r="D266" s="48" t="str">
        <f>IF(ISERROR(PMT(Maandelijkse_rente_percentage,(Loan_Years*12)-Pay_Num+1,Beg_Bal)),"",IF(Values_Entered,-PMT(Maandelijkse_rente_percentage,(Loan_Years*12)-Pay_Num+1,Beg_Bal),""))</f>
        <v/>
      </c>
      <c r="E266" s="48" t="str">
        <f t="shared" si="28"/>
        <v/>
      </c>
      <c r="F266" s="48" t="e">
        <f t="shared" si="29"/>
        <v>#VALUE!</v>
      </c>
      <c r="G266" s="48" t="str">
        <f t="shared" si="33"/>
        <v/>
      </c>
      <c r="H266" s="19">
        <f t="shared" si="27"/>
        <v>0</v>
      </c>
      <c r="I266" s="19">
        <f t="shared" si="30"/>
        <v>0</v>
      </c>
      <c r="J266" s="4"/>
    </row>
    <row r="267" spans="1:10" ht="14.25">
      <c r="A267" s="46" t="str">
        <f t="shared" si="31"/>
        <v/>
      </c>
      <c r="B267" s="47" t="str">
        <f t="shared" si="32"/>
        <v/>
      </c>
      <c r="C267" s="48" t="str">
        <f t="shared" si="34"/>
        <v/>
      </c>
      <c r="D267" s="48" t="str">
        <f>IF(ISERROR(PMT(Maandelijkse_rente_percentage,(Loan_Years*12)-Pay_Num+1,Beg_Bal)),"",IF(Values_Entered,-PMT(Maandelijkse_rente_percentage,(Loan_Years*12)-Pay_Num+1,Beg_Bal),""))</f>
        <v/>
      </c>
      <c r="E267" s="48" t="str">
        <f t="shared" si="28"/>
        <v/>
      </c>
      <c r="F267" s="48" t="e">
        <f t="shared" si="29"/>
        <v>#VALUE!</v>
      </c>
      <c r="G267" s="48" t="str">
        <f t="shared" si="33"/>
        <v/>
      </c>
      <c r="H267" s="19">
        <f t="shared" si="27"/>
        <v>0</v>
      </c>
      <c r="I267" s="19">
        <f t="shared" si="30"/>
        <v>0</v>
      </c>
      <c r="J267" s="4"/>
    </row>
    <row r="268" spans="1:10" ht="14.25">
      <c r="A268" s="46" t="str">
        <f t="shared" si="31"/>
        <v/>
      </c>
      <c r="B268" s="47" t="str">
        <f t="shared" si="32"/>
        <v/>
      </c>
      <c r="C268" s="48" t="str">
        <f t="shared" si="34"/>
        <v/>
      </c>
      <c r="D268" s="48" t="str">
        <f>IF(ISERROR(PMT(Maandelijkse_rente_percentage,(Loan_Years*12)-Pay_Num+1,Beg_Bal)),"",IF(Values_Entered,-PMT(Maandelijkse_rente_percentage,(Loan_Years*12)-Pay_Num+1,Beg_Bal),""))</f>
        <v/>
      </c>
      <c r="E268" s="48" t="str">
        <f t="shared" si="28"/>
        <v/>
      </c>
      <c r="F268" s="48" t="e">
        <f t="shared" si="29"/>
        <v>#VALUE!</v>
      </c>
      <c r="G268" s="48" t="str">
        <f t="shared" si="33"/>
        <v/>
      </c>
      <c r="H268" s="19">
        <f t="shared" si="27"/>
        <v>0</v>
      </c>
      <c r="I268" s="19">
        <f t="shared" si="30"/>
        <v>0</v>
      </c>
      <c r="J268" s="4"/>
    </row>
    <row r="269" spans="1:10" ht="14.25">
      <c r="A269" s="46" t="str">
        <f t="shared" si="31"/>
        <v/>
      </c>
      <c r="B269" s="47" t="str">
        <f t="shared" si="32"/>
        <v/>
      </c>
      <c r="C269" s="48" t="str">
        <f t="shared" si="34"/>
        <v/>
      </c>
      <c r="D269" s="48" t="str">
        <f>IF(ISERROR(PMT(Maandelijkse_rente_percentage,(Loan_Years*12)-Pay_Num+1,Beg_Bal)),"",IF(Values_Entered,-PMT(Maandelijkse_rente_percentage,(Loan_Years*12)-Pay_Num+1,Beg_Bal),""))</f>
        <v/>
      </c>
      <c r="E269" s="48" t="str">
        <f t="shared" si="28"/>
        <v/>
      </c>
      <c r="F269" s="48" t="e">
        <f t="shared" si="29"/>
        <v>#VALUE!</v>
      </c>
      <c r="G269" s="48" t="str">
        <f t="shared" si="33"/>
        <v/>
      </c>
      <c r="H269" s="19">
        <f t="shared" si="27"/>
        <v>0</v>
      </c>
      <c r="I269" s="19">
        <f t="shared" si="30"/>
        <v>0</v>
      </c>
      <c r="J269" s="4"/>
    </row>
    <row r="270" spans="1:10" ht="14.25">
      <c r="A270" s="46" t="str">
        <f t="shared" si="31"/>
        <v/>
      </c>
      <c r="B270" s="47" t="str">
        <f t="shared" si="32"/>
        <v/>
      </c>
      <c r="C270" s="48" t="str">
        <f t="shared" si="34"/>
        <v/>
      </c>
      <c r="D270" s="48" t="str">
        <f>IF(ISERROR(PMT(Maandelijkse_rente_percentage,(Loan_Years*12)-Pay_Num+1,Beg_Bal)),"",IF(Values_Entered,-PMT(Maandelijkse_rente_percentage,(Loan_Years*12)-Pay_Num+1,Beg_Bal),""))</f>
        <v/>
      </c>
      <c r="E270" s="48" t="str">
        <f t="shared" si="28"/>
        <v/>
      </c>
      <c r="F270" s="48" t="e">
        <f t="shared" si="29"/>
        <v>#VALUE!</v>
      </c>
      <c r="G270" s="48" t="str">
        <f t="shared" si="33"/>
        <v/>
      </c>
      <c r="H270" s="19">
        <f t="shared" si="27"/>
        <v>0</v>
      </c>
      <c r="I270" s="19">
        <f t="shared" si="30"/>
        <v>0</v>
      </c>
      <c r="J270" s="4"/>
    </row>
    <row r="271" spans="1:10" ht="14.25">
      <c r="A271" s="46" t="str">
        <f t="shared" si="31"/>
        <v/>
      </c>
      <c r="B271" s="47" t="str">
        <f t="shared" si="32"/>
        <v/>
      </c>
      <c r="C271" s="48" t="str">
        <f t="shared" si="34"/>
        <v/>
      </c>
      <c r="D271" s="48" t="str">
        <f>IF(ISERROR(PMT(Maandelijkse_rente_percentage,(Loan_Years*12)-Pay_Num+1,Beg_Bal)),"",IF(Values_Entered,-PMT(Maandelijkse_rente_percentage,(Loan_Years*12)-Pay_Num+1,Beg_Bal),""))</f>
        <v/>
      </c>
      <c r="E271" s="48" t="str">
        <f t="shared" si="28"/>
        <v/>
      </c>
      <c r="F271" s="48" t="e">
        <f t="shared" si="29"/>
        <v>#VALUE!</v>
      </c>
      <c r="G271" s="48" t="str">
        <f t="shared" si="33"/>
        <v/>
      </c>
      <c r="H271" s="19">
        <f>N9</f>
        <v>0</v>
      </c>
      <c r="I271" s="19">
        <f t="shared" si="30"/>
        <v>0</v>
      </c>
      <c r="J271" s="4"/>
    </row>
    <row r="272" spans="1:10" ht="14.25">
      <c r="A272" s="46" t="str">
        <f t="shared" si="31"/>
        <v/>
      </c>
      <c r="B272" s="47" t="str">
        <f t="shared" si="32"/>
        <v/>
      </c>
      <c r="C272" s="48" t="str">
        <f t="shared" si="34"/>
        <v/>
      </c>
      <c r="D272" s="48" t="str">
        <f>IF(ISERROR(PMT(Maandelijkse_rente_percentage,(Loan_Years*12)-Pay_Num+1,Beg_Bal)),"",IF(Values_Entered,-PMT(Maandelijkse_rente_percentage,(Loan_Years*12)-Pay_Num+1,Beg_Bal),""))</f>
        <v/>
      </c>
      <c r="E272" s="48" t="str">
        <f t="shared" si="28"/>
        <v/>
      </c>
      <c r="F272" s="48" t="e">
        <f t="shared" si="29"/>
        <v>#VALUE!</v>
      </c>
      <c r="G272" s="48" t="str">
        <f t="shared" si="33"/>
        <v/>
      </c>
      <c r="H272" s="19">
        <f t="shared" ref="H272:H335" si="35">H271</f>
        <v>0</v>
      </c>
      <c r="I272" s="19">
        <f t="shared" si="30"/>
        <v>0</v>
      </c>
      <c r="J272" s="4"/>
    </row>
    <row r="273" spans="1:10" ht="14.25">
      <c r="A273" s="46" t="str">
        <f t="shared" si="31"/>
        <v/>
      </c>
      <c r="B273" s="47" t="str">
        <f t="shared" si="32"/>
        <v/>
      </c>
      <c r="C273" s="48" t="str">
        <f t="shared" si="34"/>
        <v/>
      </c>
      <c r="D273" s="48" t="str">
        <f>IF(ISERROR(PMT(Maandelijkse_rente_percentage,(Loan_Years*12)-Pay_Num+1,Beg_Bal)),"",IF(Values_Entered,-PMT(Maandelijkse_rente_percentage,(Loan_Years*12)-Pay_Num+1,Beg_Bal),""))</f>
        <v/>
      </c>
      <c r="E273" s="48" t="str">
        <f t="shared" si="28"/>
        <v/>
      </c>
      <c r="F273" s="48" t="e">
        <f t="shared" si="29"/>
        <v>#VALUE!</v>
      </c>
      <c r="G273" s="48" t="str">
        <f t="shared" si="33"/>
        <v/>
      </c>
      <c r="H273" s="19">
        <f t="shared" si="35"/>
        <v>0</v>
      </c>
      <c r="I273" s="19">
        <f t="shared" si="30"/>
        <v>0</v>
      </c>
      <c r="J273" s="4"/>
    </row>
    <row r="274" spans="1:10" ht="14.25">
      <c r="A274" s="46" t="str">
        <f t="shared" si="31"/>
        <v/>
      </c>
      <c r="B274" s="47" t="str">
        <f t="shared" si="32"/>
        <v/>
      </c>
      <c r="C274" s="48" t="str">
        <f t="shared" si="34"/>
        <v/>
      </c>
      <c r="D274" s="48" t="str">
        <f>IF(ISERROR(PMT(Maandelijkse_rente_percentage,(Loan_Years*12)-Pay_Num+1,Beg_Bal)),"",IF(Values_Entered,-PMT(Maandelijkse_rente_percentage,(Loan_Years*12)-Pay_Num+1,Beg_Bal),""))</f>
        <v/>
      </c>
      <c r="E274" s="48" t="str">
        <f t="shared" si="28"/>
        <v/>
      </c>
      <c r="F274" s="48" t="e">
        <f t="shared" si="29"/>
        <v>#VALUE!</v>
      </c>
      <c r="G274" s="48" t="str">
        <f t="shared" si="33"/>
        <v/>
      </c>
      <c r="H274" s="19">
        <f t="shared" si="35"/>
        <v>0</v>
      </c>
      <c r="I274" s="19">
        <f t="shared" si="30"/>
        <v>0</v>
      </c>
      <c r="J274" s="4"/>
    </row>
    <row r="275" spans="1:10" ht="14.25">
      <c r="A275" s="46" t="str">
        <f t="shared" si="31"/>
        <v/>
      </c>
      <c r="B275" s="47" t="str">
        <f t="shared" si="32"/>
        <v/>
      </c>
      <c r="C275" s="48" t="str">
        <f t="shared" si="34"/>
        <v/>
      </c>
      <c r="D275" s="48" t="str">
        <f>IF(ISERROR(PMT(Maandelijkse_rente_percentage,(Loan_Years*12)-Pay_Num+1,Beg_Bal)),"",IF(Values_Entered,-PMT(Maandelijkse_rente_percentage,(Loan_Years*12)-Pay_Num+1,Beg_Bal),""))</f>
        <v/>
      </c>
      <c r="E275" s="48" t="str">
        <f t="shared" ref="E275:E338" si="36">IF(Pay_Num&lt;&gt;"",Maandelijkse_aflossing-Int,"")</f>
        <v/>
      </c>
      <c r="F275" s="48" t="e">
        <f t="shared" ref="F275:F338" si="37">Beg_Bal*Maandelijkse_rente_percentage</f>
        <v>#VALUE!</v>
      </c>
      <c r="G275" s="48" t="str">
        <f t="shared" si="33"/>
        <v/>
      </c>
      <c r="H275" s="19">
        <f t="shared" si="35"/>
        <v>0</v>
      </c>
      <c r="I275" s="19">
        <f t="shared" ref="I275:I338" si="38">((1+Jaarlijk_rente_percentage)^(1/12))-1</f>
        <v>0</v>
      </c>
      <c r="J275" s="4"/>
    </row>
    <row r="276" spans="1:10" ht="14.25">
      <c r="A276" s="46" t="str">
        <f t="shared" ref="A276:A339" si="39">IF(Values_Entered,A275+1,"")</f>
        <v/>
      </c>
      <c r="B276" s="47" t="str">
        <f t="shared" ref="B276:B339" si="40">IF(Pay_Num&lt;&gt;"",DATE(YEAR(B275),MONTH(B275)+1,DAY(B275)),"")</f>
        <v/>
      </c>
      <c r="C276" s="48" t="str">
        <f t="shared" si="34"/>
        <v/>
      </c>
      <c r="D276" s="48" t="str">
        <f>IF(ISERROR(PMT(Maandelijkse_rente_percentage,(Loan_Years*12)-Pay_Num+1,Beg_Bal)),"",IF(Values_Entered,-PMT(Maandelijkse_rente_percentage,(Loan_Years*12)-Pay_Num+1,Beg_Bal),""))</f>
        <v/>
      </c>
      <c r="E276" s="48" t="str">
        <f t="shared" si="36"/>
        <v/>
      </c>
      <c r="F276" s="48" t="e">
        <f t="shared" si="37"/>
        <v>#VALUE!</v>
      </c>
      <c r="G276" s="48" t="str">
        <f t="shared" ref="G276:G339" si="41">IF(Pay_Num&lt;&gt;"",Beg_Bal-Princ,"")</f>
        <v/>
      </c>
      <c r="H276" s="19">
        <f t="shared" si="35"/>
        <v>0</v>
      </c>
      <c r="I276" s="19">
        <f t="shared" si="38"/>
        <v>0</v>
      </c>
      <c r="J276" s="4"/>
    </row>
    <row r="277" spans="1:10" ht="14.25">
      <c r="A277" s="46" t="str">
        <f t="shared" si="39"/>
        <v/>
      </c>
      <c r="B277" s="47" t="str">
        <f t="shared" si="40"/>
        <v/>
      </c>
      <c r="C277" s="48" t="str">
        <f t="shared" ref="C277:C340" si="42">IF(Pay_Num&lt;&gt;"",G276,"")</f>
        <v/>
      </c>
      <c r="D277" s="48" t="str">
        <f>IF(ISERROR(PMT(Maandelijkse_rente_percentage,(Loan_Years*12)-Pay_Num+1,Beg_Bal)),"",IF(Values_Entered,-PMT(Maandelijkse_rente_percentage,(Loan_Years*12)-Pay_Num+1,Beg_Bal),""))</f>
        <v/>
      </c>
      <c r="E277" s="48" t="str">
        <f t="shared" si="36"/>
        <v/>
      </c>
      <c r="F277" s="48" t="e">
        <f t="shared" si="37"/>
        <v>#VALUE!</v>
      </c>
      <c r="G277" s="48" t="str">
        <f t="shared" si="41"/>
        <v/>
      </c>
      <c r="H277" s="19">
        <f t="shared" si="35"/>
        <v>0</v>
      </c>
      <c r="I277" s="19">
        <f t="shared" si="38"/>
        <v>0</v>
      </c>
      <c r="J277" s="4"/>
    </row>
    <row r="278" spans="1:10" ht="14.25">
      <c r="A278" s="46" t="str">
        <f t="shared" si="39"/>
        <v/>
      </c>
      <c r="B278" s="47" t="str">
        <f t="shared" si="40"/>
        <v/>
      </c>
      <c r="C278" s="48" t="str">
        <f t="shared" si="42"/>
        <v/>
      </c>
      <c r="D278" s="48" t="str">
        <f>IF(ISERROR(PMT(Maandelijkse_rente_percentage,(Loan_Years*12)-Pay_Num+1,Beg_Bal)),"",IF(Values_Entered,-PMT(Maandelijkse_rente_percentage,(Loan_Years*12)-Pay_Num+1,Beg_Bal),""))</f>
        <v/>
      </c>
      <c r="E278" s="48" t="str">
        <f t="shared" si="36"/>
        <v/>
      </c>
      <c r="F278" s="48" t="e">
        <f t="shared" si="37"/>
        <v>#VALUE!</v>
      </c>
      <c r="G278" s="48" t="str">
        <f t="shared" si="41"/>
        <v/>
      </c>
      <c r="H278" s="19">
        <f t="shared" si="35"/>
        <v>0</v>
      </c>
      <c r="I278" s="19">
        <f t="shared" si="38"/>
        <v>0</v>
      </c>
      <c r="J278" s="4"/>
    </row>
    <row r="279" spans="1:10" ht="14.25">
      <c r="A279" s="46" t="str">
        <f t="shared" si="39"/>
        <v/>
      </c>
      <c r="B279" s="47" t="str">
        <f t="shared" si="40"/>
        <v/>
      </c>
      <c r="C279" s="48" t="str">
        <f t="shared" si="42"/>
        <v/>
      </c>
      <c r="D279" s="48" t="str">
        <f>IF(ISERROR(PMT(Maandelijkse_rente_percentage,(Loan_Years*12)-Pay_Num+1,Beg_Bal)),"",IF(Values_Entered,-PMT(Maandelijkse_rente_percentage,(Loan_Years*12)-Pay_Num+1,Beg_Bal),""))</f>
        <v/>
      </c>
      <c r="E279" s="48" t="str">
        <f t="shared" si="36"/>
        <v/>
      </c>
      <c r="F279" s="48" t="e">
        <f t="shared" si="37"/>
        <v>#VALUE!</v>
      </c>
      <c r="G279" s="48" t="str">
        <f t="shared" si="41"/>
        <v/>
      </c>
      <c r="H279" s="19">
        <f t="shared" si="35"/>
        <v>0</v>
      </c>
      <c r="I279" s="19">
        <f t="shared" si="38"/>
        <v>0</v>
      </c>
      <c r="J279" s="4"/>
    </row>
    <row r="280" spans="1:10" ht="14.25">
      <c r="A280" s="46" t="str">
        <f t="shared" si="39"/>
        <v/>
      </c>
      <c r="B280" s="47" t="str">
        <f t="shared" si="40"/>
        <v/>
      </c>
      <c r="C280" s="48" t="str">
        <f t="shared" si="42"/>
        <v/>
      </c>
      <c r="D280" s="48" t="str">
        <f>IF(ISERROR(PMT(Maandelijkse_rente_percentage,(Loan_Years*12)-Pay_Num+1,Beg_Bal)),"",IF(Values_Entered,-PMT(Maandelijkse_rente_percentage,(Loan_Years*12)-Pay_Num+1,Beg_Bal),""))</f>
        <v/>
      </c>
      <c r="E280" s="48" t="str">
        <f t="shared" si="36"/>
        <v/>
      </c>
      <c r="F280" s="48" t="e">
        <f t="shared" si="37"/>
        <v>#VALUE!</v>
      </c>
      <c r="G280" s="48" t="str">
        <f t="shared" si="41"/>
        <v/>
      </c>
      <c r="H280" s="19">
        <f t="shared" si="35"/>
        <v>0</v>
      </c>
      <c r="I280" s="19">
        <f t="shared" si="38"/>
        <v>0</v>
      </c>
      <c r="J280" s="4"/>
    </row>
    <row r="281" spans="1:10" ht="14.25">
      <c r="A281" s="46" t="str">
        <f t="shared" si="39"/>
        <v/>
      </c>
      <c r="B281" s="47" t="str">
        <f t="shared" si="40"/>
        <v/>
      </c>
      <c r="C281" s="48" t="str">
        <f t="shared" si="42"/>
        <v/>
      </c>
      <c r="D281" s="48" t="str">
        <f>IF(ISERROR(PMT(Maandelijkse_rente_percentage,(Loan_Years*12)-Pay_Num+1,Beg_Bal)),"",IF(Values_Entered,-PMT(Maandelijkse_rente_percentage,(Loan_Years*12)-Pay_Num+1,Beg_Bal),""))</f>
        <v/>
      </c>
      <c r="E281" s="48" t="str">
        <f t="shared" si="36"/>
        <v/>
      </c>
      <c r="F281" s="48" t="e">
        <f t="shared" si="37"/>
        <v>#VALUE!</v>
      </c>
      <c r="G281" s="48" t="str">
        <f t="shared" si="41"/>
        <v/>
      </c>
      <c r="H281" s="19">
        <f t="shared" si="35"/>
        <v>0</v>
      </c>
      <c r="I281" s="19">
        <f t="shared" si="38"/>
        <v>0</v>
      </c>
      <c r="J281" s="4"/>
    </row>
    <row r="282" spans="1:10" ht="14.25">
      <c r="A282" s="46" t="str">
        <f t="shared" si="39"/>
        <v/>
      </c>
      <c r="B282" s="47" t="str">
        <f t="shared" si="40"/>
        <v/>
      </c>
      <c r="C282" s="48" t="str">
        <f t="shared" si="42"/>
        <v/>
      </c>
      <c r="D282" s="48" t="str">
        <f>IF(ISERROR(PMT(Maandelijkse_rente_percentage,(Loan_Years*12)-Pay_Num+1,Beg_Bal)),"",IF(Values_Entered,-PMT(Maandelijkse_rente_percentage,(Loan_Years*12)-Pay_Num+1,Beg_Bal),""))</f>
        <v/>
      </c>
      <c r="E282" s="48" t="str">
        <f t="shared" si="36"/>
        <v/>
      </c>
      <c r="F282" s="48" t="e">
        <f t="shared" si="37"/>
        <v>#VALUE!</v>
      </c>
      <c r="G282" s="48" t="str">
        <f t="shared" si="41"/>
        <v/>
      </c>
      <c r="H282" s="19">
        <f t="shared" si="35"/>
        <v>0</v>
      </c>
      <c r="I282" s="19">
        <f t="shared" si="38"/>
        <v>0</v>
      </c>
      <c r="J282" s="4"/>
    </row>
    <row r="283" spans="1:10" ht="14.25">
      <c r="A283" s="46" t="str">
        <f t="shared" si="39"/>
        <v/>
      </c>
      <c r="B283" s="47" t="str">
        <f t="shared" si="40"/>
        <v/>
      </c>
      <c r="C283" s="48" t="str">
        <f t="shared" si="42"/>
        <v/>
      </c>
      <c r="D283" s="48" t="str">
        <f>IF(ISERROR(PMT(Maandelijkse_rente_percentage,(Loan_Years*12)-Pay_Num+1,Beg_Bal)),"",IF(Values_Entered,-PMT(Maandelijkse_rente_percentage,(Loan_Years*12)-Pay_Num+1,Beg_Bal),""))</f>
        <v/>
      </c>
      <c r="E283" s="48" t="str">
        <f t="shared" si="36"/>
        <v/>
      </c>
      <c r="F283" s="48" t="e">
        <f t="shared" si="37"/>
        <v>#VALUE!</v>
      </c>
      <c r="G283" s="48" t="str">
        <f t="shared" si="41"/>
        <v/>
      </c>
      <c r="H283" s="19">
        <f>N10</f>
        <v>0</v>
      </c>
      <c r="I283" s="19">
        <f t="shared" si="38"/>
        <v>0</v>
      </c>
      <c r="J283" s="4"/>
    </row>
    <row r="284" spans="1:10" ht="14.25">
      <c r="A284" s="46" t="str">
        <f t="shared" si="39"/>
        <v/>
      </c>
      <c r="B284" s="47" t="str">
        <f t="shared" si="40"/>
        <v/>
      </c>
      <c r="C284" s="48" t="str">
        <f t="shared" si="42"/>
        <v/>
      </c>
      <c r="D284" s="48" t="str">
        <f>IF(ISERROR(PMT(Maandelijkse_rente_percentage,(Loan_Years*12)-Pay_Num+1,Beg_Bal)),"",IF(Values_Entered,-PMT(Maandelijkse_rente_percentage,(Loan_Years*12)-Pay_Num+1,Beg_Bal),""))</f>
        <v/>
      </c>
      <c r="E284" s="48" t="str">
        <f t="shared" si="36"/>
        <v/>
      </c>
      <c r="F284" s="48" t="e">
        <f t="shared" si="37"/>
        <v>#VALUE!</v>
      </c>
      <c r="G284" s="48" t="str">
        <f t="shared" si="41"/>
        <v/>
      </c>
      <c r="H284" s="19">
        <f t="shared" si="35"/>
        <v>0</v>
      </c>
      <c r="I284" s="19">
        <f t="shared" si="38"/>
        <v>0</v>
      </c>
      <c r="J284" s="4"/>
    </row>
    <row r="285" spans="1:10" ht="14.25">
      <c r="A285" s="46" t="str">
        <f t="shared" si="39"/>
        <v/>
      </c>
      <c r="B285" s="47" t="str">
        <f t="shared" si="40"/>
        <v/>
      </c>
      <c r="C285" s="48" t="str">
        <f t="shared" si="42"/>
        <v/>
      </c>
      <c r="D285" s="48" t="str">
        <f>IF(ISERROR(PMT(Maandelijkse_rente_percentage,(Loan_Years*12)-Pay_Num+1,Beg_Bal)),"",IF(Values_Entered,-PMT(Maandelijkse_rente_percentage,(Loan_Years*12)-Pay_Num+1,Beg_Bal),""))</f>
        <v/>
      </c>
      <c r="E285" s="48" t="str">
        <f t="shared" si="36"/>
        <v/>
      </c>
      <c r="F285" s="48" t="e">
        <f t="shared" si="37"/>
        <v>#VALUE!</v>
      </c>
      <c r="G285" s="48" t="str">
        <f t="shared" si="41"/>
        <v/>
      </c>
      <c r="H285" s="19">
        <f t="shared" si="35"/>
        <v>0</v>
      </c>
      <c r="I285" s="19">
        <f t="shared" si="38"/>
        <v>0</v>
      </c>
      <c r="J285" s="4"/>
    </row>
    <row r="286" spans="1:10" ht="14.25">
      <c r="A286" s="46" t="str">
        <f t="shared" si="39"/>
        <v/>
      </c>
      <c r="B286" s="47" t="str">
        <f t="shared" si="40"/>
        <v/>
      </c>
      <c r="C286" s="48" t="str">
        <f t="shared" si="42"/>
        <v/>
      </c>
      <c r="D286" s="48" t="str">
        <f>IF(ISERROR(PMT(Maandelijkse_rente_percentage,(Loan_Years*12)-Pay_Num+1,Beg_Bal)),"",IF(Values_Entered,-PMT(Maandelijkse_rente_percentage,(Loan_Years*12)-Pay_Num+1,Beg_Bal),""))</f>
        <v/>
      </c>
      <c r="E286" s="48" t="str">
        <f t="shared" si="36"/>
        <v/>
      </c>
      <c r="F286" s="48" t="e">
        <f t="shared" si="37"/>
        <v>#VALUE!</v>
      </c>
      <c r="G286" s="48" t="str">
        <f t="shared" si="41"/>
        <v/>
      </c>
      <c r="H286" s="19">
        <f t="shared" si="35"/>
        <v>0</v>
      </c>
      <c r="I286" s="19">
        <f t="shared" si="38"/>
        <v>0</v>
      </c>
      <c r="J286" s="4"/>
    </row>
    <row r="287" spans="1:10" ht="14.25">
      <c r="A287" s="46" t="str">
        <f t="shared" si="39"/>
        <v/>
      </c>
      <c r="B287" s="47" t="str">
        <f t="shared" si="40"/>
        <v/>
      </c>
      <c r="C287" s="48" t="str">
        <f t="shared" si="42"/>
        <v/>
      </c>
      <c r="D287" s="48" t="str">
        <f>IF(ISERROR(PMT(Maandelijkse_rente_percentage,(Loan_Years*12)-Pay_Num+1,Beg_Bal)),"",IF(Values_Entered,-PMT(Maandelijkse_rente_percentage,(Loan_Years*12)-Pay_Num+1,Beg_Bal),""))</f>
        <v/>
      </c>
      <c r="E287" s="48" t="str">
        <f t="shared" si="36"/>
        <v/>
      </c>
      <c r="F287" s="48" t="e">
        <f t="shared" si="37"/>
        <v>#VALUE!</v>
      </c>
      <c r="G287" s="48" t="str">
        <f t="shared" si="41"/>
        <v/>
      </c>
      <c r="H287" s="19">
        <f t="shared" si="35"/>
        <v>0</v>
      </c>
      <c r="I287" s="19">
        <f t="shared" si="38"/>
        <v>0</v>
      </c>
      <c r="J287" s="4"/>
    </row>
    <row r="288" spans="1:10" ht="14.25">
      <c r="A288" s="46" t="str">
        <f t="shared" si="39"/>
        <v/>
      </c>
      <c r="B288" s="47" t="str">
        <f t="shared" si="40"/>
        <v/>
      </c>
      <c r="C288" s="48" t="str">
        <f t="shared" si="42"/>
        <v/>
      </c>
      <c r="D288" s="48" t="str">
        <f>IF(ISERROR(PMT(Maandelijkse_rente_percentage,(Loan_Years*12)-Pay_Num+1,Beg_Bal)),"",IF(Values_Entered,-PMT(Maandelijkse_rente_percentage,(Loan_Years*12)-Pay_Num+1,Beg_Bal),""))</f>
        <v/>
      </c>
      <c r="E288" s="48" t="str">
        <f t="shared" si="36"/>
        <v/>
      </c>
      <c r="F288" s="48" t="e">
        <f t="shared" si="37"/>
        <v>#VALUE!</v>
      </c>
      <c r="G288" s="48" t="str">
        <f t="shared" si="41"/>
        <v/>
      </c>
      <c r="H288" s="19">
        <f t="shared" si="35"/>
        <v>0</v>
      </c>
      <c r="I288" s="19">
        <f t="shared" si="38"/>
        <v>0</v>
      </c>
      <c r="J288" s="4"/>
    </row>
    <row r="289" spans="1:10" ht="14.25">
      <c r="A289" s="46" t="str">
        <f t="shared" si="39"/>
        <v/>
      </c>
      <c r="B289" s="47" t="str">
        <f t="shared" si="40"/>
        <v/>
      </c>
      <c r="C289" s="48" t="str">
        <f t="shared" si="42"/>
        <v/>
      </c>
      <c r="D289" s="48" t="str">
        <f>IF(ISERROR(PMT(Maandelijkse_rente_percentage,(Loan_Years*12)-Pay_Num+1,Beg_Bal)),"",IF(Values_Entered,-PMT(Maandelijkse_rente_percentage,(Loan_Years*12)-Pay_Num+1,Beg_Bal),""))</f>
        <v/>
      </c>
      <c r="E289" s="48" t="str">
        <f t="shared" si="36"/>
        <v/>
      </c>
      <c r="F289" s="48" t="e">
        <f t="shared" si="37"/>
        <v>#VALUE!</v>
      </c>
      <c r="G289" s="48" t="str">
        <f t="shared" si="41"/>
        <v/>
      </c>
      <c r="H289" s="19">
        <f t="shared" si="35"/>
        <v>0</v>
      </c>
      <c r="I289" s="19">
        <f t="shared" si="38"/>
        <v>0</v>
      </c>
      <c r="J289" s="4"/>
    </row>
    <row r="290" spans="1:10" ht="14.25">
      <c r="A290" s="46" t="str">
        <f t="shared" si="39"/>
        <v/>
      </c>
      <c r="B290" s="47" t="str">
        <f t="shared" si="40"/>
        <v/>
      </c>
      <c r="C290" s="48" t="str">
        <f t="shared" si="42"/>
        <v/>
      </c>
      <c r="D290" s="48" t="str">
        <f>IF(ISERROR(PMT(Maandelijkse_rente_percentage,(Loan_Years*12)-Pay_Num+1,Beg_Bal)),"",IF(Values_Entered,-PMT(Maandelijkse_rente_percentage,(Loan_Years*12)-Pay_Num+1,Beg_Bal),""))</f>
        <v/>
      </c>
      <c r="E290" s="48" t="str">
        <f t="shared" si="36"/>
        <v/>
      </c>
      <c r="F290" s="48" t="e">
        <f t="shared" si="37"/>
        <v>#VALUE!</v>
      </c>
      <c r="G290" s="48" t="str">
        <f t="shared" si="41"/>
        <v/>
      </c>
      <c r="H290" s="19">
        <f t="shared" si="35"/>
        <v>0</v>
      </c>
      <c r="I290" s="19">
        <f t="shared" si="38"/>
        <v>0</v>
      </c>
      <c r="J290" s="4"/>
    </row>
    <row r="291" spans="1:10" ht="14.25">
      <c r="A291" s="46" t="str">
        <f t="shared" si="39"/>
        <v/>
      </c>
      <c r="B291" s="47" t="str">
        <f t="shared" si="40"/>
        <v/>
      </c>
      <c r="C291" s="48" t="str">
        <f t="shared" si="42"/>
        <v/>
      </c>
      <c r="D291" s="48" t="str">
        <f>IF(ISERROR(PMT(Maandelijkse_rente_percentage,(Loan_Years*12)-Pay_Num+1,Beg_Bal)),"",IF(Values_Entered,-PMT(Maandelijkse_rente_percentage,(Loan_Years*12)-Pay_Num+1,Beg_Bal),""))</f>
        <v/>
      </c>
      <c r="E291" s="48" t="str">
        <f t="shared" si="36"/>
        <v/>
      </c>
      <c r="F291" s="48" t="e">
        <f t="shared" si="37"/>
        <v>#VALUE!</v>
      </c>
      <c r="G291" s="48" t="str">
        <f t="shared" si="41"/>
        <v/>
      </c>
      <c r="H291" s="19">
        <f t="shared" si="35"/>
        <v>0</v>
      </c>
      <c r="I291" s="19">
        <f t="shared" si="38"/>
        <v>0</v>
      </c>
      <c r="J291" s="4"/>
    </row>
    <row r="292" spans="1:10" ht="14.25">
      <c r="A292" s="46" t="str">
        <f t="shared" si="39"/>
        <v/>
      </c>
      <c r="B292" s="47" t="str">
        <f t="shared" si="40"/>
        <v/>
      </c>
      <c r="C292" s="48" t="str">
        <f t="shared" si="42"/>
        <v/>
      </c>
      <c r="D292" s="48" t="str">
        <f>IF(ISERROR(PMT(Maandelijkse_rente_percentage,(Loan_Years*12)-Pay_Num+1,Beg_Bal)),"",IF(Values_Entered,-PMT(Maandelijkse_rente_percentage,(Loan_Years*12)-Pay_Num+1,Beg_Bal),""))</f>
        <v/>
      </c>
      <c r="E292" s="48" t="str">
        <f t="shared" si="36"/>
        <v/>
      </c>
      <c r="F292" s="48" t="e">
        <f t="shared" si="37"/>
        <v>#VALUE!</v>
      </c>
      <c r="G292" s="48" t="str">
        <f t="shared" si="41"/>
        <v/>
      </c>
      <c r="H292" s="19">
        <f t="shared" si="35"/>
        <v>0</v>
      </c>
      <c r="I292" s="19">
        <f t="shared" si="38"/>
        <v>0</v>
      </c>
      <c r="J292" s="4"/>
    </row>
    <row r="293" spans="1:10" ht="14.25">
      <c r="A293" s="46" t="str">
        <f t="shared" si="39"/>
        <v/>
      </c>
      <c r="B293" s="47" t="str">
        <f t="shared" si="40"/>
        <v/>
      </c>
      <c r="C293" s="48" t="str">
        <f t="shared" si="42"/>
        <v/>
      </c>
      <c r="D293" s="48" t="str">
        <f>IF(ISERROR(PMT(Maandelijkse_rente_percentage,(Loan_Years*12)-Pay_Num+1,Beg_Bal)),"",IF(Values_Entered,-PMT(Maandelijkse_rente_percentage,(Loan_Years*12)-Pay_Num+1,Beg_Bal),""))</f>
        <v/>
      </c>
      <c r="E293" s="48" t="str">
        <f t="shared" si="36"/>
        <v/>
      </c>
      <c r="F293" s="48" t="e">
        <f t="shared" si="37"/>
        <v>#VALUE!</v>
      </c>
      <c r="G293" s="48" t="str">
        <f t="shared" si="41"/>
        <v/>
      </c>
      <c r="H293" s="19">
        <f t="shared" si="35"/>
        <v>0</v>
      </c>
      <c r="I293" s="19">
        <f t="shared" si="38"/>
        <v>0</v>
      </c>
      <c r="J293" s="4"/>
    </row>
    <row r="294" spans="1:10" ht="14.25">
      <c r="A294" s="46" t="str">
        <f t="shared" si="39"/>
        <v/>
      </c>
      <c r="B294" s="47" t="str">
        <f t="shared" si="40"/>
        <v/>
      </c>
      <c r="C294" s="48" t="str">
        <f t="shared" si="42"/>
        <v/>
      </c>
      <c r="D294" s="48" t="str">
        <f>IF(ISERROR(PMT(Maandelijkse_rente_percentage,(Loan_Years*12)-Pay_Num+1,Beg_Bal)),"",IF(Values_Entered,-PMT(Maandelijkse_rente_percentage,(Loan_Years*12)-Pay_Num+1,Beg_Bal),""))</f>
        <v/>
      </c>
      <c r="E294" s="48" t="str">
        <f t="shared" si="36"/>
        <v/>
      </c>
      <c r="F294" s="48" t="e">
        <f t="shared" si="37"/>
        <v>#VALUE!</v>
      </c>
      <c r="G294" s="48" t="str">
        <f t="shared" si="41"/>
        <v/>
      </c>
      <c r="H294" s="19">
        <f t="shared" si="35"/>
        <v>0</v>
      </c>
      <c r="I294" s="19">
        <f t="shared" si="38"/>
        <v>0</v>
      </c>
      <c r="J294" s="4"/>
    </row>
    <row r="295" spans="1:10" ht="14.25">
      <c r="A295" s="46" t="str">
        <f t="shared" si="39"/>
        <v/>
      </c>
      <c r="B295" s="47" t="str">
        <f t="shared" si="40"/>
        <v/>
      </c>
      <c r="C295" s="48" t="str">
        <f t="shared" si="42"/>
        <v/>
      </c>
      <c r="D295" s="48" t="str">
        <f>IF(ISERROR(PMT(Maandelijkse_rente_percentage,(Loan_Years*12)-Pay_Num+1,Beg_Bal)),"",IF(Values_Entered,-PMT(Maandelijkse_rente_percentage,(Loan_Years*12)-Pay_Num+1,Beg_Bal),""))</f>
        <v/>
      </c>
      <c r="E295" s="48" t="str">
        <f t="shared" si="36"/>
        <v/>
      </c>
      <c r="F295" s="48" t="e">
        <f t="shared" si="37"/>
        <v>#VALUE!</v>
      </c>
      <c r="G295" s="48" t="str">
        <f t="shared" si="41"/>
        <v/>
      </c>
      <c r="H295" s="19">
        <f>N11</f>
        <v>0</v>
      </c>
      <c r="I295" s="19">
        <f t="shared" si="38"/>
        <v>0</v>
      </c>
      <c r="J295" s="4"/>
    </row>
    <row r="296" spans="1:10" ht="14.25">
      <c r="A296" s="46" t="str">
        <f t="shared" si="39"/>
        <v/>
      </c>
      <c r="B296" s="47" t="str">
        <f t="shared" si="40"/>
        <v/>
      </c>
      <c r="C296" s="48" t="str">
        <f t="shared" si="42"/>
        <v/>
      </c>
      <c r="D296" s="48" t="str">
        <f>IF(ISERROR(PMT(Maandelijkse_rente_percentage,(Loan_Years*12)-Pay_Num+1,Beg_Bal)),"",IF(Values_Entered,-PMT(Maandelijkse_rente_percentage,(Loan_Years*12)-Pay_Num+1,Beg_Bal),""))</f>
        <v/>
      </c>
      <c r="E296" s="48" t="str">
        <f t="shared" si="36"/>
        <v/>
      </c>
      <c r="F296" s="48" t="e">
        <f t="shared" si="37"/>
        <v>#VALUE!</v>
      </c>
      <c r="G296" s="48" t="str">
        <f t="shared" si="41"/>
        <v/>
      </c>
      <c r="H296" s="19">
        <f t="shared" si="35"/>
        <v>0</v>
      </c>
      <c r="I296" s="19">
        <f t="shared" si="38"/>
        <v>0</v>
      </c>
      <c r="J296" s="4"/>
    </row>
    <row r="297" spans="1:10" ht="14.25">
      <c r="A297" s="46" t="str">
        <f t="shared" si="39"/>
        <v/>
      </c>
      <c r="B297" s="47" t="str">
        <f t="shared" si="40"/>
        <v/>
      </c>
      <c r="C297" s="48" t="str">
        <f t="shared" si="42"/>
        <v/>
      </c>
      <c r="D297" s="48" t="str">
        <f>IF(ISERROR(PMT(Maandelijkse_rente_percentage,(Loan_Years*12)-Pay_Num+1,Beg_Bal)),"",IF(Values_Entered,-PMT(Maandelijkse_rente_percentage,(Loan_Years*12)-Pay_Num+1,Beg_Bal),""))</f>
        <v/>
      </c>
      <c r="E297" s="48" t="str">
        <f t="shared" si="36"/>
        <v/>
      </c>
      <c r="F297" s="48" t="e">
        <f t="shared" si="37"/>
        <v>#VALUE!</v>
      </c>
      <c r="G297" s="48" t="str">
        <f t="shared" si="41"/>
        <v/>
      </c>
      <c r="H297" s="19">
        <f t="shared" si="35"/>
        <v>0</v>
      </c>
      <c r="I297" s="19">
        <f t="shared" si="38"/>
        <v>0</v>
      </c>
      <c r="J297" s="4"/>
    </row>
    <row r="298" spans="1:10" ht="14.25">
      <c r="A298" s="46" t="str">
        <f t="shared" si="39"/>
        <v/>
      </c>
      <c r="B298" s="47" t="str">
        <f t="shared" si="40"/>
        <v/>
      </c>
      <c r="C298" s="48" t="str">
        <f t="shared" si="42"/>
        <v/>
      </c>
      <c r="D298" s="48" t="str">
        <f>IF(ISERROR(PMT(Maandelijkse_rente_percentage,(Loan_Years*12)-Pay_Num+1,Beg_Bal)),"",IF(Values_Entered,-PMT(Maandelijkse_rente_percentage,(Loan_Years*12)-Pay_Num+1,Beg_Bal),""))</f>
        <v/>
      </c>
      <c r="E298" s="48" t="str">
        <f t="shared" si="36"/>
        <v/>
      </c>
      <c r="F298" s="48" t="e">
        <f t="shared" si="37"/>
        <v>#VALUE!</v>
      </c>
      <c r="G298" s="48" t="str">
        <f t="shared" si="41"/>
        <v/>
      </c>
      <c r="H298" s="19">
        <f t="shared" si="35"/>
        <v>0</v>
      </c>
      <c r="I298" s="19">
        <f t="shared" si="38"/>
        <v>0</v>
      </c>
      <c r="J298" s="4"/>
    </row>
    <row r="299" spans="1:10" ht="14.25">
      <c r="A299" s="46" t="str">
        <f t="shared" si="39"/>
        <v/>
      </c>
      <c r="B299" s="47" t="str">
        <f t="shared" si="40"/>
        <v/>
      </c>
      <c r="C299" s="48" t="str">
        <f t="shared" si="42"/>
        <v/>
      </c>
      <c r="D299" s="48" t="str">
        <f>IF(ISERROR(PMT(Maandelijkse_rente_percentage,(Loan_Years*12)-Pay_Num+1,Beg_Bal)),"",IF(Values_Entered,-PMT(Maandelijkse_rente_percentage,(Loan_Years*12)-Pay_Num+1,Beg_Bal),""))</f>
        <v/>
      </c>
      <c r="E299" s="48" t="str">
        <f t="shared" si="36"/>
        <v/>
      </c>
      <c r="F299" s="48" t="e">
        <f t="shared" si="37"/>
        <v>#VALUE!</v>
      </c>
      <c r="G299" s="48" t="str">
        <f t="shared" si="41"/>
        <v/>
      </c>
      <c r="H299" s="19">
        <f t="shared" si="35"/>
        <v>0</v>
      </c>
      <c r="I299" s="19">
        <f t="shared" si="38"/>
        <v>0</v>
      </c>
      <c r="J299" s="4"/>
    </row>
    <row r="300" spans="1:10" ht="14.25">
      <c r="A300" s="46" t="str">
        <f t="shared" si="39"/>
        <v/>
      </c>
      <c r="B300" s="47" t="str">
        <f t="shared" si="40"/>
        <v/>
      </c>
      <c r="C300" s="48" t="str">
        <f t="shared" si="42"/>
        <v/>
      </c>
      <c r="D300" s="48" t="str">
        <f>IF(ISERROR(PMT(Maandelijkse_rente_percentage,(Loan_Years*12)-Pay_Num+1,Beg_Bal)),"",IF(Values_Entered,-PMT(Maandelijkse_rente_percentage,(Loan_Years*12)-Pay_Num+1,Beg_Bal),""))</f>
        <v/>
      </c>
      <c r="E300" s="48" t="str">
        <f t="shared" si="36"/>
        <v/>
      </c>
      <c r="F300" s="48" t="e">
        <f t="shared" si="37"/>
        <v>#VALUE!</v>
      </c>
      <c r="G300" s="48" t="str">
        <f t="shared" si="41"/>
        <v/>
      </c>
      <c r="H300" s="19">
        <f t="shared" si="35"/>
        <v>0</v>
      </c>
      <c r="I300" s="19">
        <f t="shared" si="38"/>
        <v>0</v>
      </c>
      <c r="J300" s="4"/>
    </row>
    <row r="301" spans="1:10" ht="14.25">
      <c r="A301" s="46" t="str">
        <f t="shared" si="39"/>
        <v/>
      </c>
      <c r="B301" s="47" t="str">
        <f t="shared" si="40"/>
        <v/>
      </c>
      <c r="C301" s="48" t="str">
        <f t="shared" si="42"/>
        <v/>
      </c>
      <c r="D301" s="48" t="str">
        <f>IF(ISERROR(PMT(Maandelijkse_rente_percentage,(Loan_Years*12)-Pay_Num+1,Beg_Bal)),"",IF(Values_Entered,-PMT(Maandelijkse_rente_percentage,(Loan_Years*12)-Pay_Num+1,Beg_Bal),""))</f>
        <v/>
      </c>
      <c r="E301" s="48" t="str">
        <f t="shared" si="36"/>
        <v/>
      </c>
      <c r="F301" s="48" t="e">
        <f t="shared" si="37"/>
        <v>#VALUE!</v>
      </c>
      <c r="G301" s="48" t="str">
        <f t="shared" si="41"/>
        <v/>
      </c>
      <c r="H301" s="19">
        <f t="shared" si="35"/>
        <v>0</v>
      </c>
      <c r="I301" s="19">
        <f t="shared" si="38"/>
        <v>0</v>
      </c>
      <c r="J301" s="4"/>
    </row>
    <row r="302" spans="1:10" ht="14.25">
      <c r="A302" s="46" t="str">
        <f t="shared" si="39"/>
        <v/>
      </c>
      <c r="B302" s="47" t="str">
        <f t="shared" si="40"/>
        <v/>
      </c>
      <c r="C302" s="48" t="str">
        <f t="shared" si="42"/>
        <v/>
      </c>
      <c r="D302" s="48" t="str">
        <f>IF(ISERROR(PMT(Maandelijkse_rente_percentage,(Loan_Years*12)-Pay_Num+1,Beg_Bal)),"",IF(Values_Entered,-PMT(Maandelijkse_rente_percentage,(Loan_Years*12)-Pay_Num+1,Beg_Bal),""))</f>
        <v/>
      </c>
      <c r="E302" s="48" t="str">
        <f t="shared" si="36"/>
        <v/>
      </c>
      <c r="F302" s="48" t="e">
        <f t="shared" si="37"/>
        <v>#VALUE!</v>
      </c>
      <c r="G302" s="48" t="str">
        <f t="shared" si="41"/>
        <v/>
      </c>
      <c r="H302" s="19">
        <f t="shared" si="35"/>
        <v>0</v>
      </c>
      <c r="I302" s="19">
        <f t="shared" si="38"/>
        <v>0</v>
      </c>
      <c r="J302" s="4"/>
    </row>
    <row r="303" spans="1:10" ht="14.25">
      <c r="A303" s="46" t="str">
        <f t="shared" si="39"/>
        <v/>
      </c>
      <c r="B303" s="47" t="str">
        <f t="shared" si="40"/>
        <v/>
      </c>
      <c r="C303" s="48" t="str">
        <f t="shared" si="42"/>
        <v/>
      </c>
      <c r="D303" s="48" t="str">
        <f>IF(ISERROR(PMT(Maandelijkse_rente_percentage,(Loan_Years*12)-Pay_Num+1,Beg_Bal)),"",IF(Values_Entered,-PMT(Maandelijkse_rente_percentage,(Loan_Years*12)-Pay_Num+1,Beg_Bal),""))</f>
        <v/>
      </c>
      <c r="E303" s="48" t="str">
        <f t="shared" si="36"/>
        <v/>
      </c>
      <c r="F303" s="48" t="e">
        <f t="shared" si="37"/>
        <v>#VALUE!</v>
      </c>
      <c r="G303" s="48" t="str">
        <f t="shared" si="41"/>
        <v/>
      </c>
      <c r="H303" s="19">
        <f t="shared" si="35"/>
        <v>0</v>
      </c>
      <c r="I303" s="19">
        <f t="shared" si="38"/>
        <v>0</v>
      </c>
      <c r="J303" s="4"/>
    </row>
    <row r="304" spans="1:10" ht="14.25">
      <c r="A304" s="46" t="str">
        <f t="shared" si="39"/>
        <v/>
      </c>
      <c r="B304" s="47" t="str">
        <f t="shared" si="40"/>
        <v/>
      </c>
      <c r="C304" s="48" t="str">
        <f t="shared" si="42"/>
        <v/>
      </c>
      <c r="D304" s="48" t="str">
        <f>IF(ISERROR(PMT(Maandelijkse_rente_percentage,(Loan_Years*12)-Pay_Num+1,Beg_Bal)),"",IF(Values_Entered,-PMT(Maandelijkse_rente_percentage,(Loan_Years*12)-Pay_Num+1,Beg_Bal),""))</f>
        <v/>
      </c>
      <c r="E304" s="48" t="str">
        <f t="shared" si="36"/>
        <v/>
      </c>
      <c r="F304" s="48" t="e">
        <f t="shared" si="37"/>
        <v>#VALUE!</v>
      </c>
      <c r="G304" s="48" t="str">
        <f t="shared" si="41"/>
        <v/>
      </c>
      <c r="H304" s="19">
        <f t="shared" si="35"/>
        <v>0</v>
      </c>
      <c r="I304" s="19">
        <f t="shared" si="38"/>
        <v>0</v>
      </c>
      <c r="J304" s="4"/>
    </row>
    <row r="305" spans="1:10" ht="14.25">
      <c r="A305" s="46" t="str">
        <f t="shared" si="39"/>
        <v/>
      </c>
      <c r="B305" s="47" t="str">
        <f t="shared" si="40"/>
        <v/>
      </c>
      <c r="C305" s="48" t="str">
        <f t="shared" si="42"/>
        <v/>
      </c>
      <c r="D305" s="48" t="str">
        <f>IF(ISERROR(PMT(Maandelijkse_rente_percentage,(Loan_Years*12)-Pay_Num+1,Beg_Bal)),"",IF(Values_Entered,-PMT(Maandelijkse_rente_percentage,(Loan_Years*12)-Pay_Num+1,Beg_Bal),""))</f>
        <v/>
      </c>
      <c r="E305" s="48" t="str">
        <f t="shared" si="36"/>
        <v/>
      </c>
      <c r="F305" s="48" t="e">
        <f t="shared" si="37"/>
        <v>#VALUE!</v>
      </c>
      <c r="G305" s="48" t="str">
        <f t="shared" si="41"/>
        <v/>
      </c>
      <c r="H305" s="19">
        <f t="shared" si="35"/>
        <v>0</v>
      </c>
      <c r="I305" s="19">
        <f t="shared" si="38"/>
        <v>0</v>
      </c>
      <c r="J305" s="4"/>
    </row>
    <row r="306" spans="1:10" ht="14.25">
      <c r="A306" s="46" t="str">
        <f t="shared" si="39"/>
        <v/>
      </c>
      <c r="B306" s="47" t="str">
        <f t="shared" si="40"/>
        <v/>
      </c>
      <c r="C306" s="48" t="str">
        <f t="shared" si="42"/>
        <v/>
      </c>
      <c r="D306" s="48" t="str">
        <f>IF(ISERROR(PMT(Maandelijkse_rente_percentage,(Loan_Years*12)-Pay_Num+1,Beg_Bal)),"",IF(Values_Entered,-PMT(Maandelijkse_rente_percentage,(Loan_Years*12)-Pay_Num+1,Beg_Bal),""))</f>
        <v/>
      </c>
      <c r="E306" s="48" t="str">
        <f t="shared" si="36"/>
        <v/>
      </c>
      <c r="F306" s="48" t="e">
        <f t="shared" si="37"/>
        <v>#VALUE!</v>
      </c>
      <c r="G306" s="48" t="str">
        <f t="shared" si="41"/>
        <v/>
      </c>
      <c r="H306" s="19">
        <f t="shared" si="35"/>
        <v>0</v>
      </c>
      <c r="I306" s="19">
        <f t="shared" si="38"/>
        <v>0</v>
      </c>
      <c r="J306" s="4"/>
    </row>
    <row r="307" spans="1:10" ht="14.25">
      <c r="A307" s="46" t="str">
        <f t="shared" si="39"/>
        <v/>
      </c>
      <c r="B307" s="47" t="str">
        <f t="shared" si="40"/>
        <v/>
      </c>
      <c r="C307" s="48" t="str">
        <f t="shared" si="42"/>
        <v/>
      </c>
      <c r="D307" s="48" t="str">
        <f>IF(ISERROR(PMT(Maandelijkse_rente_percentage,(Loan_Years*12)-Pay_Num+1,Beg_Bal)),"",IF(Values_Entered,-PMT(Maandelijkse_rente_percentage,(Loan_Years*12)-Pay_Num+1,Beg_Bal),""))</f>
        <v/>
      </c>
      <c r="E307" s="48" t="str">
        <f t="shared" si="36"/>
        <v/>
      </c>
      <c r="F307" s="48" t="e">
        <f t="shared" si="37"/>
        <v>#VALUE!</v>
      </c>
      <c r="G307" s="48" t="str">
        <f t="shared" si="41"/>
        <v/>
      </c>
      <c r="H307" s="19">
        <f>N12</f>
        <v>0</v>
      </c>
      <c r="I307" s="19">
        <f t="shared" si="38"/>
        <v>0</v>
      </c>
      <c r="J307" s="4"/>
    </row>
    <row r="308" spans="1:10" ht="14.25">
      <c r="A308" s="46" t="str">
        <f t="shared" si="39"/>
        <v/>
      </c>
      <c r="B308" s="47" t="str">
        <f t="shared" si="40"/>
        <v/>
      </c>
      <c r="C308" s="48" t="str">
        <f t="shared" si="42"/>
        <v/>
      </c>
      <c r="D308" s="48" t="str">
        <f>IF(ISERROR(PMT(Maandelijkse_rente_percentage,(Loan_Years*12)-Pay_Num+1,Beg_Bal)),"",IF(Values_Entered,-PMT(Maandelijkse_rente_percentage,(Loan_Years*12)-Pay_Num+1,Beg_Bal),""))</f>
        <v/>
      </c>
      <c r="E308" s="48" t="str">
        <f t="shared" si="36"/>
        <v/>
      </c>
      <c r="F308" s="48" t="e">
        <f t="shared" si="37"/>
        <v>#VALUE!</v>
      </c>
      <c r="G308" s="48" t="str">
        <f t="shared" si="41"/>
        <v/>
      </c>
      <c r="H308" s="19">
        <f t="shared" si="35"/>
        <v>0</v>
      </c>
      <c r="I308" s="19">
        <f t="shared" si="38"/>
        <v>0</v>
      </c>
      <c r="J308" s="4"/>
    </row>
    <row r="309" spans="1:10" ht="14.25">
      <c r="A309" s="46" t="str">
        <f t="shared" si="39"/>
        <v/>
      </c>
      <c r="B309" s="47" t="str">
        <f t="shared" si="40"/>
        <v/>
      </c>
      <c r="C309" s="48" t="str">
        <f t="shared" si="42"/>
        <v/>
      </c>
      <c r="D309" s="48" t="str">
        <f>IF(ISERROR(PMT(Maandelijkse_rente_percentage,(Loan_Years*12)-Pay_Num+1,Beg_Bal)),"",IF(Values_Entered,-PMT(Maandelijkse_rente_percentage,(Loan_Years*12)-Pay_Num+1,Beg_Bal),""))</f>
        <v/>
      </c>
      <c r="E309" s="48" t="str">
        <f t="shared" si="36"/>
        <v/>
      </c>
      <c r="F309" s="48" t="e">
        <f t="shared" si="37"/>
        <v>#VALUE!</v>
      </c>
      <c r="G309" s="48" t="str">
        <f t="shared" si="41"/>
        <v/>
      </c>
      <c r="H309" s="19">
        <f t="shared" si="35"/>
        <v>0</v>
      </c>
      <c r="I309" s="19">
        <f t="shared" si="38"/>
        <v>0</v>
      </c>
      <c r="J309" s="4"/>
    </row>
    <row r="310" spans="1:10" ht="14.25">
      <c r="A310" s="46" t="str">
        <f t="shared" si="39"/>
        <v/>
      </c>
      <c r="B310" s="47" t="str">
        <f t="shared" si="40"/>
        <v/>
      </c>
      <c r="C310" s="48" t="str">
        <f t="shared" si="42"/>
        <v/>
      </c>
      <c r="D310" s="48" t="str">
        <f>IF(ISERROR(PMT(Maandelijkse_rente_percentage,(Loan_Years*12)-Pay_Num+1,Beg_Bal)),"",IF(Values_Entered,-PMT(Maandelijkse_rente_percentage,(Loan_Years*12)-Pay_Num+1,Beg_Bal),""))</f>
        <v/>
      </c>
      <c r="E310" s="48" t="str">
        <f t="shared" si="36"/>
        <v/>
      </c>
      <c r="F310" s="48" t="e">
        <f t="shared" si="37"/>
        <v>#VALUE!</v>
      </c>
      <c r="G310" s="48" t="str">
        <f t="shared" si="41"/>
        <v/>
      </c>
      <c r="H310" s="19">
        <f t="shared" si="35"/>
        <v>0</v>
      </c>
      <c r="I310" s="19">
        <f t="shared" si="38"/>
        <v>0</v>
      </c>
      <c r="J310" s="4"/>
    </row>
    <row r="311" spans="1:10" ht="14.25">
      <c r="A311" s="46" t="str">
        <f t="shared" si="39"/>
        <v/>
      </c>
      <c r="B311" s="47" t="str">
        <f t="shared" si="40"/>
        <v/>
      </c>
      <c r="C311" s="48" t="str">
        <f t="shared" si="42"/>
        <v/>
      </c>
      <c r="D311" s="48" t="str">
        <f>IF(ISERROR(PMT(Maandelijkse_rente_percentage,(Loan_Years*12)-Pay_Num+1,Beg_Bal)),"",IF(Values_Entered,-PMT(Maandelijkse_rente_percentage,(Loan_Years*12)-Pay_Num+1,Beg_Bal),""))</f>
        <v/>
      </c>
      <c r="E311" s="48" t="str">
        <f t="shared" si="36"/>
        <v/>
      </c>
      <c r="F311" s="48" t="e">
        <f t="shared" si="37"/>
        <v>#VALUE!</v>
      </c>
      <c r="G311" s="48" t="str">
        <f t="shared" si="41"/>
        <v/>
      </c>
      <c r="H311" s="19">
        <f t="shared" si="35"/>
        <v>0</v>
      </c>
      <c r="I311" s="19">
        <f t="shared" si="38"/>
        <v>0</v>
      </c>
      <c r="J311" s="4"/>
    </row>
    <row r="312" spans="1:10" ht="14.25">
      <c r="A312" s="46" t="str">
        <f t="shared" si="39"/>
        <v/>
      </c>
      <c r="B312" s="47" t="str">
        <f t="shared" si="40"/>
        <v/>
      </c>
      <c r="C312" s="48" t="str">
        <f t="shared" si="42"/>
        <v/>
      </c>
      <c r="D312" s="48" t="str">
        <f>IF(ISERROR(PMT(Maandelijkse_rente_percentage,(Loan_Years*12)-Pay_Num+1,Beg_Bal)),"",IF(Values_Entered,-PMT(Maandelijkse_rente_percentage,(Loan_Years*12)-Pay_Num+1,Beg_Bal),""))</f>
        <v/>
      </c>
      <c r="E312" s="48" t="str">
        <f t="shared" si="36"/>
        <v/>
      </c>
      <c r="F312" s="48" t="e">
        <f t="shared" si="37"/>
        <v>#VALUE!</v>
      </c>
      <c r="G312" s="48" t="str">
        <f t="shared" si="41"/>
        <v/>
      </c>
      <c r="H312" s="19">
        <f t="shared" si="35"/>
        <v>0</v>
      </c>
      <c r="I312" s="19">
        <f t="shared" si="38"/>
        <v>0</v>
      </c>
      <c r="J312" s="4"/>
    </row>
    <row r="313" spans="1:10" ht="14.25">
      <c r="A313" s="46" t="str">
        <f t="shared" si="39"/>
        <v/>
      </c>
      <c r="B313" s="47" t="str">
        <f t="shared" si="40"/>
        <v/>
      </c>
      <c r="C313" s="48" t="str">
        <f t="shared" si="42"/>
        <v/>
      </c>
      <c r="D313" s="48" t="str">
        <f>IF(ISERROR(PMT(Maandelijkse_rente_percentage,(Loan_Years*12)-Pay_Num+1,Beg_Bal)),"",IF(Values_Entered,-PMT(Maandelijkse_rente_percentage,(Loan_Years*12)-Pay_Num+1,Beg_Bal),""))</f>
        <v/>
      </c>
      <c r="E313" s="48" t="str">
        <f t="shared" si="36"/>
        <v/>
      </c>
      <c r="F313" s="48" t="e">
        <f t="shared" si="37"/>
        <v>#VALUE!</v>
      </c>
      <c r="G313" s="48" t="str">
        <f t="shared" si="41"/>
        <v/>
      </c>
      <c r="H313" s="19">
        <f t="shared" si="35"/>
        <v>0</v>
      </c>
      <c r="I313" s="19">
        <f t="shared" si="38"/>
        <v>0</v>
      </c>
      <c r="J313" s="4"/>
    </row>
    <row r="314" spans="1:10" ht="14.25">
      <c r="A314" s="46" t="str">
        <f t="shared" si="39"/>
        <v/>
      </c>
      <c r="B314" s="47" t="str">
        <f t="shared" si="40"/>
        <v/>
      </c>
      <c r="C314" s="48" t="str">
        <f t="shared" si="42"/>
        <v/>
      </c>
      <c r="D314" s="48" t="str">
        <f>IF(ISERROR(PMT(Maandelijkse_rente_percentage,(Loan_Years*12)-Pay_Num+1,Beg_Bal)),"",IF(Values_Entered,-PMT(Maandelijkse_rente_percentage,(Loan_Years*12)-Pay_Num+1,Beg_Bal),""))</f>
        <v/>
      </c>
      <c r="E314" s="48" t="str">
        <f t="shared" si="36"/>
        <v/>
      </c>
      <c r="F314" s="48" t="e">
        <f t="shared" si="37"/>
        <v>#VALUE!</v>
      </c>
      <c r="G314" s="48" t="str">
        <f t="shared" si="41"/>
        <v/>
      </c>
      <c r="H314" s="19">
        <f t="shared" si="35"/>
        <v>0</v>
      </c>
      <c r="I314" s="19">
        <f t="shared" si="38"/>
        <v>0</v>
      </c>
      <c r="J314" s="4"/>
    </row>
    <row r="315" spans="1:10" ht="14.25">
      <c r="A315" s="46" t="str">
        <f t="shared" si="39"/>
        <v/>
      </c>
      <c r="B315" s="47" t="str">
        <f t="shared" si="40"/>
        <v/>
      </c>
      <c r="C315" s="48" t="str">
        <f t="shared" si="42"/>
        <v/>
      </c>
      <c r="D315" s="48" t="str">
        <f>IF(ISERROR(PMT(Maandelijkse_rente_percentage,(Loan_Years*12)-Pay_Num+1,Beg_Bal)),"",IF(Values_Entered,-PMT(Maandelijkse_rente_percentage,(Loan_Years*12)-Pay_Num+1,Beg_Bal),""))</f>
        <v/>
      </c>
      <c r="E315" s="48" t="str">
        <f t="shared" si="36"/>
        <v/>
      </c>
      <c r="F315" s="48" t="e">
        <f t="shared" si="37"/>
        <v>#VALUE!</v>
      </c>
      <c r="G315" s="48" t="str">
        <f t="shared" si="41"/>
        <v/>
      </c>
      <c r="H315" s="19">
        <f t="shared" si="35"/>
        <v>0</v>
      </c>
      <c r="I315" s="19">
        <f t="shared" si="38"/>
        <v>0</v>
      </c>
      <c r="J315" s="4"/>
    </row>
    <row r="316" spans="1:10" ht="14.25">
      <c r="A316" s="46" t="str">
        <f t="shared" si="39"/>
        <v/>
      </c>
      <c r="B316" s="47" t="str">
        <f t="shared" si="40"/>
        <v/>
      </c>
      <c r="C316" s="48" t="str">
        <f t="shared" si="42"/>
        <v/>
      </c>
      <c r="D316" s="48" t="str">
        <f>IF(ISERROR(PMT(Maandelijkse_rente_percentage,(Loan_Years*12)-Pay_Num+1,Beg_Bal)),"",IF(Values_Entered,-PMT(Maandelijkse_rente_percentage,(Loan_Years*12)-Pay_Num+1,Beg_Bal),""))</f>
        <v/>
      </c>
      <c r="E316" s="48" t="str">
        <f t="shared" si="36"/>
        <v/>
      </c>
      <c r="F316" s="48" t="e">
        <f t="shared" si="37"/>
        <v>#VALUE!</v>
      </c>
      <c r="G316" s="48" t="str">
        <f t="shared" si="41"/>
        <v/>
      </c>
      <c r="H316" s="19">
        <f t="shared" si="35"/>
        <v>0</v>
      </c>
      <c r="I316" s="19">
        <f t="shared" si="38"/>
        <v>0</v>
      </c>
      <c r="J316" s="4"/>
    </row>
    <row r="317" spans="1:10" ht="14.25">
      <c r="A317" s="46" t="str">
        <f t="shared" si="39"/>
        <v/>
      </c>
      <c r="B317" s="47" t="str">
        <f t="shared" si="40"/>
        <v/>
      </c>
      <c r="C317" s="48" t="str">
        <f t="shared" si="42"/>
        <v/>
      </c>
      <c r="D317" s="48" t="str">
        <f>IF(ISERROR(PMT(Maandelijkse_rente_percentage,(Loan_Years*12)-Pay_Num+1,Beg_Bal)),"",IF(Values_Entered,-PMT(Maandelijkse_rente_percentage,(Loan_Years*12)-Pay_Num+1,Beg_Bal),""))</f>
        <v/>
      </c>
      <c r="E317" s="48" t="str">
        <f t="shared" si="36"/>
        <v/>
      </c>
      <c r="F317" s="48" t="e">
        <f t="shared" si="37"/>
        <v>#VALUE!</v>
      </c>
      <c r="G317" s="48" t="str">
        <f t="shared" si="41"/>
        <v/>
      </c>
      <c r="H317" s="19">
        <f t="shared" si="35"/>
        <v>0</v>
      </c>
      <c r="I317" s="19">
        <f t="shared" si="38"/>
        <v>0</v>
      </c>
      <c r="J317" s="4"/>
    </row>
    <row r="318" spans="1:10" ht="14.25">
      <c r="A318" s="46" t="str">
        <f t="shared" si="39"/>
        <v/>
      </c>
      <c r="B318" s="47" t="str">
        <f t="shared" si="40"/>
        <v/>
      </c>
      <c r="C318" s="48" t="str">
        <f t="shared" si="42"/>
        <v/>
      </c>
      <c r="D318" s="48" t="str">
        <f>IF(ISERROR(PMT(Maandelijkse_rente_percentage,(Loan_Years*12)-Pay_Num+1,Beg_Bal)),"",IF(Values_Entered,-PMT(Maandelijkse_rente_percentage,(Loan_Years*12)-Pay_Num+1,Beg_Bal),""))</f>
        <v/>
      </c>
      <c r="E318" s="48" t="str">
        <f t="shared" si="36"/>
        <v/>
      </c>
      <c r="F318" s="48" t="e">
        <f t="shared" si="37"/>
        <v>#VALUE!</v>
      </c>
      <c r="G318" s="48" t="str">
        <f t="shared" si="41"/>
        <v/>
      </c>
      <c r="H318" s="19">
        <f t="shared" si="35"/>
        <v>0</v>
      </c>
      <c r="I318" s="19">
        <f t="shared" si="38"/>
        <v>0</v>
      </c>
      <c r="J318" s="4"/>
    </row>
    <row r="319" spans="1:10" ht="14.25">
      <c r="A319" s="46" t="str">
        <f t="shared" si="39"/>
        <v/>
      </c>
      <c r="B319" s="47" t="str">
        <f t="shared" si="40"/>
        <v/>
      </c>
      <c r="C319" s="48" t="str">
        <f t="shared" si="42"/>
        <v/>
      </c>
      <c r="D319" s="48" t="str">
        <f>IF(ISERROR(PMT(Maandelijkse_rente_percentage,(Loan_Years*12)-Pay_Num+1,Beg_Bal)),"",IF(Values_Entered,-PMT(Maandelijkse_rente_percentage,(Loan_Years*12)-Pay_Num+1,Beg_Bal),""))</f>
        <v/>
      </c>
      <c r="E319" s="48" t="str">
        <f t="shared" si="36"/>
        <v/>
      </c>
      <c r="F319" s="48" t="e">
        <f t="shared" si="37"/>
        <v>#VALUE!</v>
      </c>
      <c r="G319" s="48" t="str">
        <f t="shared" si="41"/>
        <v/>
      </c>
      <c r="H319" s="19">
        <f>N13</f>
        <v>0</v>
      </c>
      <c r="I319" s="19">
        <f t="shared" si="38"/>
        <v>0</v>
      </c>
      <c r="J319" s="4"/>
    </row>
    <row r="320" spans="1:10" ht="14.25">
      <c r="A320" s="46" t="str">
        <f t="shared" si="39"/>
        <v/>
      </c>
      <c r="B320" s="47" t="str">
        <f t="shared" si="40"/>
        <v/>
      </c>
      <c r="C320" s="48" t="str">
        <f t="shared" si="42"/>
        <v/>
      </c>
      <c r="D320" s="48" t="str">
        <f>IF(ISERROR(PMT(Maandelijkse_rente_percentage,(Loan_Years*12)-Pay_Num+1,Beg_Bal)),"",IF(Values_Entered,-PMT(Maandelijkse_rente_percentage,(Loan_Years*12)-Pay_Num+1,Beg_Bal),""))</f>
        <v/>
      </c>
      <c r="E320" s="48" t="str">
        <f t="shared" si="36"/>
        <v/>
      </c>
      <c r="F320" s="48" t="e">
        <f t="shared" si="37"/>
        <v>#VALUE!</v>
      </c>
      <c r="G320" s="48" t="str">
        <f t="shared" si="41"/>
        <v/>
      </c>
      <c r="H320" s="19">
        <f t="shared" si="35"/>
        <v>0</v>
      </c>
      <c r="I320" s="19">
        <f t="shared" si="38"/>
        <v>0</v>
      </c>
      <c r="J320" s="4"/>
    </row>
    <row r="321" spans="1:10" ht="14.25">
      <c r="A321" s="46" t="str">
        <f t="shared" si="39"/>
        <v/>
      </c>
      <c r="B321" s="47" t="str">
        <f t="shared" si="40"/>
        <v/>
      </c>
      <c r="C321" s="48" t="str">
        <f t="shared" si="42"/>
        <v/>
      </c>
      <c r="D321" s="48" t="str">
        <f>IF(ISERROR(PMT(Maandelijkse_rente_percentage,(Loan_Years*12)-Pay_Num+1,Beg_Bal)),"",IF(Values_Entered,-PMT(Maandelijkse_rente_percentage,(Loan_Years*12)-Pay_Num+1,Beg_Bal),""))</f>
        <v/>
      </c>
      <c r="E321" s="48" t="str">
        <f t="shared" si="36"/>
        <v/>
      </c>
      <c r="F321" s="48" t="e">
        <f t="shared" si="37"/>
        <v>#VALUE!</v>
      </c>
      <c r="G321" s="48" t="str">
        <f t="shared" si="41"/>
        <v/>
      </c>
      <c r="H321" s="19">
        <f t="shared" si="35"/>
        <v>0</v>
      </c>
      <c r="I321" s="19">
        <f t="shared" si="38"/>
        <v>0</v>
      </c>
      <c r="J321" s="4"/>
    </row>
    <row r="322" spans="1:10" ht="14.25">
      <c r="A322" s="46" t="str">
        <f t="shared" si="39"/>
        <v/>
      </c>
      <c r="B322" s="47" t="str">
        <f t="shared" si="40"/>
        <v/>
      </c>
      <c r="C322" s="48" t="str">
        <f t="shared" si="42"/>
        <v/>
      </c>
      <c r="D322" s="48" t="str">
        <f>IF(ISERROR(PMT(Maandelijkse_rente_percentage,(Loan_Years*12)-Pay_Num+1,Beg_Bal)),"",IF(Values_Entered,-PMT(Maandelijkse_rente_percentage,(Loan_Years*12)-Pay_Num+1,Beg_Bal),""))</f>
        <v/>
      </c>
      <c r="E322" s="48" t="str">
        <f t="shared" si="36"/>
        <v/>
      </c>
      <c r="F322" s="48" t="e">
        <f t="shared" si="37"/>
        <v>#VALUE!</v>
      </c>
      <c r="G322" s="48" t="str">
        <f t="shared" si="41"/>
        <v/>
      </c>
      <c r="H322" s="19">
        <f t="shared" si="35"/>
        <v>0</v>
      </c>
      <c r="I322" s="19">
        <f t="shared" si="38"/>
        <v>0</v>
      </c>
      <c r="J322" s="4"/>
    </row>
    <row r="323" spans="1:10" ht="14.25">
      <c r="A323" s="46" t="str">
        <f t="shared" si="39"/>
        <v/>
      </c>
      <c r="B323" s="47" t="str">
        <f t="shared" si="40"/>
        <v/>
      </c>
      <c r="C323" s="48" t="str">
        <f t="shared" si="42"/>
        <v/>
      </c>
      <c r="D323" s="48" t="str">
        <f>IF(ISERROR(PMT(Maandelijkse_rente_percentage,(Loan_Years*12)-Pay_Num+1,Beg_Bal)),"",IF(Values_Entered,-PMT(Maandelijkse_rente_percentage,(Loan_Years*12)-Pay_Num+1,Beg_Bal),""))</f>
        <v/>
      </c>
      <c r="E323" s="48" t="str">
        <f t="shared" si="36"/>
        <v/>
      </c>
      <c r="F323" s="48" t="e">
        <f t="shared" si="37"/>
        <v>#VALUE!</v>
      </c>
      <c r="G323" s="48" t="str">
        <f t="shared" si="41"/>
        <v/>
      </c>
      <c r="H323" s="19">
        <f t="shared" si="35"/>
        <v>0</v>
      </c>
      <c r="I323" s="19">
        <f t="shared" si="38"/>
        <v>0</v>
      </c>
      <c r="J323" s="4"/>
    </row>
    <row r="324" spans="1:10" ht="14.25">
      <c r="A324" s="46" t="str">
        <f t="shared" si="39"/>
        <v/>
      </c>
      <c r="B324" s="47" t="str">
        <f t="shared" si="40"/>
        <v/>
      </c>
      <c r="C324" s="48" t="str">
        <f t="shared" si="42"/>
        <v/>
      </c>
      <c r="D324" s="48" t="str">
        <f>IF(ISERROR(PMT(Maandelijkse_rente_percentage,(Loan_Years*12)-Pay_Num+1,Beg_Bal)),"",IF(Values_Entered,-PMT(Maandelijkse_rente_percentage,(Loan_Years*12)-Pay_Num+1,Beg_Bal),""))</f>
        <v/>
      </c>
      <c r="E324" s="48" t="str">
        <f t="shared" si="36"/>
        <v/>
      </c>
      <c r="F324" s="48" t="e">
        <f t="shared" si="37"/>
        <v>#VALUE!</v>
      </c>
      <c r="G324" s="48" t="str">
        <f t="shared" si="41"/>
        <v/>
      </c>
      <c r="H324" s="19">
        <f t="shared" si="35"/>
        <v>0</v>
      </c>
      <c r="I324" s="19">
        <f t="shared" si="38"/>
        <v>0</v>
      </c>
      <c r="J324" s="4"/>
    </row>
    <row r="325" spans="1:10" ht="14.25">
      <c r="A325" s="46" t="str">
        <f t="shared" si="39"/>
        <v/>
      </c>
      <c r="B325" s="47" t="str">
        <f t="shared" si="40"/>
        <v/>
      </c>
      <c r="C325" s="48" t="str">
        <f t="shared" si="42"/>
        <v/>
      </c>
      <c r="D325" s="48" t="str">
        <f>IF(ISERROR(PMT(Maandelijkse_rente_percentage,(Loan_Years*12)-Pay_Num+1,Beg_Bal)),"",IF(Values_Entered,-PMT(Maandelijkse_rente_percentage,(Loan_Years*12)-Pay_Num+1,Beg_Bal),""))</f>
        <v/>
      </c>
      <c r="E325" s="48" t="str">
        <f t="shared" si="36"/>
        <v/>
      </c>
      <c r="F325" s="48" t="e">
        <f t="shared" si="37"/>
        <v>#VALUE!</v>
      </c>
      <c r="G325" s="48" t="str">
        <f t="shared" si="41"/>
        <v/>
      </c>
      <c r="H325" s="19">
        <f t="shared" si="35"/>
        <v>0</v>
      </c>
      <c r="I325" s="19">
        <f t="shared" si="38"/>
        <v>0</v>
      </c>
      <c r="J325" s="4"/>
    </row>
    <row r="326" spans="1:10" ht="14.25">
      <c r="A326" s="46" t="str">
        <f t="shared" si="39"/>
        <v/>
      </c>
      <c r="B326" s="47" t="str">
        <f t="shared" si="40"/>
        <v/>
      </c>
      <c r="C326" s="48" t="str">
        <f t="shared" si="42"/>
        <v/>
      </c>
      <c r="D326" s="48" t="str">
        <f>IF(ISERROR(PMT(Maandelijkse_rente_percentage,(Loan_Years*12)-Pay_Num+1,Beg_Bal)),"",IF(Values_Entered,-PMT(Maandelijkse_rente_percentage,(Loan_Years*12)-Pay_Num+1,Beg_Bal),""))</f>
        <v/>
      </c>
      <c r="E326" s="48" t="str">
        <f t="shared" si="36"/>
        <v/>
      </c>
      <c r="F326" s="48" t="e">
        <f t="shared" si="37"/>
        <v>#VALUE!</v>
      </c>
      <c r="G326" s="48" t="str">
        <f t="shared" si="41"/>
        <v/>
      </c>
      <c r="H326" s="19">
        <f t="shared" si="35"/>
        <v>0</v>
      </c>
      <c r="I326" s="19">
        <f t="shared" si="38"/>
        <v>0</v>
      </c>
      <c r="J326" s="4"/>
    </row>
    <row r="327" spans="1:10" ht="14.25">
      <c r="A327" s="46" t="str">
        <f t="shared" si="39"/>
        <v/>
      </c>
      <c r="B327" s="47" t="str">
        <f t="shared" si="40"/>
        <v/>
      </c>
      <c r="C327" s="48" t="str">
        <f t="shared" si="42"/>
        <v/>
      </c>
      <c r="D327" s="48" t="str">
        <f>IF(ISERROR(PMT(Maandelijkse_rente_percentage,(Loan_Years*12)-Pay_Num+1,Beg_Bal)),"",IF(Values_Entered,-PMT(Maandelijkse_rente_percentage,(Loan_Years*12)-Pay_Num+1,Beg_Bal),""))</f>
        <v/>
      </c>
      <c r="E327" s="48" t="str">
        <f t="shared" si="36"/>
        <v/>
      </c>
      <c r="F327" s="48" t="e">
        <f t="shared" si="37"/>
        <v>#VALUE!</v>
      </c>
      <c r="G327" s="48" t="str">
        <f t="shared" si="41"/>
        <v/>
      </c>
      <c r="H327" s="19">
        <f t="shared" si="35"/>
        <v>0</v>
      </c>
      <c r="I327" s="19">
        <f t="shared" si="38"/>
        <v>0</v>
      </c>
      <c r="J327" s="4"/>
    </row>
    <row r="328" spans="1:10" ht="14.25">
      <c r="A328" s="46" t="str">
        <f t="shared" si="39"/>
        <v/>
      </c>
      <c r="B328" s="47" t="str">
        <f t="shared" si="40"/>
        <v/>
      </c>
      <c r="C328" s="48" t="str">
        <f t="shared" si="42"/>
        <v/>
      </c>
      <c r="D328" s="48" t="str">
        <f>IF(ISERROR(PMT(Maandelijkse_rente_percentage,(Loan_Years*12)-Pay_Num+1,Beg_Bal)),"",IF(Values_Entered,-PMT(Maandelijkse_rente_percentage,(Loan_Years*12)-Pay_Num+1,Beg_Bal),""))</f>
        <v/>
      </c>
      <c r="E328" s="48" t="str">
        <f t="shared" si="36"/>
        <v/>
      </c>
      <c r="F328" s="48" t="e">
        <f t="shared" si="37"/>
        <v>#VALUE!</v>
      </c>
      <c r="G328" s="48" t="str">
        <f t="shared" si="41"/>
        <v/>
      </c>
      <c r="H328" s="19">
        <f t="shared" si="35"/>
        <v>0</v>
      </c>
      <c r="I328" s="19">
        <f t="shared" si="38"/>
        <v>0</v>
      </c>
      <c r="J328" s="4"/>
    </row>
    <row r="329" spans="1:10" ht="14.25">
      <c r="A329" s="46" t="str">
        <f t="shared" si="39"/>
        <v/>
      </c>
      <c r="B329" s="47" t="str">
        <f t="shared" si="40"/>
        <v/>
      </c>
      <c r="C329" s="48" t="str">
        <f t="shared" si="42"/>
        <v/>
      </c>
      <c r="D329" s="48" t="str">
        <f>IF(ISERROR(PMT(Maandelijkse_rente_percentage,(Loan_Years*12)-Pay_Num+1,Beg_Bal)),"",IF(Values_Entered,-PMT(Maandelijkse_rente_percentage,(Loan_Years*12)-Pay_Num+1,Beg_Bal),""))</f>
        <v/>
      </c>
      <c r="E329" s="48" t="str">
        <f t="shared" si="36"/>
        <v/>
      </c>
      <c r="F329" s="48" t="e">
        <f t="shared" si="37"/>
        <v>#VALUE!</v>
      </c>
      <c r="G329" s="48" t="str">
        <f t="shared" si="41"/>
        <v/>
      </c>
      <c r="H329" s="19">
        <f t="shared" si="35"/>
        <v>0</v>
      </c>
      <c r="I329" s="19">
        <f t="shared" si="38"/>
        <v>0</v>
      </c>
      <c r="J329" s="4"/>
    </row>
    <row r="330" spans="1:10" ht="14.25">
      <c r="A330" s="46" t="str">
        <f t="shared" si="39"/>
        <v/>
      </c>
      <c r="B330" s="47" t="str">
        <f t="shared" si="40"/>
        <v/>
      </c>
      <c r="C330" s="48" t="str">
        <f t="shared" si="42"/>
        <v/>
      </c>
      <c r="D330" s="48" t="str">
        <f>IF(ISERROR(PMT(Maandelijkse_rente_percentage,(Loan_Years*12)-Pay_Num+1,Beg_Bal)),"",IF(Values_Entered,-PMT(Maandelijkse_rente_percentage,(Loan_Years*12)-Pay_Num+1,Beg_Bal),""))</f>
        <v/>
      </c>
      <c r="E330" s="48" t="str">
        <f t="shared" si="36"/>
        <v/>
      </c>
      <c r="F330" s="48" t="e">
        <f t="shared" si="37"/>
        <v>#VALUE!</v>
      </c>
      <c r="G330" s="48" t="str">
        <f t="shared" si="41"/>
        <v/>
      </c>
      <c r="H330" s="19">
        <f t="shared" si="35"/>
        <v>0</v>
      </c>
      <c r="I330" s="19">
        <f t="shared" si="38"/>
        <v>0</v>
      </c>
      <c r="J330" s="4"/>
    </row>
    <row r="331" spans="1:10" ht="14.25">
      <c r="A331" s="46" t="str">
        <f t="shared" si="39"/>
        <v/>
      </c>
      <c r="B331" s="47" t="str">
        <f t="shared" si="40"/>
        <v/>
      </c>
      <c r="C331" s="48" t="str">
        <f t="shared" si="42"/>
        <v/>
      </c>
      <c r="D331" s="48" t="str">
        <f>IF(ISERROR(PMT(Maandelijkse_rente_percentage,(Loan_Years*12)-Pay_Num+1,Beg_Bal)),"",IF(Values_Entered,-PMT(Maandelijkse_rente_percentage,(Loan_Years*12)-Pay_Num+1,Beg_Bal),""))</f>
        <v/>
      </c>
      <c r="E331" s="48" t="str">
        <f t="shared" si="36"/>
        <v/>
      </c>
      <c r="F331" s="48" t="e">
        <f t="shared" si="37"/>
        <v>#VALUE!</v>
      </c>
      <c r="G331" s="48" t="str">
        <f t="shared" si="41"/>
        <v/>
      </c>
      <c r="H331" s="19">
        <f>N14</f>
        <v>0</v>
      </c>
      <c r="I331" s="19">
        <f t="shared" si="38"/>
        <v>0</v>
      </c>
      <c r="J331" s="4"/>
    </row>
    <row r="332" spans="1:10" ht="14.25">
      <c r="A332" s="46" t="str">
        <f t="shared" si="39"/>
        <v/>
      </c>
      <c r="B332" s="47" t="str">
        <f t="shared" si="40"/>
        <v/>
      </c>
      <c r="C332" s="48" t="str">
        <f t="shared" si="42"/>
        <v/>
      </c>
      <c r="D332" s="48" t="str">
        <f>IF(ISERROR(PMT(Maandelijkse_rente_percentage,(Loan_Years*12)-Pay_Num+1,Beg_Bal)),"",IF(Values_Entered,-PMT(Maandelijkse_rente_percentage,(Loan_Years*12)-Pay_Num+1,Beg_Bal),""))</f>
        <v/>
      </c>
      <c r="E332" s="48" t="str">
        <f t="shared" si="36"/>
        <v/>
      </c>
      <c r="F332" s="48" t="e">
        <f t="shared" si="37"/>
        <v>#VALUE!</v>
      </c>
      <c r="G332" s="48" t="str">
        <f t="shared" si="41"/>
        <v/>
      </c>
      <c r="H332" s="19">
        <f t="shared" si="35"/>
        <v>0</v>
      </c>
      <c r="I332" s="19">
        <f t="shared" si="38"/>
        <v>0</v>
      </c>
      <c r="J332" s="4"/>
    </row>
    <row r="333" spans="1:10" ht="14.25">
      <c r="A333" s="46" t="str">
        <f t="shared" si="39"/>
        <v/>
      </c>
      <c r="B333" s="47" t="str">
        <f t="shared" si="40"/>
        <v/>
      </c>
      <c r="C333" s="48" t="str">
        <f t="shared" si="42"/>
        <v/>
      </c>
      <c r="D333" s="48" t="str">
        <f>IF(ISERROR(PMT(Maandelijkse_rente_percentage,(Loan_Years*12)-Pay_Num+1,Beg_Bal)),"",IF(Values_Entered,-PMT(Maandelijkse_rente_percentage,(Loan_Years*12)-Pay_Num+1,Beg_Bal),""))</f>
        <v/>
      </c>
      <c r="E333" s="48" t="str">
        <f t="shared" si="36"/>
        <v/>
      </c>
      <c r="F333" s="48" t="e">
        <f t="shared" si="37"/>
        <v>#VALUE!</v>
      </c>
      <c r="G333" s="48" t="str">
        <f t="shared" si="41"/>
        <v/>
      </c>
      <c r="H333" s="19">
        <f t="shared" si="35"/>
        <v>0</v>
      </c>
      <c r="I333" s="19">
        <f t="shared" si="38"/>
        <v>0</v>
      </c>
      <c r="J333" s="4"/>
    </row>
    <row r="334" spans="1:10" ht="14.25">
      <c r="A334" s="46" t="str">
        <f t="shared" si="39"/>
        <v/>
      </c>
      <c r="B334" s="47" t="str">
        <f t="shared" si="40"/>
        <v/>
      </c>
      <c r="C334" s="48" t="str">
        <f t="shared" si="42"/>
        <v/>
      </c>
      <c r="D334" s="48" t="str">
        <f>IF(ISERROR(PMT(Maandelijkse_rente_percentage,(Loan_Years*12)-Pay_Num+1,Beg_Bal)),"",IF(Values_Entered,-PMT(Maandelijkse_rente_percentage,(Loan_Years*12)-Pay_Num+1,Beg_Bal),""))</f>
        <v/>
      </c>
      <c r="E334" s="48" t="str">
        <f t="shared" si="36"/>
        <v/>
      </c>
      <c r="F334" s="48" t="e">
        <f t="shared" si="37"/>
        <v>#VALUE!</v>
      </c>
      <c r="G334" s="48" t="str">
        <f t="shared" si="41"/>
        <v/>
      </c>
      <c r="H334" s="19">
        <f t="shared" si="35"/>
        <v>0</v>
      </c>
      <c r="I334" s="19">
        <f t="shared" si="38"/>
        <v>0</v>
      </c>
      <c r="J334" s="4"/>
    </row>
    <row r="335" spans="1:10" ht="14.25">
      <c r="A335" s="46" t="str">
        <f t="shared" si="39"/>
        <v/>
      </c>
      <c r="B335" s="47" t="str">
        <f t="shared" si="40"/>
        <v/>
      </c>
      <c r="C335" s="48" t="str">
        <f t="shared" si="42"/>
        <v/>
      </c>
      <c r="D335" s="48" t="str">
        <f>IF(ISERROR(PMT(Maandelijkse_rente_percentage,(Loan_Years*12)-Pay_Num+1,Beg_Bal)),"",IF(Values_Entered,-PMT(Maandelijkse_rente_percentage,(Loan_Years*12)-Pay_Num+1,Beg_Bal),""))</f>
        <v/>
      </c>
      <c r="E335" s="48" t="str">
        <f t="shared" si="36"/>
        <v/>
      </c>
      <c r="F335" s="48" t="e">
        <f t="shared" si="37"/>
        <v>#VALUE!</v>
      </c>
      <c r="G335" s="48" t="str">
        <f t="shared" si="41"/>
        <v/>
      </c>
      <c r="H335" s="19">
        <f t="shared" si="35"/>
        <v>0</v>
      </c>
      <c r="I335" s="19">
        <f t="shared" si="38"/>
        <v>0</v>
      </c>
      <c r="J335" s="4"/>
    </row>
    <row r="336" spans="1:10" ht="14.25">
      <c r="A336" s="46" t="str">
        <f t="shared" si="39"/>
        <v/>
      </c>
      <c r="B336" s="47" t="str">
        <f t="shared" si="40"/>
        <v/>
      </c>
      <c r="C336" s="48" t="str">
        <f t="shared" si="42"/>
        <v/>
      </c>
      <c r="D336" s="48" t="str">
        <f>IF(ISERROR(PMT(Maandelijkse_rente_percentage,(Loan_Years*12)-Pay_Num+1,Beg_Bal)),"",IF(Values_Entered,-PMT(Maandelijkse_rente_percentage,(Loan_Years*12)-Pay_Num+1,Beg_Bal),""))</f>
        <v/>
      </c>
      <c r="E336" s="48" t="str">
        <f t="shared" si="36"/>
        <v/>
      </c>
      <c r="F336" s="48" t="e">
        <f t="shared" si="37"/>
        <v>#VALUE!</v>
      </c>
      <c r="G336" s="48" t="str">
        <f t="shared" si="41"/>
        <v/>
      </c>
      <c r="H336" s="19">
        <f t="shared" ref="H336:H378" si="43">H335</f>
        <v>0</v>
      </c>
      <c r="I336" s="19">
        <f t="shared" si="38"/>
        <v>0</v>
      </c>
      <c r="J336" s="4"/>
    </row>
    <row r="337" spans="1:10" ht="14.25">
      <c r="A337" s="46" t="str">
        <f t="shared" si="39"/>
        <v/>
      </c>
      <c r="B337" s="47" t="str">
        <f t="shared" si="40"/>
        <v/>
      </c>
      <c r="C337" s="48" t="str">
        <f t="shared" si="42"/>
        <v/>
      </c>
      <c r="D337" s="48" t="str">
        <f>IF(ISERROR(PMT(Maandelijkse_rente_percentage,(Loan_Years*12)-Pay_Num+1,Beg_Bal)),"",IF(Values_Entered,-PMT(Maandelijkse_rente_percentage,(Loan_Years*12)-Pay_Num+1,Beg_Bal),""))</f>
        <v/>
      </c>
      <c r="E337" s="48" t="str">
        <f t="shared" si="36"/>
        <v/>
      </c>
      <c r="F337" s="48" t="e">
        <f t="shared" si="37"/>
        <v>#VALUE!</v>
      </c>
      <c r="G337" s="48" t="str">
        <f t="shared" si="41"/>
        <v/>
      </c>
      <c r="H337" s="19">
        <f t="shared" si="43"/>
        <v>0</v>
      </c>
      <c r="I337" s="19">
        <f t="shared" si="38"/>
        <v>0</v>
      </c>
      <c r="J337" s="4"/>
    </row>
    <row r="338" spans="1:10" ht="14.25">
      <c r="A338" s="46" t="str">
        <f t="shared" si="39"/>
        <v/>
      </c>
      <c r="B338" s="47" t="str">
        <f t="shared" si="40"/>
        <v/>
      </c>
      <c r="C338" s="48" t="str">
        <f t="shared" si="42"/>
        <v/>
      </c>
      <c r="D338" s="48" t="str">
        <f>IF(ISERROR(PMT(Maandelijkse_rente_percentage,(Loan_Years*12)-Pay_Num+1,Beg_Bal)),"",IF(Values_Entered,-PMT(Maandelijkse_rente_percentage,(Loan_Years*12)-Pay_Num+1,Beg_Bal),""))</f>
        <v/>
      </c>
      <c r="E338" s="48" t="str">
        <f t="shared" si="36"/>
        <v/>
      </c>
      <c r="F338" s="48" t="e">
        <f t="shared" si="37"/>
        <v>#VALUE!</v>
      </c>
      <c r="G338" s="48" t="str">
        <f t="shared" si="41"/>
        <v/>
      </c>
      <c r="H338" s="19">
        <f t="shared" si="43"/>
        <v>0</v>
      </c>
      <c r="I338" s="19">
        <f t="shared" si="38"/>
        <v>0</v>
      </c>
      <c r="J338" s="4"/>
    </row>
    <row r="339" spans="1:10" ht="14.25">
      <c r="A339" s="46" t="str">
        <f t="shared" si="39"/>
        <v/>
      </c>
      <c r="B339" s="47" t="str">
        <f t="shared" si="40"/>
        <v/>
      </c>
      <c r="C339" s="48" t="str">
        <f t="shared" si="42"/>
        <v/>
      </c>
      <c r="D339" s="48" t="str">
        <f>IF(ISERROR(PMT(Maandelijkse_rente_percentage,(Loan_Years*12)-Pay_Num+1,Beg_Bal)),"",IF(Values_Entered,-PMT(Maandelijkse_rente_percentage,(Loan_Years*12)-Pay_Num+1,Beg_Bal),""))</f>
        <v/>
      </c>
      <c r="E339" s="48" t="str">
        <f t="shared" ref="E339:E378" si="44">IF(Pay_Num&lt;&gt;"",Maandelijkse_aflossing-Int,"")</f>
        <v/>
      </c>
      <c r="F339" s="48" t="e">
        <f t="shared" ref="F339:F378" si="45">Beg_Bal*Maandelijkse_rente_percentage</f>
        <v>#VALUE!</v>
      </c>
      <c r="G339" s="48" t="str">
        <f t="shared" si="41"/>
        <v/>
      </c>
      <c r="H339" s="19">
        <f t="shared" si="43"/>
        <v>0</v>
      </c>
      <c r="I339" s="19">
        <f t="shared" ref="I339:I378" si="46">((1+Jaarlijk_rente_percentage)^(1/12))-1</f>
        <v>0</v>
      </c>
      <c r="J339" s="4"/>
    </row>
    <row r="340" spans="1:10" ht="14.25">
      <c r="A340" s="46" t="str">
        <f t="shared" ref="A340:A378" si="47">IF(Values_Entered,A339+1,"")</f>
        <v/>
      </c>
      <c r="B340" s="47" t="str">
        <f t="shared" ref="B340:B378" si="48">IF(Pay_Num&lt;&gt;"",DATE(YEAR(B339),MONTH(B339)+1,DAY(B339)),"")</f>
        <v/>
      </c>
      <c r="C340" s="48" t="str">
        <f t="shared" si="42"/>
        <v/>
      </c>
      <c r="D340" s="48" t="str">
        <f>IF(ISERROR(PMT(Maandelijkse_rente_percentage,(Loan_Years*12)-Pay_Num+1,Beg_Bal)),"",IF(Values_Entered,-PMT(Maandelijkse_rente_percentage,(Loan_Years*12)-Pay_Num+1,Beg_Bal),""))</f>
        <v/>
      </c>
      <c r="E340" s="48" t="str">
        <f t="shared" si="44"/>
        <v/>
      </c>
      <c r="F340" s="48" t="e">
        <f t="shared" si="45"/>
        <v>#VALUE!</v>
      </c>
      <c r="G340" s="48" t="str">
        <f t="shared" ref="G340:G378" si="49">IF(Pay_Num&lt;&gt;"",Beg_Bal-Princ,"")</f>
        <v/>
      </c>
      <c r="H340" s="19">
        <f t="shared" si="43"/>
        <v>0</v>
      </c>
      <c r="I340" s="19">
        <f t="shared" si="46"/>
        <v>0</v>
      </c>
      <c r="J340" s="4"/>
    </row>
    <row r="341" spans="1:10" ht="14.25">
      <c r="A341" s="46" t="str">
        <f t="shared" si="47"/>
        <v/>
      </c>
      <c r="B341" s="47" t="str">
        <f t="shared" si="48"/>
        <v/>
      </c>
      <c r="C341" s="48" t="str">
        <f t="shared" ref="C341:C378" si="50">IF(Pay_Num&lt;&gt;"",G340,"")</f>
        <v/>
      </c>
      <c r="D341" s="48" t="str">
        <f>IF(ISERROR(PMT(Maandelijkse_rente_percentage,(Loan_Years*12)-Pay_Num+1,Beg_Bal)),"",IF(Values_Entered,-PMT(Maandelijkse_rente_percentage,(Loan_Years*12)-Pay_Num+1,Beg_Bal),""))</f>
        <v/>
      </c>
      <c r="E341" s="48" t="str">
        <f t="shared" si="44"/>
        <v/>
      </c>
      <c r="F341" s="48" t="e">
        <f t="shared" si="45"/>
        <v>#VALUE!</v>
      </c>
      <c r="G341" s="48" t="str">
        <f t="shared" si="49"/>
        <v/>
      </c>
      <c r="H341" s="19">
        <f t="shared" si="43"/>
        <v>0</v>
      </c>
      <c r="I341" s="19">
        <f t="shared" si="46"/>
        <v>0</v>
      </c>
      <c r="J341" s="4"/>
    </row>
    <row r="342" spans="1:10" ht="14.25">
      <c r="A342" s="46" t="str">
        <f t="shared" si="47"/>
        <v/>
      </c>
      <c r="B342" s="47" t="str">
        <f t="shared" si="48"/>
        <v/>
      </c>
      <c r="C342" s="48" t="str">
        <f t="shared" si="50"/>
        <v/>
      </c>
      <c r="D342" s="48" t="str">
        <f>IF(ISERROR(PMT(Maandelijkse_rente_percentage,(Loan_Years*12)-Pay_Num+1,Beg_Bal)),"",IF(Values_Entered,-PMT(Maandelijkse_rente_percentage,(Loan_Years*12)-Pay_Num+1,Beg_Bal),""))</f>
        <v/>
      </c>
      <c r="E342" s="48" t="str">
        <f t="shared" si="44"/>
        <v/>
      </c>
      <c r="F342" s="48" t="e">
        <f t="shared" si="45"/>
        <v>#VALUE!</v>
      </c>
      <c r="G342" s="48" t="str">
        <f t="shared" si="49"/>
        <v/>
      </c>
      <c r="H342" s="19">
        <f t="shared" si="43"/>
        <v>0</v>
      </c>
      <c r="I342" s="19">
        <f t="shared" si="46"/>
        <v>0</v>
      </c>
      <c r="J342" s="4"/>
    </row>
    <row r="343" spans="1:10" ht="14.25">
      <c r="A343" s="46" t="str">
        <f t="shared" si="47"/>
        <v/>
      </c>
      <c r="B343" s="47" t="str">
        <f t="shared" si="48"/>
        <v/>
      </c>
      <c r="C343" s="48" t="str">
        <f t="shared" si="50"/>
        <v/>
      </c>
      <c r="D343" s="48" t="str">
        <f>IF(ISERROR(PMT(Maandelijkse_rente_percentage,(Loan_Years*12)-Pay_Num+1,Beg_Bal)),"",IF(Values_Entered,-PMT(Maandelijkse_rente_percentage,(Loan_Years*12)-Pay_Num+1,Beg_Bal),""))</f>
        <v/>
      </c>
      <c r="E343" s="48" t="str">
        <f t="shared" si="44"/>
        <v/>
      </c>
      <c r="F343" s="48" t="e">
        <f t="shared" si="45"/>
        <v>#VALUE!</v>
      </c>
      <c r="G343" s="48" t="str">
        <f t="shared" si="49"/>
        <v/>
      </c>
      <c r="H343" s="19">
        <f>N15</f>
        <v>0</v>
      </c>
      <c r="I343" s="19">
        <f t="shared" si="46"/>
        <v>0</v>
      </c>
      <c r="J343" s="4"/>
    </row>
    <row r="344" spans="1:10" ht="14.25">
      <c r="A344" s="46" t="str">
        <f t="shared" si="47"/>
        <v/>
      </c>
      <c r="B344" s="47" t="str">
        <f t="shared" si="48"/>
        <v/>
      </c>
      <c r="C344" s="48" t="str">
        <f t="shared" si="50"/>
        <v/>
      </c>
      <c r="D344" s="48" t="str">
        <f>IF(ISERROR(PMT(Maandelijkse_rente_percentage,(Loan_Years*12)-Pay_Num+1,Beg_Bal)),"",IF(Values_Entered,-PMT(Maandelijkse_rente_percentage,(Loan_Years*12)-Pay_Num+1,Beg_Bal),""))</f>
        <v/>
      </c>
      <c r="E344" s="48" t="str">
        <f t="shared" si="44"/>
        <v/>
      </c>
      <c r="F344" s="48" t="e">
        <f t="shared" si="45"/>
        <v>#VALUE!</v>
      </c>
      <c r="G344" s="48" t="str">
        <f t="shared" si="49"/>
        <v/>
      </c>
      <c r="H344" s="19">
        <f t="shared" si="43"/>
        <v>0</v>
      </c>
      <c r="I344" s="19">
        <f t="shared" si="46"/>
        <v>0</v>
      </c>
      <c r="J344" s="4"/>
    </row>
    <row r="345" spans="1:10" ht="14.25">
      <c r="A345" s="46" t="str">
        <f t="shared" si="47"/>
        <v/>
      </c>
      <c r="B345" s="47" t="str">
        <f t="shared" si="48"/>
        <v/>
      </c>
      <c r="C345" s="48" t="str">
        <f t="shared" si="50"/>
        <v/>
      </c>
      <c r="D345" s="48" t="str">
        <f>IF(ISERROR(PMT(Maandelijkse_rente_percentage,(Loan_Years*12)-Pay_Num+1,Beg_Bal)),"",IF(Values_Entered,-PMT(Maandelijkse_rente_percentage,(Loan_Years*12)-Pay_Num+1,Beg_Bal),""))</f>
        <v/>
      </c>
      <c r="E345" s="48" t="str">
        <f t="shared" si="44"/>
        <v/>
      </c>
      <c r="F345" s="48" t="e">
        <f t="shared" si="45"/>
        <v>#VALUE!</v>
      </c>
      <c r="G345" s="48" t="str">
        <f t="shared" si="49"/>
        <v/>
      </c>
      <c r="H345" s="19">
        <f t="shared" si="43"/>
        <v>0</v>
      </c>
      <c r="I345" s="19">
        <f t="shared" si="46"/>
        <v>0</v>
      </c>
      <c r="J345" s="4"/>
    </row>
    <row r="346" spans="1:10" ht="14.25">
      <c r="A346" s="46" t="str">
        <f t="shared" si="47"/>
        <v/>
      </c>
      <c r="B346" s="47" t="str">
        <f t="shared" si="48"/>
        <v/>
      </c>
      <c r="C346" s="48" t="str">
        <f t="shared" si="50"/>
        <v/>
      </c>
      <c r="D346" s="48" t="str">
        <f>IF(ISERROR(PMT(Maandelijkse_rente_percentage,(Loan_Years*12)-Pay_Num+1,Beg_Bal)),"",IF(Values_Entered,-PMT(Maandelijkse_rente_percentage,(Loan_Years*12)-Pay_Num+1,Beg_Bal),""))</f>
        <v/>
      </c>
      <c r="E346" s="48" t="str">
        <f t="shared" si="44"/>
        <v/>
      </c>
      <c r="F346" s="48" t="e">
        <f t="shared" si="45"/>
        <v>#VALUE!</v>
      </c>
      <c r="G346" s="48" t="str">
        <f t="shared" si="49"/>
        <v/>
      </c>
      <c r="H346" s="19">
        <f t="shared" si="43"/>
        <v>0</v>
      </c>
      <c r="I346" s="19">
        <f t="shared" si="46"/>
        <v>0</v>
      </c>
      <c r="J346" s="4"/>
    </row>
    <row r="347" spans="1:10" ht="14.25">
      <c r="A347" s="46" t="str">
        <f t="shared" si="47"/>
        <v/>
      </c>
      <c r="B347" s="47" t="str">
        <f t="shared" si="48"/>
        <v/>
      </c>
      <c r="C347" s="48" t="str">
        <f t="shared" si="50"/>
        <v/>
      </c>
      <c r="D347" s="48" t="str">
        <f>IF(ISERROR(PMT(Maandelijkse_rente_percentage,(Loan_Years*12)-Pay_Num+1,Beg_Bal)),"",IF(Values_Entered,-PMT(Maandelijkse_rente_percentage,(Loan_Years*12)-Pay_Num+1,Beg_Bal),""))</f>
        <v/>
      </c>
      <c r="E347" s="48" t="str">
        <f t="shared" si="44"/>
        <v/>
      </c>
      <c r="F347" s="48" t="e">
        <f t="shared" si="45"/>
        <v>#VALUE!</v>
      </c>
      <c r="G347" s="48" t="str">
        <f t="shared" si="49"/>
        <v/>
      </c>
      <c r="H347" s="19">
        <f t="shared" si="43"/>
        <v>0</v>
      </c>
      <c r="I347" s="19">
        <f t="shared" si="46"/>
        <v>0</v>
      </c>
      <c r="J347" s="4"/>
    </row>
    <row r="348" spans="1:10" ht="14.25">
      <c r="A348" s="46" t="str">
        <f t="shared" si="47"/>
        <v/>
      </c>
      <c r="B348" s="47" t="str">
        <f t="shared" si="48"/>
        <v/>
      </c>
      <c r="C348" s="48" t="str">
        <f t="shared" si="50"/>
        <v/>
      </c>
      <c r="D348" s="48" t="str">
        <f>IF(ISERROR(PMT(Maandelijkse_rente_percentage,(Loan_Years*12)-Pay_Num+1,Beg_Bal)),"",IF(Values_Entered,-PMT(Maandelijkse_rente_percentage,(Loan_Years*12)-Pay_Num+1,Beg_Bal),""))</f>
        <v/>
      </c>
      <c r="E348" s="48" t="str">
        <f t="shared" si="44"/>
        <v/>
      </c>
      <c r="F348" s="48" t="e">
        <f t="shared" si="45"/>
        <v>#VALUE!</v>
      </c>
      <c r="G348" s="48" t="str">
        <f t="shared" si="49"/>
        <v/>
      </c>
      <c r="H348" s="19">
        <f t="shared" si="43"/>
        <v>0</v>
      </c>
      <c r="I348" s="19">
        <f t="shared" si="46"/>
        <v>0</v>
      </c>
      <c r="J348" s="4"/>
    </row>
    <row r="349" spans="1:10" ht="14.25">
      <c r="A349" s="46" t="str">
        <f t="shared" si="47"/>
        <v/>
      </c>
      <c r="B349" s="47" t="str">
        <f t="shared" si="48"/>
        <v/>
      </c>
      <c r="C349" s="48" t="str">
        <f t="shared" si="50"/>
        <v/>
      </c>
      <c r="D349" s="48" t="str">
        <f>IF(ISERROR(PMT(Maandelijkse_rente_percentage,(Loan_Years*12)-Pay_Num+1,Beg_Bal)),"",IF(Values_Entered,-PMT(Maandelijkse_rente_percentage,(Loan_Years*12)-Pay_Num+1,Beg_Bal),""))</f>
        <v/>
      </c>
      <c r="E349" s="48" t="str">
        <f t="shared" si="44"/>
        <v/>
      </c>
      <c r="F349" s="48" t="e">
        <f t="shared" si="45"/>
        <v>#VALUE!</v>
      </c>
      <c r="G349" s="48" t="str">
        <f t="shared" si="49"/>
        <v/>
      </c>
      <c r="H349" s="19">
        <f t="shared" si="43"/>
        <v>0</v>
      </c>
      <c r="I349" s="19">
        <f t="shared" si="46"/>
        <v>0</v>
      </c>
      <c r="J349" s="4"/>
    </row>
    <row r="350" spans="1:10" ht="14.25">
      <c r="A350" s="46" t="str">
        <f t="shared" si="47"/>
        <v/>
      </c>
      <c r="B350" s="47" t="str">
        <f t="shared" si="48"/>
        <v/>
      </c>
      <c r="C350" s="48" t="str">
        <f t="shared" si="50"/>
        <v/>
      </c>
      <c r="D350" s="48" t="str">
        <f>IF(ISERROR(PMT(Maandelijkse_rente_percentage,(Loan_Years*12)-Pay_Num+1,Beg_Bal)),"",IF(Values_Entered,-PMT(Maandelijkse_rente_percentage,(Loan_Years*12)-Pay_Num+1,Beg_Bal),""))</f>
        <v/>
      </c>
      <c r="E350" s="48" t="str">
        <f t="shared" si="44"/>
        <v/>
      </c>
      <c r="F350" s="48" t="e">
        <f t="shared" si="45"/>
        <v>#VALUE!</v>
      </c>
      <c r="G350" s="48" t="str">
        <f t="shared" si="49"/>
        <v/>
      </c>
      <c r="H350" s="19">
        <f t="shared" si="43"/>
        <v>0</v>
      </c>
      <c r="I350" s="19">
        <f t="shared" si="46"/>
        <v>0</v>
      </c>
      <c r="J350" s="4"/>
    </row>
    <row r="351" spans="1:10" ht="14.25">
      <c r="A351" s="46" t="str">
        <f t="shared" si="47"/>
        <v/>
      </c>
      <c r="B351" s="47" t="str">
        <f t="shared" si="48"/>
        <v/>
      </c>
      <c r="C351" s="48" t="str">
        <f t="shared" si="50"/>
        <v/>
      </c>
      <c r="D351" s="48" t="str">
        <f>IF(ISERROR(PMT(Maandelijkse_rente_percentage,(Loan_Years*12)-Pay_Num+1,Beg_Bal)),"",IF(Values_Entered,-PMT(Maandelijkse_rente_percentage,(Loan_Years*12)-Pay_Num+1,Beg_Bal),""))</f>
        <v/>
      </c>
      <c r="E351" s="48" t="str">
        <f t="shared" si="44"/>
        <v/>
      </c>
      <c r="F351" s="48" t="e">
        <f t="shared" si="45"/>
        <v>#VALUE!</v>
      </c>
      <c r="G351" s="48" t="str">
        <f t="shared" si="49"/>
        <v/>
      </c>
      <c r="H351" s="19">
        <f t="shared" si="43"/>
        <v>0</v>
      </c>
      <c r="I351" s="19">
        <f t="shared" si="46"/>
        <v>0</v>
      </c>
      <c r="J351" s="4"/>
    </row>
    <row r="352" spans="1:10" ht="14.25">
      <c r="A352" s="46" t="str">
        <f t="shared" si="47"/>
        <v/>
      </c>
      <c r="B352" s="47" t="str">
        <f t="shared" si="48"/>
        <v/>
      </c>
      <c r="C352" s="48" t="str">
        <f t="shared" si="50"/>
        <v/>
      </c>
      <c r="D352" s="48" t="str">
        <f>IF(ISERROR(PMT(Maandelijkse_rente_percentage,(Loan_Years*12)-Pay_Num+1,Beg_Bal)),"",IF(Values_Entered,-PMT(Maandelijkse_rente_percentage,(Loan_Years*12)-Pay_Num+1,Beg_Bal),""))</f>
        <v/>
      </c>
      <c r="E352" s="48" t="str">
        <f t="shared" si="44"/>
        <v/>
      </c>
      <c r="F352" s="48" t="e">
        <f t="shared" si="45"/>
        <v>#VALUE!</v>
      </c>
      <c r="G352" s="48" t="str">
        <f t="shared" si="49"/>
        <v/>
      </c>
      <c r="H352" s="19">
        <f t="shared" si="43"/>
        <v>0</v>
      </c>
      <c r="I352" s="19">
        <f t="shared" si="46"/>
        <v>0</v>
      </c>
      <c r="J352" s="4"/>
    </row>
    <row r="353" spans="1:10" ht="14.25">
      <c r="A353" s="46" t="str">
        <f t="shared" si="47"/>
        <v/>
      </c>
      <c r="B353" s="47" t="str">
        <f t="shared" si="48"/>
        <v/>
      </c>
      <c r="C353" s="48" t="str">
        <f t="shared" si="50"/>
        <v/>
      </c>
      <c r="D353" s="48" t="str">
        <f>IF(ISERROR(PMT(Maandelijkse_rente_percentage,(Loan_Years*12)-Pay_Num+1,Beg_Bal)),"",IF(Values_Entered,-PMT(Maandelijkse_rente_percentage,(Loan_Years*12)-Pay_Num+1,Beg_Bal),""))</f>
        <v/>
      </c>
      <c r="E353" s="48" t="str">
        <f t="shared" si="44"/>
        <v/>
      </c>
      <c r="F353" s="48" t="e">
        <f t="shared" si="45"/>
        <v>#VALUE!</v>
      </c>
      <c r="G353" s="48" t="str">
        <f t="shared" si="49"/>
        <v/>
      </c>
      <c r="H353" s="19">
        <f t="shared" si="43"/>
        <v>0</v>
      </c>
      <c r="I353" s="19">
        <f t="shared" si="46"/>
        <v>0</v>
      </c>
      <c r="J353" s="4"/>
    </row>
    <row r="354" spans="1:10" ht="14.25">
      <c r="A354" s="46" t="str">
        <f t="shared" si="47"/>
        <v/>
      </c>
      <c r="B354" s="47" t="str">
        <f t="shared" si="48"/>
        <v/>
      </c>
      <c r="C354" s="48" t="str">
        <f t="shared" si="50"/>
        <v/>
      </c>
      <c r="D354" s="48" t="str">
        <f>IF(ISERROR(PMT(Maandelijkse_rente_percentage,(Loan_Years*12)-Pay_Num+1,Beg_Bal)),"",IF(Values_Entered,-PMT(Maandelijkse_rente_percentage,(Loan_Years*12)-Pay_Num+1,Beg_Bal),""))</f>
        <v/>
      </c>
      <c r="E354" s="48" t="str">
        <f t="shared" si="44"/>
        <v/>
      </c>
      <c r="F354" s="48" t="e">
        <f t="shared" si="45"/>
        <v>#VALUE!</v>
      </c>
      <c r="G354" s="48" t="str">
        <f t="shared" si="49"/>
        <v/>
      </c>
      <c r="H354" s="19">
        <f t="shared" si="43"/>
        <v>0</v>
      </c>
      <c r="I354" s="19">
        <f t="shared" si="46"/>
        <v>0</v>
      </c>
      <c r="J354" s="4"/>
    </row>
    <row r="355" spans="1:10" ht="14.25">
      <c r="A355" s="46" t="str">
        <f t="shared" si="47"/>
        <v/>
      </c>
      <c r="B355" s="47" t="str">
        <f t="shared" si="48"/>
        <v/>
      </c>
      <c r="C355" s="48" t="str">
        <f t="shared" si="50"/>
        <v/>
      </c>
      <c r="D355" s="48" t="str">
        <f>IF(ISERROR(PMT(Maandelijkse_rente_percentage,(Loan_Years*12)-Pay_Num+1,Beg_Bal)),"",IF(Values_Entered,-PMT(Maandelijkse_rente_percentage,(Loan_Years*12)-Pay_Num+1,Beg_Bal),""))</f>
        <v/>
      </c>
      <c r="E355" s="48" t="str">
        <f t="shared" si="44"/>
        <v/>
      </c>
      <c r="F355" s="48" t="e">
        <f t="shared" si="45"/>
        <v>#VALUE!</v>
      </c>
      <c r="G355" s="48" t="str">
        <f t="shared" si="49"/>
        <v/>
      </c>
      <c r="H355" s="19">
        <f>N16</f>
        <v>0</v>
      </c>
      <c r="I355" s="19">
        <f t="shared" si="46"/>
        <v>0</v>
      </c>
      <c r="J355" s="4"/>
    </row>
    <row r="356" spans="1:10" ht="14.25">
      <c r="A356" s="46" t="str">
        <f t="shared" si="47"/>
        <v/>
      </c>
      <c r="B356" s="47" t="str">
        <f t="shared" si="48"/>
        <v/>
      </c>
      <c r="C356" s="48" t="str">
        <f t="shared" si="50"/>
        <v/>
      </c>
      <c r="D356" s="48" t="str">
        <f>IF(ISERROR(PMT(Maandelijkse_rente_percentage,(Loan_Years*12)-Pay_Num+1,Beg_Bal)),"",IF(Values_Entered,-PMT(Maandelijkse_rente_percentage,(Loan_Years*12)-Pay_Num+1,Beg_Bal),""))</f>
        <v/>
      </c>
      <c r="E356" s="48" t="str">
        <f t="shared" si="44"/>
        <v/>
      </c>
      <c r="F356" s="48" t="e">
        <f t="shared" si="45"/>
        <v>#VALUE!</v>
      </c>
      <c r="G356" s="48" t="str">
        <f t="shared" si="49"/>
        <v/>
      </c>
      <c r="H356" s="19">
        <f t="shared" si="43"/>
        <v>0</v>
      </c>
      <c r="I356" s="19">
        <f t="shared" si="46"/>
        <v>0</v>
      </c>
      <c r="J356" s="4"/>
    </row>
    <row r="357" spans="1:10" ht="14.25">
      <c r="A357" s="46" t="str">
        <f t="shared" si="47"/>
        <v/>
      </c>
      <c r="B357" s="47" t="str">
        <f t="shared" si="48"/>
        <v/>
      </c>
      <c r="C357" s="48" t="str">
        <f t="shared" si="50"/>
        <v/>
      </c>
      <c r="D357" s="48" t="str">
        <f>IF(ISERROR(PMT(Maandelijkse_rente_percentage,(Loan_Years*12)-Pay_Num+1,Beg_Bal)),"",IF(Values_Entered,-PMT(Maandelijkse_rente_percentage,(Loan_Years*12)-Pay_Num+1,Beg_Bal),""))</f>
        <v/>
      </c>
      <c r="E357" s="48" t="str">
        <f t="shared" si="44"/>
        <v/>
      </c>
      <c r="F357" s="48" t="e">
        <f t="shared" si="45"/>
        <v>#VALUE!</v>
      </c>
      <c r="G357" s="48" t="str">
        <f t="shared" si="49"/>
        <v/>
      </c>
      <c r="H357" s="19">
        <f t="shared" si="43"/>
        <v>0</v>
      </c>
      <c r="I357" s="19">
        <f t="shared" si="46"/>
        <v>0</v>
      </c>
      <c r="J357" s="4"/>
    </row>
    <row r="358" spans="1:10" ht="14.25">
      <c r="A358" s="46" t="str">
        <f t="shared" si="47"/>
        <v/>
      </c>
      <c r="B358" s="47" t="str">
        <f t="shared" si="48"/>
        <v/>
      </c>
      <c r="C358" s="48" t="str">
        <f t="shared" si="50"/>
        <v/>
      </c>
      <c r="D358" s="48" t="str">
        <f>IF(ISERROR(PMT(Maandelijkse_rente_percentage,(Loan_Years*12)-Pay_Num+1,Beg_Bal)),"",IF(Values_Entered,-PMT(Maandelijkse_rente_percentage,(Loan_Years*12)-Pay_Num+1,Beg_Bal),""))</f>
        <v/>
      </c>
      <c r="E358" s="48" t="str">
        <f t="shared" si="44"/>
        <v/>
      </c>
      <c r="F358" s="48" t="e">
        <f t="shared" si="45"/>
        <v>#VALUE!</v>
      </c>
      <c r="G358" s="48" t="str">
        <f t="shared" si="49"/>
        <v/>
      </c>
      <c r="H358" s="19">
        <f t="shared" si="43"/>
        <v>0</v>
      </c>
      <c r="I358" s="19">
        <f t="shared" si="46"/>
        <v>0</v>
      </c>
      <c r="J358" s="4"/>
    </row>
    <row r="359" spans="1:10" ht="14.25">
      <c r="A359" s="46" t="str">
        <f t="shared" si="47"/>
        <v/>
      </c>
      <c r="B359" s="47" t="str">
        <f t="shared" si="48"/>
        <v/>
      </c>
      <c r="C359" s="48" t="str">
        <f t="shared" si="50"/>
        <v/>
      </c>
      <c r="D359" s="48" t="str">
        <f>IF(ISERROR(PMT(Maandelijkse_rente_percentage,(Loan_Years*12)-Pay_Num+1,Beg_Bal)),"",IF(Values_Entered,-PMT(Maandelijkse_rente_percentage,(Loan_Years*12)-Pay_Num+1,Beg_Bal),""))</f>
        <v/>
      </c>
      <c r="E359" s="48" t="str">
        <f t="shared" si="44"/>
        <v/>
      </c>
      <c r="F359" s="48" t="e">
        <f t="shared" si="45"/>
        <v>#VALUE!</v>
      </c>
      <c r="G359" s="48" t="str">
        <f t="shared" si="49"/>
        <v/>
      </c>
      <c r="H359" s="19">
        <f t="shared" si="43"/>
        <v>0</v>
      </c>
      <c r="I359" s="19">
        <f t="shared" si="46"/>
        <v>0</v>
      </c>
      <c r="J359" s="4"/>
    </row>
    <row r="360" spans="1:10" ht="14.25">
      <c r="A360" s="46" t="str">
        <f t="shared" si="47"/>
        <v/>
      </c>
      <c r="B360" s="47" t="str">
        <f t="shared" si="48"/>
        <v/>
      </c>
      <c r="C360" s="48" t="str">
        <f t="shared" si="50"/>
        <v/>
      </c>
      <c r="D360" s="48" t="str">
        <f>IF(ISERROR(PMT(Maandelijkse_rente_percentage,(Loan_Years*12)-Pay_Num+1,Beg_Bal)),"",IF(Values_Entered,-PMT(Maandelijkse_rente_percentage,(Loan_Years*12)-Pay_Num+1,Beg_Bal),""))</f>
        <v/>
      </c>
      <c r="E360" s="48" t="str">
        <f t="shared" si="44"/>
        <v/>
      </c>
      <c r="F360" s="48" t="e">
        <f t="shared" si="45"/>
        <v>#VALUE!</v>
      </c>
      <c r="G360" s="48" t="str">
        <f t="shared" si="49"/>
        <v/>
      </c>
      <c r="H360" s="19">
        <f t="shared" si="43"/>
        <v>0</v>
      </c>
      <c r="I360" s="19">
        <f t="shared" si="46"/>
        <v>0</v>
      </c>
      <c r="J360" s="4"/>
    </row>
    <row r="361" spans="1:10" ht="14.25">
      <c r="A361" s="46" t="str">
        <f t="shared" si="47"/>
        <v/>
      </c>
      <c r="B361" s="47" t="str">
        <f t="shared" si="48"/>
        <v/>
      </c>
      <c r="C361" s="48" t="str">
        <f t="shared" si="50"/>
        <v/>
      </c>
      <c r="D361" s="48" t="str">
        <f>IF(ISERROR(PMT(Maandelijkse_rente_percentage,(Loan_Years*12)-Pay_Num+1,Beg_Bal)),"",IF(Values_Entered,-PMT(Maandelijkse_rente_percentage,(Loan_Years*12)-Pay_Num+1,Beg_Bal),""))</f>
        <v/>
      </c>
      <c r="E361" s="48" t="str">
        <f t="shared" si="44"/>
        <v/>
      </c>
      <c r="F361" s="48" t="e">
        <f t="shared" si="45"/>
        <v>#VALUE!</v>
      </c>
      <c r="G361" s="48" t="str">
        <f t="shared" si="49"/>
        <v/>
      </c>
      <c r="H361" s="19">
        <f t="shared" si="43"/>
        <v>0</v>
      </c>
      <c r="I361" s="19">
        <f t="shared" si="46"/>
        <v>0</v>
      </c>
      <c r="J361" s="4"/>
    </row>
    <row r="362" spans="1:10" ht="14.25">
      <c r="A362" s="46" t="str">
        <f t="shared" si="47"/>
        <v/>
      </c>
      <c r="B362" s="47" t="str">
        <f t="shared" si="48"/>
        <v/>
      </c>
      <c r="C362" s="48" t="str">
        <f t="shared" si="50"/>
        <v/>
      </c>
      <c r="D362" s="48" t="str">
        <f>IF(ISERROR(PMT(Maandelijkse_rente_percentage,(Loan_Years*12)-Pay_Num+1,Beg_Bal)),"",IF(Values_Entered,-PMT(Maandelijkse_rente_percentage,(Loan_Years*12)-Pay_Num+1,Beg_Bal),""))</f>
        <v/>
      </c>
      <c r="E362" s="48" t="str">
        <f t="shared" si="44"/>
        <v/>
      </c>
      <c r="F362" s="48" t="e">
        <f t="shared" si="45"/>
        <v>#VALUE!</v>
      </c>
      <c r="G362" s="48" t="str">
        <f t="shared" si="49"/>
        <v/>
      </c>
      <c r="H362" s="19">
        <f t="shared" si="43"/>
        <v>0</v>
      </c>
      <c r="I362" s="19">
        <f t="shared" si="46"/>
        <v>0</v>
      </c>
      <c r="J362" s="4"/>
    </row>
    <row r="363" spans="1:10" ht="14.25">
      <c r="A363" s="46" t="str">
        <f t="shared" si="47"/>
        <v/>
      </c>
      <c r="B363" s="47" t="str">
        <f t="shared" si="48"/>
        <v/>
      </c>
      <c r="C363" s="48" t="str">
        <f t="shared" si="50"/>
        <v/>
      </c>
      <c r="D363" s="48" t="str">
        <f>IF(ISERROR(PMT(Maandelijkse_rente_percentage,(Loan_Years*12)-Pay_Num+1,Beg_Bal)),"",IF(Values_Entered,-PMT(Maandelijkse_rente_percentage,(Loan_Years*12)-Pay_Num+1,Beg_Bal),""))</f>
        <v/>
      </c>
      <c r="E363" s="48" t="str">
        <f t="shared" si="44"/>
        <v/>
      </c>
      <c r="F363" s="48" t="e">
        <f t="shared" si="45"/>
        <v>#VALUE!</v>
      </c>
      <c r="G363" s="48" t="str">
        <f t="shared" si="49"/>
        <v/>
      </c>
      <c r="H363" s="19">
        <f t="shared" si="43"/>
        <v>0</v>
      </c>
      <c r="I363" s="19">
        <f t="shared" si="46"/>
        <v>0</v>
      </c>
      <c r="J363" s="4"/>
    </row>
    <row r="364" spans="1:10" ht="14.25">
      <c r="A364" s="46" t="str">
        <f t="shared" si="47"/>
        <v/>
      </c>
      <c r="B364" s="47" t="str">
        <f t="shared" si="48"/>
        <v/>
      </c>
      <c r="C364" s="48" t="str">
        <f t="shared" si="50"/>
        <v/>
      </c>
      <c r="D364" s="48" t="str">
        <f>IF(ISERROR(PMT(Maandelijkse_rente_percentage,(Loan_Years*12)-Pay_Num+1,Beg_Bal)),"",IF(Values_Entered,-PMT(Maandelijkse_rente_percentage,(Loan_Years*12)-Pay_Num+1,Beg_Bal),""))</f>
        <v/>
      </c>
      <c r="E364" s="48" t="str">
        <f t="shared" si="44"/>
        <v/>
      </c>
      <c r="F364" s="48" t="e">
        <f t="shared" si="45"/>
        <v>#VALUE!</v>
      </c>
      <c r="G364" s="48" t="str">
        <f t="shared" si="49"/>
        <v/>
      </c>
      <c r="H364" s="19">
        <f t="shared" si="43"/>
        <v>0</v>
      </c>
      <c r="I364" s="19">
        <f t="shared" si="46"/>
        <v>0</v>
      </c>
      <c r="J364" s="4"/>
    </row>
    <row r="365" spans="1:10" ht="14.25">
      <c r="A365" s="46" t="str">
        <f t="shared" si="47"/>
        <v/>
      </c>
      <c r="B365" s="47" t="str">
        <f t="shared" si="48"/>
        <v/>
      </c>
      <c r="C365" s="48" t="str">
        <f t="shared" si="50"/>
        <v/>
      </c>
      <c r="D365" s="48" t="str">
        <f>IF(ISERROR(PMT(Maandelijkse_rente_percentage,(Loan_Years*12)-Pay_Num+1,Beg_Bal)),"",IF(Values_Entered,-PMT(Maandelijkse_rente_percentage,(Loan_Years*12)-Pay_Num+1,Beg_Bal),""))</f>
        <v/>
      </c>
      <c r="E365" s="48" t="str">
        <f t="shared" si="44"/>
        <v/>
      </c>
      <c r="F365" s="48" t="e">
        <f t="shared" si="45"/>
        <v>#VALUE!</v>
      </c>
      <c r="G365" s="48" t="str">
        <f t="shared" si="49"/>
        <v/>
      </c>
      <c r="H365" s="19">
        <f t="shared" si="43"/>
        <v>0</v>
      </c>
      <c r="I365" s="19">
        <f t="shared" si="46"/>
        <v>0</v>
      </c>
      <c r="J365" s="4"/>
    </row>
    <row r="366" spans="1:10" ht="14.25">
      <c r="A366" s="46" t="str">
        <f t="shared" si="47"/>
        <v/>
      </c>
      <c r="B366" s="47" t="str">
        <f t="shared" si="48"/>
        <v/>
      </c>
      <c r="C366" s="48" t="str">
        <f t="shared" si="50"/>
        <v/>
      </c>
      <c r="D366" s="48" t="str">
        <f>IF(ISERROR(PMT(Maandelijkse_rente_percentage,(Loan_Years*12)-Pay_Num+1,Beg_Bal)),"",IF(Values_Entered,-PMT(Maandelijkse_rente_percentage,(Loan_Years*12)-Pay_Num+1,Beg_Bal),""))</f>
        <v/>
      </c>
      <c r="E366" s="48" t="str">
        <f t="shared" si="44"/>
        <v/>
      </c>
      <c r="F366" s="48" t="e">
        <f t="shared" si="45"/>
        <v>#VALUE!</v>
      </c>
      <c r="G366" s="48" t="str">
        <f t="shared" si="49"/>
        <v/>
      </c>
      <c r="H366" s="19">
        <f t="shared" si="43"/>
        <v>0</v>
      </c>
      <c r="I366" s="19">
        <f t="shared" si="46"/>
        <v>0</v>
      </c>
      <c r="J366" s="4"/>
    </row>
    <row r="367" spans="1:10" ht="14.25">
      <c r="A367" s="46" t="str">
        <f t="shared" si="47"/>
        <v/>
      </c>
      <c r="B367" s="47" t="str">
        <f t="shared" si="48"/>
        <v/>
      </c>
      <c r="C367" s="48" t="str">
        <f t="shared" si="50"/>
        <v/>
      </c>
      <c r="D367" s="48" t="str">
        <f>IF(ISERROR(PMT(Maandelijkse_rente_percentage,(Loan_Years*12)-Pay_Num+1,Beg_Bal)),"",IF(Values_Entered,-PMT(Maandelijkse_rente_percentage,(Loan_Years*12)-Pay_Num+1,Beg_Bal),""))</f>
        <v/>
      </c>
      <c r="E367" s="48" t="str">
        <f t="shared" si="44"/>
        <v/>
      </c>
      <c r="F367" s="48" t="e">
        <f t="shared" si="45"/>
        <v>#VALUE!</v>
      </c>
      <c r="G367" s="48" t="str">
        <f t="shared" si="49"/>
        <v/>
      </c>
      <c r="H367" s="19">
        <f>N17</f>
        <v>0</v>
      </c>
      <c r="I367" s="19">
        <f t="shared" si="46"/>
        <v>0</v>
      </c>
      <c r="J367" s="4"/>
    </row>
    <row r="368" spans="1:10" ht="14.25">
      <c r="A368" s="46" t="str">
        <f t="shared" si="47"/>
        <v/>
      </c>
      <c r="B368" s="47" t="str">
        <f t="shared" si="48"/>
        <v/>
      </c>
      <c r="C368" s="48" t="str">
        <f t="shared" si="50"/>
        <v/>
      </c>
      <c r="D368" s="48" t="str">
        <f>IF(ISERROR(PMT(Maandelijkse_rente_percentage,(Loan_Years*12)-Pay_Num+1,Beg_Bal)),"",IF(Values_Entered,-PMT(Maandelijkse_rente_percentage,(Loan_Years*12)-Pay_Num+1,Beg_Bal),""))</f>
        <v/>
      </c>
      <c r="E368" s="48" t="str">
        <f t="shared" si="44"/>
        <v/>
      </c>
      <c r="F368" s="48" t="e">
        <f t="shared" si="45"/>
        <v>#VALUE!</v>
      </c>
      <c r="G368" s="48" t="str">
        <f t="shared" si="49"/>
        <v/>
      </c>
      <c r="H368" s="19">
        <f t="shared" si="43"/>
        <v>0</v>
      </c>
      <c r="I368" s="19">
        <f t="shared" si="46"/>
        <v>0</v>
      </c>
      <c r="J368" s="4"/>
    </row>
    <row r="369" spans="1:10" ht="14.25">
      <c r="A369" s="46" t="str">
        <f t="shared" si="47"/>
        <v/>
      </c>
      <c r="B369" s="47" t="str">
        <f t="shared" si="48"/>
        <v/>
      </c>
      <c r="C369" s="48" t="str">
        <f t="shared" si="50"/>
        <v/>
      </c>
      <c r="D369" s="48" t="str">
        <f>IF(ISERROR(PMT(Maandelijkse_rente_percentage,(Loan_Years*12)-Pay_Num+1,Beg_Bal)),"",IF(Values_Entered,-PMT(Maandelijkse_rente_percentage,(Loan_Years*12)-Pay_Num+1,Beg_Bal),""))</f>
        <v/>
      </c>
      <c r="E369" s="48" t="str">
        <f t="shared" si="44"/>
        <v/>
      </c>
      <c r="F369" s="48" t="e">
        <f t="shared" si="45"/>
        <v>#VALUE!</v>
      </c>
      <c r="G369" s="48" t="str">
        <f t="shared" si="49"/>
        <v/>
      </c>
      <c r="H369" s="19">
        <f t="shared" si="43"/>
        <v>0</v>
      </c>
      <c r="I369" s="19">
        <f t="shared" si="46"/>
        <v>0</v>
      </c>
      <c r="J369" s="4"/>
    </row>
    <row r="370" spans="1:10" ht="14.25">
      <c r="A370" s="46" t="str">
        <f t="shared" si="47"/>
        <v/>
      </c>
      <c r="B370" s="47" t="str">
        <f t="shared" si="48"/>
        <v/>
      </c>
      <c r="C370" s="48" t="str">
        <f t="shared" si="50"/>
        <v/>
      </c>
      <c r="D370" s="48" t="str">
        <f>IF(ISERROR(PMT(Maandelijkse_rente_percentage,(Loan_Years*12)-Pay_Num+1,Beg_Bal)),"",IF(Values_Entered,-PMT(Maandelijkse_rente_percentage,(Loan_Years*12)-Pay_Num+1,Beg_Bal),""))</f>
        <v/>
      </c>
      <c r="E370" s="48" t="str">
        <f t="shared" si="44"/>
        <v/>
      </c>
      <c r="F370" s="48" t="e">
        <f t="shared" si="45"/>
        <v>#VALUE!</v>
      </c>
      <c r="G370" s="48" t="str">
        <f t="shared" si="49"/>
        <v/>
      </c>
      <c r="H370" s="19">
        <f t="shared" si="43"/>
        <v>0</v>
      </c>
      <c r="I370" s="19">
        <f t="shared" si="46"/>
        <v>0</v>
      </c>
      <c r="J370" s="4"/>
    </row>
    <row r="371" spans="1:10" ht="14.25">
      <c r="A371" s="46" t="str">
        <f t="shared" si="47"/>
        <v/>
      </c>
      <c r="B371" s="47" t="str">
        <f t="shared" si="48"/>
        <v/>
      </c>
      <c r="C371" s="48" t="str">
        <f t="shared" si="50"/>
        <v/>
      </c>
      <c r="D371" s="48" t="str">
        <f>IF(ISERROR(PMT(Maandelijkse_rente_percentage,(Loan_Years*12)-Pay_Num+1,Beg_Bal)),"",IF(Values_Entered,-PMT(Maandelijkse_rente_percentage,(Loan_Years*12)-Pay_Num+1,Beg_Bal),""))</f>
        <v/>
      </c>
      <c r="E371" s="48" t="str">
        <f t="shared" si="44"/>
        <v/>
      </c>
      <c r="F371" s="48" t="e">
        <f t="shared" si="45"/>
        <v>#VALUE!</v>
      </c>
      <c r="G371" s="48" t="str">
        <f t="shared" si="49"/>
        <v/>
      </c>
      <c r="H371" s="19">
        <f t="shared" si="43"/>
        <v>0</v>
      </c>
      <c r="I371" s="19">
        <f t="shared" si="46"/>
        <v>0</v>
      </c>
      <c r="J371" s="4"/>
    </row>
    <row r="372" spans="1:10" ht="14.25">
      <c r="A372" s="46" t="str">
        <f t="shared" si="47"/>
        <v/>
      </c>
      <c r="B372" s="47" t="str">
        <f t="shared" si="48"/>
        <v/>
      </c>
      <c r="C372" s="48" t="str">
        <f t="shared" si="50"/>
        <v/>
      </c>
      <c r="D372" s="48" t="str">
        <f>IF(ISERROR(PMT(Maandelijkse_rente_percentage,(Loan_Years*12)-Pay_Num+1,Beg_Bal)),"",IF(Values_Entered,-PMT(Maandelijkse_rente_percentage,(Loan_Years*12)-Pay_Num+1,Beg_Bal),""))</f>
        <v/>
      </c>
      <c r="E372" s="48" t="str">
        <f t="shared" si="44"/>
        <v/>
      </c>
      <c r="F372" s="48" t="e">
        <f t="shared" si="45"/>
        <v>#VALUE!</v>
      </c>
      <c r="G372" s="48" t="str">
        <f t="shared" si="49"/>
        <v/>
      </c>
      <c r="H372" s="19">
        <f t="shared" si="43"/>
        <v>0</v>
      </c>
      <c r="I372" s="19">
        <f t="shared" si="46"/>
        <v>0</v>
      </c>
      <c r="J372" s="4"/>
    </row>
    <row r="373" spans="1:10" ht="14.25">
      <c r="A373" s="46" t="str">
        <f t="shared" si="47"/>
        <v/>
      </c>
      <c r="B373" s="47" t="str">
        <f t="shared" si="48"/>
        <v/>
      </c>
      <c r="C373" s="48" t="str">
        <f t="shared" si="50"/>
        <v/>
      </c>
      <c r="D373" s="48" t="str">
        <f>IF(ISERROR(PMT(Maandelijkse_rente_percentage,(Loan_Years*12)-Pay_Num+1,Beg_Bal)),"",IF(Values_Entered,-PMT(Maandelijkse_rente_percentage,(Loan_Years*12)-Pay_Num+1,Beg_Bal),""))</f>
        <v/>
      </c>
      <c r="E373" s="48" t="str">
        <f t="shared" si="44"/>
        <v/>
      </c>
      <c r="F373" s="48" t="e">
        <f t="shared" si="45"/>
        <v>#VALUE!</v>
      </c>
      <c r="G373" s="48" t="str">
        <f t="shared" si="49"/>
        <v/>
      </c>
      <c r="H373" s="19">
        <f t="shared" si="43"/>
        <v>0</v>
      </c>
      <c r="I373" s="19">
        <f t="shared" si="46"/>
        <v>0</v>
      </c>
      <c r="J373" s="4"/>
    </row>
    <row r="374" spans="1:10" ht="14.25">
      <c r="A374" s="46" t="str">
        <f t="shared" si="47"/>
        <v/>
      </c>
      <c r="B374" s="47" t="str">
        <f t="shared" si="48"/>
        <v/>
      </c>
      <c r="C374" s="48" t="str">
        <f t="shared" si="50"/>
        <v/>
      </c>
      <c r="D374" s="48" t="str">
        <f>IF(ISERROR(PMT(Maandelijkse_rente_percentage,(Loan_Years*12)-Pay_Num+1,Beg_Bal)),"",IF(Values_Entered,-PMT(Maandelijkse_rente_percentage,(Loan_Years*12)-Pay_Num+1,Beg_Bal),""))</f>
        <v/>
      </c>
      <c r="E374" s="48" t="str">
        <f t="shared" si="44"/>
        <v/>
      </c>
      <c r="F374" s="48" t="e">
        <f t="shared" si="45"/>
        <v>#VALUE!</v>
      </c>
      <c r="G374" s="48" t="str">
        <f t="shared" si="49"/>
        <v/>
      </c>
      <c r="H374" s="19">
        <f t="shared" si="43"/>
        <v>0</v>
      </c>
      <c r="I374" s="19">
        <f t="shared" si="46"/>
        <v>0</v>
      </c>
      <c r="J374" s="4"/>
    </row>
    <row r="375" spans="1:10" ht="14.25">
      <c r="A375" s="46" t="str">
        <f t="shared" si="47"/>
        <v/>
      </c>
      <c r="B375" s="47" t="str">
        <f t="shared" si="48"/>
        <v/>
      </c>
      <c r="C375" s="48" t="str">
        <f t="shared" si="50"/>
        <v/>
      </c>
      <c r="D375" s="48" t="str">
        <f>IF(ISERROR(PMT(Maandelijkse_rente_percentage,(Loan_Years*12)-Pay_Num+1,Beg_Bal)),"",IF(Values_Entered,-PMT(Maandelijkse_rente_percentage,(Loan_Years*12)-Pay_Num+1,Beg_Bal),""))</f>
        <v/>
      </c>
      <c r="E375" s="48" t="str">
        <f t="shared" si="44"/>
        <v/>
      </c>
      <c r="F375" s="48" t="e">
        <f t="shared" si="45"/>
        <v>#VALUE!</v>
      </c>
      <c r="G375" s="48" t="str">
        <f t="shared" si="49"/>
        <v/>
      </c>
      <c r="H375" s="19">
        <f t="shared" si="43"/>
        <v>0</v>
      </c>
      <c r="I375" s="19">
        <f t="shared" si="46"/>
        <v>0</v>
      </c>
      <c r="J375" s="4"/>
    </row>
    <row r="376" spans="1:10" ht="14.25">
      <c r="A376" s="46" t="str">
        <f t="shared" si="47"/>
        <v/>
      </c>
      <c r="B376" s="47" t="str">
        <f t="shared" si="48"/>
        <v/>
      </c>
      <c r="C376" s="48" t="str">
        <f t="shared" si="50"/>
        <v/>
      </c>
      <c r="D376" s="48" t="str">
        <f>IF(ISERROR(PMT(Maandelijkse_rente_percentage,(Loan_Years*12)-Pay_Num+1,Beg_Bal)),"",IF(Values_Entered,-PMT(Maandelijkse_rente_percentage,(Loan_Years*12)-Pay_Num+1,Beg_Bal),""))</f>
        <v/>
      </c>
      <c r="E376" s="48" t="str">
        <f t="shared" si="44"/>
        <v/>
      </c>
      <c r="F376" s="48" t="e">
        <f t="shared" si="45"/>
        <v>#VALUE!</v>
      </c>
      <c r="G376" s="48" t="str">
        <f t="shared" si="49"/>
        <v/>
      </c>
      <c r="H376" s="19">
        <f t="shared" si="43"/>
        <v>0</v>
      </c>
      <c r="I376" s="19">
        <f t="shared" si="46"/>
        <v>0</v>
      </c>
      <c r="J376" s="4"/>
    </row>
    <row r="377" spans="1:10" ht="14.25">
      <c r="A377" s="46" t="str">
        <f t="shared" si="47"/>
        <v/>
      </c>
      <c r="B377" s="47" t="str">
        <f t="shared" si="48"/>
        <v/>
      </c>
      <c r="C377" s="48" t="str">
        <f t="shared" si="50"/>
        <v/>
      </c>
      <c r="D377" s="48" t="str">
        <f>IF(ISERROR(PMT(Maandelijkse_rente_percentage,(Loan_Years*12)-Pay_Num+1,Beg_Bal)),"",IF(Values_Entered,-PMT(Maandelijkse_rente_percentage,(Loan_Years*12)-Pay_Num+1,Beg_Bal),""))</f>
        <v/>
      </c>
      <c r="E377" s="48" t="str">
        <f t="shared" si="44"/>
        <v/>
      </c>
      <c r="F377" s="48" t="e">
        <f t="shared" si="45"/>
        <v>#VALUE!</v>
      </c>
      <c r="G377" s="48" t="str">
        <f t="shared" si="49"/>
        <v/>
      </c>
      <c r="H377" s="19">
        <f t="shared" si="43"/>
        <v>0</v>
      </c>
      <c r="I377" s="19">
        <f t="shared" si="46"/>
        <v>0</v>
      </c>
      <c r="J377" s="4"/>
    </row>
    <row r="378" spans="1:10" ht="14.25">
      <c r="A378" s="46" t="str">
        <f t="shared" si="47"/>
        <v/>
      </c>
      <c r="B378" s="47" t="str">
        <f t="shared" si="48"/>
        <v/>
      </c>
      <c r="C378" s="48" t="str">
        <f t="shared" si="50"/>
        <v/>
      </c>
      <c r="D378" s="48" t="str">
        <f>IF(ISERROR(PMT(Maandelijkse_rente_percentage,(Loan_Years*12)-Pay_Num+1,Beg_Bal)),"",IF(Values_Entered,-PMT(Maandelijkse_rente_percentage,(Loan_Years*12)-Pay_Num+1,Beg_Bal),""))</f>
        <v/>
      </c>
      <c r="E378" s="48" t="str">
        <f t="shared" si="44"/>
        <v/>
      </c>
      <c r="F378" s="48" t="e">
        <f t="shared" si="45"/>
        <v>#VALUE!</v>
      </c>
      <c r="G378" s="48" t="str">
        <f t="shared" si="49"/>
        <v/>
      </c>
      <c r="H378" s="19">
        <f t="shared" si="43"/>
        <v>0</v>
      </c>
      <c r="I378" s="19">
        <f t="shared" si="46"/>
        <v>0</v>
      </c>
      <c r="J378" s="4"/>
    </row>
    <row r="379" spans="1:10">
      <c r="A379"/>
      <c r="B379" s="11"/>
      <c r="C379" s="14"/>
      <c r="D379" s="14"/>
      <c r="E379" s="14"/>
      <c r="F379" s="14"/>
      <c r="G379" s="14"/>
      <c r="H379" s="14"/>
      <c r="I379" s="24"/>
      <c r="J379" s="14"/>
    </row>
    <row r="381" spans="1:10">
      <c r="A381" s="4"/>
      <c r="B381" s="12"/>
      <c r="C381" s="15"/>
      <c r="D381" s="15"/>
      <c r="E381" s="15"/>
      <c r="F381" s="15"/>
      <c r="G381" s="15"/>
      <c r="H381" s="15"/>
      <c r="I381" s="17"/>
      <c r="J381" s="15"/>
    </row>
    <row r="382" spans="1:10">
      <c r="A382" s="4"/>
      <c r="B382" s="12"/>
      <c r="C382" s="15"/>
      <c r="D382" s="15"/>
      <c r="E382" s="15"/>
      <c r="F382" s="15"/>
      <c r="G382" s="15"/>
      <c r="H382" s="15"/>
      <c r="I382" s="17"/>
      <c r="J382" s="15"/>
    </row>
    <row r="383" spans="1:10">
      <c r="A383" s="4"/>
      <c r="B383" s="12"/>
      <c r="C383" s="15"/>
      <c r="D383" s="15"/>
      <c r="E383" s="15"/>
      <c r="F383" s="15"/>
      <c r="G383" s="15"/>
      <c r="H383" s="15"/>
      <c r="I383" s="17"/>
      <c r="J383" s="15"/>
    </row>
    <row r="384" spans="1:10">
      <c r="A384" s="4"/>
      <c r="B384" s="12"/>
      <c r="C384" s="15"/>
      <c r="D384" s="15"/>
      <c r="E384" s="15"/>
      <c r="F384" s="15"/>
      <c r="G384" s="15"/>
      <c r="H384" s="15"/>
      <c r="I384" s="17"/>
      <c r="J384" s="15"/>
    </row>
    <row r="385" spans="1:10">
      <c r="A385" s="4"/>
      <c r="B385" s="12"/>
      <c r="C385" s="15"/>
      <c r="D385" s="15"/>
      <c r="E385" s="15"/>
      <c r="F385" s="15"/>
      <c r="G385" s="15"/>
      <c r="H385" s="15"/>
      <c r="I385" s="17"/>
      <c r="J385" s="15"/>
    </row>
    <row r="386" spans="1:10">
      <c r="A386" s="4"/>
      <c r="B386" s="12"/>
      <c r="C386" s="15"/>
      <c r="D386" s="15"/>
      <c r="E386" s="15"/>
      <c r="F386" s="15"/>
      <c r="G386" s="15"/>
      <c r="H386" s="15"/>
      <c r="I386" s="17"/>
      <c r="J386" s="15"/>
    </row>
    <row r="387" spans="1:10">
      <c r="A387" s="4"/>
      <c r="B387" s="12"/>
      <c r="C387" s="15"/>
      <c r="D387" s="15"/>
      <c r="E387" s="15"/>
      <c r="F387" s="15"/>
      <c r="G387" s="15"/>
      <c r="H387" s="15"/>
      <c r="I387" s="17"/>
      <c r="J387" s="15"/>
    </row>
    <row r="388" spans="1:10">
      <c r="A388" s="4"/>
      <c r="B388" s="12"/>
      <c r="C388" s="15"/>
      <c r="D388" s="15"/>
      <c r="E388" s="15"/>
      <c r="F388" s="15"/>
      <c r="G388" s="15"/>
      <c r="H388" s="15"/>
      <c r="I388" s="17"/>
      <c r="J388" s="15"/>
    </row>
    <row r="389" spans="1:10">
      <c r="A389" s="4"/>
      <c r="B389" s="12"/>
      <c r="C389" s="15"/>
      <c r="D389" s="15"/>
      <c r="E389" s="15"/>
      <c r="F389" s="15"/>
      <c r="G389" s="15"/>
      <c r="H389" s="15"/>
      <c r="I389" s="17"/>
      <c r="J389" s="15"/>
    </row>
    <row r="390" spans="1:10">
      <c r="A390" s="4"/>
      <c r="B390" s="12"/>
      <c r="C390" s="15"/>
      <c r="D390" s="15"/>
      <c r="E390" s="15"/>
      <c r="F390" s="15"/>
      <c r="G390" s="15"/>
      <c r="H390" s="15"/>
      <c r="I390" s="17"/>
      <c r="J390" s="15"/>
    </row>
  </sheetData>
  <sheetProtection formatCells="0" formatColumns="0" selectLockedCells="1"/>
  <mergeCells count="14">
    <mergeCell ref="A16:C16"/>
    <mergeCell ref="A1:J1"/>
    <mergeCell ref="K1:N1"/>
    <mergeCell ref="A4:C4"/>
    <mergeCell ref="G4:J9"/>
    <mergeCell ref="A5:C5"/>
    <mergeCell ref="A6:C6"/>
    <mergeCell ref="A7:C7"/>
    <mergeCell ref="A8:C8"/>
    <mergeCell ref="A11:C11"/>
    <mergeCell ref="A12:C12"/>
    <mergeCell ref="A13:C13"/>
    <mergeCell ref="A14:C14"/>
    <mergeCell ref="A15:C15"/>
  </mergeCells>
  <conditionalFormatting sqref="A19:I378">
    <cfRule type="expression" dxfId="1" priority="1" stopIfTrue="1">
      <formula>IF(ROW(A19)&gt;Last_Row,TRUE, FALSE)</formula>
    </cfRule>
    <cfRule type="expression" dxfId="0" priority="2" stopIfTrue="1">
      <formula>IF(ROW(A19)=Last_Row,TRUE, FALSE)</formula>
    </cfRule>
  </conditionalFormatting>
  <dataValidations count="1">
    <dataValidation type="whole" operator="lessThanOrEqual" allowBlank="1" showErrorMessage="1" errorTitle="Aandacht!" error="De maximum looptijd van de lening mag maximaal 30 jaar zijn." sqref="D6">
      <formula1>30</formula1>
    </dataValidation>
  </dataValidations>
  <printOptions horizontalCentered="1" verticalCentered="1"/>
  <pageMargins left="0.74803149606299213" right="0.51181102362204722" top="0.51181102362204722" bottom="0.78740157480314965" header="0.51181102362204722" footer="0.39370078740157483"/>
  <pageSetup paperSize="9" scale="68" fitToHeight="0" orientation="portrait" r:id="rId1"/>
  <headerFooter alignWithMargins="0">
    <oddFooter>&amp;Crenteopdevoet.be, rodv.be of thoroweb kunnen op geen enkele manier aansprakelijk gesteld worden voor fouten, misverstanden of verliezen die voortkomen uit berekeningen met deze rekenmodule</oddFooter>
  </headerFooter>
  <drawing r:id="rId2"/>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Werkbladen</vt:lpstr>
      </vt:variant>
      <vt:variant>
        <vt:i4>2</vt:i4>
      </vt:variant>
      <vt:variant>
        <vt:lpstr>Benoemde bereiken</vt:lpstr>
      </vt:variant>
      <vt:variant>
        <vt:i4>42</vt:i4>
      </vt:variant>
    </vt:vector>
  </HeadingPairs>
  <TitlesOfParts>
    <vt:vector size="44" baseType="lpstr">
      <vt:lpstr>Leningscalculator 1</vt:lpstr>
      <vt:lpstr>Leningscalculator 2</vt:lpstr>
      <vt:lpstr>'Leningscalculator 1'!Afdruktitels</vt:lpstr>
      <vt:lpstr>'Leningscalculator 2'!Afdruktitels</vt:lpstr>
      <vt:lpstr>'Leningscalculator 1'!Beg_Bal</vt:lpstr>
      <vt:lpstr>'Leningscalculator 2'!Beg_Bal</vt:lpstr>
      <vt:lpstr>'Leningscalculator 1'!Data</vt:lpstr>
      <vt:lpstr>'Leningscalculator 2'!Data</vt:lpstr>
      <vt:lpstr>'Leningscalculator 1'!End_Bal</vt:lpstr>
      <vt:lpstr>'Leningscalculator 2'!End_Bal</vt:lpstr>
      <vt:lpstr>'Leningscalculator 1'!Full_Print</vt:lpstr>
      <vt:lpstr>'Leningscalculator 2'!Full_Print</vt:lpstr>
      <vt:lpstr>'Leningscalculator 1'!Int</vt:lpstr>
      <vt:lpstr>'Leningscalculator 2'!Int</vt:lpstr>
      <vt:lpstr>'Leningscalculator 1'!Interest_Rate</vt:lpstr>
      <vt:lpstr>'Leningscalculator 2'!Interest_Rate</vt:lpstr>
      <vt:lpstr>'Leningscalculator 1'!Jaarlijk_rente_percentage</vt:lpstr>
      <vt:lpstr>'Leningscalculator 2'!Jaarlijk_rente_percentage</vt:lpstr>
      <vt:lpstr>'Leningscalculator 1'!Loan_Amount</vt:lpstr>
      <vt:lpstr>'Leningscalculator 2'!Loan_Amount</vt:lpstr>
      <vt:lpstr>'Leningscalculator 1'!Loan_Start</vt:lpstr>
      <vt:lpstr>'Leningscalculator 2'!Loan_Start</vt:lpstr>
      <vt:lpstr>'Leningscalculator 1'!Loan_Years</vt:lpstr>
      <vt:lpstr>'Leningscalculator 2'!Loan_Years</vt:lpstr>
      <vt:lpstr>'Leningscalculator 1'!Maandelijkse_aflossing</vt:lpstr>
      <vt:lpstr>'Leningscalculator 2'!Maandelijkse_aflossing</vt:lpstr>
      <vt:lpstr>'Leningscalculator 2'!Maandelijkse_rente_percentage</vt:lpstr>
      <vt:lpstr>Maandelijkse_rente_percentage</vt:lpstr>
      <vt:lpstr>'Leningscalculator 2'!Max_Interest_Rate</vt:lpstr>
      <vt:lpstr>Max_Interest_Rate</vt:lpstr>
      <vt:lpstr>'Leningscalculator 1'!Pay_Date</vt:lpstr>
      <vt:lpstr>'Leningscalculator 2'!Pay_Date</vt:lpstr>
      <vt:lpstr>'Leningscalculator 1'!Pay_Num</vt:lpstr>
      <vt:lpstr>'Leningscalculator 2'!Pay_Num</vt:lpstr>
      <vt:lpstr>'Leningscalculator 1'!Princ</vt:lpstr>
      <vt:lpstr>'Leningscalculator 2'!Princ</vt:lpstr>
      <vt:lpstr>'Leningscalculator 1'!Scheduled_Extra_Payments</vt:lpstr>
      <vt:lpstr>'Leningscalculator 2'!Scheduled_Extra_Payments</vt:lpstr>
      <vt:lpstr>'Leningscalculator 1'!Scheduled_Interest_Rate</vt:lpstr>
      <vt:lpstr>'Leningscalculator 2'!Scheduled_Interest_Rate</vt:lpstr>
      <vt:lpstr>'Leningscalculator 1'!Scheduled_Monthly_Payment</vt:lpstr>
      <vt:lpstr>'Leningscalculator 2'!Scheduled_Monthly_Payment</vt:lpstr>
      <vt:lpstr>'Leningscalculator 1'!Total_Interest</vt:lpstr>
      <vt:lpstr>'Leningscalculator 2'!Total_Interest</vt:lpstr>
    </vt:vector>
  </TitlesOfParts>
  <Manager/>
  <Company>Microsoft Corporation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Leningscalculator</dc:title>
  <dc:subject>Bereken jou ideale lening!</dc:subject>
  <dc:creator>Wouter</dc:creator>
  <cp:keywords>Leningscalculator variabele vaste rente</cp:keywords>
  <dc:description>Credits: http://office.microsoft.com
Edit by Wouter
Thanks to http://www.renteopdevoet.be for the information!</dc:description>
  <cp:lastModifiedBy>Wouter</cp:lastModifiedBy>
  <cp:lastPrinted>2010-02-11T17:30:01Z</cp:lastPrinted>
  <dcterms:created xsi:type="dcterms:W3CDTF">2000-08-25T00:46:01Z</dcterms:created>
  <dcterms:modified xsi:type="dcterms:W3CDTF">2010-02-18T16:20:16Z</dcterms:modified>
  <cp:category>Hypothecaire leningen</cp:category>
  <cp:contentStatus>Concept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TC062062831043</vt:lpwstr>
  </property>
</Properties>
</file>