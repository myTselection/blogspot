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3.xml" ContentType="application/vnd.openxmlformats-officedocument.drawing+xml"/>
  <Override PartName="/xl/ctrlProps/ctrlProp21.xml" ContentType="application/vnd.ms-excel.controlpropertie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6.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480" yWindow="45" windowWidth="16140" windowHeight="9090" tabRatio="755" firstSheet="1" activeTab="7"/>
  </bookViews>
  <sheets>
    <sheet name="Password Generation" sheetId="3" r:id="rId1"/>
    <sheet name="Checkboxes" sheetId="1" r:id="rId2"/>
    <sheet name="Create Folder Structure" sheetId="8" r:id="rId3"/>
    <sheet name="ImportFolderStructureFromDisk" sheetId="12" r:id="rId4"/>
    <sheet name="AutoStartMacro-KeyboardAction" sheetId="9" r:id="rId5"/>
    <sheet name="SearchLookup" sheetId="10" r:id="rId6"/>
    <sheet name="OpenSaveDialog" sheetId="11" r:id="rId7"/>
    <sheet name="PhoneBook vCard Exporter" sheetId="13" r:id="rId8"/>
  </sheets>
  <functionGroups builtInGroupCount="17"/>
  <externalReferences>
    <externalReference r:id="rId9"/>
  </externalReferences>
  <definedNames>
    <definedName name="AlternativeEncoding">OpenSaveDialog!$B$9</definedName>
    <definedName name="browseFolderLocation">OpenSaveDialog!$D$3</definedName>
    <definedName name="ExportFileName">OpenSaveDialog!$B$10</definedName>
    <definedName name="FirstDataColumn">OpenSaveDialog!$B$7</definedName>
    <definedName name="FirstDataRow">OpenSaveDialog!$B$6</definedName>
    <definedName name="LastDataColumn">OpenSaveDialog!$B$8</definedName>
  </definedNames>
  <calcPr calcId="145621"/>
</workbook>
</file>

<file path=xl/calcChain.xml><?xml version="1.0" encoding="utf-8"?>
<calcChain xmlns="http://schemas.openxmlformats.org/spreadsheetml/2006/main">
  <c r="CW1" i="13" l="1"/>
  <c r="CV1" i="13"/>
  <c r="CU1" i="13"/>
  <c r="CT1" i="13"/>
  <c r="CS1" i="13"/>
  <c r="CR1" i="13"/>
  <c r="CQ1" i="13"/>
  <c r="CP1" i="13"/>
  <c r="CO1" i="13"/>
  <c r="CN1" i="13"/>
  <c r="CM1" i="13"/>
  <c r="CL1" i="13"/>
  <c r="CK1" i="13"/>
  <c r="CJ1" i="13"/>
  <c r="CI1" i="13"/>
  <c r="CH1" i="13"/>
  <c r="CG1" i="13"/>
  <c r="CF1" i="13"/>
  <c r="CE1" i="13"/>
  <c r="CD1" i="13"/>
  <c r="CC1" i="13"/>
  <c r="CB1" i="13"/>
  <c r="CA1" i="13"/>
  <c r="BZ1" i="13"/>
  <c r="BY1" i="13"/>
  <c r="BX1" i="13"/>
  <c r="BW1" i="13"/>
  <c r="BV1" i="13"/>
  <c r="BU1" i="13"/>
  <c r="BT1" i="13"/>
  <c r="BS1" i="13"/>
  <c r="BR1" i="13"/>
  <c r="BQ1" i="13"/>
  <c r="BP1" i="13"/>
  <c r="BO1" i="13"/>
  <c r="BN1" i="13"/>
  <c r="BM1" i="13"/>
  <c r="BL1" i="13"/>
  <c r="BK1" i="13"/>
  <c r="BI1" i="13"/>
  <c r="E10" i="10"/>
  <c r="E9" i="10"/>
  <c r="E22" i="10"/>
  <c r="E21" i="10"/>
</calcChain>
</file>

<file path=xl/sharedStrings.xml><?xml version="1.0" encoding="utf-8"?>
<sst xmlns="http://schemas.openxmlformats.org/spreadsheetml/2006/main" count="127" uniqueCount="96">
  <si>
    <t>Name:</t>
  </si>
  <si>
    <t>Password:</t>
  </si>
  <si>
    <t>Date</t>
  </si>
  <si>
    <t>Status</t>
  </si>
  <si>
    <t>Firstname:</t>
  </si>
  <si>
    <t>Each cell represents a folder, going right for nested folders.
Click the 'Create folder structure' button. It will request for the base folder to create the folder structure into.</t>
  </si>
  <si>
    <t>The keys "t", "e", "s","t" are linked to special macros.</t>
  </si>
  <si>
    <t>While not editing a cell, press one of the keys t/e/s/t to see the status bar update as defined in the macro in module "KeyboardAction"</t>
  </si>
  <si>
    <t>Fruits</t>
  </si>
  <si>
    <t>apple</t>
  </si>
  <si>
    <t>banana</t>
  </si>
  <si>
    <t>Categories:</t>
  </si>
  <si>
    <t>Values:</t>
  </si>
  <si>
    <t>Animals</t>
  </si>
  <si>
    <t>cat</t>
  </si>
  <si>
    <t>dog</t>
  </si>
  <si>
    <t>SearchVLookup example data</t>
  </si>
  <si>
    <t>SearchHLookup example data</t>
  </si>
  <si>
    <t>SearchHLookup exampel usage:</t>
  </si>
  <si>
    <t>SearchVLookup exampel usage:</t>
  </si>
  <si>
    <t>Apple belongs to category:</t>
  </si>
  <si>
    <t>Dogs belong to category:</t>
  </si>
  <si>
    <t>Forumla used in cells below:</t>
  </si>
  <si>
    <t>Open folder selection diaglog</t>
  </si>
  <si>
    <t>Folder location selected:</t>
  </si>
  <si>
    <t>FirstDataRow</t>
  </si>
  <si>
    <t>FirstDataColumn</t>
  </si>
  <si>
    <t>alternativeEncoding1;alternativeEncoding2</t>
  </si>
  <si>
    <t>AlternativeEncoding</t>
  </si>
  <si>
    <t>test1</t>
  </si>
  <si>
    <t>test2</t>
  </si>
  <si>
    <t>test3</t>
  </si>
  <si>
    <t>alternativeEncoding1</t>
  </si>
  <si>
    <t>test4</t>
  </si>
  <si>
    <t>alternativeEncoding2</t>
  </si>
  <si>
    <t>valueTest3</t>
  </si>
  <si>
    <t>valueTest4</t>
  </si>
  <si>
    <t>valueAlternativeEncoding2</t>
  </si>
  <si>
    <t>LastDataColumn</t>
  </si>
  <si>
    <t>ExportFileName</t>
  </si>
  <si>
    <t>exportFileTest.txt</t>
  </si>
  <si>
    <t>valueTest1 special characters é ë &amp;</t>
  </si>
  <si>
    <t xml:space="preserve">valueTest2 new line example
text on second line 	</t>
  </si>
  <si>
    <t>valueAlternativeEncoding1 special characters using alternate encoding é ë &amp;</t>
  </si>
  <si>
    <t>Export data set example</t>
  </si>
  <si>
    <t>INFORMATION: It will export the example data set into a text file, and while doing so, all special characters will be converted (eg &amp;#233). For rows in the list of 'AlternativeEncoding', an alternative encoding (eg \u00E9) for special characters will be used. 
To make the sheet readable, the special character can be converted back into readable special characters.</t>
  </si>
  <si>
    <t>Export configuration:</t>
  </si>
  <si>
    <t>Each cell represents a folder, going right for nested folders.
Click the 'Import folder structure' button. It will request for the base folder to create the folder structure into. Use the 'Clear imported data' to remove all cell values as of row 2.</t>
  </si>
  <si>
    <t>version 2014-02-17</t>
  </si>
  <si>
    <t>Email</t>
  </si>
  <si>
    <t>Mobile phone</t>
  </si>
  <si>
    <t>Phone</t>
  </si>
  <si>
    <t>Fax</t>
  </si>
  <si>
    <t>Adress</t>
  </si>
  <si>
    <t>Note</t>
  </si>
  <si>
    <t>Do not edit/remove the values and formulas in the red columns and below</t>
  </si>
  <si>
    <t>VERSION:2.1</t>
  </si>
  <si>
    <t>First Name</t>
  </si>
  <si>
    <t>Last Name</t>
  </si>
  <si>
    <t>P</t>
  </si>
  <si>
    <t>Home Mobile Phone 1</t>
  </si>
  <si>
    <t>Home Mobile Phone 2</t>
  </si>
  <si>
    <t>Home Mobile Phone 3</t>
  </si>
  <si>
    <t>Home Mobile Phone 4</t>
  </si>
  <si>
    <t>Home Mobile Phone 5</t>
  </si>
  <si>
    <t>Work Mobile Phone 1</t>
  </si>
  <si>
    <t>Work Mobile Phone 2</t>
  </si>
  <si>
    <t>Work Mobile Phone 3</t>
  </si>
  <si>
    <t>Work Mobile Phone 4</t>
  </si>
  <si>
    <t>Work Mobile Phone 5</t>
  </si>
  <si>
    <t>Home Phone 1</t>
  </si>
  <si>
    <t>Home Phone 2</t>
  </si>
  <si>
    <t>Home Phone 3</t>
  </si>
  <si>
    <t>Home Phone 4</t>
  </si>
  <si>
    <t>Home Phone 5</t>
  </si>
  <si>
    <t>Work Phone 1</t>
  </si>
  <si>
    <t>Work Phone 2</t>
  </si>
  <si>
    <t>Work Phone 3</t>
  </si>
  <si>
    <t>Work Phone 4</t>
  </si>
  <si>
    <t>Work Phone 5</t>
  </si>
  <si>
    <t>Home Fax 1</t>
  </si>
  <si>
    <t>Home Fax 2</t>
  </si>
  <si>
    <t>Home Fax 3</t>
  </si>
  <si>
    <t>Home Fax 4</t>
  </si>
  <si>
    <t>Home Fax 5</t>
  </si>
  <si>
    <t>Work Fax 1</t>
  </si>
  <si>
    <t>Work Fax 2</t>
  </si>
  <si>
    <t>Work Fax 3</t>
  </si>
  <si>
    <t>Work Fax 4</t>
  </si>
  <si>
    <t>Work Fax 5</t>
  </si>
  <si>
    <t>Home E-mail 1</t>
  </si>
  <si>
    <t>Home E-mail 2</t>
  </si>
  <si>
    <t>Work E-mail 1</t>
  </si>
  <si>
    <t>Work E-mail 2</t>
  </si>
  <si>
    <t>Home Address</t>
  </si>
  <si>
    <t>Work Address</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</si>
</sst>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Calibri"/>
      <family val="2"/>
    </font>
    <font>
      <b/>
      <sz val="10"/>
      <name val="Calibri"/>
      <family val="2"/>
    </font>
    <font>
      <sz val="10"/>
      <name val="Courier New"/>
      <family val="3"/>
    </font>
    <font>
      <sz val="10"/>
      <color indexed="12"/>
      <name val="Courier New"/>
      <family val="3"/>
    </font>
    <font>
      <sz val="10"/>
      <color indexed="12"/>
      <name val="Calibri"/>
      <family val="2"/>
    </font>
    <font>
      <sz val="10"/>
      <color theme="0"/>
      <name val="Calibri"/>
      <family val="2"/>
    </font>
    <font>
      <sz val="10"/>
      <color rgb="FF0000FF"/>
      <name val="Courier New"/>
      <family val="3"/>
    </font>
    <font>
      <sz val="10"/>
      <name val="Arial"/>
      <family val="2"/>
    </font>
    <font>
      <sz val="8"/>
      <color rgb="FF000000"/>
      <name val="Arial"/>
      <family val="2"/>
    </font>
    <font>
      <b/>
      <sz val="11"/>
      <color theme="1"/>
      <name val="Calibri"/>
      <family val="2"/>
      <scheme val="minor"/>
    </font>
    <font>
      <sz val="11"/>
      <color theme="0"/>
      <name val="Calibri"/>
      <family val="2"/>
      <scheme val="minor"/>
    </font>
    <font>
      <sz val="11"/>
      <color rgb="FF000000"/>
      <name val="Calibri"/>
      <family val="2"/>
    </font>
    <font>
      <i/>
      <sz val="11"/>
      <color theme="1"/>
      <name val="Calibri"/>
      <family val="2"/>
      <scheme val="minor"/>
    </font>
    <font>
      <b/>
      <sz val="10"/>
      <name val="Arial"/>
      <family val="2"/>
    </font>
    <font>
      <sz val="10"/>
      <color theme="0"/>
      <name val="Arial"/>
      <family val="2"/>
    </font>
    <font>
      <sz val="10"/>
      <color rgb="FF000000"/>
      <name val="Arial"/>
      <family val="2"/>
    </font>
    <font>
      <b/>
      <sz val="16"/>
      <name val="Arial"/>
      <family val="2"/>
      <charset val="161"/>
    </font>
    <font>
      <b/>
      <sz val="10"/>
      <name val="Arial"/>
      <family val="2"/>
      <charset val="161"/>
    </font>
  </fonts>
  <fills count="8">
    <fill>
      <patternFill patternType="none"/>
    </fill>
    <fill>
      <patternFill patternType="gray125"/>
    </fill>
    <fill>
      <patternFill patternType="solid">
        <fgColor indexed="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
      <patternFill patternType="solid">
        <fgColor indexed="51"/>
        <bgColor indexed="64"/>
      </patternFill>
    </fill>
    <fill>
      <patternFill patternType="solid">
        <fgColor indexed="1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right style="thin">
        <color theme="0" tint="-0.14996795556505021"/>
      </right>
      <top/>
      <bottom style="thin">
        <color theme="0" tint="-0.14996795556505021"/>
      </bottom>
      <diagonal/>
    </border>
    <border>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s>
  <cellStyleXfs count="5">
    <xf numFmtId="0" fontId="0" fillId="0" borderId="0"/>
    <xf numFmtId="0" fontId="4" fillId="0" borderId="0"/>
    <xf numFmtId="0" fontId="3" fillId="0" borderId="0"/>
    <xf numFmtId="0" fontId="1" fillId="0" borderId="0"/>
    <xf numFmtId="0" fontId="13" fillId="0" borderId="0"/>
  </cellStyleXfs>
  <cellXfs count="81">
    <xf numFmtId="0" fontId="0" fillId="0" borderId="0" xfId="0"/>
    <xf numFmtId="0" fontId="6" fillId="2" borderId="0" xfId="0" applyFont="1" applyFill="1"/>
    <xf numFmtId="0" fontId="7" fillId="2" borderId="0" xfId="0" applyFont="1" applyFill="1" applyAlignment="1">
      <alignment vertical="center"/>
    </xf>
    <xf numFmtId="0" fontId="6" fillId="2" borderId="0" xfId="0" applyFont="1" applyFill="1" applyAlignment="1">
      <alignment vertical="center"/>
    </xf>
    <xf numFmtId="14" fontId="6" fillId="2" borderId="0" xfId="0" applyNumberFormat="1" applyFont="1" applyFill="1" applyAlignment="1">
      <alignment vertical="center"/>
    </xf>
    <xf numFmtId="0" fontId="7" fillId="2" borderId="4" xfId="0" applyFont="1" applyFill="1" applyBorder="1" applyAlignment="1">
      <alignment horizontal="center" vertical="center"/>
    </xf>
    <xf numFmtId="14" fontId="7" fillId="2" borderId="3" xfId="0" applyNumberFormat="1" applyFont="1" applyFill="1" applyBorder="1" applyAlignment="1">
      <alignment horizontal="center" vertical="center"/>
    </xf>
    <xf numFmtId="14" fontId="10" fillId="2" borderId="6" xfId="0" applyNumberFormat="1" applyFont="1" applyFill="1" applyBorder="1" applyAlignment="1" applyProtection="1">
      <alignment horizontal="center" vertical="center"/>
      <protection locked="0"/>
    </xf>
    <xf numFmtId="14" fontId="10" fillId="2" borderId="7" xfId="0" applyNumberFormat="1" applyFont="1" applyFill="1" applyBorder="1" applyAlignment="1" applyProtection="1">
      <alignment horizontal="center" vertical="center"/>
      <protection locked="0"/>
    </xf>
    <xf numFmtId="14" fontId="6" fillId="2" borderId="0" xfId="0" applyNumberFormat="1" applyFont="1" applyFill="1" applyAlignment="1">
      <alignment horizontal="center" vertical="center"/>
    </xf>
    <xf numFmtId="0" fontId="11" fillId="2" borderId="0" xfId="0" applyFont="1" applyFill="1" applyBorder="1" applyAlignment="1" applyProtection="1">
      <alignment horizontal="center" vertical="center"/>
      <protection locked="0"/>
    </xf>
    <xf numFmtId="0" fontId="11" fillId="2" borderId="5" xfId="0" applyFont="1" applyFill="1" applyBorder="1" applyAlignment="1" applyProtection="1">
      <alignment horizontal="center" vertical="center"/>
      <protection locked="0"/>
    </xf>
    <xf numFmtId="0" fontId="6" fillId="2" borderId="0" xfId="0" applyFont="1" applyFill="1" applyAlignment="1">
      <alignment horizontal="center" vertical="center"/>
    </xf>
    <xf numFmtId="0" fontId="9" fillId="2" borderId="2" xfId="0" applyFont="1" applyFill="1" applyBorder="1" applyAlignment="1" applyProtection="1">
      <alignment horizontal="left" vertical="center"/>
      <protection locked="0"/>
    </xf>
    <xf numFmtId="0" fontId="9" fillId="2" borderId="3" xfId="0" applyFont="1" applyFill="1" applyBorder="1" applyAlignment="1" applyProtection="1">
      <alignment horizontal="left" vertical="center"/>
      <protection locked="0"/>
    </xf>
    <xf numFmtId="0" fontId="9" fillId="2" borderId="0" xfId="0" applyFont="1" applyFill="1" applyAlignment="1">
      <alignment vertical="center"/>
    </xf>
    <xf numFmtId="0" fontId="8" fillId="2" borderId="0" xfId="0" applyFont="1" applyFill="1" applyAlignment="1">
      <alignment vertical="center"/>
    </xf>
    <xf numFmtId="0" fontId="12" fillId="2" borderId="1" xfId="0" applyFont="1" applyFill="1" applyBorder="1" applyAlignment="1" applyProtection="1">
      <alignment horizontal="left" vertical="center"/>
      <protection locked="0"/>
    </xf>
    <xf numFmtId="0" fontId="13" fillId="0" borderId="0" xfId="0" applyFont="1"/>
    <xf numFmtId="0" fontId="12" fillId="2" borderId="1" xfId="0" quotePrefix="1" applyFont="1" applyFill="1" applyBorder="1" applyAlignment="1" applyProtection="1">
      <alignment horizontal="left" vertical="center"/>
      <protection locked="0"/>
    </xf>
    <xf numFmtId="0" fontId="16" fillId="3" borderId="0" xfId="1" applyFont="1" applyFill="1"/>
    <xf numFmtId="0" fontId="15" fillId="0" borderId="0" xfId="1" applyFont="1" applyFill="1" applyAlignment="1" applyProtection="1">
      <alignment horizontal="center" vertical="center"/>
      <protection locked="0"/>
    </xf>
    <xf numFmtId="0" fontId="4" fillId="0" borderId="0" xfId="1"/>
    <xf numFmtId="0" fontId="3" fillId="0" borderId="0" xfId="2"/>
    <xf numFmtId="0" fontId="15" fillId="0" borderId="0" xfId="2" applyFont="1"/>
    <xf numFmtId="0" fontId="16" fillId="3" borderId="0" xfId="2" applyFont="1" applyFill="1"/>
    <xf numFmtId="0" fontId="0" fillId="0" borderId="1" xfId="0" applyBorder="1"/>
    <xf numFmtId="0" fontId="13" fillId="0" borderId="0" xfId="0" applyFont="1" applyAlignment="1">
      <alignment horizontal="right"/>
    </xf>
    <xf numFmtId="0" fontId="3" fillId="0" borderId="1" xfId="2" applyBorder="1"/>
    <xf numFmtId="0" fontId="3" fillId="4" borderId="7" xfId="2" applyFill="1" applyBorder="1"/>
    <xf numFmtId="0" fontId="15" fillId="4" borderId="5" xfId="2" applyFont="1" applyFill="1" applyBorder="1"/>
    <xf numFmtId="0" fontId="3" fillId="4" borderId="6" xfId="2" applyFill="1" applyBorder="1"/>
    <xf numFmtId="0" fontId="3" fillId="4" borderId="0" xfId="2" applyFill="1"/>
    <xf numFmtId="0" fontId="3" fillId="4" borderId="5" xfId="2" applyFill="1" applyBorder="1"/>
    <xf numFmtId="0" fontId="15" fillId="4" borderId="6" xfId="2" applyFont="1" applyFill="1" applyBorder="1"/>
    <xf numFmtId="0" fontId="18" fillId="0" borderId="0" xfId="2" applyFont="1"/>
    <xf numFmtId="0" fontId="19" fillId="0" borderId="0" xfId="0" applyFont="1"/>
    <xf numFmtId="0" fontId="13" fillId="4" borderId="0" xfId="0" applyFont="1" applyFill="1"/>
    <xf numFmtId="0" fontId="13" fillId="4" borderId="0" xfId="0" applyFont="1" applyFill="1" applyAlignment="1">
      <alignment wrapText="1"/>
    </xf>
    <xf numFmtId="0" fontId="19" fillId="4" borderId="0" xfId="0" applyFont="1" applyFill="1"/>
    <xf numFmtId="0" fontId="13" fillId="0" borderId="0" xfId="0" applyFont="1" applyAlignment="1">
      <alignment horizontal="center" wrapText="1"/>
    </xf>
    <xf numFmtId="0" fontId="13" fillId="0" borderId="1" xfId="0" applyFont="1" applyBorder="1"/>
    <xf numFmtId="0" fontId="19" fillId="0" borderId="1" xfId="0" applyFont="1" applyBorder="1"/>
    <xf numFmtId="0" fontId="2" fillId="0" borderId="0" xfId="1" applyFont="1"/>
    <xf numFmtId="0" fontId="16" fillId="3" borderId="5" xfId="1" applyFont="1" applyFill="1" applyBorder="1" applyAlignment="1">
      <alignment horizontal="left" vertical="top" wrapText="1"/>
    </xf>
    <xf numFmtId="0" fontId="20" fillId="5" borderId="0" xfId="0" applyFont="1" applyFill="1" applyAlignment="1">
      <alignment horizontal="left" vertical="center" wrapText="1"/>
    </xf>
    <xf numFmtId="0" fontId="16" fillId="3" borderId="5" xfId="3" applyFont="1" applyFill="1" applyBorder="1" applyAlignment="1">
      <alignment horizontal="left" vertical="top" wrapText="1"/>
    </xf>
    <xf numFmtId="0" fontId="16" fillId="3" borderId="0" xfId="3" applyFont="1" applyFill="1" applyAlignment="1">
      <alignment horizontal="left" vertical="top"/>
    </xf>
    <xf numFmtId="0" fontId="1" fillId="0" borderId="0" xfId="3"/>
    <xf numFmtId="11" fontId="1" fillId="0" borderId="0" xfId="3" applyNumberFormat="1"/>
    <xf numFmtId="14" fontId="1" fillId="0" borderId="0" xfId="3" applyNumberFormat="1"/>
    <xf numFmtId="17" fontId="1" fillId="0" borderId="0" xfId="3" applyNumberFormat="1"/>
    <xf numFmtId="0" fontId="19" fillId="6" borderId="8" xfId="4" applyFont="1" applyFill="1" applyBorder="1" applyAlignment="1" applyProtection="1">
      <alignment horizontal="left" vertical="center"/>
    </xf>
    <xf numFmtId="0" fontId="19" fillId="6" borderId="8" xfId="4" applyFont="1" applyFill="1" applyBorder="1" applyAlignment="1" applyProtection="1">
      <alignment horizontal="center" vertical="center"/>
    </xf>
    <xf numFmtId="0" fontId="19" fillId="6" borderId="7" xfId="4" applyFont="1" applyFill="1" applyBorder="1" applyAlignment="1" applyProtection="1">
      <alignment horizontal="center" vertical="center"/>
    </xf>
    <xf numFmtId="0" fontId="19" fillId="7" borderId="0" xfId="4" applyFont="1" applyFill="1" applyBorder="1" applyAlignment="1" applyProtection="1">
      <alignment horizontal="center" vertical="center" wrapText="1"/>
      <protection locked="0"/>
    </xf>
    <xf numFmtId="0" fontId="19" fillId="7" borderId="0" xfId="4" applyFont="1" applyFill="1" applyAlignment="1" applyProtection="1">
      <alignment horizontal="center" vertical="center"/>
      <protection locked="0"/>
    </xf>
    <xf numFmtId="0" fontId="19" fillId="0" borderId="0" xfId="4" applyFont="1" applyAlignment="1" applyProtection="1">
      <alignment horizontal="center" vertical="center"/>
    </xf>
    <xf numFmtId="0" fontId="19" fillId="0" borderId="0" xfId="4" applyFont="1" applyAlignment="1">
      <alignment horizontal="center" vertical="center"/>
    </xf>
    <xf numFmtId="0" fontId="23" fillId="6" borderId="1" xfId="4" applyFont="1" applyFill="1" applyBorder="1" applyAlignment="1" applyProtection="1">
      <alignment horizontal="center" vertical="center"/>
    </xf>
    <xf numFmtId="0" fontId="23" fillId="6" borderId="3" xfId="4" applyFont="1" applyFill="1" applyBorder="1" applyAlignment="1" applyProtection="1">
      <alignment horizontal="center" vertical="center"/>
    </xf>
    <xf numFmtId="0" fontId="13" fillId="7" borderId="0" xfId="4" applyFill="1" applyBorder="1" applyAlignment="1" applyProtection="1">
      <alignment horizontal="center" vertical="center"/>
      <protection locked="0"/>
    </xf>
    <xf numFmtId="0" fontId="13" fillId="7" borderId="0" xfId="4" applyFill="1" applyAlignment="1" applyProtection="1">
      <alignment horizontal="center" vertical="center"/>
      <protection locked="0"/>
    </xf>
    <xf numFmtId="0" fontId="13" fillId="0" borderId="0" xfId="4" applyAlignment="1" applyProtection="1">
      <alignment horizontal="center" vertical="center"/>
    </xf>
    <xf numFmtId="0" fontId="13" fillId="0" borderId="0" xfId="4" applyAlignment="1">
      <alignment horizontal="center" vertical="center"/>
    </xf>
    <xf numFmtId="0" fontId="13" fillId="0" borderId="9" xfId="4" applyFont="1" applyBorder="1" applyAlignment="1" applyProtection="1">
      <alignment horizontal="left"/>
      <protection locked="0"/>
    </xf>
    <xf numFmtId="0" fontId="13" fillId="0" borderId="10" xfId="4" applyBorder="1" applyAlignment="1" applyProtection="1">
      <alignment horizontal="left"/>
      <protection locked="0"/>
    </xf>
    <xf numFmtId="0" fontId="13" fillId="0" borderId="10" xfId="4" applyBorder="1" applyAlignment="1" applyProtection="1">
      <alignment horizontal="center"/>
      <protection locked="0"/>
    </xf>
    <xf numFmtId="0" fontId="13" fillId="0" borderId="11" xfId="4" applyBorder="1" applyAlignment="1" applyProtection="1">
      <alignment horizontal="center"/>
      <protection locked="0"/>
    </xf>
    <xf numFmtId="0" fontId="13" fillId="0" borderId="12" xfId="4" applyBorder="1" applyAlignment="1" applyProtection="1">
      <alignment horizontal="center"/>
      <protection locked="0"/>
    </xf>
    <xf numFmtId="0" fontId="13" fillId="0" borderId="13" xfId="4" applyBorder="1" applyAlignment="1" applyProtection="1">
      <alignment horizontal="center"/>
      <protection locked="0"/>
    </xf>
    <xf numFmtId="0" fontId="13" fillId="0" borderId="0" xfId="4" applyBorder="1" applyAlignment="1" applyProtection="1">
      <alignment horizontal="center"/>
      <protection locked="0"/>
    </xf>
    <xf numFmtId="0" fontId="13" fillId="0" borderId="0" xfId="4" applyAlignment="1" applyProtection="1">
      <alignment horizontal="center"/>
      <protection locked="0"/>
    </xf>
    <xf numFmtId="0" fontId="13" fillId="0" borderId="0" xfId="4" applyAlignment="1">
      <alignment horizontal="center"/>
    </xf>
    <xf numFmtId="0" fontId="13" fillId="0" borderId="14" xfId="4" applyFont="1" applyBorder="1" applyAlignment="1" applyProtection="1">
      <alignment horizontal="left"/>
      <protection locked="0"/>
    </xf>
    <xf numFmtId="0" fontId="13" fillId="0" borderId="15" xfId="4" applyBorder="1" applyAlignment="1" applyProtection="1">
      <alignment horizontal="left"/>
      <protection locked="0"/>
    </xf>
    <xf numFmtId="0" fontId="13" fillId="0" borderId="15" xfId="4" applyBorder="1" applyAlignment="1" applyProtection="1">
      <alignment horizontal="center"/>
      <protection locked="0"/>
    </xf>
    <xf numFmtId="0" fontId="13" fillId="0" borderId="16" xfId="4" applyBorder="1" applyAlignment="1" applyProtection="1">
      <alignment horizontal="center"/>
      <protection locked="0"/>
    </xf>
    <xf numFmtId="0" fontId="13" fillId="0" borderId="17" xfId="4" applyBorder="1" applyAlignment="1" applyProtection="1">
      <alignment horizontal="center"/>
      <protection locked="0"/>
    </xf>
    <xf numFmtId="0" fontId="13" fillId="0" borderId="18" xfId="4" applyBorder="1" applyAlignment="1" applyProtection="1">
      <alignment horizontal="center"/>
      <protection locked="0"/>
    </xf>
    <xf numFmtId="0" fontId="13" fillId="0" borderId="14" xfId="4" applyBorder="1" applyAlignment="1" applyProtection="1">
      <alignment horizontal="left"/>
      <protection locked="0"/>
    </xf>
  </cellXfs>
  <cellStyles count="5">
    <cellStyle name="Normal" xfId="0" builtinId="0"/>
    <cellStyle name="Normal 2" xfId="1"/>
    <cellStyle name="Normal 3" xfId="2"/>
    <cellStyle name="Normal 4" xfId="3"/>
    <cellStyle name="Normal 5" xfId="4"/>
  </cellStyles>
  <dxfs count="1">
    <dxf>
      <fill>
        <patternFill>
          <bgColor theme="5" tint="0.79998168889431442"/>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A2" lockText="1" noThreeD="1"/>
</file>

<file path=xl/ctrlProps/ctrlProp10.xml><?xml version="1.0" encoding="utf-8"?>
<formControlPr xmlns="http://schemas.microsoft.com/office/spreadsheetml/2009/9/main" objectType="CheckBox" checked="Checked" fmlaLink="$A3" lockText="1" noThreeD="1"/>
</file>

<file path=xl/ctrlProps/ctrlProp11.xml><?xml version="1.0" encoding="utf-8"?>
<formControlPr xmlns="http://schemas.microsoft.com/office/spreadsheetml/2009/9/main" objectType="CheckBox" fmlaLink="$A4" lockText="1" noThreeD="1"/>
</file>

<file path=xl/ctrlProps/ctrlProp12.xml><?xml version="1.0" encoding="utf-8"?>
<formControlPr xmlns="http://schemas.microsoft.com/office/spreadsheetml/2009/9/main" objectType="CheckBox" fmlaLink="$A5" lockText="1" noThreeD="1"/>
</file>

<file path=xl/ctrlProps/ctrlProp13.xml><?xml version="1.0" encoding="utf-8"?>
<formControlPr xmlns="http://schemas.microsoft.com/office/spreadsheetml/2009/9/main" objectType="CheckBox" fmlaLink="$A6" lockText="1" noThreeD="1"/>
</file>

<file path=xl/ctrlProps/ctrlProp14.xml><?xml version="1.0" encoding="utf-8"?>
<formControlPr xmlns="http://schemas.microsoft.com/office/spreadsheetml/2009/9/main" objectType="CheckBox" fmlaLink="$A7" lockText="1" noThreeD="1"/>
</file>

<file path=xl/ctrlProps/ctrlProp15.xml><?xml version="1.0" encoding="utf-8"?>
<formControlPr xmlns="http://schemas.microsoft.com/office/spreadsheetml/2009/9/main" objectType="CheckBox" fmlaLink="$A8" lockText="1" noThreeD="1"/>
</file>

<file path=xl/ctrlProps/ctrlProp16.xml><?xml version="1.0" encoding="utf-8"?>
<formControlPr xmlns="http://schemas.microsoft.com/office/spreadsheetml/2009/9/main" objectType="CheckBox" fmlaLink="$A9" lockText="1" noThreeD="1"/>
</file>

<file path=xl/ctrlProps/ctrlProp17.xml><?xml version="1.0" encoding="utf-8"?>
<formControlPr xmlns="http://schemas.microsoft.com/office/spreadsheetml/2009/9/main" objectType="CheckBox" fmlaLink="$A10" lockText="1" noThreeD="1"/>
</file>

<file path=xl/ctrlProps/ctrlProp18.xml><?xml version="1.0" encoding="utf-8"?>
<formControlPr xmlns="http://schemas.microsoft.com/office/spreadsheetml/2009/9/main" objectType="CheckBox" fmlaLink="$A11" lockText="1" noThreeD="1"/>
</file>

<file path=xl/ctrlProps/ctrlProp19.xml><?xml version="1.0" encoding="utf-8"?>
<formControlPr xmlns="http://schemas.microsoft.com/office/spreadsheetml/2009/9/main" objectType="CheckBox" fmlaLink="$A12" lockText="1" noThreeD="1"/>
</file>

<file path=xl/ctrlProps/ctrlProp20.xml><?xml version="1.0" encoding="utf-8"?>
<formControlPr xmlns="http://schemas.microsoft.com/office/spreadsheetml/2009/9/main" objectType="CheckBox" fmlaLink="$A13"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114300</xdr:colOff>
          <xdr:row>2</xdr:row>
          <xdr:rowOff>0</xdr:rowOff>
        </xdr:from>
        <xdr:to>
          <xdr:col>4</xdr:col>
          <xdr:colOff>971550</xdr:colOff>
          <xdr:row>2</xdr:row>
          <xdr:rowOff>295275</xdr:rowOff>
        </xdr:to>
        <xdr:sp macro="" textlink="">
          <xdr:nvSpPr>
            <xdr:cNvPr id="3082" name="Button 10" hidden="1">
              <a:extLst>
                <a:ext uri="{63B3BB69-23CF-44E3-9099-C40C66FF867C}">
                  <a14:compatExt spid="_x0000_s30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0</xdr:rowOff>
        </xdr:from>
        <xdr:to>
          <xdr:col>4</xdr:col>
          <xdr:colOff>971550</xdr:colOff>
          <xdr:row>4</xdr:row>
          <xdr:rowOff>295275</xdr:rowOff>
        </xdr:to>
        <xdr:sp macro="" textlink="">
          <xdr:nvSpPr>
            <xdr:cNvPr id="3092" name="Button 20" hidden="1">
              <a:extLst>
                <a:ext uri="{63B3BB69-23CF-44E3-9099-C40C66FF867C}">
                  <a14:compatExt spid="_x0000_s30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6</xdr:row>
          <xdr:rowOff>0</xdr:rowOff>
        </xdr:from>
        <xdr:to>
          <xdr:col>4</xdr:col>
          <xdr:colOff>971550</xdr:colOff>
          <xdr:row>6</xdr:row>
          <xdr:rowOff>295275</xdr:rowOff>
        </xdr:to>
        <xdr:sp macro="" textlink="">
          <xdr:nvSpPr>
            <xdr:cNvPr id="3100" name="Button 28" hidden="1">
              <a:extLst>
                <a:ext uri="{63B3BB69-23CF-44E3-9099-C40C66FF867C}">
                  <a14:compatExt spid="_x0000_s3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8</xdr:row>
          <xdr:rowOff>0</xdr:rowOff>
        </xdr:from>
        <xdr:to>
          <xdr:col>4</xdr:col>
          <xdr:colOff>971550</xdr:colOff>
          <xdr:row>8</xdr:row>
          <xdr:rowOff>295275</xdr:rowOff>
        </xdr:to>
        <xdr:sp macro="" textlink="">
          <xdr:nvSpPr>
            <xdr:cNvPr id="3108" name="Button 36" hidden="1">
              <a:extLst>
                <a:ext uri="{63B3BB69-23CF-44E3-9099-C40C66FF867C}">
                  <a14:compatExt spid="_x0000_s3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10</xdr:row>
          <xdr:rowOff>0</xdr:rowOff>
        </xdr:from>
        <xdr:to>
          <xdr:col>4</xdr:col>
          <xdr:colOff>971550</xdr:colOff>
          <xdr:row>10</xdr:row>
          <xdr:rowOff>295275</xdr:rowOff>
        </xdr:to>
        <xdr:sp macro="" textlink="">
          <xdr:nvSpPr>
            <xdr:cNvPr id="3116" name="Button 44" hidden="1">
              <a:extLst>
                <a:ext uri="{63B3BB69-23CF-44E3-9099-C40C66FF867C}">
                  <a14:compatExt spid="_x0000_s3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12</xdr:row>
          <xdr:rowOff>0</xdr:rowOff>
        </xdr:from>
        <xdr:to>
          <xdr:col>4</xdr:col>
          <xdr:colOff>971550</xdr:colOff>
          <xdr:row>12</xdr:row>
          <xdr:rowOff>295275</xdr:rowOff>
        </xdr:to>
        <xdr:sp macro="" textlink="">
          <xdr:nvSpPr>
            <xdr:cNvPr id="3124" name="Button 52" hidden="1">
              <a:extLst>
                <a:ext uri="{63B3BB69-23CF-44E3-9099-C40C66FF867C}">
                  <a14:compatExt spid="_x0000_s3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14</xdr:row>
          <xdr:rowOff>0</xdr:rowOff>
        </xdr:from>
        <xdr:to>
          <xdr:col>4</xdr:col>
          <xdr:colOff>971550</xdr:colOff>
          <xdr:row>14</xdr:row>
          <xdr:rowOff>295275</xdr:rowOff>
        </xdr:to>
        <xdr:sp macro="" textlink="">
          <xdr:nvSpPr>
            <xdr:cNvPr id="3132" name="Button 60" hidden="1">
              <a:extLst>
                <a:ext uri="{63B3BB69-23CF-44E3-9099-C40C66FF867C}">
                  <a14:compatExt spid="_x0000_s31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16</xdr:row>
          <xdr:rowOff>0</xdr:rowOff>
        </xdr:from>
        <xdr:to>
          <xdr:col>4</xdr:col>
          <xdr:colOff>971550</xdr:colOff>
          <xdr:row>16</xdr:row>
          <xdr:rowOff>295275</xdr:rowOff>
        </xdr:to>
        <xdr:sp macro="" textlink="">
          <xdr:nvSpPr>
            <xdr:cNvPr id="3140" name="Button 68" hidden="1">
              <a:extLst>
                <a:ext uri="{63B3BB69-23CF-44E3-9099-C40C66FF867C}">
                  <a14:compatExt spid="_x0000_s3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Password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1</xdr:row>
          <xdr:rowOff>9525</xdr:rowOff>
        </xdr:from>
        <xdr:to>
          <xdr:col>1</xdr:col>
          <xdr:colOff>9525</xdr:colOff>
          <xdr:row>2</xdr:row>
          <xdr:rowOff>28575</xdr:rowOff>
        </xdr:to>
        <xdr:sp macro="" textlink="">
          <xdr:nvSpPr>
            <xdr:cNvPr id="2087" name="Check Box 39" hidden="1">
              <a:extLst>
                <a:ext uri="{63B3BB69-23CF-44E3-9099-C40C66FF867C}">
                  <a14:compatExt spid="_x0000_s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xdr:row>
          <xdr:rowOff>9525</xdr:rowOff>
        </xdr:from>
        <xdr:to>
          <xdr:col>1</xdr:col>
          <xdr:colOff>9525</xdr:colOff>
          <xdr:row>3</xdr:row>
          <xdr:rowOff>28575</xdr:rowOff>
        </xdr:to>
        <xdr:sp macro="" textlink="">
          <xdr:nvSpPr>
            <xdr:cNvPr id="2088" name="Check Box 40"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3</xdr:row>
          <xdr:rowOff>9525</xdr:rowOff>
        </xdr:from>
        <xdr:to>
          <xdr:col>1</xdr:col>
          <xdr:colOff>9525</xdr:colOff>
          <xdr:row>4</xdr:row>
          <xdr:rowOff>28575</xdr:rowOff>
        </xdr:to>
        <xdr:sp macro="" textlink="">
          <xdr:nvSpPr>
            <xdr:cNvPr id="2089" name="Check Box 41"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4</xdr:row>
          <xdr:rowOff>9525</xdr:rowOff>
        </xdr:from>
        <xdr:to>
          <xdr:col>1</xdr:col>
          <xdr:colOff>9525</xdr:colOff>
          <xdr:row>5</xdr:row>
          <xdr:rowOff>28575</xdr:rowOff>
        </xdr:to>
        <xdr:sp macro="" textlink="">
          <xdr:nvSpPr>
            <xdr:cNvPr id="2090" name="Check Box 42" hidden="1">
              <a:extLst>
                <a:ext uri="{63B3BB69-23CF-44E3-9099-C40C66FF867C}">
                  <a14:compatExt spid="_x0000_s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xdr:row>
          <xdr:rowOff>9525</xdr:rowOff>
        </xdr:from>
        <xdr:to>
          <xdr:col>1</xdr:col>
          <xdr:colOff>9525</xdr:colOff>
          <xdr:row>6</xdr:row>
          <xdr:rowOff>28575</xdr:rowOff>
        </xdr:to>
        <xdr:sp macro="" textlink="">
          <xdr:nvSpPr>
            <xdr:cNvPr id="2091" name="Check Box 43" hidden="1">
              <a:extLst>
                <a:ext uri="{63B3BB69-23CF-44E3-9099-C40C66FF867C}">
                  <a14:compatExt spid="_x0000_s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6</xdr:row>
          <xdr:rowOff>9525</xdr:rowOff>
        </xdr:from>
        <xdr:to>
          <xdr:col>1</xdr:col>
          <xdr:colOff>9525</xdr:colOff>
          <xdr:row>7</xdr:row>
          <xdr:rowOff>28575</xdr:rowOff>
        </xdr:to>
        <xdr:sp macro="" textlink="">
          <xdr:nvSpPr>
            <xdr:cNvPr id="2092" name="Check Box 44" hidden="1">
              <a:extLst>
                <a:ext uri="{63B3BB69-23CF-44E3-9099-C40C66FF867C}">
                  <a14:compatExt spid="_x0000_s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7</xdr:row>
          <xdr:rowOff>9525</xdr:rowOff>
        </xdr:from>
        <xdr:to>
          <xdr:col>1</xdr:col>
          <xdr:colOff>9525</xdr:colOff>
          <xdr:row>8</xdr:row>
          <xdr:rowOff>28575</xdr:rowOff>
        </xdr:to>
        <xdr:sp macro="" textlink="">
          <xdr:nvSpPr>
            <xdr:cNvPr id="2093" name="Check Box 45" hidden="1">
              <a:extLst>
                <a:ext uri="{63B3BB69-23CF-44E3-9099-C40C66FF867C}">
                  <a14:compatExt spid="_x0000_s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8</xdr:row>
          <xdr:rowOff>9525</xdr:rowOff>
        </xdr:from>
        <xdr:to>
          <xdr:col>1</xdr:col>
          <xdr:colOff>9525</xdr:colOff>
          <xdr:row>9</xdr:row>
          <xdr:rowOff>28575</xdr:rowOff>
        </xdr:to>
        <xdr:sp macro="" textlink="">
          <xdr:nvSpPr>
            <xdr:cNvPr id="2094" name="Check Box 46" hidden="1">
              <a:extLst>
                <a:ext uri="{63B3BB69-23CF-44E3-9099-C40C66FF867C}">
                  <a14:compatExt spid="_x0000_s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9</xdr:row>
          <xdr:rowOff>9525</xdr:rowOff>
        </xdr:from>
        <xdr:to>
          <xdr:col>1</xdr:col>
          <xdr:colOff>9525</xdr:colOff>
          <xdr:row>10</xdr:row>
          <xdr:rowOff>28575</xdr:rowOff>
        </xdr:to>
        <xdr:sp macro="" textlink="">
          <xdr:nvSpPr>
            <xdr:cNvPr id="2095" name="Check Box 47" hidden="1">
              <a:extLst>
                <a:ext uri="{63B3BB69-23CF-44E3-9099-C40C66FF867C}">
                  <a14:compatExt spid="_x0000_s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xdr:row>
          <xdr:rowOff>9525</xdr:rowOff>
        </xdr:from>
        <xdr:to>
          <xdr:col>1</xdr:col>
          <xdr:colOff>9525</xdr:colOff>
          <xdr:row>11</xdr:row>
          <xdr:rowOff>28575</xdr:rowOff>
        </xdr:to>
        <xdr:sp macro="" textlink="">
          <xdr:nvSpPr>
            <xdr:cNvPr id="2096" name="Check Box 48" hidden="1">
              <a:extLst>
                <a:ext uri="{63B3BB69-23CF-44E3-9099-C40C66FF867C}">
                  <a14:compatExt spid="_x0000_s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11</xdr:row>
          <xdr:rowOff>9525</xdr:rowOff>
        </xdr:from>
        <xdr:to>
          <xdr:col>1</xdr:col>
          <xdr:colOff>9525</xdr:colOff>
          <xdr:row>12</xdr:row>
          <xdr:rowOff>28575</xdr:rowOff>
        </xdr:to>
        <xdr:sp macro="" textlink="">
          <xdr:nvSpPr>
            <xdr:cNvPr id="2097" name="Check Box 49"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12</xdr:row>
          <xdr:rowOff>9525</xdr:rowOff>
        </xdr:from>
        <xdr:to>
          <xdr:col>1</xdr:col>
          <xdr:colOff>9525</xdr:colOff>
          <xdr:row>13</xdr:row>
          <xdr:rowOff>28575</xdr:rowOff>
        </xdr:to>
        <xdr:sp macro="" textlink="">
          <xdr:nvSpPr>
            <xdr:cNvPr id="2098" name="Check Box 50"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0</xdr:row>
          <xdr:rowOff>57150</xdr:rowOff>
        </xdr:from>
        <xdr:to>
          <xdr:col>8</xdr:col>
          <xdr:colOff>0</xdr:colOff>
          <xdr:row>0</xdr:row>
          <xdr:rowOff>561975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folder structure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104775</xdr:colOff>
          <xdr:row>0</xdr:row>
          <xdr:rowOff>57150</xdr:rowOff>
        </xdr:from>
        <xdr:to>
          <xdr:col>8</xdr:col>
          <xdr:colOff>0</xdr:colOff>
          <xdr:row>0</xdr:row>
          <xdr:rowOff>561975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folder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342900</xdr:rowOff>
        </xdr:from>
        <xdr:to>
          <xdr:col>10</xdr:col>
          <xdr:colOff>523875</xdr:colOff>
          <xdr:row>0</xdr:row>
          <xdr:rowOff>561975</xdr:rowOff>
        </xdr:to>
        <xdr:sp macro="" textlink="">
          <xdr:nvSpPr>
            <xdr:cNvPr id="15362" name="Button 2" hidden="1">
              <a:extLst>
                <a:ext uri="{63B3BB69-23CF-44E3-9099-C40C66FF867C}">
                  <a14:compatExt spid="_x0000_s153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imported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2</xdr:row>
          <xdr:rowOff>9525</xdr:rowOff>
        </xdr:from>
        <xdr:to>
          <xdr:col>2</xdr:col>
          <xdr:colOff>581025</xdr:colOff>
          <xdr:row>3</xdr:row>
          <xdr:rowOff>123825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Browse for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11</xdr:row>
          <xdr:rowOff>28575</xdr:rowOff>
        </xdr:from>
        <xdr:to>
          <xdr:col>1</xdr:col>
          <xdr:colOff>171450</xdr:colOff>
          <xdr:row>14</xdr:row>
          <xdr:rowOff>171450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11</xdr:row>
          <xdr:rowOff>38100</xdr:rowOff>
        </xdr:from>
        <xdr:to>
          <xdr:col>2</xdr:col>
          <xdr:colOff>514350</xdr:colOff>
          <xdr:row>14</xdr:row>
          <xdr:rowOff>152400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Make Readable (show special characters readable)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11</xdr:row>
          <xdr:rowOff>57150</xdr:rowOff>
        </xdr:from>
        <xdr:to>
          <xdr:col>2</xdr:col>
          <xdr:colOff>3209925</xdr:colOff>
          <xdr:row>14</xdr:row>
          <xdr:rowOff>142875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Display as exported (convert specia characters)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47625</xdr:rowOff>
        </xdr:from>
        <xdr:to>
          <xdr:col>1</xdr:col>
          <xdr:colOff>1647825</xdr:colOff>
          <xdr:row>0</xdr:row>
          <xdr:rowOff>295275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Export PhoneBook to vCard</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vCardExporter1.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PhoneBook"/>
      <sheetName val="vCardExporter1"/>
    </sheetNames>
    <definedNames>
      <definedName name="Create_vCard"/>
    </definedNames>
    <sheetDataSet>
      <sheetData sheetId="0" refreshError="1"/>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7.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H18"/>
  <sheetViews>
    <sheetView zoomScale="85" zoomScaleNormal="85" workbookViewId="0">
      <pane ySplit="1" topLeftCell="A2" activePane="bottomLeft" state="frozenSplit"/>
      <selection pane="bottomLeft" activeCell="C3" sqref="C3"/>
    </sheetView>
  </sheetViews>
  <sheetFormatPr defaultRowHeight="12.75" x14ac:dyDescent="0.2"/>
  <cols>
    <col min="1" max="1" width="4.7109375" style="1" customWidth="1"/>
    <col min="2" max="2" width="19.5703125" style="1" customWidth="1"/>
    <col min="3" max="3" width="27.85546875" style="1" customWidth="1"/>
    <col min="4" max="4" width="1.7109375" style="1" customWidth="1"/>
    <col min="5" max="5" width="15.7109375" style="1" customWidth="1"/>
    <col min="6" max="6" width="1.7109375" style="1" customWidth="1"/>
    <col min="7" max="7" width="14.85546875" style="1" customWidth="1"/>
    <col min="8" max="8" width="1.7109375" style="1" customWidth="1"/>
    <col min="9" max="16384" width="9.140625" style="1"/>
  </cols>
  <sheetData>
    <row r="1" spans="2:8" x14ac:dyDescent="0.2">
      <c r="B1" s="1" t="s">
        <v>4</v>
      </c>
      <c r="C1" s="1" t="s">
        <v>0</v>
      </c>
      <c r="G1" s="1" t="s">
        <v>1</v>
      </c>
    </row>
    <row r="2" spans="2:8" ht="5.0999999999999996" customHeight="1" x14ac:dyDescent="0.2"/>
    <row r="3" spans="2:8" s="3" customFormat="1" ht="24" customHeight="1" x14ac:dyDescent="0.2">
      <c r="B3" s="13"/>
      <c r="C3" s="14"/>
      <c r="D3" s="15"/>
      <c r="E3" s="16"/>
      <c r="F3" s="16"/>
      <c r="G3" s="17"/>
      <c r="H3" s="16"/>
    </row>
    <row r="4" spans="2:8" ht="5.0999999999999996" customHeight="1" x14ac:dyDescent="0.2"/>
    <row r="5" spans="2:8" s="3" customFormat="1" ht="24" customHeight="1" x14ac:dyDescent="0.2">
      <c r="B5" s="13"/>
      <c r="C5" s="14"/>
      <c r="D5" s="15"/>
      <c r="E5" s="16"/>
      <c r="F5" s="16"/>
      <c r="G5" s="19"/>
      <c r="H5" s="16"/>
    </row>
    <row r="6" spans="2:8" ht="5.0999999999999996" customHeight="1" x14ac:dyDescent="0.2"/>
    <row r="7" spans="2:8" s="3" customFormat="1" ht="24" customHeight="1" x14ac:dyDescent="0.2">
      <c r="B7" s="13"/>
      <c r="C7" s="14"/>
      <c r="D7" s="15"/>
      <c r="E7" s="16"/>
      <c r="F7" s="16"/>
      <c r="G7" s="17"/>
      <c r="H7" s="16"/>
    </row>
    <row r="8" spans="2:8" ht="5.0999999999999996" customHeight="1" x14ac:dyDescent="0.2"/>
    <row r="9" spans="2:8" s="3" customFormat="1" ht="24" customHeight="1" x14ac:dyDescent="0.2">
      <c r="B9" s="13"/>
      <c r="C9" s="14"/>
      <c r="D9" s="15"/>
      <c r="E9" s="16"/>
      <c r="F9" s="16"/>
      <c r="G9" s="17"/>
      <c r="H9" s="16"/>
    </row>
    <row r="10" spans="2:8" ht="5.0999999999999996" customHeight="1" x14ac:dyDescent="0.2"/>
    <row r="11" spans="2:8" s="3" customFormat="1" ht="24" customHeight="1" x14ac:dyDescent="0.2">
      <c r="B11" s="13"/>
      <c r="C11" s="14"/>
      <c r="D11" s="15"/>
      <c r="E11" s="16"/>
      <c r="F11" s="16"/>
      <c r="G11" s="17"/>
      <c r="H11" s="16"/>
    </row>
    <row r="12" spans="2:8" ht="5.0999999999999996" customHeight="1" x14ac:dyDescent="0.2"/>
    <row r="13" spans="2:8" s="3" customFormat="1" ht="24" customHeight="1" x14ac:dyDescent="0.2">
      <c r="B13" s="13"/>
      <c r="C13" s="14"/>
      <c r="D13" s="15"/>
      <c r="E13" s="16"/>
      <c r="F13" s="16"/>
      <c r="G13" s="17"/>
      <c r="H13" s="16"/>
    </row>
    <row r="14" spans="2:8" ht="5.0999999999999996" customHeight="1" x14ac:dyDescent="0.2"/>
    <row r="15" spans="2:8" s="3" customFormat="1" ht="24" customHeight="1" x14ac:dyDescent="0.2">
      <c r="B15" s="13"/>
      <c r="C15" s="14"/>
      <c r="D15" s="15"/>
      <c r="E15" s="16"/>
      <c r="F15" s="16"/>
      <c r="G15" s="17"/>
      <c r="H15" s="16"/>
    </row>
    <row r="16" spans="2:8" ht="5.0999999999999996" customHeight="1" x14ac:dyDescent="0.2"/>
    <row r="17" spans="2:8" s="3" customFormat="1" ht="24" customHeight="1" x14ac:dyDescent="0.2">
      <c r="B17" s="13"/>
      <c r="C17" s="14"/>
      <c r="D17" s="15"/>
      <c r="E17" s="16"/>
      <c r="F17" s="16"/>
      <c r="G17" s="17"/>
      <c r="H17" s="16"/>
    </row>
    <row r="18" spans="2:8" ht="5.0999999999999996" customHeight="1" x14ac:dyDescent="0.2"/>
  </sheetData>
  <sheetProtection selectLockedCells="1"/>
  <phoneticPr fontId="5" type="noConversion"/>
  <conditionalFormatting sqref="B3:C3 G3 B5:C5 B7:C7 G5 G7 B9:C9 G9 B11:C11 G11 B13:C13 G13 B15:C15 G15 B17:C17 G17">
    <cfRule type="expression" dxfId="0" priority="34">
      <formula>IF(AND(LEN(TRIM($B3&amp;$C3&amp;#REF!&amp;$G3))&gt;0,LEN(B3)&lt;=0),1,0)</formula>
    </cfRule>
  </conditionalFormatting>
  <dataValidations count="1">
    <dataValidation type="textLength" showInputMessage="1" showErrorMessage="1" errorTitle="Mandatory field:" error="The field is mandatory and shouldn't be longer than 255 characters." sqref="B3:C3 B5:C5 B7:C7 B9:C9 B11:C11 B13:C13 B15:C15 B17:C17">
      <formula1>1</formula1>
      <formula2>255</formula2>
    </dataValidation>
  </dataValidations>
  <printOptions horizontalCentered="1"/>
  <pageMargins left="0.31496062992125984" right="0.31496062992125984" top="1.1811023622047245" bottom="0.47244094488188981" header="0.47244094488188981" footer="0.27559055118110237"/>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Process_GenNewPassword">
                <anchor moveWithCells="1" sizeWithCells="1">
                  <from>
                    <xdr:col>4</xdr:col>
                    <xdr:colOff>114300</xdr:colOff>
                    <xdr:row>2</xdr:row>
                    <xdr:rowOff>0</xdr:rowOff>
                  </from>
                  <to>
                    <xdr:col>4</xdr:col>
                    <xdr:colOff>971550</xdr:colOff>
                    <xdr:row>2</xdr:row>
                    <xdr:rowOff>295275</xdr:rowOff>
                  </to>
                </anchor>
              </controlPr>
            </control>
          </mc:Choice>
        </mc:AlternateContent>
        <mc:AlternateContent xmlns:mc="http://schemas.openxmlformats.org/markup-compatibility/2006">
          <mc:Choice Requires="x14">
            <control shapeId="3092" r:id="rId5" name="Button 20">
              <controlPr defaultSize="0" print="0" autoFill="0" autoPict="0" macro="[0]!Process_GenNewPassword">
                <anchor moveWithCells="1" sizeWithCells="1">
                  <from>
                    <xdr:col>4</xdr:col>
                    <xdr:colOff>114300</xdr:colOff>
                    <xdr:row>4</xdr:row>
                    <xdr:rowOff>0</xdr:rowOff>
                  </from>
                  <to>
                    <xdr:col>4</xdr:col>
                    <xdr:colOff>971550</xdr:colOff>
                    <xdr:row>4</xdr:row>
                    <xdr:rowOff>295275</xdr:rowOff>
                  </to>
                </anchor>
              </controlPr>
            </control>
          </mc:Choice>
        </mc:AlternateContent>
        <mc:AlternateContent xmlns:mc="http://schemas.openxmlformats.org/markup-compatibility/2006">
          <mc:Choice Requires="x14">
            <control shapeId="3100" r:id="rId6" name="Button 28">
              <controlPr defaultSize="0" print="0" autoFill="0" autoPict="0" macro="[0]!Process_GenNewPassword">
                <anchor moveWithCells="1" sizeWithCells="1">
                  <from>
                    <xdr:col>4</xdr:col>
                    <xdr:colOff>114300</xdr:colOff>
                    <xdr:row>6</xdr:row>
                    <xdr:rowOff>0</xdr:rowOff>
                  </from>
                  <to>
                    <xdr:col>4</xdr:col>
                    <xdr:colOff>971550</xdr:colOff>
                    <xdr:row>6</xdr:row>
                    <xdr:rowOff>295275</xdr:rowOff>
                  </to>
                </anchor>
              </controlPr>
            </control>
          </mc:Choice>
        </mc:AlternateContent>
        <mc:AlternateContent xmlns:mc="http://schemas.openxmlformats.org/markup-compatibility/2006">
          <mc:Choice Requires="x14">
            <control shapeId="3108" r:id="rId7" name="Button 36">
              <controlPr defaultSize="0" print="0" autoFill="0" autoPict="0" macro="[0]!Process_GenNewPassword">
                <anchor moveWithCells="1" sizeWithCells="1">
                  <from>
                    <xdr:col>4</xdr:col>
                    <xdr:colOff>114300</xdr:colOff>
                    <xdr:row>8</xdr:row>
                    <xdr:rowOff>0</xdr:rowOff>
                  </from>
                  <to>
                    <xdr:col>4</xdr:col>
                    <xdr:colOff>971550</xdr:colOff>
                    <xdr:row>8</xdr:row>
                    <xdr:rowOff>295275</xdr:rowOff>
                  </to>
                </anchor>
              </controlPr>
            </control>
          </mc:Choice>
        </mc:AlternateContent>
        <mc:AlternateContent xmlns:mc="http://schemas.openxmlformats.org/markup-compatibility/2006">
          <mc:Choice Requires="x14">
            <control shapeId="3116" r:id="rId8" name="Button 44">
              <controlPr defaultSize="0" print="0" autoFill="0" autoPict="0" macro="[0]!Process_GenNewPassword">
                <anchor moveWithCells="1" sizeWithCells="1">
                  <from>
                    <xdr:col>4</xdr:col>
                    <xdr:colOff>114300</xdr:colOff>
                    <xdr:row>10</xdr:row>
                    <xdr:rowOff>0</xdr:rowOff>
                  </from>
                  <to>
                    <xdr:col>4</xdr:col>
                    <xdr:colOff>971550</xdr:colOff>
                    <xdr:row>10</xdr:row>
                    <xdr:rowOff>295275</xdr:rowOff>
                  </to>
                </anchor>
              </controlPr>
            </control>
          </mc:Choice>
        </mc:AlternateContent>
        <mc:AlternateContent xmlns:mc="http://schemas.openxmlformats.org/markup-compatibility/2006">
          <mc:Choice Requires="x14">
            <control shapeId="3124" r:id="rId9" name="Button 52">
              <controlPr defaultSize="0" print="0" autoFill="0" autoPict="0" macro="[0]!Process_GenNewPassword">
                <anchor moveWithCells="1" sizeWithCells="1">
                  <from>
                    <xdr:col>4</xdr:col>
                    <xdr:colOff>114300</xdr:colOff>
                    <xdr:row>12</xdr:row>
                    <xdr:rowOff>0</xdr:rowOff>
                  </from>
                  <to>
                    <xdr:col>4</xdr:col>
                    <xdr:colOff>971550</xdr:colOff>
                    <xdr:row>12</xdr:row>
                    <xdr:rowOff>295275</xdr:rowOff>
                  </to>
                </anchor>
              </controlPr>
            </control>
          </mc:Choice>
        </mc:AlternateContent>
        <mc:AlternateContent xmlns:mc="http://schemas.openxmlformats.org/markup-compatibility/2006">
          <mc:Choice Requires="x14">
            <control shapeId="3132" r:id="rId10" name="Button 60">
              <controlPr defaultSize="0" print="0" autoFill="0" autoPict="0" macro="[0]!Process_GenNewPassword">
                <anchor moveWithCells="1" sizeWithCells="1">
                  <from>
                    <xdr:col>4</xdr:col>
                    <xdr:colOff>114300</xdr:colOff>
                    <xdr:row>14</xdr:row>
                    <xdr:rowOff>0</xdr:rowOff>
                  </from>
                  <to>
                    <xdr:col>4</xdr:col>
                    <xdr:colOff>971550</xdr:colOff>
                    <xdr:row>14</xdr:row>
                    <xdr:rowOff>295275</xdr:rowOff>
                  </to>
                </anchor>
              </controlPr>
            </control>
          </mc:Choice>
        </mc:AlternateContent>
        <mc:AlternateContent xmlns:mc="http://schemas.openxmlformats.org/markup-compatibility/2006">
          <mc:Choice Requires="x14">
            <control shapeId="3140" r:id="rId11" name="Button 68">
              <controlPr defaultSize="0" print="0" autoFill="0" autoPict="0" macro="[0]!Process_GenNewPassword">
                <anchor moveWithCells="1" sizeWithCells="1">
                  <from>
                    <xdr:col>4</xdr:col>
                    <xdr:colOff>114300</xdr:colOff>
                    <xdr:row>16</xdr:row>
                    <xdr:rowOff>0</xdr:rowOff>
                  </from>
                  <to>
                    <xdr:col>4</xdr:col>
                    <xdr:colOff>971550</xdr:colOff>
                    <xdr:row>16</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G197"/>
  <sheetViews>
    <sheetView workbookViewId="0">
      <pane ySplit="1" topLeftCell="A2" activePane="bottomLeft" state="frozen"/>
      <selection pane="bottomLeft" activeCell="K9" sqref="K9"/>
    </sheetView>
  </sheetViews>
  <sheetFormatPr defaultRowHeight="12.75" x14ac:dyDescent="0.2"/>
  <cols>
    <col min="1" max="1" width="5.85546875" style="12" customWidth="1"/>
    <col min="2" max="2" width="11.5703125" style="9" customWidth="1"/>
    <col min="3" max="3" width="4.7109375" style="3" customWidth="1"/>
    <col min="4" max="4" width="9.140625" style="3"/>
    <col min="5" max="5" width="10.42578125" style="3" bestFit="1" customWidth="1"/>
    <col min="6" max="16384" width="9.140625" style="3"/>
  </cols>
  <sheetData>
    <row r="1" spans="1:7" s="2" customFormat="1" x14ac:dyDescent="0.2">
      <c r="A1" s="5" t="s">
        <v>3</v>
      </c>
      <c r="B1" s="6" t="s">
        <v>2</v>
      </c>
    </row>
    <row r="2" spans="1:7" ht="15.75" customHeight="1" x14ac:dyDescent="0.2">
      <c r="A2" s="10" t="b">
        <v>1</v>
      </c>
      <c r="B2" s="7">
        <v>41181</v>
      </c>
      <c r="E2" s="4"/>
      <c r="G2" s="4"/>
    </row>
    <row r="3" spans="1:7" ht="15.75" customHeight="1" x14ac:dyDescent="0.2">
      <c r="A3" s="10" t="b">
        <v>1</v>
      </c>
      <c r="B3" s="7">
        <v>41181</v>
      </c>
    </row>
    <row r="4" spans="1:7" ht="15.75" customHeight="1" x14ac:dyDescent="0.2">
      <c r="A4" s="10" t="b">
        <v>0</v>
      </c>
      <c r="B4" s="7"/>
    </row>
    <row r="5" spans="1:7" ht="15.75" customHeight="1" x14ac:dyDescent="0.2">
      <c r="A5" s="10" t="b">
        <v>0</v>
      </c>
      <c r="B5" s="7"/>
    </row>
    <row r="6" spans="1:7" ht="15.75" customHeight="1" x14ac:dyDescent="0.2">
      <c r="A6" s="10" t="b">
        <v>0</v>
      </c>
      <c r="B6" s="7"/>
    </row>
    <row r="7" spans="1:7" ht="15.75" customHeight="1" x14ac:dyDescent="0.2">
      <c r="A7" s="10" t="b">
        <v>0</v>
      </c>
      <c r="B7" s="7"/>
    </row>
    <row r="8" spans="1:7" ht="15.75" customHeight="1" x14ac:dyDescent="0.2">
      <c r="A8" s="10" t="b">
        <v>0</v>
      </c>
      <c r="B8" s="7"/>
    </row>
    <row r="9" spans="1:7" ht="15.75" customHeight="1" x14ac:dyDescent="0.2">
      <c r="A9" s="10" t="b">
        <v>0</v>
      </c>
      <c r="B9" s="7"/>
    </row>
    <row r="10" spans="1:7" ht="15.75" customHeight="1" x14ac:dyDescent="0.2">
      <c r="A10" s="10" t="b">
        <v>0</v>
      </c>
      <c r="B10" s="7"/>
    </row>
    <row r="11" spans="1:7" ht="15.75" customHeight="1" x14ac:dyDescent="0.2">
      <c r="A11" s="10" t="b">
        <v>0</v>
      </c>
      <c r="B11" s="7"/>
    </row>
    <row r="12" spans="1:7" ht="15.75" customHeight="1" x14ac:dyDescent="0.2">
      <c r="A12" s="10" t="b">
        <v>0</v>
      </c>
      <c r="B12" s="7"/>
    </row>
    <row r="13" spans="1:7" ht="15.75" customHeight="1" x14ac:dyDescent="0.2">
      <c r="A13" s="11" t="b">
        <v>0</v>
      </c>
      <c r="B13" s="8"/>
    </row>
    <row r="14" spans="1:7" ht="5.0999999999999996" customHeight="1" x14ac:dyDescent="0.2"/>
    <row r="197" spans="1:1" x14ac:dyDescent="0.2">
      <c r="A197" s="12" t="b">
        <v>1</v>
      </c>
    </row>
  </sheetData>
  <sheetProtection selectLockedCells="1"/>
  <phoneticPr fontId="5" type="noConversion"/>
  <printOptions horizontalCentered="1"/>
  <pageMargins left="0.35433070866141736" right="0.39370078740157483" top="1.1811023622047245" bottom="0.51181102362204722" header="0.47244094488188981" footer="0.27559055118110237"/>
  <pageSetup paperSize="9" scale="2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87" r:id="rId4" name="Check Box 39">
              <controlPr defaultSize="0" autoFill="0" autoLine="0" autoPict="0" macro="[0]!Process_CheckBox">
                <anchor moveWithCells="1">
                  <from>
                    <xdr:col>0</xdr:col>
                    <xdr:colOff>95250</xdr:colOff>
                    <xdr:row>1</xdr:row>
                    <xdr:rowOff>9525</xdr:rowOff>
                  </from>
                  <to>
                    <xdr:col>1</xdr:col>
                    <xdr:colOff>9525</xdr:colOff>
                    <xdr:row>2</xdr:row>
                    <xdr:rowOff>28575</xdr:rowOff>
                  </to>
                </anchor>
              </controlPr>
            </control>
          </mc:Choice>
        </mc:AlternateContent>
        <mc:AlternateContent xmlns:mc="http://schemas.openxmlformats.org/markup-compatibility/2006">
          <mc:Choice Requires="x14">
            <control shapeId="2088" r:id="rId5" name="Check Box 40">
              <controlPr defaultSize="0" autoFill="0" autoLine="0" autoPict="0" macro="[0]!Process_CheckBox">
                <anchor moveWithCells="1">
                  <from>
                    <xdr:col>0</xdr:col>
                    <xdr:colOff>95250</xdr:colOff>
                    <xdr:row>2</xdr:row>
                    <xdr:rowOff>9525</xdr:rowOff>
                  </from>
                  <to>
                    <xdr:col>1</xdr:col>
                    <xdr:colOff>9525</xdr:colOff>
                    <xdr:row>3</xdr:row>
                    <xdr:rowOff>28575</xdr:rowOff>
                  </to>
                </anchor>
              </controlPr>
            </control>
          </mc:Choice>
        </mc:AlternateContent>
        <mc:AlternateContent xmlns:mc="http://schemas.openxmlformats.org/markup-compatibility/2006">
          <mc:Choice Requires="x14">
            <control shapeId="2089" r:id="rId6" name="Check Box 41">
              <controlPr defaultSize="0" autoFill="0" autoLine="0" autoPict="0" macro="[0]!Process_CheckBox">
                <anchor moveWithCells="1">
                  <from>
                    <xdr:col>0</xdr:col>
                    <xdr:colOff>95250</xdr:colOff>
                    <xdr:row>3</xdr:row>
                    <xdr:rowOff>9525</xdr:rowOff>
                  </from>
                  <to>
                    <xdr:col>1</xdr:col>
                    <xdr:colOff>9525</xdr:colOff>
                    <xdr:row>4</xdr:row>
                    <xdr:rowOff>28575</xdr:rowOff>
                  </to>
                </anchor>
              </controlPr>
            </control>
          </mc:Choice>
        </mc:AlternateContent>
        <mc:AlternateContent xmlns:mc="http://schemas.openxmlformats.org/markup-compatibility/2006">
          <mc:Choice Requires="x14">
            <control shapeId="2090" r:id="rId7" name="Check Box 42">
              <controlPr defaultSize="0" autoFill="0" autoLine="0" autoPict="0" macro="[0]!Process_CheckBox">
                <anchor moveWithCells="1">
                  <from>
                    <xdr:col>0</xdr:col>
                    <xdr:colOff>95250</xdr:colOff>
                    <xdr:row>4</xdr:row>
                    <xdr:rowOff>9525</xdr:rowOff>
                  </from>
                  <to>
                    <xdr:col>1</xdr:col>
                    <xdr:colOff>9525</xdr:colOff>
                    <xdr:row>5</xdr:row>
                    <xdr:rowOff>28575</xdr:rowOff>
                  </to>
                </anchor>
              </controlPr>
            </control>
          </mc:Choice>
        </mc:AlternateContent>
        <mc:AlternateContent xmlns:mc="http://schemas.openxmlformats.org/markup-compatibility/2006">
          <mc:Choice Requires="x14">
            <control shapeId="2091" r:id="rId8" name="Check Box 43">
              <controlPr defaultSize="0" autoFill="0" autoLine="0" autoPict="0" macro="[0]!Process_CheckBox">
                <anchor moveWithCells="1">
                  <from>
                    <xdr:col>0</xdr:col>
                    <xdr:colOff>95250</xdr:colOff>
                    <xdr:row>5</xdr:row>
                    <xdr:rowOff>9525</xdr:rowOff>
                  </from>
                  <to>
                    <xdr:col>1</xdr:col>
                    <xdr:colOff>9525</xdr:colOff>
                    <xdr:row>6</xdr:row>
                    <xdr:rowOff>28575</xdr:rowOff>
                  </to>
                </anchor>
              </controlPr>
            </control>
          </mc:Choice>
        </mc:AlternateContent>
        <mc:AlternateContent xmlns:mc="http://schemas.openxmlformats.org/markup-compatibility/2006">
          <mc:Choice Requires="x14">
            <control shapeId="2092" r:id="rId9" name="Check Box 44">
              <controlPr defaultSize="0" autoFill="0" autoLine="0" autoPict="0" macro="[0]!Process_CheckBox">
                <anchor moveWithCells="1">
                  <from>
                    <xdr:col>0</xdr:col>
                    <xdr:colOff>95250</xdr:colOff>
                    <xdr:row>6</xdr:row>
                    <xdr:rowOff>9525</xdr:rowOff>
                  </from>
                  <to>
                    <xdr:col>1</xdr:col>
                    <xdr:colOff>9525</xdr:colOff>
                    <xdr:row>7</xdr:row>
                    <xdr:rowOff>28575</xdr:rowOff>
                  </to>
                </anchor>
              </controlPr>
            </control>
          </mc:Choice>
        </mc:AlternateContent>
        <mc:AlternateContent xmlns:mc="http://schemas.openxmlformats.org/markup-compatibility/2006">
          <mc:Choice Requires="x14">
            <control shapeId="2093" r:id="rId10" name="Check Box 45">
              <controlPr defaultSize="0" autoFill="0" autoLine="0" autoPict="0" macro="[0]!Process_CheckBox">
                <anchor moveWithCells="1">
                  <from>
                    <xdr:col>0</xdr:col>
                    <xdr:colOff>95250</xdr:colOff>
                    <xdr:row>7</xdr:row>
                    <xdr:rowOff>9525</xdr:rowOff>
                  </from>
                  <to>
                    <xdr:col>1</xdr:col>
                    <xdr:colOff>9525</xdr:colOff>
                    <xdr:row>8</xdr:row>
                    <xdr:rowOff>28575</xdr:rowOff>
                  </to>
                </anchor>
              </controlPr>
            </control>
          </mc:Choice>
        </mc:AlternateContent>
        <mc:AlternateContent xmlns:mc="http://schemas.openxmlformats.org/markup-compatibility/2006">
          <mc:Choice Requires="x14">
            <control shapeId="2094" r:id="rId11" name="Check Box 46">
              <controlPr defaultSize="0" autoFill="0" autoLine="0" autoPict="0" macro="[0]!Process_CheckBox">
                <anchor moveWithCells="1">
                  <from>
                    <xdr:col>0</xdr:col>
                    <xdr:colOff>95250</xdr:colOff>
                    <xdr:row>8</xdr:row>
                    <xdr:rowOff>9525</xdr:rowOff>
                  </from>
                  <to>
                    <xdr:col>1</xdr:col>
                    <xdr:colOff>9525</xdr:colOff>
                    <xdr:row>9</xdr:row>
                    <xdr:rowOff>28575</xdr:rowOff>
                  </to>
                </anchor>
              </controlPr>
            </control>
          </mc:Choice>
        </mc:AlternateContent>
        <mc:AlternateContent xmlns:mc="http://schemas.openxmlformats.org/markup-compatibility/2006">
          <mc:Choice Requires="x14">
            <control shapeId="2095" r:id="rId12" name="Check Box 47">
              <controlPr defaultSize="0" autoFill="0" autoLine="0" autoPict="0" macro="[0]!Process_CheckBox">
                <anchor moveWithCells="1">
                  <from>
                    <xdr:col>0</xdr:col>
                    <xdr:colOff>95250</xdr:colOff>
                    <xdr:row>9</xdr:row>
                    <xdr:rowOff>9525</xdr:rowOff>
                  </from>
                  <to>
                    <xdr:col>1</xdr:col>
                    <xdr:colOff>9525</xdr:colOff>
                    <xdr:row>10</xdr:row>
                    <xdr:rowOff>28575</xdr:rowOff>
                  </to>
                </anchor>
              </controlPr>
            </control>
          </mc:Choice>
        </mc:AlternateContent>
        <mc:AlternateContent xmlns:mc="http://schemas.openxmlformats.org/markup-compatibility/2006">
          <mc:Choice Requires="x14">
            <control shapeId="2096" r:id="rId13" name="Check Box 48">
              <controlPr defaultSize="0" autoFill="0" autoLine="0" autoPict="0" macro="[0]!Process_CheckBox">
                <anchor moveWithCells="1">
                  <from>
                    <xdr:col>0</xdr:col>
                    <xdr:colOff>95250</xdr:colOff>
                    <xdr:row>10</xdr:row>
                    <xdr:rowOff>9525</xdr:rowOff>
                  </from>
                  <to>
                    <xdr:col>1</xdr:col>
                    <xdr:colOff>9525</xdr:colOff>
                    <xdr:row>11</xdr:row>
                    <xdr:rowOff>28575</xdr:rowOff>
                  </to>
                </anchor>
              </controlPr>
            </control>
          </mc:Choice>
        </mc:AlternateContent>
        <mc:AlternateContent xmlns:mc="http://schemas.openxmlformats.org/markup-compatibility/2006">
          <mc:Choice Requires="x14">
            <control shapeId="2097" r:id="rId14" name="Check Box 49">
              <controlPr defaultSize="0" autoFill="0" autoLine="0" autoPict="0" macro="[0]!Process_CheckBox">
                <anchor moveWithCells="1">
                  <from>
                    <xdr:col>0</xdr:col>
                    <xdr:colOff>95250</xdr:colOff>
                    <xdr:row>11</xdr:row>
                    <xdr:rowOff>9525</xdr:rowOff>
                  </from>
                  <to>
                    <xdr:col>1</xdr:col>
                    <xdr:colOff>9525</xdr:colOff>
                    <xdr:row>12</xdr:row>
                    <xdr:rowOff>28575</xdr:rowOff>
                  </to>
                </anchor>
              </controlPr>
            </control>
          </mc:Choice>
        </mc:AlternateContent>
        <mc:AlternateContent xmlns:mc="http://schemas.openxmlformats.org/markup-compatibility/2006">
          <mc:Choice Requires="x14">
            <control shapeId="2098" r:id="rId15" name="Check Box 50">
              <controlPr defaultSize="0" autoFill="0" autoLine="0" autoPict="0" macro="[0]!Process_CheckBox">
                <anchor moveWithCells="1">
                  <from>
                    <xdr:col>0</xdr:col>
                    <xdr:colOff>95250</xdr:colOff>
                    <xdr:row>12</xdr:row>
                    <xdr:rowOff>9525</xdr:rowOff>
                  </from>
                  <to>
                    <xdr:col>1</xdr:col>
                    <xdr:colOff>9525</xdr:colOff>
                    <xdr:row>13</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3"/>
  <sheetViews>
    <sheetView workbookViewId="0">
      <pane ySplit="1" topLeftCell="A2" activePane="bottomLeft" state="frozenSplit"/>
      <selection pane="bottomLeft" activeCell="A2" sqref="A2"/>
    </sheetView>
  </sheetViews>
  <sheetFormatPr defaultRowHeight="15" x14ac:dyDescent="0.25"/>
  <cols>
    <col min="1" max="9" width="16.5703125" style="22" customWidth="1"/>
    <col min="10" max="256" width="9.140625" style="22"/>
    <col min="257" max="257" width="18.42578125" style="22" customWidth="1"/>
    <col min="258" max="258" width="10.85546875" style="22" bestFit="1" customWidth="1"/>
    <col min="259" max="259" width="28.28515625" style="22" bestFit="1" customWidth="1"/>
    <col min="260" max="260" width="13.28515625" style="22" customWidth="1"/>
    <col min="261" max="261" width="5.42578125" style="22" bestFit="1" customWidth="1"/>
    <col min="262" max="262" width="9.5703125" style="22" bestFit="1" customWidth="1"/>
    <col min="263" max="263" width="9.7109375" style="22" bestFit="1" customWidth="1"/>
    <col min="264" max="264" width="6.42578125" style="22" bestFit="1" customWidth="1"/>
    <col min="265" max="512" width="9.140625" style="22"/>
    <col min="513" max="513" width="18.42578125" style="22" customWidth="1"/>
    <col min="514" max="514" width="10.85546875" style="22" bestFit="1" customWidth="1"/>
    <col min="515" max="515" width="28.28515625" style="22" bestFit="1" customWidth="1"/>
    <col min="516" max="516" width="13.28515625" style="22" customWidth="1"/>
    <col min="517" max="517" width="5.42578125" style="22" bestFit="1" customWidth="1"/>
    <col min="518" max="518" width="9.5703125" style="22" bestFit="1" customWidth="1"/>
    <col min="519" max="519" width="9.7109375" style="22" bestFit="1" customWidth="1"/>
    <col min="520" max="520" width="6.42578125" style="22" bestFit="1" customWidth="1"/>
    <col min="521" max="768" width="9.140625" style="22"/>
    <col min="769" max="769" width="18.42578125" style="22" customWidth="1"/>
    <col min="770" max="770" width="10.85546875" style="22" bestFit="1" customWidth="1"/>
    <col min="771" max="771" width="28.28515625" style="22" bestFit="1" customWidth="1"/>
    <col min="772" max="772" width="13.28515625" style="22" customWidth="1"/>
    <col min="773" max="773" width="5.42578125" style="22" bestFit="1" customWidth="1"/>
    <col min="774" max="774" width="9.5703125" style="22" bestFit="1" customWidth="1"/>
    <col min="775" max="775" width="9.7109375" style="22" bestFit="1" customWidth="1"/>
    <col min="776" max="776" width="6.42578125" style="22" bestFit="1" customWidth="1"/>
    <col min="777" max="1024" width="9.140625" style="22"/>
    <col min="1025" max="1025" width="18.42578125" style="22" customWidth="1"/>
    <col min="1026" max="1026" width="10.85546875" style="22" bestFit="1" customWidth="1"/>
    <col min="1027" max="1027" width="28.28515625" style="22" bestFit="1" customWidth="1"/>
    <col min="1028" max="1028" width="13.28515625" style="22" customWidth="1"/>
    <col min="1029" max="1029" width="5.42578125" style="22" bestFit="1" customWidth="1"/>
    <col min="1030" max="1030" width="9.5703125" style="22" bestFit="1" customWidth="1"/>
    <col min="1031" max="1031" width="9.7109375" style="22" bestFit="1" customWidth="1"/>
    <col min="1032" max="1032" width="6.42578125" style="22" bestFit="1" customWidth="1"/>
    <col min="1033" max="1280" width="9.140625" style="22"/>
    <col min="1281" max="1281" width="18.42578125" style="22" customWidth="1"/>
    <col min="1282" max="1282" width="10.85546875" style="22" bestFit="1" customWidth="1"/>
    <col min="1283" max="1283" width="28.28515625" style="22" bestFit="1" customWidth="1"/>
    <col min="1284" max="1284" width="13.28515625" style="22" customWidth="1"/>
    <col min="1285" max="1285" width="5.42578125" style="22" bestFit="1" customWidth="1"/>
    <col min="1286" max="1286" width="9.5703125" style="22" bestFit="1" customWidth="1"/>
    <col min="1287" max="1287" width="9.7109375" style="22" bestFit="1" customWidth="1"/>
    <col min="1288" max="1288" width="6.42578125" style="22" bestFit="1" customWidth="1"/>
    <col min="1289" max="1536" width="9.140625" style="22"/>
    <col min="1537" max="1537" width="18.42578125" style="22" customWidth="1"/>
    <col min="1538" max="1538" width="10.85546875" style="22" bestFit="1" customWidth="1"/>
    <col min="1539" max="1539" width="28.28515625" style="22" bestFit="1" customWidth="1"/>
    <col min="1540" max="1540" width="13.28515625" style="22" customWidth="1"/>
    <col min="1541" max="1541" width="5.42578125" style="22" bestFit="1" customWidth="1"/>
    <col min="1542" max="1542" width="9.5703125" style="22" bestFit="1" customWidth="1"/>
    <col min="1543" max="1543" width="9.7109375" style="22" bestFit="1" customWidth="1"/>
    <col min="1544" max="1544" width="6.42578125" style="22" bestFit="1" customWidth="1"/>
    <col min="1545" max="1792" width="9.140625" style="22"/>
    <col min="1793" max="1793" width="18.42578125" style="22" customWidth="1"/>
    <col min="1794" max="1794" width="10.85546875" style="22" bestFit="1" customWidth="1"/>
    <col min="1795" max="1795" width="28.28515625" style="22" bestFit="1" customWidth="1"/>
    <col min="1796" max="1796" width="13.28515625" style="22" customWidth="1"/>
    <col min="1797" max="1797" width="5.42578125" style="22" bestFit="1" customWidth="1"/>
    <col min="1798" max="1798" width="9.5703125" style="22" bestFit="1" customWidth="1"/>
    <col min="1799" max="1799" width="9.7109375" style="22" bestFit="1" customWidth="1"/>
    <col min="1800" max="1800" width="6.42578125" style="22" bestFit="1" customWidth="1"/>
    <col min="1801" max="2048" width="9.140625" style="22"/>
    <col min="2049" max="2049" width="18.42578125" style="22" customWidth="1"/>
    <col min="2050" max="2050" width="10.85546875" style="22" bestFit="1" customWidth="1"/>
    <col min="2051" max="2051" width="28.28515625" style="22" bestFit="1" customWidth="1"/>
    <col min="2052" max="2052" width="13.28515625" style="22" customWidth="1"/>
    <col min="2053" max="2053" width="5.42578125" style="22" bestFit="1" customWidth="1"/>
    <col min="2054" max="2054" width="9.5703125" style="22" bestFit="1" customWidth="1"/>
    <col min="2055" max="2055" width="9.7109375" style="22" bestFit="1" customWidth="1"/>
    <col min="2056" max="2056" width="6.42578125" style="22" bestFit="1" customWidth="1"/>
    <col min="2057" max="2304" width="9.140625" style="22"/>
    <col min="2305" max="2305" width="18.42578125" style="22" customWidth="1"/>
    <col min="2306" max="2306" width="10.85546875" style="22" bestFit="1" customWidth="1"/>
    <col min="2307" max="2307" width="28.28515625" style="22" bestFit="1" customWidth="1"/>
    <col min="2308" max="2308" width="13.28515625" style="22" customWidth="1"/>
    <col min="2309" max="2309" width="5.42578125" style="22" bestFit="1" customWidth="1"/>
    <col min="2310" max="2310" width="9.5703125" style="22" bestFit="1" customWidth="1"/>
    <col min="2311" max="2311" width="9.7109375" style="22" bestFit="1" customWidth="1"/>
    <col min="2312" max="2312" width="6.42578125" style="22" bestFit="1" customWidth="1"/>
    <col min="2313" max="2560" width="9.140625" style="22"/>
    <col min="2561" max="2561" width="18.42578125" style="22" customWidth="1"/>
    <col min="2562" max="2562" width="10.85546875" style="22" bestFit="1" customWidth="1"/>
    <col min="2563" max="2563" width="28.28515625" style="22" bestFit="1" customWidth="1"/>
    <col min="2564" max="2564" width="13.28515625" style="22" customWidth="1"/>
    <col min="2565" max="2565" width="5.42578125" style="22" bestFit="1" customWidth="1"/>
    <col min="2566" max="2566" width="9.5703125" style="22" bestFit="1" customWidth="1"/>
    <col min="2567" max="2567" width="9.7109375" style="22" bestFit="1" customWidth="1"/>
    <col min="2568" max="2568" width="6.42578125" style="22" bestFit="1" customWidth="1"/>
    <col min="2569" max="2816" width="9.140625" style="22"/>
    <col min="2817" max="2817" width="18.42578125" style="22" customWidth="1"/>
    <col min="2818" max="2818" width="10.85546875" style="22" bestFit="1" customWidth="1"/>
    <col min="2819" max="2819" width="28.28515625" style="22" bestFit="1" customWidth="1"/>
    <col min="2820" max="2820" width="13.28515625" style="22" customWidth="1"/>
    <col min="2821" max="2821" width="5.42578125" style="22" bestFit="1" customWidth="1"/>
    <col min="2822" max="2822" width="9.5703125" style="22" bestFit="1" customWidth="1"/>
    <col min="2823" max="2823" width="9.7109375" style="22" bestFit="1" customWidth="1"/>
    <col min="2824" max="2824" width="6.42578125" style="22" bestFit="1" customWidth="1"/>
    <col min="2825" max="3072" width="9.140625" style="22"/>
    <col min="3073" max="3073" width="18.42578125" style="22" customWidth="1"/>
    <col min="3074" max="3074" width="10.85546875" style="22" bestFit="1" customWidth="1"/>
    <col min="3075" max="3075" width="28.28515625" style="22" bestFit="1" customWidth="1"/>
    <col min="3076" max="3076" width="13.28515625" style="22" customWidth="1"/>
    <col min="3077" max="3077" width="5.42578125" style="22" bestFit="1" customWidth="1"/>
    <col min="3078" max="3078" width="9.5703125" style="22" bestFit="1" customWidth="1"/>
    <col min="3079" max="3079" width="9.7109375" style="22" bestFit="1" customWidth="1"/>
    <col min="3080" max="3080" width="6.42578125" style="22" bestFit="1" customWidth="1"/>
    <col min="3081" max="3328" width="9.140625" style="22"/>
    <col min="3329" max="3329" width="18.42578125" style="22" customWidth="1"/>
    <col min="3330" max="3330" width="10.85546875" style="22" bestFit="1" customWidth="1"/>
    <col min="3331" max="3331" width="28.28515625" style="22" bestFit="1" customWidth="1"/>
    <col min="3332" max="3332" width="13.28515625" style="22" customWidth="1"/>
    <col min="3333" max="3333" width="5.42578125" style="22" bestFit="1" customWidth="1"/>
    <col min="3334" max="3334" width="9.5703125" style="22" bestFit="1" customWidth="1"/>
    <col min="3335" max="3335" width="9.7109375" style="22" bestFit="1" customWidth="1"/>
    <col min="3336" max="3336" width="6.42578125" style="22" bestFit="1" customWidth="1"/>
    <col min="3337" max="3584" width="9.140625" style="22"/>
    <col min="3585" max="3585" width="18.42578125" style="22" customWidth="1"/>
    <col min="3586" max="3586" width="10.85546875" style="22" bestFit="1" customWidth="1"/>
    <col min="3587" max="3587" width="28.28515625" style="22" bestFit="1" customWidth="1"/>
    <col min="3588" max="3588" width="13.28515625" style="22" customWidth="1"/>
    <col min="3589" max="3589" width="5.42578125" style="22" bestFit="1" customWidth="1"/>
    <col min="3590" max="3590" width="9.5703125" style="22" bestFit="1" customWidth="1"/>
    <col min="3591" max="3591" width="9.7109375" style="22" bestFit="1" customWidth="1"/>
    <col min="3592" max="3592" width="6.42578125" style="22" bestFit="1" customWidth="1"/>
    <col min="3593" max="3840" width="9.140625" style="22"/>
    <col min="3841" max="3841" width="18.42578125" style="22" customWidth="1"/>
    <col min="3842" max="3842" width="10.85546875" style="22" bestFit="1" customWidth="1"/>
    <col min="3843" max="3843" width="28.28515625" style="22" bestFit="1" customWidth="1"/>
    <col min="3844" max="3844" width="13.28515625" style="22" customWidth="1"/>
    <col min="3845" max="3845" width="5.42578125" style="22" bestFit="1" customWidth="1"/>
    <col min="3846" max="3846" width="9.5703125" style="22" bestFit="1" customWidth="1"/>
    <col min="3847" max="3847" width="9.7109375" style="22" bestFit="1" customWidth="1"/>
    <col min="3848" max="3848" width="6.42578125" style="22" bestFit="1" customWidth="1"/>
    <col min="3849" max="4096" width="9.140625" style="22"/>
    <col min="4097" max="4097" width="18.42578125" style="22" customWidth="1"/>
    <col min="4098" max="4098" width="10.85546875" style="22" bestFit="1" customWidth="1"/>
    <col min="4099" max="4099" width="28.28515625" style="22" bestFit="1" customWidth="1"/>
    <col min="4100" max="4100" width="13.28515625" style="22" customWidth="1"/>
    <col min="4101" max="4101" width="5.42578125" style="22" bestFit="1" customWidth="1"/>
    <col min="4102" max="4102" width="9.5703125" style="22" bestFit="1" customWidth="1"/>
    <col min="4103" max="4103" width="9.7109375" style="22" bestFit="1" customWidth="1"/>
    <col min="4104" max="4104" width="6.42578125" style="22" bestFit="1" customWidth="1"/>
    <col min="4105" max="4352" width="9.140625" style="22"/>
    <col min="4353" max="4353" width="18.42578125" style="22" customWidth="1"/>
    <col min="4354" max="4354" width="10.85546875" style="22" bestFit="1" customWidth="1"/>
    <col min="4355" max="4355" width="28.28515625" style="22" bestFit="1" customWidth="1"/>
    <col min="4356" max="4356" width="13.28515625" style="22" customWidth="1"/>
    <col min="4357" max="4357" width="5.42578125" style="22" bestFit="1" customWidth="1"/>
    <col min="4358" max="4358" width="9.5703125" style="22" bestFit="1" customWidth="1"/>
    <col min="4359" max="4359" width="9.7109375" style="22" bestFit="1" customWidth="1"/>
    <col min="4360" max="4360" width="6.42578125" style="22" bestFit="1" customWidth="1"/>
    <col min="4361" max="4608" width="9.140625" style="22"/>
    <col min="4609" max="4609" width="18.42578125" style="22" customWidth="1"/>
    <col min="4610" max="4610" width="10.85546875" style="22" bestFit="1" customWidth="1"/>
    <col min="4611" max="4611" width="28.28515625" style="22" bestFit="1" customWidth="1"/>
    <col min="4612" max="4612" width="13.28515625" style="22" customWidth="1"/>
    <col min="4613" max="4613" width="5.42578125" style="22" bestFit="1" customWidth="1"/>
    <col min="4614" max="4614" width="9.5703125" style="22" bestFit="1" customWidth="1"/>
    <col min="4615" max="4615" width="9.7109375" style="22" bestFit="1" customWidth="1"/>
    <col min="4616" max="4616" width="6.42578125" style="22" bestFit="1" customWidth="1"/>
    <col min="4617" max="4864" width="9.140625" style="22"/>
    <col min="4865" max="4865" width="18.42578125" style="22" customWidth="1"/>
    <col min="4866" max="4866" width="10.85546875" style="22" bestFit="1" customWidth="1"/>
    <col min="4867" max="4867" width="28.28515625" style="22" bestFit="1" customWidth="1"/>
    <col min="4868" max="4868" width="13.28515625" style="22" customWidth="1"/>
    <col min="4869" max="4869" width="5.42578125" style="22" bestFit="1" customWidth="1"/>
    <col min="4870" max="4870" width="9.5703125" style="22" bestFit="1" customWidth="1"/>
    <col min="4871" max="4871" width="9.7109375" style="22" bestFit="1" customWidth="1"/>
    <col min="4872" max="4872" width="6.42578125" style="22" bestFit="1" customWidth="1"/>
    <col min="4873" max="5120" width="9.140625" style="22"/>
    <col min="5121" max="5121" width="18.42578125" style="22" customWidth="1"/>
    <col min="5122" max="5122" width="10.85546875" style="22" bestFit="1" customWidth="1"/>
    <col min="5123" max="5123" width="28.28515625" style="22" bestFit="1" customWidth="1"/>
    <col min="5124" max="5124" width="13.28515625" style="22" customWidth="1"/>
    <col min="5125" max="5125" width="5.42578125" style="22" bestFit="1" customWidth="1"/>
    <col min="5126" max="5126" width="9.5703125" style="22" bestFit="1" customWidth="1"/>
    <col min="5127" max="5127" width="9.7109375" style="22" bestFit="1" customWidth="1"/>
    <col min="5128" max="5128" width="6.42578125" style="22" bestFit="1" customWidth="1"/>
    <col min="5129" max="5376" width="9.140625" style="22"/>
    <col min="5377" max="5377" width="18.42578125" style="22" customWidth="1"/>
    <col min="5378" max="5378" width="10.85546875" style="22" bestFit="1" customWidth="1"/>
    <col min="5379" max="5379" width="28.28515625" style="22" bestFit="1" customWidth="1"/>
    <col min="5380" max="5380" width="13.28515625" style="22" customWidth="1"/>
    <col min="5381" max="5381" width="5.42578125" style="22" bestFit="1" customWidth="1"/>
    <col min="5382" max="5382" width="9.5703125" style="22" bestFit="1" customWidth="1"/>
    <col min="5383" max="5383" width="9.7109375" style="22" bestFit="1" customWidth="1"/>
    <col min="5384" max="5384" width="6.42578125" style="22" bestFit="1" customWidth="1"/>
    <col min="5385" max="5632" width="9.140625" style="22"/>
    <col min="5633" max="5633" width="18.42578125" style="22" customWidth="1"/>
    <col min="5634" max="5634" width="10.85546875" style="22" bestFit="1" customWidth="1"/>
    <col min="5635" max="5635" width="28.28515625" style="22" bestFit="1" customWidth="1"/>
    <col min="5636" max="5636" width="13.28515625" style="22" customWidth="1"/>
    <col min="5637" max="5637" width="5.42578125" style="22" bestFit="1" customWidth="1"/>
    <col min="5638" max="5638" width="9.5703125" style="22" bestFit="1" customWidth="1"/>
    <col min="5639" max="5639" width="9.7109375" style="22" bestFit="1" customWidth="1"/>
    <col min="5640" max="5640" width="6.42578125" style="22" bestFit="1" customWidth="1"/>
    <col min="5641" max="5888" width="9.140625" style="22"/>
    <col min="5889" max="5889" width="18.42578125" style="22" customWidth="1"/>
    <col min="5890" max="5890" width="10.85546875" style="22" bestFit="1" customWidth="1"/>
    <col min="5891" max="5891" width="28.28515625" style="22" bestFit="1" customWidth="1"/>
    <col min="5892" max="5892" width="13.28515625" style="22" customWidth="1"/>
    <col min="5893" max="5893" width="5.42578125" style="22" bestFit="1" customWidth="1"/>
    <col min="5894" max="5894" width="9.5703125" style="22" bestFit="1" customWidth="1"/>
    <col min="5895" max="5895" width="9.7109375" style="22" bestFit="1" customWidth="1"/>
    <col min="5896" max="5896" width="6.42578125" style="22" bestFit="1" customWidth="1"/>
    <col min="5897" max="6144" width="9.140625" style="22"/>
    <col min="6145" max="6145" width="18.42578125" style="22" customWidth="1"/>
    <col min="6146" max="6146" width="10.85546875" style="22" bestFit="1" customWidth="1"/>
    <col min="6147" max="6147" width="28.28515625" style="22" bestFit="1" customWidth="1"/>
    <col min="6148" max="6148" width="13.28515625" style="22" customWidth="1"/>
    <col min="6149" max="6149" width="5.42578125" style="22" bestFit="1" customWidth="1"/>
    <col min="6150" max="6150" width="9.5703125" style="22" bestFit="1" customWidth="1"/>
    <col min="6151" max="6151" width="9.7109375" style="22" bestFit="1" customWidth="1"/>
    <col min="6152" max="6152" width="6.42578125" style="22" bestFit="1" customWidth="1"/>
    <col min="6153" max="6400" width="9.140625" style="22"/>
    <col min="6401" max="6401" width="18.42578125" style="22" customWidth="1"/>
    <col min="6402" max="6402" width="10.85546875" style="22" bestFit="1" customWidth="1"/>
    <col min="6403" max="6403" width="28.28515625" style="22" bestFit="1" customWidth="1"/>
    <col min="6404" max="6404" width="13.28515625" style="22" customWidth="1"/>
    <col min="6405" max="6405" width="5.42578125" style="22" bestFit="1" customWidth="1"/>
    <col min="6406" max="6406" width="9.5703125" style="22" bestFit="1" customWidth="1"/>
    <col min="6407" max="6407" width="9.7109375" style="22" bestFit="1" customWidth="1"/>
    <col min="6408" max="6408" width="6.42578125" style="22" bestFit="1" customWidth="1"/>
    <col min="6409" max="6656" width="9.140625" style="22"/>
    <col min="6657" max="6657" width="18.42578125" style="22" customWidth="1"/>
    <col min="6658" max="6658" width="10.85546875" style="22" bestFit="1" customWidth="1"/>
    <col min="6659" max="6659" width="28.28515625" style="22" bestFit="1" customWidth="1"/>
    <col min="6660" max="6660" width="13.28515625" style="22" customWidth="1"/>
    <col min="6661" max="6661" width="5.42578125" style="22" bestFit="1" customWidth="1"/>
    <col min="6662" max="6662" width="9.5703125" style="22" bestFit="1" customWidth="1"/>
    <col min="6663" max="6663" width="9.7109375" style="22" bestFit="1" customWidth="1"/>
    <col min="6664" max="6664" width="6.42578125" style="22" bestFit="1" customWidth="1"/>
    <col min="6665" max="6912" width="9.140625" style="22"/>
    <col min="6913" max="6913" width="18.42578125" style="22" customWidth="1"/>
    <col min="6914" max="6914" width="10.85546875" style="22" bestFit="1" customWidth="1"/>
    <col min="6915" max="6915" width="28.28515625" style="22" bestFit="1" customWidth="1"/>
    <col min="6916" max="6916" width="13.28515625" style="22" customWidth="1"/>
    <col min="6917" max="6917" width="5.42578125" style="22" bestFit="1" customWidth="1"/>
    <col min="6918" max="6918" width="9.5703125" style="22" bestFit="1" customWidth="1"/>
    <col min="6919" max="6919" width="9.7109375" style="22" bestFit="1" customWidth="1"/>
    <col min="6920" max="6920" width="6.42578125" style="22" bestFit="1" customWidth="1"/>
    <col min="6921" max="7168" width="9.140625" style="22"/>
    <col min="7169" max="7169" width="18.42578125" style="22" customWidth="1"/>
    <col min="7170" max="7170" width="10.85546875" style="22" bestFit="1" customWidth="1"/>
    <col min="7171" max="7171" width="28.28515625" style="22" bestFit="1" customWidth="1"/>
    <col min="7172" max="7172" width="13.28515625" style="22" customWidth="1"/>
    <col min="7173" max="7173" width="5.42578125" style="22" bestFit="1" customWidth="1"/>
    <col min="7174" max="7174" width="9.5703125" style="22" bestFit="1" customWidth="1"/>
    <col min="7175" max="7175" width="9.7109375" style="22" bestFit="1" customWidth="1"/>
    <col min="7176" max="7176" width="6.42578125" style="22" bestFit="1" customWidth="1"/>
    <col min="7177" max="7424" width="9.140625" style="22"/>
    <col min="7425" max="7425" width="18.42578125" style="22" customWidth="1"/>
    <col min="7426" max="7426" width="10.85546875" style="22" bestFit="1" customWidth="1"/>
    <col min="7427" max="7427" width="28.28515625" style="22" bestFit="1" customWidth="1"/>
    <col min="7428" max="7428" width="13.28515625" style="22" customWidth="1"/>
    <col min="7429" max="7429" width="5.42578125" style="22" bestFit="1" customWidth="1"/>
    <col min="7430" max="7430" width="9.5703125" style="22" bestFit="1" customWidth="1"/>
    <col min="7431" max="7431" width="9.7109375" style="22" bestFit="1" customWidth="1"/>
    <col min="7432" max="7432" width="6.42578125" style="22" bestFit="1" customWidth="1"/>
    <col min="7433" max="7680" width="9.140625" style="22"/>
    <col min="7681" max="7681" width="18.42578125" style="22" customWidth="1"/>
    <col min="7682" max="7682" width="10.85546875" style="22" bestFit="1" customWidth="1"/>
    <col min="7683" max="7683" width="28.28515625" style="22" bestFit="1" customWidth="1"/>
    <col min="7684" max="7684" width="13.28515625" style="22" customWidth="1"/>
    <col min="7685" max="7685" width="5.42578125" style="22" bestFit="1" customWidth="1"/>
    <col min="7686" max="7686" width="9.5703125" style="22" bestFit="1" customWidth="1"/>
    <col min="7687" max="7687" width="9.7109375" style="22" bestFit="1" customWidth="1"/>
    <col min="7688" max="7688" width="6.42578125" style="22" bestFit="1" customWidth="1"/>
    <col min="7689" max="7936" width="9.140625" style="22"/>
    <col min="7937" max="7937" width="18.42578125" style="22" customWidth="1"/>
    <col min="7938" max="7938" width="10.85546875" style="22" bestFit="1" customWidth="1"/>
    <col min="7939" max="7939" width="28.28515625" style="22" bestFit="1" customWidth="1"/>
    <col min="7940" max="7940" width="13.28515625" style="22" customWidth="1"/>
    <col min="7941" max="7941" width="5.42578125" style="22" bestFit="1" customWidth="1"/>
    <col min="7942" max="7942" width="9.5703125" style="22" bestFit="1" customWidth="1"/>
    <col min="7943" max="7943" width="9.7109375" style="22" bestFit="1" customWidth="1"/>
    <col min="7944" max="7944" width="6.42578125" style="22" bestFit="1" customWidth="1"/>
    <col min="7945" max="8192" width="9.140625" style="22"/>
    <col min="8193" max="8193" width="18.42578125" style="22" customWidth="1"/>
    <col min="8194" max="8194" width="10.85546875" style="22" bestFit="1" customWidth="1"/>
    <col min="8195" max="8195" width="28.28515625" style="22" bestFit="1" customWidth="1"/>
    <col min="8196" max="8196" width="13.28515625" style="22" customWidth="1"/>
    <col min="8197" max="8197" width="5.42578125" style="22" bestFit="1" customWidth="1"/>
    <col min="8198" max="8198" width="9.5703125" style="22" bestFit="1" customWidth="1"/>
    <col min="8199" max="8199" width="9.7109375" style="22" bestFit="1" customWidth="1"/>
    <col min="8200" max="8200" width="6.42578125" style="22" bestFit="1" customWidth="1"/>
    <col min="8201" max="8448" width="9.140625" style="22"/>
    <col min="8449" max="8449" width="18.42578125" style="22" customWidth="1"/>
    <col min="8450" max="8450" width="10.85546875" style="22" bestFit="1" customWidth="1"/>
    <col min="8451" max="8451" width="28.28515625" style="22" bestFit="1" customWidth="1"/>
    <col min="8452" max="8452" width="13.28515625" style="22" customWidth="1"/>
    <col min="8453" max="8453" width="5.42578125" style="22" bestFit="1" customWidth="1"/>
    <col min="8454" max="8454" width="9.5703125" style="22" bestFit="1" customWidth="1"/>
    <col min="8455" max="8455" width="9.7109375" style="22" bestFit="1" customWidth="1"/>
    <col min="8456" max="8456" width="6.42578125" style="22" bestFit="1" customWidth="1"/>
    <col min="8457" max="8704" width="9.140625" style="22"/>
    <col min="8705" max="8705" width="18.42578125" style="22" customWidth="1"/>
    <col min="8706" max="8706" width="10.85546875" style="22" bestFit="1" customWidth="1"/>
    <col min="8707" max="8707" width="28.28515625" style="22" bestFit="1" customWidth="1"/>
    <col min="8708" max="8708" width="13.28515625" style="22" customWidth="1"/>
    <col min="8709" max="8709" width="5.42578125" style="22" bestFit="1" customWidth="1"/>
    <col min="8710" max="8710" width="9.5703125" style="22" bestFit="1" customWidth="1"/>
    <col min="8711" max="8711" width="9.7109375" style="22" bestFit="1" customWidth="1"/>
    <col min="8712" max="8712" width="6.42578125" style="22" bestFit="1" customWidth="1"/>
    <col min="8713" max="8960" width="9.140625" style="22"/>
    <col min="8961" max="8961" width="18.42578125" style="22" customWidth="1"/>
    <col min="8962" max="8962" width="10.85546875" style="22" bestFit="1" customWidth="1"/>
    <col min="8963" max="8963" width="28.28515625" style="22" bestFit="1" customWidth="1"/>
    <col min="8964" max="8964" width="13.28515625" style="22" customWidth="1"/>
    <col min="8965" max="8965" width="5.42578125" style="22" bestFit="1" customWidth="1"/>
    <col min="8966" max="8966" width="9.5703125" style="22" bestFit="1" customWidth="1"/>
    <col min="8967" max="8967" width="9.7109375" style="22" bestFit="1" customWidth="1"/>
    <col min="8968" max="8968" width="6.42578125" style="22" bestFit="1" customWidth="1"/>
    <col min="8969" max="9216" width="9.140625" style="22"/>
    <col min="9217" max="9217" width="18.42578125" style="22" customWidth="1"/>
    <col min="9218" max="9218" width="10.85546875" style="22" bestFit="1" customWidth="1"/>
    <col min="9219" max="9219" width="28.28515625" style="22" bestFit="1" customWidth="1"/>
    <col min="9220" max="9220" width="13.28515625" style="22" customWidth="1"/>
    <col min="9221" max="9221" width="5.42578125" style="22" bestFit="1" customWidth="1"/>
    <col min="9222" max="9222" width="9.5703125" style="22" bestFit="1" customWidth="1"/>
    <col min="9223" max="9223" width="9.7109375" style="22" bestFit="1" customWidth="1"/>
    <col min="9224" max="9224" width="6.42578125" style="22" bestFit="1" customWidth="1"/>
    <col min="9225" max="9472" width="9.140625" style="22"/>
    <col min="9473" max="9473" width="18.42578125" style="22" customWidth="1"/>
    <col min="9474" max="9474" width="10.85546875" style="22" bestFit="1" customWidth="1"/>
    <col min="9475" max="9475" width="28.28515625" style="22" bestFit="1" customWidth="1"/>
    <col min="9476" max="9476" width="13.28515625" style="22" customWidth="1"/>
    <col min="9477" max="9477" width="5.42578125" style="22" bestFit="1" customWidth="1"/>
    <col min="9478" max="9478" width="9.5703125" style="22" bestFit="1" customWidth="1"/>
    <col min="9479" max="9479" width="9.7109375" style="22" bestFit="1" customWidth="1"/>
    <col min="9480" max="9480" width="6.42578125" style="22" bestFit="1" customWidth="1"/>
    <col min="9481" max="9728" width="9.140625" style="22"/>
    <col min="9729" max="9729" width="18.42578125" style="22" customWidth="1"/>
    <col min="9730" max="9730" width="10.85546875" style="22" bestFit="1" customWidth="1"/>
    <col min="9731" max="9731" width="28.28515625" style="22" bestFit="1" customWidth="1"/>
    <col min="9732" max="9732" width="13.28515625" style="22" customWidth="1"/>
    <col min="9733" max="9733" width="5.42578125" style="22" bestFit="1" customWidth="1"/>
    <col min="9734" max="9734" width="9.5703125" style="22" bestFit="1" customWidth="1"/>
    <col min="9735" max="9735" width="9.7109375" style="22" bestFit="1" customWidth="1"/>
    <col min="9736" max="9736" width="6.42578125" style="22" bestFit="1" customWidth="1"/>
    <col min="9737" max="9984" width="9.140625" style="22"/>
    <col min="9985" max="9985" width="18.42578125" style="22" customWidth="1"/>
    <col min="9986" max="9986" width="10.85546875" style="22" bestFit="1" customWidth="1"/>
    <col min="9987" max="9987" width="28.28515625" style="22" bestFit="1" customWidth="1"/>
    <col min="9988" max="9988" width="13.28515625" style="22" customWidth="1"/>
    <col min="9989" max="9989" width="5.42578125" style="22" bestFit="1" customWidth="1"/>
    <col min="9990" max="9990" width="9.5703125" style="22" bestFit="1" customWidth="1"/>
    <col min="9991" max="9991" width="9.7109375" style="22" bestFit="1" customWidth="1"/>
    <col min="9992" max="9992" width="6.42578125" style="22" bestFit="1" customWidth="1"/>
    <col min="9993" max="10240" width="9.140625" style="22"/>
    <col min="10241" max="10241" width="18.42578125" style="22" customWidth="1"/>
    <col min="10242" max="10242" width="10.85546875" style="22" bestFit="1" customWidth="1"/>
    <col min="10243" max="10243" width="28.28515625" style="22" bestFit="1" customWidth="1"/>
    <col min="10244" max="10244" width="13.28515625" style="22" customWidth="1"/>
    <col min="10245" max="10245" width="5.42578125" style="22" bestFit="1" customWidth="1"/>
    <col min="10246" max="10246" width="9.5703125" style="22" bestFit="1" customWidth="1"/>
    <col min="10247" max="10247" width="9.7109375" style="22" bestFit="1" customWidth="1"/>
    <col min="10248" max="10248" width="6.42578125" style="22" bestFit="1" customWidth="1"/>
    <col min="10249" max="10496" width="9.140625" style="22"/>
    <col min="10497" max="10497" width="18.42578125" style="22" customWidth="1"/>
    <col min="10498" max="10498" width="10.85546875" style="22" bestFit="1" customWidth="1"/>
    <col min="10499" max="10499" width="28.28515625" style="22" bestFit="1" customWidth="1"/>
    <col min="10500" max="10500" width="13.28515625" style="22" customWidth="1"/>
    <col min="10501" max="10501" width="5.42578125" style="22" bestFit="1" customWidth="1"/>
    <col min="10502" max="10502" width="9.5703125" style="22" bestFit="1" customWidth="1"/>
    <col min="10503" max="10503" width="9.7109375" style="22" bestFit="1" customWidth="1"/>
    <col min="10504" max="10504" width="6.42578125" style="22" bestFit="1" customWidth="1"/>
    <col min="10505" max="10752" width="9.140625" style="22"/>
    <col min="10753" max="10753" width="18.42578125" style="22" customWidth="1"/>
    <col min="10754" max="10754" width="10.85546875" style="22" bestFit="1" customWidth="1"/>
    <col min="10755" max="10755" width="28.28515625" style="22" bestFit="1" customWidth="1"/>
    <col min="10756" max="10756" width="13.28515625" style="22" customWidth="1"/>
    <col min="10757" max="10757" width="5.42578125" style="22" bestFit="1" customWidth="1"/>
    <col min="10758" max="10758" width="9.5703125" style="22" bestFit="1" customWidth="1"/>
    <col min="10759" max="10759" width="9.7109375" style="22" bestFit="1" customWidth="1"/>
    <col min="10760" max="10760" width="6.42578125" style="22" bestFit="1" customWidth="1"/>
    <col min="10761" max="11008" width="9.140625" style="22"/>
    <col min="11009" max="11009" width="18.42578125" style="22" customWidth="1"/>
    <col min="11010" max="11010" width="10.85546875" style="22" bestFit="1" customWidth="1"/>
    <col min="11011" max="11011" width="28.28515625" style="22" bestFit="1" customWidth="1"/>
    <col min="11012" max="11012" width="13.28515625" style="22" customWidth="1"/>
    <col min="11013" max="11013" width="5.42578125" style="22" bestFit="1" customWidth="1"/>
    <col min="11014" max="11014" width="9.5703125" style="22" bestFit="1" customWidth="1"/>
    <col min="11015" max="11015" width="9.7109375" style="22" bestFit="1" customWidth="1"/>
    <col min="11016" max="11016" width="6.42578125" style="22" bestFit="1" customWidth="1"/>
    <col min="11017" max="11264" width="9.140625" style="22"/>
    <col min="11265" max="11265" width="18.42578125" style="22" customWidth="1"/>
    <col min="11266" max="11266" width="10.85546875" style="22" bestFit="1" customWidth="1"/>
    <col min="11267" max="11267" width="28.28515625" style="22" bestFit="1" customWidth="1"/>
    <col min="11268" max="11268" width="13.28515625" style="22" customWidth="1"/>
    <col min="11269" max="11269" width="5.42578125" style="22" bestFit="1" customWidth="1"/>
    <col min="11270" max="11270" width="9.5703125" style="22" bestFit="1" customWidth="1"/>
    <col min="11271" max="11271" width="9.7109375" style="22" bestFit="1" customWidth="1"/>
    <col min="11272" max="11272" width="6.42578125" style="22" bestFit="1" customWidth="1"/>
    <col min="11273" max="11520" width="9.140625" style="22"/>
    <col min="11521" max="11521" width="18.42578125" style="22" customWidth="1"/>
    <col min="11522" max="11522" width="10.85546875" style="22" bestFit="1" customWidth="1"/>
    <col min="11523" max="11523" width="28.28515625" style="22" bestFit="1" customWidth="1"/>
    <col min="11524" max="11524" width="13.28515625" style="22" customWidth="1"/>
    <col min="11525" max="11525" width="5.42578125" style="22" bestFit="1" customWidth="1"/>
    <col min="11526" max="11526" width="9.5703125" style="22" bestFit="1" customWidth="1"/>
    <col min="11527" max="11527" width="9.7109375" style="22" bestFit="1" customWidth="1"/>
    <col min="11528" max="11528" width="6.42578125" style="22" bestFit="1" customWidth="1"/>
    <col min="11529" max="11776" width="9.140625" style="22"/>
    <col min="11777" max="11777" width="18.42578125" style="22" customWidth="1"/>
    <col min="11778" max="11778" width="10.85546875" style="22" bestFit="1" customWidth="1"/>
    <col min="11779" max="11779" width="28.28515625" style="22" bestFit="1" customWidth="1"/>
    <col min="11780" max="11780" width="13.28515625" style="22" customWidth="1"/>
    <col min="11781" max="11781" width="5.42578125" style="22" bestFit="1" customWidth="1"/>
    <col min="11782" max="11782" width="9.5703125" style="22" bestFit="1" customWidth="1"/>
    <col min="11783" max="11783" width="9.7109375" style="22" bestFit="1" customWidth="1"/>
    <col min="11784" max="11784" width="6.42578125" style="22" bestFit="1" customWidth="1"/>
    <col min="11785" max="12032" width="9.140625" style="22"/>
    <col min="12033" max="12033" width="18.42578125" style="22" customWidth="1"/>
    <col min="12034" max="12034" width="10.85546875" style="22" bestFit="1" customWidth="1"/>
    <col min="12035" max="12035" width="28.28515625" style="22" bestFit="1" customWidth="1"/>
    <col min="12036" max="12036" width="13.28515625" style="22" customWidth="1"/>
    <col min="12037" max="12037" width="5.42578125" style="22" bestFit="1" customWidth="1"/>
    <col min="12038" max="12038" width="9.5703125" style="22" bestFit="1" customWidth="1"/>
    <col min="12039" max="12039" width="9.7109375" style="22" bestFit="1" customWidth="1"/>
    <col min="12040" max="12040" width="6.42578125" style="22" bestFit="1" customWidth="1"/>
    <col min="12041" max="12288" width="9.140625" style="22"/>
    <col min="12289" max="12289" width="18.42578125" style="22" customWidth="1"/>
    <col min="12290" max="12290" width="10.85546875" style="22" bestFit="1" customWidth="1"/>
    <col min="12291" max="12291" width="28.28515625" style="22" bestFit="1" customWidth="1"/>
    <col min="12292" max="12292" width="13.28515625" style="22" customWidth="1"/>
    <col min="12293" max="12293" width="5.42578125" style="22" bestFit="1" customWidth="1"/>
    <col min="12294" max="12294" width="9.5703125" style="22" bestFit="1" customWidth="1"/>
    <col min="12295" max="12295" width="9.7109375" style="22" bestFit="1" customWidth="1"/>
    <col min="12296" max="12296" width="6.42578125" style="22" bestFit="1" customWidth="1"/>
    <col min="12297" max="12544" width="9.140625" style="22"/>
    <col min="12545" max="12545" width="18.42578125" style="22" customWidth="1"/>
    <col min="12546" max="12546" width="10.85546875" style="22" bestFit="1" customWidth="1"/>
    <col min="12547" max="12547" width="28.28515625" style="22" bestFit="1" customWidth="1"/>
    <col min="12548" max="12548" width="13.28515625" style="22" customWidth="1"/>
    <col min="12549" max="12549" width="5.42578125" style="22" bestFit="1" customWidth="1"/>
    <col min="12550" max="12550" width="9.5703125" style="22" bestFit="1" customWidth="1"/>
    <col min="12551" max="12551" width="9.7109375" style="22" bestFit="1" customWidth="1"/>
    <col min="12552" max="12552" width="6.42578125" style="22" bestFit="1" customWidth="1"/>
    <col min="12553" max="12800" width="9.140625" style="22"/>
    <col min="12801" max="12801" width="18.42578125" style="22" customWidth="1"/>
    <col min="12802" max="12802" width="10.85546875" style="22" bestFit="1" customWidth="1"/>
    <col min="12803" max="12803" width="28.28515625" style="22" bestFit="1" customWidth="1"/>
    <col min="12804" max="12804" width="13.28515625" style="22" customWidth="1"/>
    <col min="12805" max="12805" width="5.42578125" style="22" bestFit="1" customWidth="1"/>
    <col min="12806" max="12806" width="9.5703125" style="22" bestFit="1" customWidth="1"/>
    <col min="12807" max="12807" width="9.7109375" style="22" bestFit="1" customWidth="1"/>
    <col min="12808" max="12808" width="6.42578125" style="22" bestFit="1" customWidth="1"/>
    <col min="12809" max="13056" width="9.140625" style="22"/>
    <col min="13057" max="13057" width="18.42578125" style="22" customWidth="1"/>
    <col min="13058" max="13058" width="10.85546875" style="22" bestFit="1" customWidth="1"/>
    <col min="13059" max="13059" width="28.28515625" style="22" bestFit="1" customWidth="1"/>
    <col min="13060" max="13060" width="13.28515625" style="22" customWidth="1"/>
    <col min="13061" max="13061" width="5.42578125" style="22" bestFit="1" customWidth="1"/>
    <col min="13062" max="13062" width="9.5703125" style="22" bestFit="1" customWidth="1"/>
    <col min="13063" max="13063" width="9.7109375" style="22" bestFit="1" customWidth="1"/>
    <col min="13064" max="13064" width="6.42578125" style="22" bestFit="1" customWidth="1"/>
    <col min="13065" max="13312" width="9.140625" style="22"/>
    <col min="13313" max="13313" width="18.42578125" style="22" customWidth="1"/>
    <col min="13314" max="13314" width="10.85546875" style="22" bestFit="1" customWidth="1"/>
    <col min="13315" max="13315" width="28.28515625" style="22" bestFit="1" customWidth="1"/>
    <col min="13316" max="13316" width="13.28515625" style="22" customWidth="1"/>
    <col min="13317" max="13317" width="5.42578125" style="22" bestFit="1" customWidth="1"/>
    <col min="13318" max="13318" width="9.5703125" style="22" bestFit="1" customWidth="1"/>
    <col min="13319" max="13319" width="9.7109375" style="22" bestFit="1" customWidth="1"/>
    <col min="13320" max="13320" width="6.42578125" style="22" bestFit="1" customWidth="1"/>
    <col min="13321" max="13568" width="9.140625" style="22"/>
    <col min="13569" max="13569" width="18.42578125" style="22" customWidth="1"/>
    <col min="13570" max="13570" width="10.85546875" style="22" bestFit="1" customWidth="1"/>
    <col min="13571" max="13571" width="28.28515625" style="22" bestFit="1" customWidth="1"/>
    <col min="13572" max="13572" width="13.28515625" style="22" customWidth="1"/>
    <col min="13573" max="13573" width="5.42578125" style="22" bestFit="1" customWidth="1"/>
    <col min="13574" max="13574" width="9.5703125" style="22" bestFit="1" customWidth="1"/>
    <col min="13575" max="13575" width="9.7109375" style="22" bestFit="1" customWidth="1"/>
    <col min="13576" max="13576" width="6.42578125" style="22" bestFit="1" customWidth="1"/>
    <col min="13577" max="13824" width="9.140625" style="22"/>
    <col min="13825" max="13825" width="18.42578125" style="22" customWidth="1"/>
    <col min="13826" max="13826" width="10.85546875" style="22" bestFit="1" customWidth="1"/>
    <col min="13827" max="13827" width="28.28515625" style="22" bestFit="1" customWidth="1"/>
    <col min="13828" max="13828" width="13.28515625" style="22" customWidth="1"/>
    <col min="13829" max="13829" width="5.42578125" style="22" bestFit="1" customWidth="1"/>
    <col min="13830" max="13830" width="9.5703125" style="22" bestFit="1" customWidth="1"/>
    <col min="13831" max="13831" width="9.7109375" style="22" bestFit="1" customWidth="1"/>
    <col min="13832" max="13832" width="6.42578125" style="22" bestFit="1" customWidth="1"/>
    <col min="13833" max="14080" width="9.140625" style="22"/>
    <col min="14081" max="14081" width="18.42578125" style="22" customWidth="1"/>
    <col min="14082" max="14082" width="10.85546875" style="22" bestFit="1" customWidth="1"/>
    <col min="14083" max="14083" width="28.28515625" style="22" bestFit="1" customWidth="1"/>
    <col min="14084" max="14084" width="13.28515625" style="22" customWidth="1"/>
    <col min="14085" max="14085" width="5.42578125" style="22" bestFit="1" customWidth="1"/>
    <col min="14086" max="14086" width="9.5703125" style="22" bestFit="1" customWidth="1"/>
    <col min="14087" max="14087" width="9.7109375" style="22" bestFit="1" customWidth="1"/>
    <col min="14088" max="14088" width="6.42578125" style="22" bestFit="1" customWidth="1"/>
    <col min="14089" max="14336" width="9.140625" style="22"/>
    <col min="14337" max="14337" width="18.42578125" style="22" customWidth="1"/>
    <col min="14338" max="14338" width="10.85546875" style="22" bestFit="1" customWidth="1"/>
    <col min="14339" max="14339" width="28.28515625" style="22" bestFit="1" customWidth="1"/>
    <col min="14340" max="14340" width="13.28515625" style="22" customWidth="1"/>
    <col min="14341" max="14341" width="5.42578125" style="22" bestFit="1" customWidth="1"/>
    <col min="14342" max="14342" width="9.5703125" style="22" bestFit="1" customWidth="1"/>
    <col min="14343" max="14343" width="9.7109375" style="22" bestFit="1" customWidth="1"/>
    <col min="14344" max="14344" width="6.42578125" style="22" bestFit="1" customWidth="1"/>
    <col min="14345" max="14592" width="9.140625" style="22"/>
    <col min="14593" max="14593" width="18.42578125" style="22" customWidth="1"/>
    <col min="14594" max="14594" width="10.85546875" style="22" bestFit="1" customWidth="1"/>
    <col min="14595" max="14595" width="28.28515625" style="22" bestFit="1" customWidth="1"/>
    <col min="14596" max="14596" width="13.28515625" style="22" customWidth="1"/>
    <col min="14597" max="14597" width="5.42578125" style="22" bestFit="1" customWidth="1"/>
    <col min="14598" max="14598" width="9.5703125" style="22" bestFit="1" customWidth="1"/>
    <col min="14599" max="14599" width="9.7109375" style="22" bestFit="1" customWidth="1"/>
    <col min="14600" max="14600" width="6.42578125" style="22" bestFit="1" customWidth="1"/>
    <col min="14601" max="14848" width="9.140625" style="22"/>
    <col min="14849" max="14849" width="18.42578125" style="22" customWidth="1"/>
    <col min="14850" max="14850" width="10.85546875" style="22" bestFit="1" customWidth="1"/>
    <col min="14851" max="14851" width="28.28515625" style="22" bestFit="1" customWidth="1"/>
    <col min="14852" max="14852" width="13.28515625" style="22" customWidth="1"/>
    <col min="14853" max="14853" width="5.42578125" style="22" bestFit="1" customWidth="1"/>
    <col min="14854" max="14854" width="9.5703125" style="22" bestFit="1" customWidth="1"/>
    <col min="14855" max="14855" width="9.7109375" style="22" bestFit="1" customWidth="1"/>
    <col min="14856" max="14856" width="6.42578125" style="22" bestFit="1" customWidth="1"/>
    <col min="14857" max="15104" width="9.140625" style="22"/>
    <col min="15105" max="15105" width="18.42578125" style="22" customWidth="1"/>
    <col min="15106" max="15106" width="10.85546875" style="22" bestFit="1" customWidth="1"/>
    <col min="15107" max="15107" width="28.28515625" style="22" bestFit="1" customWidth="1"/>
    <col min="15108" max="15108" width="13.28515625" style="22" customWidth="1"/>
    <col min="15109" max="15109" width="5.42578125" style="22" bestFit="1" customWidth="1"/>
    <col min="15110" max="15110" width="9.5703125" style="22" bestFit="1" customWidth="1"/>
    <col min="15111" max="15111" width="9.7109375" style="22" bestFit="1" customWidth="1"/>
    <col min="15112" max="15112" width="6.42578125" style="22" bestFit="1" customWidth="1"/>
    <col min="15113" max="15360" width="9.140625" style="22"/>
    <col min="15361" max="15361" width="18.42578125" style="22" customWidth="1"/>
    <col min="15362" max="15362" width="10.85546875" style="22" bestFit="1" customWidth="1"/>
    <col min="15363" max="15363" width="28.28515625" style="22" bestFit="1" customWidth="1"/>
    <col min="15364" max="15364" width="13.28515625" style="22" customWidth="1"/>
    <col min="15365" max="15365" width="5.42578125" style="22" bestFit="1" customWidth="1"/>
    <col min="15366" max="15366" width="9.5703125" style="22" bestFit="1" customWidth="1"/>
    <col min="15367" max="15367" width="9.7109375" style="22" bestFit="1" customWidth="1"/>
    <col min="15368" max="15368" width="6.42578125" style="22" bestFit="1" customWidth="1"/>
    <col min="15369" max="15616" width="9.140625" style="22"/>
    <col min="15617" max="15617" width="18.42578125" style="22" customWidth="1"/>
    <col min="15618" max="15618" width="10.85546875" style="22" bestFit="1" customWidth="1"/>
    <col min="15619" max="15619" width="28.28515625" style="22" bestFit="1" customWidth="1"/>
    <col min="15620" max="15620" width="13.28515625" style="22" customWidth="1"/>
    <col min="15621" max="15621" width="5.42578125" style="22" bestFit="1" customWidth="1"/>
    <col min="15622" max="15622" width="9.5703125" style="22" bestFit="1" customWidth="1"/>
    <col min="15623" max="15623" width="9.7109375" style="22" bestFit="1" customWidth="1"/>
    <col min="15624" max="15624" width="6.42578125" style="22" bestFit="1" customWidth="1"/>
    <col min="15625" max="15872" width="9.140625" style="22"/>
    <col min="15873" max="15873" width="18.42578125" style="22" customWidth="1"/>
    <col min="15874" max="15874" width="10.85546875" style="22" bestFit="1" customWidth="1"/>
    <col min="15875" max="15875" width="28.28515625" style="22" bestFit="1" customWidth="1"/>
    <col min="15876" max="15876" width="13.28515625" style="22" customWidth="1"/>
    <col min="15877" max="15877" width="5.42578125" style="22" bestFit="1" customWidth="1"/>
    <col min="15878" max="15878" width="9.5703125" style="22" bestFit="1" customWidth="1"/>
    <col min="15879" max="15879" width="9.7109375" style="22" bestFit="1" customWidth="1"/>
    <col min="15880" max="15880" width="6.42578125" style="22" bestFit="1" customWidth="1"/>
    <col min="15881" max="16128" width="9.140625" style="22"/>
    <col min="16129" max="16129" width="18.42578125" style="22" customWidth="1"/>
    <col min="16130" max="16130" width="10.85546875" style="22" bestFit="1" customWidth="1"/>
    <col min="16131" max="16131" width="28.28515625" style="22" bestFit="1" customWidth="1"/>
    <col min="16132" max="16132" width="13.28515625" style="22" customWidth="1"/>
    <col min="16133" max="16133" width="5.42578125" style="22" bestFit="1" customWidth="1"/>
    <col min="16134" max="16134" width="9.5703125" style="22" bestFit="1" customWidth="1"/>
    <col min="16135" max="16135" width="9.7109375" style="22" bestFit="1" customWidth="1"/>
    <col min="16136" max="16136" width="6.42578125" style="22" bestFit="1" customWidth="1"/>
    <col min="16137" max="16384" width="9.140625" style="22"/>
  </cols>
  <sheetData>
    <row r="1" spans="1:4" s="20" customFormat="1" ht="48" customHeight="1" x14ac:dyDescent="0.25">
      <c r="A1" s="44" t="s">
        <v>5</v>
      </c>
      <c r="B1" s="44"/>
      <c r="C1" s="44"/>
      <c r="D1" s="44"/>
    </row>
    <row r="2" spans="1:4" x14ac:dyDescent="0.25">
      <c r="A2" s="21"/>
    </row>
    <row r="3" spans="1:4" x14ac:dyDescent="0.25">
      <c r="B3" s="43"/>
    </row>
  </sheetData>
  <mergeCells count="1">
    <mergeCell ref="A1:D1"/>
  </mergeCells>
  <dataValidations count="1">
    <dataValidation type="custom" allowBlank="1" showInputMessage="1" showErrorMessage="1" errorTitle="Invalid character" error="A folder name can't contain any of the following characters:_x000a_/ \ : * ? &quot; &lt; &gt; |" promptTitle="Folder name" prompt="Each cell contains the name of a folder. Each of these folders will become a subfolder of the cell value at it's left (going left and up to find the the first non empty cell)._x000a__x000a_A folder name can't contain any of the following characters:_x000a_/ \ : * ? &quot; &lt; &gt; |" sqref="A1:XFD1048576">
      <formula1>IF(OR(LEN(A1)&lt;&gt;LEN(SUBSTITUTE(SUBSTITUTE(SUBSTITUTE(SUBSTITUTE(SUBSTITUTE(A1,"/",""),"\",""),"*",""),"|",""),"&gt;","")),LEN(A1)&lt;&gt;LEN(SUBSTITUTE(SUBSTITUTE(SUBSTITUTE(A1,":",""),"?",""),"&lt;",""))),0,1)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reateFolderStructure">
                <anchor moveWithCells="1" sizeWithCells="1">
                  <from>
                    <xdr:col>4</xdr:col>
                    <xdr:colOff>104775</xdr:colOff>
                    <xdr:row>0</xdr:row>
                    <xdr:rowOff>57150</xdr:rowOff>
                  </from>
                  <to>
                    <xdr:col>8</xdr:col>
                    <xdr:colOff>0</xdr:colOff>
                    <xdr:row>0</xdr:row>
                    <xdr:rowOff>561975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R104414"/>
  <sheetViews>
    <sheetView workbookViewId="0">
      <selection activeCell="A2" sqref="A2"/>
    </sheetView>
  </sheetViews>
  <sheetFormatPr defaultRowHeight="15" x14ac:dyDescent="0.25"/>
  <cols>
    <col min="1" max="1" width="39.7109375" style="48" customWidth="1"/>
    <col min="2" max="2" width="36.28515625" style="48" customWidth="1"/>
    <col min="3" max="256" width="9.140625" style="48"/>
    <col min="257" max="257" width="39.7109375" style="48" customWidth="1"/>
    <col min="258" max="258" width="36.28515625" style="48" customWidth="1"/>
    <col min="259" max="512" width="9.140625" style="48"/>
    <col min="513" max="513" width="39.7109375" style="48" customWidth="1"/>
    <col min="514" max="514" width="36.28515625" style="48" customWidth="1"/>
    <col min="515" max="768" width="9.140625" style="48"/>
    <col min="769" max="769" width="39.7109375" style="48" customWidth="1"/>
    <col min="770" max="770" width="36.28515625" style="48" customWidth="1"/>
    <col min="771" max="1024" width="9.140625" style="48"/>
    <col min="1025" max="1025" width="39.7109375" style="48" customWidth="1"/>
    <col min="1026" max="1026" width="36.28515625" style="48" customWidth="1"/>
    <col min="1027" max="1280" width="9.140625" style="48"/>
    <col min="1281" max="1281" width="39.7109375" style="48" customWidth="1"/>
    <col min="1282" max="1282" width="36.28515625" style="48" customWidth="1"/>
    <col min="1283" max="1536" width="9.140625" style="48"/>
    <col min="1537" max="1537" width="39.7109375" style="48" customWidth="1"/>
    <col min="1538" max="1538" width="36.28515625" style="48" customWidth="1"/>
    <col min="1539" max="1792" width="9.140625" style="48"/>
    <col min="1793" max="1793" width="39.7109375" style="48" customWidth="1"/>
    <col min="1794" max="1794" width="36.28515625" style="48" customWidth="1"/>
    <col min="1795" max="2048" width="9.140625" style="48"/>
    <col min="2049" max="2049" width="39.7109375" style="48" customWidth="1"/>
    <col min="2050" max="2050" width="36.28515625" style="48" customWidth="1"/>
    <col min="2051" max="2304" width="9.140625" style="48"/>
    <col min="2305" max="2305" width="39.7109375" style="48" customWidth="1"/>
    <col min="2306" max="2306" width="36.28515625" style="48" customWidth="1"/>
    <col min="2307" max="2560" width="9.140625" style="48"/>
    <col min="2561" max="2561" width="39.7109375" style="48" customWidth="1"/>
    <col min="2562" max="2562" width="36.28515625" style="48" customWidth="1"/>
    <col min="2563" max="2816" width="9.140625" style="48"/>
    <col min="2817" max="2817" width="39.7109375" style="48" customWidth="1"/>
    <col min="2818" max="2818" width="36.28515625" style="48" customWidth="1"/>
    <col min="2819" max="3072" width="9.140625" style="48"/>
    <col min="3073" max="3073" width="39.7109375" style="48" customWidth="1"/>
    <col min="3074" max="3074" width="36.28515625" style="48" customWidth="1"/>
    <col min="3075" max="3328" width="9.140625" style="48"/>
    <col min="3329" max="3329" width="39.7109375" style="48" customWidth="1"/>
    <col min="3330" max="3330" width="36.28515625" style="48" customWidth="1"/>
    <col min="3331" max="3584" width="9.140625" style="48"/>
    <col min="3585" max="3585" width="39.7109375" style="48" customWidth="1"/>
    <col min="3586" max="3586" width="36.28515625" style="48" customWidth="1"/>
    <col min="3587" max="3840" width="9.140625" style="48"/>
    <col min="3841" max="3841" width="39.7109375" style="48" customWidth="1"/>
    <col min="3842" max="3842" width="36.28515625" style="48" customWidth="1"/>
    <col min="3843" max="4096" width="9.140625" style="48"/>
    <col min="4097" max="4097" width="39.7109375" style="48" customWidth="1"/>
    <col min="4098" max="4098" width="36.28515625" style="48" customWidth="1"/>
    <col min="4099" max="4352" width="9.140625" style="48"/>
    <col min="4353" max="4353" width="39.7109375" style="48" customWidth="1"/>
    <col min="4354" max="4354" width="36.28515625" style="48" customWidth="1"/>
    <col min="4355" max="4608" width="9.140625" style="48"/>
    <col min="4609" max="4609" width="39.7109375" style="48" customWidth="1"/>
    <col min="4610" max="4610" width="36.28515625" style="48" customWidth="1"/>
    <col min="4611" max="4864" width="9.140625" style="48"/>
    <col min="4865" max="4865" width="39.7109375" style="48" customWidth="1"/>
    <col min="4866" max="4866" width="36.28515625" style="48" customWidth="1"/>
    <col min="4867" max="5120" width="9.140625" style="48"/>
    <col min="5121" max="5121" width="39.7109375" style="48" customWidth="1"/>
    <col min="5122" max="5122" width="36.28515625" style="48" customWidth="1"/>
    <col min="5123" max="5376" width="9.140625" style="48"/>
    <col min="5377" max="5377" width="39.7109375" style="48" customWidth="1"/>
    <col min="5378" max="5378" width="36.28515625" style="48" customWidth="1"/>
    <col min="5379" max="5632" width="9.140625" style="48"/>
    <col min="5633" max="5633" width="39.7109375" style="48" customWidth="1"/>
    <col min="5634" max="5634" width="36.28515625" style="48" customWidth="1"/>
    <col min="5635" max="5888" width="9.140625" style="48"/>
    <col min="5889" max="5889" width="39.7109375" style="48" customWidth="1"/>
    <col min="5890" max="5890" width="36.28515625" style="48" customWidth="1"/>
    <col min="5891" max="6144" width="9.140625" style="48"/>
    <col min="6145" max="6145" width="39.7109375" style="48" customWidth="1"/>
    <col min="6146" max="6146" width="36.28515625" style="48" customWidth="1"/>
    <col min="6147" max="6400" width="9.140625" style="48"/>
    <col min="6401" max="6401" width="39.7109375" style="48" customWidth="1"/>
    <col min="6402" max="6402" width="36.28515625" style="48" customWidth="1"/>
    <col min="6403" max="6656" width="9.140625" style="48"/>
    <col min="6657" max="6657" width="39.7109375" style="48" customWidth="1"/>
    <col min="6658" max="6658" width="36.28515625" style="48" customWidth="1"/>
    <col min="6659" max="6912" width="9.140625" style="48"/>
    <col min="6913" max="6913" width="39.7109375" style="48" customWidth="1"/>
    <col min="6914" max="6914" width="36.28515625" style="48" customWidth="1"/>
    <col min="6915" max="7168" width="9.140625" style="48"/>
    <col min="7169" max="7169" width="39.7109375" style="48" customWidth="1"/>
    <col min="7170" max="7170" width="36.28515625" style="48" customWidth="1"/>
    <col min="7171" max="7424" width="9.140625" style="48"/>
    <col min="7425" max="7425" width="39.7109375" style="48" customWidth="1"/>
    <col min="7426" max="7426" width="36.28515625" style="48" customWidth="1"/>
    <col min="7427" max="7680" width="9.140625" style="48"/>
    <col min="7681" max="7681" width="39.7109375" style="48" customWidth="1"/>
    <col min="7682" max="7682" width="36.28515625" style="48" customWidth="1"/>
    <col min="7683" max="7936" width="9.140625" style="48"/>
    <col min="7937" max="7937" width="39.7109375" style="48" customWidth="1"/>
    <col min="7938" max="7938" width="36.28515625" style="48" customWidth="1"/>
    <col min="7939" max="8192" width="9.140625" style="48"/>
    <col min="8193" max="8193" width="39.7109375" style="48" customWidth="1"/>
    <col min="8194" max="8194" width="36.28515625" style="48" customWidth="1"/>
    <col min="8195" max="8448" width="9.140625" style="48"/>
    <col min="8449" max="8449" width="39.7109375" style="48" customWidth="1"/>
    <col min="8450" max="8450" width="36.28515625" style="48" customWidth="1"/>
    <col min="8451" max="8704" width="9.140625" style="48"/>
    <col min="8705" max="8705" width="39.7109375" style="48" customWidth="1"/>
    <col min="8706" max="8706" width="36.28515625" style="48" customWidth="1"/>
    <col min="8707" max="8960" width="9.140625" style="48"/>
    <col min="8961" max="8961" width="39.7109375" style="48" customWidth="1"/>
    <col min="8962" max="8962" width="36.28515625" style="48" customWidth="1"/>
    <col min="8963" max="9216" width="9.140625" style="48"/>
    <col min="9217" max="9217" width="39.7109375" style="48" customWidth="1"/>
    <col min="9218" max="9218" width="36.28515625" style="48" customWidth="1"/>
    <col min="9219" max="9472" width="9.140625" style="48"/>
    <col min="9473" max="9473" width="39.7109375" style="48" customWidth="1"/>
    <col min="9474" max="9474" width="36.28515625" style="48" customWidth="1"/>
    <col min="9475" max="9728" width="9.140625" style="48"/>
    <col min="9729" max="9729" width="39.7109375" style="48" customWidth="1"/>
    <col min="9730" max="9730" width="36.28515625" style="48" customWidth="1"/>
    <col min="9731" max="9984" width="9.140625" style="48"/>
    <col min="9985" max="9985" width="39.7109375" style="48" customWidth="1"/>
    <col min="9986" max="9986" width="36.28515625" style="48" customWidth="1"/>
    <col min="9987" max="10240" width="9.140625" style="48"/>
    <col min="10241" max="10241" width="39.7109375" style="48" customWidth="1"/>
    <col min="10242" max="10242" width="36.28515625" style="48" customWidth="1"/>
    <col min="10243" max="10496" width="9.140625" style="48"/>
    <col min="10497" max="10497" width="39.7109375" style="48" customWidth="1"/>
    <col min="10498" max="10498" width="36.28515625" style="48" customWidth="1"/>
    <col min="10499" max="10752" width="9.140625" style="48"/>
    <col min="10753" max="10753" width="39.7109375" style="48" customWidth="1"/>
    <col min="10754" max="10754" width="36.28515625" style="48" customWidth="1"/>
    <col min="10755" max="11008" width="9.140625" style="48"/>
    <col min="11009" max="11009" width="39.7109375" style="48" customWidth="1"/>
    <col min="11010" max="11010" width="36.28515625" style="48" customWidth="1"/>
    <col min="11011" max="11264" width="9.140625" style="48"/>
    <col min="11265" max="11265" width="39.7109375" style="48" customWidth="1"/>
    <col min="11266" max="11266" width="36.28515625" style="48" customWidth="1"/>
    <col min="11267" max="11520" width="9.140625" style="48"/>
    <col min="11521" max="11521" width="39.7109375" style="48" customWidth="1"/>
    <col min="11522" max="11522" width="36.28515625" style="48" customWidth="1"/>
    <col min="11523" max="11776" width="9.140625" style="48"/>
    <col min="11777" max="11777" width="39.7109375" style="48" customWidth="1"/>
    <col min="11778" max="11778" width="36.28515625" style="48" customWidth="1"/>
    <col min="11779" max="12032" width="9.140625" style="48"/>
    <col min="12033" max="12033" width="39.7109375" style="48" customWidth="1"/>
    <col min="12034" max="12034" width="36.28515625" style="48" customWidth="1"/>
    <col min="12035" max="12288" width="9.140625" style="48"/>
    <col min="12289" max="12289" width="39.7109375" style="48" customWidth="1"/>
    <col min="12290" max="12290" width="36.28515625" style="48" customWidth="1"/>
    <col min="12291" max="12544" width="9.140625" style="48"/>
    <col min="12545" max="12545" width="39.7109375" style="48" customWidth="1"/>
    <col min="12546" max="12546" width="36.28515625" style="48" customWidth="1"/>
    <col min="12547" max="12800" width="9.140625" style="48"/>
    <col min="12801" max="12801" width="39.7109375" style="48" customWidth="1"/>
    <col min="12802" max="12802" width="36.28515625" style="48" customWidth="1"/>
    <col min="12803" max="13056" width="9.140625" style="48"/>
    <col min="13057" max="13057" width="39.7109375" style="48" customWidth="1"/>
    <col min="13058" max="13058" width="36.28515625" style="48" customWidth="1"/>
    <col min="13059" max="13312" width="9.140625" style="48"/>
    <col min="13313" max="13313" width="39.7109375" style="48" customWidth="1"/>
    <col min="13314" max="13314" width="36.28515625" style="48" customWidth="1"/>
    <col min="13315" max="13568" width="9.140625" style="48"/>
    <col min="13569" max="13569" width="39.7109375" style="48" customWidth="1"/>
    <col min="13570" max="13570" width="36.28515625" style="48" customWidth="1"/>
    <col min="13571" max="13824" width="9.140625" style="48"/>
    <col min="13825" max="13825" width="39.7109375" style="48" customWidth="1"/>
    <col min="13826" max="13826" width="36.28515625" style="48" customWidth="1"/>
    <col min="13827" max="14080" width="9.140625" style="48"/>
    <col min="14081" max="14081" width="39.7109375" style="48" customWidth="1"/>
    <col min="14082" max="14082" width="36.28515625" style="48" customWidth="1"/>
    <col min="14083" max="14336" width="9.140625" style="48"/>
    <col min="14337" max="14337" width="39.7109375" style="48" customWidth="1"/>
    <col min="14338" max="14338" width="36.28515625" style="48" customWidth="1"/>
    <col min="14339" max="14592" width="9.140625" style="48"/>
    <col min="14593" max="14593" width="39.7109375" style="48" customWidth="1"/>
    <col min="14594" max="14594" width="36.28515625" style="48" customWidth="1"/>
    <col min="14595" max="14848" width="9.140625" style="48"/>
    <col min="14849" max="14849" width="39.7109375" style="48" customWidth="1"/>
    <col min="14850" max="14850" width="36.28515625" style="48" customWidth="1"/>
    <col min="14851" max="15104" width="9.140625" style="48"/>
    <col min="15105" max="15105" width="39.7109375" style="48" customWidth="1"/>
    <col min="15106" max="15106" width="36.28515625" style="48" customWidth="1"/>
    <col min="15107" max="15360" width="9.140625" style="48"/>
    <col min="15361" max="15361" width="39.7109375" style="48" customWidth="1"/>
    <col min="15362" max="15362" width="36.28515625" style="48" customWidth="1"/>
    <col min="15363" max="15616" width="9.140625" style="48"/>
    <col min="15617" max="15617" width="39.7109375" style="48" customWidth="1"/>
    <col min="15618" max="15618" width="36.28515625" style="48" customWidth="1"/>
    <col min="15619" max="15872" width="9.140625" style="48"/>
    <col min="15873" max="15873" width="39.7109375" style="48" customWidth="1"/>
    <col min="15874" max="15874" width="36.28515625" style="48" customWidth="1"/>
    <col min="15875" max="16128" width="9.140625" style="48"/>
    <col min="16129" max="16129" width="39.7109375" style="48" customWidth="1"/>
    <col min="16130" max="16130" width="36.28515625" style="48" customWidth="1"/>
    <col min="16131" max="16384" width="9.140625" style="48"/>
  </cols>
  <sheetData>
    <row r="1" spans="1:10" s="47" customFormat="1" ht="49.5" customHeight="1" x14ac:dyDescent="0.2">
      <c r="A1" s="46" t="s">
        <v>47</v>
      </c>
      <c r="B1" s="46"/>
      <c r="C1" s="46"/>
      <c r="D1" s="46"/>
      <c r="J1" s="47" t="s">
        <v>48</v>
      </c>
    </row>
    <row r="9" spans="1:10" x14ac:dyDescent="0.25">
      <c r="B9" s="49"/>
    </row>
    <row r="14" spans="1:10" x14ac:dyDescent="0.25">
      <c r="B14" s="49"/>
    </row>
    <row r="20" spans="2:2" x14ac:dyDescent="0.25">
      <c r="B20" s="49"/>
    </row>
    <row r="25" spans="2:2" x14ac:dyDescent="0.25">
      <c r="B25" s="49"/>
    </row>
    <row r="26" spans="2:2" x14ac:dyDescent="0.25">
      <c r="B26" s="49"/>
    </row>
    <row r="30" spans="2:2" x14ac:dyDescent="0.25">
      <c r="B30" s="49"/>
    </row>
    <row r="32" spans="2:2" x14ac:dyDescent="0.25">
      <c r="B32" s="49"/>
    </row>
    <row r="33" spans="2:36" x14ac:dyDescent="0.25">
      <c r="B33" s="49"/>
      <c r="F33" s="49"/>
    </row>
    <row r="34" spans="2:36" x14ac:dyDescent="0.25">
      <c r="B34" s="49"/>
      <c r="K34" s="49"/>
    </row>
    <row r="35" spans="2:36" x14ac:dyDescent="0.25">
      <c r="B35" s="49"/>
    </row>
    <row r="36" spans="2:36" x14ac:dyDescent="0.25">
      <c r="B36" s="49"/>
    </row>
    <row r="37" spans="2:36" x14ac:dyDescent="0.25">
      <c r="B37" s="49"/>
      <c r="C37" s="49"/>
      <c r="AJ37" s="49"/>
    </row>
    <row r="38" spans="2:36" x14ac:dyDescent="0.25">
      <c r="B38" s="49"/>
    </row>
    <row r="39" spans="2:36" x14ac:dyDescent="0.25">
      <c r="B39" s="49"/>
    </row>
    <row r="40" spans="2:36" x14ac:dyDescent="0.25">
      <c r="B40" s="49"/>
    </row>
    <row r="41" spans="2:36" x14ac:dyDescent="0.25">
      <c r="B41" s="49"/>
    </row>
    <row r="42" spans="2:36" x14ac:dyDescent="0.25">
      <c r="B42" s="49"/>
    </row>
    <row r="45" spans="2:36" x14ac:dyDescent="0.25">
      <c r="B45" s="49"/>
    </row>
    <row r="46" spans="2:36" x14ac:dyDescent="0.25">
      <c r="B46" s="49"/>
      <c r="C46" s="49"/>
    </row>
    <row r="49" spans="2:3" x14ac:dyDescent="0.25">
      <c r="B49" s="49"/>
    </row>
    <row r="50" spans="2:3" x14ac:dyDescent="0.25">
      <c r="C50" s="49"/>
    </row>
    <row r="51" spans="2:3" x14ac:dyDescent="0.25">
      <c r="B51" s="49"/>
    </row>
    <row r="52" spans="2:3" x14ac:dyDescent="0.25">
      <c r="B52" s="49"/>
    </row>
    <row r="53" spans="2:3" x14ac:dyDescent="0.25">
      <c r="B53" s="49"/>
    </row>
    <row r="54" spans="2:3" x14ac:dyDescent="0.25">
      <c r="B54" s="49"/>
    </row>
    <row r="55" spans="2:3" x14ac:dyDescent="0.25">
      <c r="B55" s="49"/>
    </row>
    <row r="57" spans="2:3" x14ac:dyDescent="0.25">
      <c r="B57" s="49"/>
    </row>
    <row r="59" spans="2:3" x14ac:dyDescent="0.25">
      <c r="B59" s="49"/>
    </row>
    <row r="60" spans="2:3" x14ac:dyDescent="0.25">
      <c r="B60" s="49"/>
    </row>
    <row r="61" spans="2:3" x14ac:dyDescent="0.25">
      <c r="B61" s="49"/>
    </row>
    <row r="62" spans="2:3" x14ac:dyDescent="0.25">
      <c r="B62" s="49"/>
    </row>
    <row r="63" spans="2:3" x14ac:dyDescent="0.25">
      <c r="B63" s="49"/>
      <c r="C63" s="49"/>
    </row>
    <row r="64" spans="2:3" x14ac:dyDescent="0.25">
      <c r="B64" s="49"/>
    </row>
    <row r="65" spans="2:64" x14ac:dyDescent="0.25">
      <c r="B65" s="49"/>
      <c r="C65" s="49"/>
      <c r="BL65" s="49"/>
    </row>
    <row r="67" spans="2:64" x14ac:dyDescent="0.25">
      <c r="B67" s="49"/>
      <c r="C67" s="49"/>
    </row>
    <row r="68" spans="2:64" x14ac:dyDescent="0.25">
      <c r="C68" s="49"/>
    </row>
    <row r="69" spans="2:64" x14ac:dyDescent="0.25">
      <c r="B69" s="49"/>
    </row>
    <row r="71" spans="2:64" x14ac:dyDescent="0.25">
      <c r="B71" s="49"/>
    </row>
    <row r="72" spans="2:64" x14ac:dyDescent="0.25">
      <c r="C72" s="49"/>
    </row>
    <row r="73" spans="2:64" x14ac:dyDescent="0.25">
      <c r="B73" s="49"/>
    </row>
    <row r="74" spans="2:64" x14ac:dyDescent="0.25">
      <c r="B74" s="49"/>
    </row>
    <row r="75" spans="2:64" x14ac:dyDescent="0.25">
      <c r="B75" s="49"/>
      <c r="C75" s="49"/>
    </row>
    <row r="76" spans="2:64" x14ac:dyDescent="0.25">
      <c r="B76" s="49"/>
    </row>
    <row r="77" spans="2:64" x14ac:dyDescent="0.25">
      <c r="B77" s="49"/>
      <c r="C77" s="49"/>
    </row>
    <row r="78" spans="2:64" x14ac:dyDescent="0.25">
      <c r="B78" s="49"/>
    </row>
    <row r="81" spans="2:85" x14ac:dyDescent="0.25">
      <c r="C81" s="49"/>
    </row>
    <row r="84" spans="2:85" x14ac:dyDescent="0.25">
      <c r="B84" s="49"/>
    </row>
    <row r="85" spans="2:85" x14ac:dyDescent="0.25">
      <c r="B85" s="49"/>
    </row>
    <row r="86" spans="2:85" x14ac:dyDescent="0.25">
      <c r="B86" s="49"/>
      <c r="C86" s="49"/>
      <c r="CG86" s="49"/>
    </row>
    <row r="88" spans="2:85" x14ac:dyDescent="0.25">
      <c r="B88" s="49"/>
    </row>
    <row r="91" spans="2:85" x14ac:dyDescent="0.25">
      <c r="B91" s="49"/>
    </row>
    <row r="92" spans="2:85" x14ac:dyDescent="0.25">
      <c r="B92" s="49"/>
    </row>
    <row r="93" spans="2:85" x14ac:dyDescent="0.25">
      <c r="B93" s="49"/>
    </row>
    <row r="95" spans="2:85" x14ac:dyDescent="0.25">
      <c r="B95" s="49"/>
    </row>
    <row r="96" spans="2:85" x14ac:dyDescent="0.25">
      <c r="B96" s="49"/>
    </row>
    <row r="99" spans="2:98" x14ac:dyDescent="0.25">
      <c r="B99" s="49"/>
      <c r="C99" s="49"/>
      <c r="CT99" s="49"/>
    </row>
    <row r="100" spans="2:98" x14ac:dyDescent="0.25">
      <c r="B100" s="49"/>
    </row>
    <row r="101" spans="2:98" x14ac:dyDescent="0.25">
      <c r="B101" s="49"/>
    </row>
    <row r="102" spans="2:98" x14ac:dyDescent="0.25">
      <c r="B102" s="49"/>
    </row>
    <row r="104" spans="2:98" x14ac:dyDescent="0.25">
      <c r="B104" s="49"/>
      <c r="C104" s="49"/>
    </row>
    <row r="105" spans="2:98" x14ac:dyDescent="0.25">
      <c r="B105" s="49"/>
    </row>
    <row r="106" spans="2:98" x14ac:dyDescent="0.25">
      <c r="B106" s="49"/>
    </row>
    <row r="107" spans="2:98" x14ac:dyDescent="0.25">
      <c r="B107" s="49"/>
    </row>
    <row r="109" spans="2:98" x14ac:dyDescent="0.25">
      <c r="B109" s="49"/>
    </row>
    <row r="113" spans="2:2" x14ac:dyDescent="0.25">
      <c r="B113" s="49"/>
    </row>
    <row r="115" spans="2:2" x14ac:dyDescent="0.25">
      <c r="B115" s="49"/>
    </row>
    <row r="116" spans="2:2" x14ac:dyDescent="0.25">
      <c r="B116" s="49"/>
    </row>
    <row r="120" spans="2:2" x14ac:dyDescent="0.25">
      <c r="B120" s="49"/>
    </row>
    <row r="122" spans="2:2" x14ac:dyDescent="0.25">
      <c r="B122" s="49"/>
    </row>
    <row r="123" spans="2:2" x14ac:dyDescent="0.25">
      <c r="B123" s="49"/>
    </row>
    <row r="124" spans="2:2" x14ac:dyDescent="0.25">
      <c r="B124" s="49"/>
    </row>
    <row r="126" spans="2:2" x14ac:dyDescent="0.25">
      <c r="B126" s="49"/>
    </row>
    <row r="128" spans="2:2" x14ac:dyDescent="0.25">
      <c r="B128" s="49"/>
    </row>
    <row r="130" spans="2:142" x14ac:dyDescent="0.25">
      <c r="B130" s="49"/>
    </row>
    <row r="132" spans="2:142" x14ac:dyDescent="0.25">
      <c r="B132" s="49"/>
    </row>
    <row r="134" spans="2:142" x14ac:dyDescent="0.25">
      <c r="B134" s="49"/>
      <c r="C134" s="49"/>
    </row>
    <row r="135" spans="2:142" x14ac:dyDescent="0.25">
      <c r="B135" s="49"/>
    </row>
    <row r="136" spans="2:142" x14ac:dyDescent="0.25">
      <c r="B136" s="49"/>
    </row>
    <row r="137" spans="2:142" x14ac:dyDescent="0.25">
      <c r="B137" s="49"/>
    </row>
    <row r="138" spans="2:142" x14ac:dyDescent="0.25">
      <c r="B138" s="49"/>
    </row>
    <row r="139" spans="2:142" x14ac:dyDescent="0.25">
      <c r="B139" s="49"/>
      <c r="C139" s="49"/>
    </row>
    <row r="140" spans="2:142" x14ac:dyDescent="0.25">
      <c r="B140" s="49"/>
    </row>
    <row r="141" spans="2:142" x14ac:dyDescent="0.25">
      <c r="B141" s="49"/>
    </row>
    <row r="143" spans="2:142" x14ac:dyDescent="0.25">
      <c r="B143" s="49"/>
      <c r="C143" s="49"/>
      <c r="EL143" s="49"/>
    </row>
    <row r="145" spans="2:2" x14ac:dyDescent="0.25">
      <c r="B145" s="49"/>
    </row>
    <row r="146" spans="2:2" x14ac:dyDescent="0.25">
      <c r="B146" s="49"/>
    </row>
    <row r="147" spans="2:2" x14ac:dyDescent="0.25">
      <c r="B147" s="49"/>
    </row>
    <row r="148" spans="2:2" x14ac:dyDescent="0.25">
      <c r="B148" s="49"/>
    </row>
    <row r="150" spans="2:2" x14ac:dyDescent="0.25">
      <c r="B150" s="49"/>
    </row>
    <row r="151" spans="2:2" x14ac:dyDescent="0.25">
      <c r="B151" s="49"/>
    </row>
    <row r="153" spans="2:2" x14ac:dyDescent="0.25">
      <c r="B153" s="49"/>
    </row>
    <row r="154" spans="2:2" x14ac:dyDescent="0.25">
      <c r="B154" s="49"/>
    </row>
    <row r="155" spans="2:2" x14ac:dyDescent="0.25">
      <c r="B155" s="49"/>
    </row>
    <row r="157" spans="2:2" x14ac:dyDescent="0.25">
      <c r="B157" s="49"/>
    </row>
    <row r="158" spans="2:2" x14ac:dyDescent="0.25">
      <c r="B158" s="49"/>
    </row>
    <row r="161" spans="2:3" x14ac:dyDescent="0.25">
      <c r="B161" s="49"/>
    </row>
    <row r="162" spans="2:3" x14ac:dyDescent="0.25">
      <c r="B162" s="49"/>
    </row>
    <row r="163" spans="2:3" x14ac:dyDescent="0.25">
      <c r="B163" s="49"/>
    </row>
    <row r="164" spans="2:3" x14ac:dyDescent="0.25">
      <c r="B164" s="49"/>
    </row>
    <row r="165" spans="2:3" x14ac:dyDescent="0.25">
      <c r="B165" s="49"/>
    </row>
    <row r="170" spans="2:3" x14ac:dyDescent="0.25">
      <c r="B170" s="49"/>
    </row>
    <row r="171" spans="2:3" x14ac:dyDescent="0.25">
      <c r="B171" s="49"/>
      <c r="C171" s="49"/>
    </row>
    <row r="172" spans="2:3" x14ac:dyDescent="0.25">
      <c r="B172" s="49"/>
      <c r="C172" s="49"/>
    </row>
    <row r="173" spans="2:3" x14ac:dyDescent="0.25">
      <c r="B173" s="49"/>
      <c r="C173" s="49"/>
    </row>
    <row r="175" spans="2:3" x14ac:dyDescent="0.25">
      <c r="B175" s="49"/>
    </row>
    <row r="176" spans="2:3" x14ac:dyDescent="0.25">
      <c r="B176" s="49"/>
      <c r="C176" s="49"/>
    </row>
    <row r="178" spans="2:3" x14ac:dyDescent="0.25">
      <c r="B178" s="49"/>
    </row>
    <row r="181" spans="2:3" x14ac:dyDescent="0.25">
      <c r="B181" s="49"/>
    </row>
    <row r="184" spans="2:3" x14ac:dyDescent="0.25">
      <c r="B184" s="49"/>
    </row>
    <row r="185" spans="2:3" x14ac:dyDescent="0.25">
      <c r="B185" s="49"/>
      <c r="C185" s="49"/>
    </row>
    <row r="187" spans="2:3" x14ac:dyDescent="0.25">
      <c r="C187" s="49"/>
    </row>
    <row r="188" spans="2:3" x14ac:dyDescent="0.25">
      <c r="B188" s="49"/>
    </row>
    <row r="189" spans="2:3" x14ac:dyDescent="0.25">
      <c r="B189" s="49"/>
    </row>
    <row r="190" spans="2:3" x14ac:dyDescent="0.25">
      <c r="B190" s="49"/>
      <c r="C190" s="49"/>
    </row>
    <row r="191" spans="2:3" x14ac:dyDescent="0.25">
      <c r="B191" s="49"/>
    </row>
    <row r="192" spans="2:3" x14ac:dyDescent="0.25">
      <c r="B192" s="49"/>
      <c r="C192" s="49"/>
    </row>
    <row r="193" spans="2:3" x14ac:dyDescent="0.25">
      <c r="B193" s="49"/>
      <c r="C193" s="49"/>
    </row>
    <row r="195" spans="2:3" x14ac:dyDescent="0.25">
      <c r="B195" s="49"/>
    </row>
    <row r="196" spans="2:3" x14ac:dyDescent="0.25">
      <c r="C196" s="49"/>
    </row>
    <row r="198" spans="2:3" x14ac:dyDescent="0.25">
      <c r="B198" s="49"/>
    </row>
    <row r="199" spans="2:3" x14ac:dyDescent="0.25">
      <c r="B199" s="49"/>
    </row>
    <row r="200" spans="2:3" x14ac:dyDescent="0.25">
      <c r="B200" s="49"/>
    </row>
    <row r="201" spans="2:3" x14ac:dyDescent="0.25">
      <c r="B201" s="49"/>
    </row>
    <row r="207" spans="2:3" x14ac:dyDescent="0.25">
      <c r="B207" s="49"/>
    </row>
    <row r="209" spans="2:3" x14ac:dyDescent="0.25">
      <c r="B209" s="49"/>
      <c r="C209" s="49"/>
    </row>
    <row r="210" spans="2:3" x14ac:dyDescent="0.25">
      <c r="B210" s="49"/>
    </row>
    <row r="212" spans="2:3" x14ac:dyDescent="0.25">
      <c r="C212" s="49"/>
    </row>
    <row r="213" spans="2:3" x14ac:dyDescent="0.25">
      <c r="B213" s="49"/>
    </row>
    <row r="215" spans="2:3" x14ac:dyDescent="0.25">
      <c r="B215" s="49"/>
    </row>
    <row r="217" spans="2:3" x14ac:dyDescent="0.25">
      <c r="B217" s="49"/>
    </row>
    <row r="219" spans="2:3" x14ac:dyDescent="0.25">
      <c r="B219" s="49"/>
    </row>
    <row r="220" spans="2:3" x14ac:dyDescent="0.25">
      <c r="B220" s="49"/>
    </row>
    <row r="221" spans="2:3" x14ac:dyDescent="0.25">
      <c r="B221" s="49"/>
    </row>
    <row r="223" spans="2:3" x14ac:dyDescent="0.25">
      <c r="B223" s="49"/>
    </row>
    <row r="224" spans="2:3" x14ac:dyDescent="0.25">
      <c r="B224" s="49"/>
    </row>
    <row r="225" spans="2:3" x14ac:dyDescent="0.25">
      <c r="B225" s="49"/>
      <c r="C225" s="49"/>
    </row>
    <row r="230" spans="2:3" x14ac:dyDescent="0.25">
      <c r="B230" s="49"/>
    </row>
    <row r="231" spans="2:3" x14ac:dyDescent="0.25">
      <c r="B231" s="49"/>
    </row>
    <row r="234" spans="2:3" x14ac:dyDescent="0.25">
      <c r="B234" s="49"/>
    </row>
    <row r="235" spans="2:3" x14ac:dyDescent="0.25">
      <c r="B235" s="49"/>
    </row>
    <row r="237" spans="2:3" x14ac:dyDescent="0.25">
      <c r="B237" s="49"/>
    </row>
    <row r="238" spans="2:3" x14ac:dyDescent="0.25">
      <c r="B238" s="49"/>
    </row>
    <row r="239" spans="2:3" x14ac:dyDescent="0.25">
      <c r="C239" s="49"/>
    </row>
    <row r="241" spans="2:3" x14ac:dyDescent="0.25">
      <c r="B241" s="49"/>
    </row>
    <row r="243" spans="2:3" x14ac:dyDescent="0.25">
      <c r="C243" s="49"/>
    </row>
    <row r="246" spans="2:3" x14ac:dyDescent="0.25">
      <c r="B246" s="49"/>
    </row>
    <row r="247" spans="2:3" x14ac:dyDescent="0.25">
      <c r="C247" s="49"/>
    </row>
    <row r="248" spans="2:3" x14ac:dyDescent="0.25">
      <c r="B248" s="49"/>
    </row>
    <row r="250" spans="2:3" x14ac:dyDescent="0.25">
      <c r="B250" s="49"/>
    </row>
    <row r="254" spans="2:3" x14ac:dyDescent="0.25">
      <c r="B254" s="49"/>
      <c r="C254" s="49"/>
    </row>
    <row r="258" spans="2:3" x14ac:dyDescent="0.25">
      <c r="B258" s="49"/>
    </row>
    <row r="259" spans="2:3" x14ac:dyDescent="0.25">
      <c r="B259" s="49"/>
    </row>
    <row r="262" spans="2:3" x14ac:dyDescent="0.25">
      <c r="B262" s="49"/>
    </row>
    <row r="264" spans="2:3" x14ac:dyDescent="0.25">
      <c r="B264" s="49"/>
      <c r="C264" s="49"/>
    </row>
    <row r="266" spans="2:3" x14ac:dyDescent="0.25">
      <c r="B266" s="49"/>
    </row>
    <row r="267" spans="2:3" x14ac:dyDescent="0.25">
      <c r="B267" s="49"/>
    </row>
    <row r="268" spans="2:3" x14ac:dyDescent="0.25">
      <c r="B268" s="49"/>
    </row>
    <row r="270" spans="2:3" x14ac:dyDescent="0.25">
      <c r="C270" s="49"/>
    </row>
    <row r="271" spans="2:3" x14ac:dyDescent="0.25">
      <c r="B271" s="49"/>
    </row>
    <row r="272" spans="2:3" x14ac:dyDescent="0.25">
      <c r="B272" s="49"/>
      <c r="C272" s="49"/>
    </row>
    <row r="273" spans="2:3" x14ac:dyDescent="0.25">
      <c r="B273" s="49"/>
      <c r="C273" s="49"/>
    </row>
    <row r="274" spans="2:3" x14ac:dyDescent="0.25">
      <c r="C274" s="49"/>
    </row>
    <row r="275" spans="2:3" x14ac:dyDescent="0.25">
      <c r="B275" s="49"/>
    </row>
    <row r="276" spans="2:3" x14ac:dyDescent="0.25">
      <c r="B276" s="49"/>
    </row>
    <row r="277" spans="2:3" x14ac:dyDescent="0.25">
      <c r="B277" s="49"/>
    </row>
    <row r="278" spans="2:3" x14ac:dyDescent="0.25">
      <c r="B278" s="49"/>
    </row>
    <row r="279" spans="2:3" x14ac:dyDescent="0.25">
      <c r="B279" s="49"/>
    </row>
    <row r="281" spans="2:3" x14ac:dyDescent="0.25">
      <c r="B281" s="49"/>
    </row>
    <row r="283" spans="2:3" x14ac:dyDescent="0.25">
      <c r="B283" s="49"/>
    </row>
    <row r="284" spans="2:3" x14ac:dyDescent="0.25">
      <c r="B284" s="49"/>
    </row>
    <row r="286" spans="2:3" x14ac:dyDescent="0.25">
      <c r="B286" s="49"/>
      <c r="C286" s="49"/>
    </row>
    <row r="287" spans="2:3" x14ac:dyDescent="0.25">
      <c r="B287" s="49"/>
    </row>
    <row r="290" spans="2:2" x14ac:dyDescent="0.25">
      <c r="B290" s="49"/>
    </row>
    <row r="293" spans="2:2" x14ac:dyDescent="0.25">
      <c r="B293" s="49"/>
    </row>
    <row r="295" spans="2:2" x14ac:dyDescent="0.25">
      <c r="B295" s="49"/>
    </row>
    <row r="296" spans="2:2" x14ac:dyDescent="0.25">
      <c r="B296" s="49"/>
    </row>
    <row r="297" spans="2:2" x14ac:dyDescent="0.25">
      <c r="B297" s="49"/>
    </row>
    <row r="299" spans="2:2" x14ac:dyDescent="0.25">
      <c r="B299" s="49"/>
    </row>
    <row r="300" spans="2:2" x14ac:dyDescent="0.25">
      <c r="B300" s="49"/>
    </row>
    <row r="301" spans="2:2" x14ac:dyDescent="0.25">
      <c r="B301" s="49"/>
    </row>
    <row r="303" spans="2:2" x14ac:dyDescent="0.25">
      <c r="B303" s="49"/>
    </row>
    <row r="304" spans="2:2" x14ac:dyDescent="0.25">
      <c r="B304" s="49"/>
    </row>
    <row r="305" spans="2:3" x14ac:dyDescent="0.25">
      <c r="B305" s="49"/>
    </row>
    <row r="313" spans="2:3" x14ac:dyDescent="0.25">
      <c r="B313" s="49"/>
    </row>
    <row r="314" spans="2:3" x14ac:dyDescent="0.25">
      <c r="C314" s="49"/>
    </row>
    <row r="316" spans="2:3" x14ac:dyDescent="0.25">
      <c r="B316" s="49"/>
      <c r="C316" s="49"/>
    </row>
    <row r="320" spans="2:3" x14ac:dyDescent="0.25">
      <c r="B320" s="49"/>
    </row>
    <row r="321" spans="2:3" x14ac:dyDescent="0.25">
      <c r="B321" s="49"/>
      <c r="C321" s="49"/>
    </row>
    <row r="323" spans="2:3" x14ac:dyDescent="0.25">
      <c r="B323" s="49"/>
    </row>
    <row r="324" spans="2:3" x14ac:dyDescent="0.25">
      <c r="B324" s="49"/>
    </row>
    <row r="328" spans="2:3" x14ac:dyDescent="0.25">
      <c r="B328" s="49"/>
    </row>
    <row r="330" spans="2:3" x14ac:dyDescent="0.25">
      <c r="B330" s="49"/>
    </row>
    <row r="331" spans="2:3" x14ac:dyDescent="0.25">
      <c r="B331" s="49"/>
    </row>
    <row r="332" spans="2:3" x14ac:dyDescent="0.25">
      <c r="B332" s="49"/>
    </row>
    <row r="333" spans="2:3" x14ac:dyDescent="0.25">
      <c r="B333" s="49"/>
    </row>
    <row r="334" spans="2:3" x14ac:dyDescent="0.25">
      <c r="B334" s="49"/>
    </row>
    <row r="336" spans="2:3" x14ac:dyDescent="0.25">
      <c r="C336" s="49"/>
    </row>
    <row r="337" spans="2:98" x14ac:dyDescent="0.25">
      <c r="B337" s="49"/>
    </row>
    <row r="338" spans="2:98" x14ac:dyDescent="0.25">
      <c r="B338" s="49"/>
      <c r="C338" s="49"/>
      <c r="CT338" s="49"/>
    </row>
    <row r="339" spans="2:98" x14ac:dyDescent="0.25">
      <c r="B339" s="49"/>
    </row>
    <row r="340" spans="2:98" x14ac:dyDescent="0.25">
      <c r="C340" s="49"/>
    </row>
    <row r="345" spans="2:98" x14ac:dyDescent="0.25">
      <c r="B345" s="49"/>
      <c r="C345" s="49"/>
    </row>
    <row r="346" spans="2:98" x14ac:dyDescent="0.25">
      <c r="C346" s="49"/>
    </row>
    <row r="349" spans="2:98" x14ac:dyDescent="0.25">
      <c r="B349" s="49"/>
    </row>
    <row r="351" spans="2:98" x14ac:dyDescent="0.25">
      <c r="B351" s="49"/>
    </row>
    <row r="352" spans="2:98" x14ac:dyDescent="0.25">
      <c r="B352" s="49"/>
    </row>
    <row r="354" spans="2:119" x14ac:dyDescent="0.25">
      <c r="B354" s="49"/>
    </row>
    <row r="355" spans="2:119" x14ac:dyDescent="0.25">
      <c r="B355" s="49"/>
    </row>
    <row r="358" spans="2:119" x14ac:dyDescent="0.25">
      <c r="B358" s="49"/>
    </row>
    <row r="359" spans="2:119" x14ac:dyDescent="0.25">
      <c r="B359" s="49"/>
      <c r="C359" s="49"/>
      <c r="DO359" s="49"/>
    </row>
    <row r="361" spans="2:119" x14ac:dyDescent="0.25">
      <c r="B361" s="49"/>
    </row>
    <row r="367" spans="2:119" x14ac:dyDescent="0.25">
      <c r="C367" s="49"/>
    </row>
    <row r="371" spans="2:3" x14ac:dyDescent="0.25">
      <c r="B371" s="49"/>
    </row>
    <row r="372" spans="2:3" x14ac:dyDescent="0.25">
      <c r="B372" s="49"/>
    </row>
    <row r="374" spans="2:3" x14ac:dyDescent="0.25">
      <c r="C374" s="49"/>
    </row>
    <row r="375" spans="2:3" x14ac:dyDescent="0.25">
      <c r="B375" s="49"/>
    </row>
    <row r="376" spans="2:3" x14ac:dyDescent="0.25">
      <c r="B376" s="49"/>
    </row>
    <row r="381" spans="2:3" x14ac:dyDescent="0.25">
      <c r="B381" s="49"/>
    </row>
    <row r="382" spans="2:3" x14ac:dyDescent="0.25">
      <c r="B382" s="49"/>
    </row>
    <row r="386" spans="2:152" x14ac:dyDescent="0.25">
      <c r="B386" s="49"/>
    </row>
    <row r="387" spans="2:152" x14ac:dyDescent="0.25">
      <c r="B387" s="49"/>
    </row>
    <row r="388" spans="2:152" x14ac:dyDescent="0.25">
      <c r="B388" s="49"/>
      <c r="C388" s="49"/>
    </row>
    <row r="389" spans="2:152" x14ac:dyDescent="0.25">
      <c r="B389" s="49"/>
    </row>
    <row r="390" spans="2:152" x14ac:dyDescent="0.25">
      <c r="B390" s="49"/>
    </row>
    <row r="392" spans="2:152" x14ac:dyDescent="0.25">
      <c r="B392" s="49"/>
      <c r="C392" s="49"/>
      <c r="EV392" s="49"/>
    </row>
    <row r="393" spans="2:152" x14ac:dyDescent="0.25">
      <c r="B393" s="49"/>
    </row>
    <row r="395" spans="2:152" x14ac:dyDescent="0.25">
      <c r="B395" s="49"/>
    </row>
    <row r="403" spans="2:172" x14ac:dyDescent="0.25">
      <c r="B403" s="49"/>
    </row>
    <row r="406" spans="2:172" x14ac:dyDescent="0.25">
      <c r="B406" s="49"/>
    </row>
    <row r="412" spans="2:172" x14ac:dyDescent="0.25">
      <c r="B412" s="49"/>
      <c r="C412" s="49"/>
      <c r="FP412" s="49"/>
    </row>
    <row r="413" spans="2:172" x14ac:dyDescent="0.25">
      <c r="B413" s="49"/>
    </row>
    <row r="416" spans="2:172" x14ac:dyDescent="0.25">
      <c r="B416" s="49"/>
    </row>
    <row r="417" spans="2:184" x14ac:dyDescent="0.25">
      <c r="B417" s="49"/>
      <c r="C417" s="49"/>
      <c r="FU417" s="49"/>
    </row>
    <row r="420" spans="2:184" x14ac:dyDescent="0.25">
      <c r="B420" s="49"/>
    </row>
    <row r="421" spans="2:184" x14ac:dyDescent="0.25">
      <c r="C421" s="49"/>
    </row>
    <row r="423" spans="2:184" x14ac:dyDescent="0.25">
      <c r="C423" s="49"/>
    </row>
    <row r="424" spans="2:184" x14ac:dyDescent="0.25">
      <c r="B424" s="49"/>
      <c r="C424" s="49"/>
      <c r="GB424" s="49"/>
    </row>
    <row r="426" spans="2:184" x14ac:dyDescent="0.25">
      <c r="B426" s="49"/>
    </row>
    <row r="430" spans="2:184" x14ac:dyDescent="0.25">
      <c r="B430" s="49"/>
    </row>
    <row r="431" spans="2:184" x14ac:dyDescent="0.25">
      <c r="B431" s="49"/>
    </row>
    <row r="434" spans="2:200" x14ac:dyDescent="0.25">
      <c r="B434" s="49"/>
    </row>
    <row r="438" spans="2:200" x14ac:dyDescent="0.25">
      <c r="B438" s="49"/>
    </row>
    <row r="439" spans="2:200" x14ac:dyDescent="0.25">
      <c r="B439" s="49"/>
    </row>
    <row r="440" spans="2:200" x14ac:dyDescent="0.25">
      <c r="B440" s="49"/>
      <c r="C440" s="49"/>
      <c r="GR440" s="49"/>
    </row>
    <row r="445" spans="2:200" x14ac:dyDescent="0.25">
      <c r="B445" s="49"/>
    </row>
    <row r="446" spans="2:200" x14ac:dyDescent="0.25">
      <c r="B446" s="49"/>
    </row>
    <row r="453" spans="2:3" x14ac:dyDescent="0.25">
      <c r="B453" s="49"/>
      <c r="C453" s="49"/>
    </row>
    <row r="458" spans="2:3" x14ac:dyDescent="0.25">
      <c r="B458" s="49"/>
    </row>
    <row r="459" spans="2:3" x14ac:dyDescent="0.25">
      <c r="B459" s="49"/>
    </row>
    <row r="462" spans="2:3" x14ac:dyDescent="0.25">
      <c r="B462" s="49"/>
    </row>
    <row r="463" spans="2:3" x14ac:dyDescent="0.25">
      <c r="C463" s="49"/>
    </row>
    <row r="465" spans="2:3" x14ac:dyDescent="0.25">
      <c r="B465" s="49"/>
    </row>
    <row r="466" spans="2:3" x14ac:dyDescent="0.25">
      <c r="B466" s="49"/>
    </row>
    <row r="468" spans="2:3" x14ac:dyDescent="0.25">
      <c r="B468" s="49"/>
    </row>
    <row r="470" spans="2:3" x14ac:dyDescent="0.25">
      <c r="B470" s="49"/>
    </row>
    <row r="472" spans="2:3" x14ac:dyDescent="0.25">
      <c r="B472" s="49"/>
      <c r="C472" s="49"/>
    </row>
    <row r="474" spans="2:3" x14ac:dyDescent="0.25">
      <c r="B474" s="49"/>
    </row>
    <row r="475" spans="2:3" x14ac:dyDescent="0.25">
      <c r="C475" s="49"/>
    </row>
    <row r="480" spans="2:3" x14ac:dyDescent="0.25">
      <c r="B480" s="49"/>
    </row>
    <row r="482" spans="2:3" x14ac:dyDescent="0.25">
      <c r="B482" s="49"/>
    </row>
    <row r="485" spans="2:3" x14ac:dyDescent="0.25">
      <c r="C485" s="49"/>
    </row>
    <row r="486" spans="2:3" x14ac:dyDescent="0.25">
      <c r="B486" s="49"/>
    </row>
    <row r="487" spans="2:3" x14ac:dyDescent="0.25">
      <c r="C487" s="49"/>
    </row>
    <row r="488" spans="2:3" x14ac:dyDescent="0.25">
      <c r="C488" s="49"/>
    </row>
    <row r="496" spans="2:3" x14ac:dyDescent="0.25">
      <c r="B496" s="49"/>
    </row>
    <row r="505" spans="2:3" x14ac:dyDescent="0.25">
      <c r="B505" s="49"/>
    </row>
    <row r="507" spans="2:3" x14ac:dyDescent="0.25">
      <c r="B507" s="49"/>
    </row>
    <row r="510" spans="2:3" x14ac:dyDescent="0.25">
      <c r="B510" s="49"/>
    </row>
    <row r="511" spans="2:3" x14ac:dyDescent="0.25">
      <c r="C511" s="49"/>
    </row>
    <row r="515" spans="2:3" x14ac:dyDescent="0.25">
      <c r="B515" s="49"/>
    </row>
    <row r="524" spans="2:3" x14ac:dyDescent="0.25">
      <c r="C524" s="49"/>
    </row>
    <row r="532" spans="2:3" x14ac:dyDescent="0.25">
      <c r="C532" s="49"/>
    </row>
    <row r="538" spans="2:3" x14ac:dyDescent="0.25">
      <c r="B538" s="49"/>
    </row>
    <row r="539" spans="2:3" x14ac:dyDescent="0.25">
      <c r="B539" s="49"/>
    </row>
    <row r="543" spans="2:3" x14ac:dyDescent="0.25">
      <c r="C543" s="49"/>
    </row>
    <row r="551" spans="2:3" x14ac:dyDescent="0.25">
      <c r="B551" s="49"/>
    </row>
    <row r="559" spans="2:3" x14ac:dyDescent="0.25">
      <c r="B559" s="49"/>
      <c r="C559" s="49"/>
    </row>
    <row r="560" spans="2:3" x14ac:dyDescent="0.25">
      <c r="B560" s="49"/>
    </row>
    <row r="564" spans="2:3" x14ac:dyDescent="0.25">
      <c r="B564" s="49"/>
    </row>
    <row r="568" spans="2:3" x14ac:dyDescent="0.25">
      <c r="B568" s="49"/>
    </row>
    <row r="571" spans="2:3" x14ac:dyDescent="0.25">
      <c r="C571" s="49"/>
    </row>
    <row r="574" spans="2:3" x14ac:dyDescent="0.25">
      <c r="B574" s="49"/>
    </row>
    <row r="575" spans="2:3" x14ac:dyDescent="0.25">
      <c r="C575" s="49"/>
    </row>
    <row r="577" spans="2:3" x14ac:dyDescent="0.25">
      <c r="B577" s="49"/>
    </row>
    <row r="583" spans="2:3" x14ac:dyDescent="0.25">
      <c r="C583" s="49"/>
    </row>
    <row r="585" spans="2:3" x14ac:dyDescent="0.25">
      <c r="C585" s="49"/>
    </row>
    <row r="586" spans="2:3" x14ac:dyDescent="0.25">
      <c r="B586" s="49"/>
    </row>
    <row r="588" spans="2:3" x14ac:dyDescent="0.25">
      <c r="C588" s="49"/>
    </row>
    <row r="589" spans="2:3" x14ac:dyDescent="0.25">
      <c r="C589" s="49"/>
    </row>
    <row r="595" spans="2:3" x14ac:dyDescent="0.25">
      <c r="C595" s="49"/>
    </row>
    <row r="597" spans="2:3" x14ac:dyDescent="0.25">
      <c r="B597" s="49"/>
      <c r="C597" s="49"/>
    </row>
    <row r="604" spans="2:3" x14ac:dyDescent="0.25">
      <c r="B604" s="49"/>
    </row>
    <row r="611" spans="2:3" x14ac:dyDescent="0.25">
      <c r="B611" s="49"/>
    </row>
    <row r="615" spans="2:3" x14ac:dyDescent="0.25">
      <c r="C615" s="49"/>
    </row>
    <row r="617" spans="2:3" x14ac:dyDescent="0.25">
      <c r="C617" s="49"/>
    </row>
    <row r="619" spans="2:3" x14ac:dyDescent="0.25">
      <c r="C619" s="49"/>
    </row>
    <row r="620" spans="2:3" x14ac:dyDescent="0.25">
      <c r="B620" s="49"/>
    </row>
    <row r="621" spans="2:3" x14ac:dyDescent="0.25">
      <c r="B621" s="49"/>
    </row>
    <row r="622" spans="2:3" x14ac:dyDescent="0.25">
      <c r="B622" s="49"/>
    </row>
    <row r="629" spans="2:3" x14ac:dyDescent="0.25">
      <c r="C629" s="49"/>
    </row>
    <row r="635" spans="2:3" x14ac:dyDescent="0.25">
      <c r="B635" s="49"/>
      <c r="C635" s="49"/>
    </row>
    <row r="637" spans="2:3" x14ac:dyDescent="0.25">
      <c r="C637" s="49"/>
    </row>
    <row r="639" spans="2:3" x14ac:dyDescent="0.25">
      <c r="C639" s="49"/>
    </row>
    <row r="642" spans="2:3" x14ac:dyDescent="0.25">
      <c r="B642" s="49"/>
      <c r="C642" s="49"/>
    </row>
    <row r="645" spans="2:3" x14ac:dyDescent="0.25">
      <c r="B645" s="49"/>
    </row>
    <row r="646" spans="2:3" x14ac:dyDescent="0.25">
      <c r="B646" s="49"/>
    </row>
    <row r="648" spans="2:3" x14ac:dyDescent="0.25">
      <c r="B648" s="49"/>
      <c r="C648" s="49"/>
    </row>
    <row r="650" spans="2:3" x14ac:dyDescent="0.25">
      <c r="B650" s="49"/>
    </row>
    <row r="654" spans="2:3" x14ac:dyDescent="0.25">
      <c r="C654" s="49"/>
    </row>
    <row r="655" spans="2:3" x14ac:dyDescent="0.25">
      <c r="B655" s="49"/>
      <c r="C655" s="49"/>
    </row>
    <row r="659" spans="2:3" x14ac:dyDescent="0.25">
      <c r="B659" s="49"/>
      <c r="C659" s="49"/>
    </row>
    <row r="662" spans="2:3" x14ac:dyDescent="0.25">
      <c r="B662" s="49"/>
    </row>
    <row r="666" spans="2:3" x14ac:dyDescent="0.25">
      <c r="B666" s="49"/>
    </row>
    <row r="669" spans="2:3" x14ac:dyDescent="0.25">
      <c r="B669" s="49"/>
    </row>
    <row r="683" spans="2:2" x14ac:dyDescent="0.25">
      <c r="B683" s="49"/>
    </row>
    <row r="688" spans="2:2" x14ac:dyDescent="0.25">
      <c r="B688" s="49"/>
    </row>
    <row r="699" spans="2:3" x14ac:dyDescent="0.25">
      <c r="C699" s="49"/>
    </row>
    <row r="700" spans="2:3" x14ac:dyDescent="0.25">
      <c r="C700" s="49"/>
    </row>
    <row r="701" spans="2:3" x14ac:dyDescent="0.25">
      <c r="B701" s="49"/>
      <c r="C701" s="49"/>
    </row>
    <row r="702" spans="2:3" x14ac:dyDescent="0.25">
      <c r="C702" s="49"/>
    </row>
    <row r="703" spans="2:3" x14ac:dyDescent="0.25">
      <c r="B703" s="49"/>
    </row>
    <row r="704" spans="2:3" x14ac:dyDescent="0.25">
      <c r="B704" s="49"/>
      <c r="C704" s="49"/>
    </row>
    <row r="707" spans="2:3" x14ac:dyDescent="0.25">
      <c r="B707" s="49"/>
    </row>
    <row r="708" spans="2:3" x14ac:dyDescent="0.25">
      <c r="B708" s="49"/>
      <c r="C708" s="49"/>
    </row>
    <row r="712" spans="2:3" x14ac:dyDescent="0.25">
      <c r="B712" s="49"/>
    </row>
    <row r="713" spans="2:3" x14ac:dyDescent="0.25">
      <c r="C713" s="49"/>
    </row>
    <row r="715" spans="2:3" x14ac:dyDescent="0.25">
      <c r="B715" s="49"/>
    </row>
    <row r="720" spans="2:3" x14ac:dyDescent="0.25">
      <c r="C720" s="49"/>
    </row>
    <row r="721" spans="2:3" x14ac:dyDescent="0.25">
      <c r="B721" s="49"/>
    </row>
    <row r="722" spans="2:3" x14ac:dyDescent="0.25">
      <c r="B722" s="49"/>
    </row>
    <row r="725" spans="2:3" x14ac:dyDescent="0.25">
      <c r="B725" s="49"/>
    </row>
    <row r="732" spans="2:3" x14ac:dyDescent="0.25">
      <c r="B732" s="49"/>
    </row>
    <row r="733" spans="2:3" x14ac:dyDescent="0.25">
      <c r="B733" s="49"/>
      <c r="C733" s="49"/>
    </row>
    <row r="742" spans="2:3" x14ac:dyDescent="0.25">
      <c r="C742" s="49"/>
    </row>
    <row r="745" spans="2:3" x14ac:dyDescent="0.25">
      <c r="B745" s="49"/>
    </row>
    <row r="750" spans="2:3" x14ac:dyDescent="0.25">
      <c r="B750" s="49"/>
      <c r="C750" s="49"/>
    </row>
    <row r="751" spans="2:3" x14ac:dyDescent="0.25">
      <c r="B751" s="49"/>
    </row>
    <row r="753" spans="2:3" x14ac:dyDescent="0.25">
      <c r="B753" s="49"/>
    </row>
    <row r="754" spans="2:3" x14ac:dyDescent="0.25">
      <c r="B754" s="49"/>
    </row>
    <row r="759" spans="2:3" x14ac:dyDescent="0.25">
      <c r="B759" s="49"/>
    </row>
    <row r="760" spans="2:3" x14ac:dyDescent="0.25">
      <c r="C760" s="49"/>
    </row>
    <row r="765" spans="2:3" x14ac:dyDescent="0.25">
      <c r="B765" s="49"/>
    </row>
    <row r="774" spans="2:3" x14ac:dyDescent="0.25">
      <c r="B774" s="49"/>
    </row>
    <row r="777" spans="2:3" x14ac:dyDescent="0.25">
      <c r="C777" s="49"/>
    </row>
    <row r="789" spans="2:3" x14ac:dyDescent="0.25">
      <c r="C789" s="49"/>
    </row>
    <row r="793" spans="2:3" x14ac:dyDescent="0.25">
      <c r="B793" s="49"/>
    </row>
    <row r="798" spans="2:3" x14ac:dyDescent="0.25">
      <c r="B798" s="49"/>
      <c r="C798" s="49"/>
    </row>
    <row r="812" spans="2:3" x14ac:dyDescent="0.25">
      <c r="C812" s="49"/>
    </row>
    <row r="813" spans="2:3" x14ac:dyDescent="0.25">
      <c r="C813" s="49"/>
    </row>
    <row r="814" spans="2:3" x14ac:dyDescent="0.25">
      <c r="C814" s="49"/>
    </row>
    <row r="815" spans="2:3" x14ac:dyDescent="0.25">
      <c r="B815" s="49"/>
      <c r="C815" s="49"/>
    </row>
    <row r="820" spans="2:3" x14ac:dyDescent="0.25">
      <c r="B820" s="49"/>
    </row>
    <row r="822" spans="2:3" x14ac:dyDescent="0.25">
      <c r="B822" s="49"/>
      <c r="C822" s="49"/>
    </row>
    <row r="827" spans="2:3" x14ac:dyDescent="0.25">
      <c r="B827" s="49"/>
    </row>
    <row r="828" spans="2:3" x14ac:dyDescent="0.25">
      <c r="B828" s="49"/>
    </row>
    <row r="830" spans="2:3" x14ac:dyDescent="0.25">
      <c r="B830" s="49"/>
    </row>
    <row r="831" spans="2:3" x14ac:dyDescent="0.25">
      <c r="B831" s="49"/>
    </row>
    <row r="838" spans="3:3" x14ac:dyDescent="0.25">
      <c r="C838" s="49"/>
    </row>
    <row r="847" spans="3:3" x14ac:dyDescent="0.25">
      <c r="C847" s="49"/>
    </row>
    <row r="852" spans="2:3" x14ac:dyDescent="0.25">
      <c r="B852" s="49"/>
      <c r="C852" s="49"/>
    </row>
    <row r="854" spans="2:3" x14ac:dyDescent="0.25">
      <c r="B854" s="49"/>
    </row>
    <row r="857" spans="2:3" x14ac:dyDescent="0.25">
      <c r="B857" s="49"/>
    </row>
    <row r="858" spans="2:3" x14ac:dyDescent="0.25">
      <c r="B858" s="49"/>
    </row>
    <row r="859" spans="2:3" x14ac:dyDescent="0.25">
      <c r="B859" s="49"/>
    </row>
    <row r="867" spans="2:3" x14ac:dyDescent="0.25">
      <c r="B867" s="49"/>
    </row>
    <row r="877" spans="2:3" x14ac:dyDescent="0.25">
      <c r="B877" s="49"/>
    </row>
    <row r="879" spans="2:3" x14ac:dyDescent="0.25">
      <c r="C879" s="49"/>
    </row>
    <row r="896" spans="2:2" x14ac:dyDescent="0.25">
      <c r="B896" s="49"/>
    </row>
    <row r="906" spans="2:3" x14ac:dyDescent="0.25">
      <c r="C906" s="49"/>
    </row>
    <row r="907" spans="2:3" x14ac:dyDescent="0.25">
      <c r="C907" s="49"/>
    </row>
    <row r="911" spans="2:3" x14ac:dyDescent="0.25">
      <c r="B911" s="49"/>
    </row>
    <row r="912" spans="2:3" x14ac:dyDescent="0.25">
      <c r="B912" s="49"/>
    </row>
    <row r="923" spans="2:2" x14ac:dyDescent="0.25">
      <c r="B923" s="49"/>
    </row>
    <row r="924" spans="2:2" x14ac:dyDescent="0.25">
      <c r="B924" s="49"/>
    </row>
    <row r="936" spans="3:3" x14ac:dyDescent="0.25">
      <c r="C936" s="49"/>
    </row>
    <row r="940" spans="3:3" x14ac:dyDescent="0.25">
      <c r="C940" s="49"/>
    </row>
    <row r="942" spans="3:3" x14ac:dyDescent="0.25">
      <c r="C942" s="49"/>
    </row>
    <row r="946" spans="3:3" x14ac:dyDescent="0.25">
      <c r="C946" s="49"/>
    </row>
    <row r="951" spans="3:3" x14ac:dyDescent="0.25">
      <c r="C951" s="49"/>
    </row>
    <row r="952" spans="3:3" x14ac:dyDescent="0.25">
      <c r="C952" s="49"/>
    </row>
    <row r="967" spans="2:3" x14ac:dyDescent="0.25">
      <c r="C967" s="49"/>
    </row>
    <row r="971" spans="2:3" x14ac:dyDescent="0.25">
      <c r="B971" s="49"/>
    </row>
    <row r="973" spans="2:3" x14ac:dyDescent="0.25">
      <c r="B973" s="49"/>
    </row>
    <row r="974" spans="2:3" x14ac:dyDescent="0.25">
      <c r="B974" s="49"/>
    </row>
    <row r="976" spans="2:3" x14ac:dyDescent="0.25">
      <c r="C976" s="49"/>
    </row>
    <row r="996" spans="2:3" x14ac:dyDescent="0.25">
      <c r="C996" s="49"/>
    </row>
    <row r="997" spans="2:3" x14ac:dyDescent="0.25">
      <c r="B997" s="49"/>
    </row>
    <row r="998" spans="2:3" x14ac:dyDescent="0.25">
      <c r="B998" s="49"/>
    </row>
    <row r="999" spans="2:3" x14ac:dyDescent="0.25">
      <c r="B999" s="49"/>
    </row>
    <row r="1003" spans="2:3" x14ac:dyDescent="0.25">
      <c r="C1003" s="49"/>
    </row>
    <row r="1006" spans="2:3" x14ac:dyDescent="0.25">
      <c r="C1006" s="49"/>
    </row>
    <row r="1010" spans="3:3" x14ac:dyDescent="0.25">
      <c r="C1010" s="49"/>
    </row>
    <row r="1011" spans="3:3" x14ac:dyDescent="0.25">
      <c r="C1011" s="49"/>
    </row>
    <row r="1024" spans="3:3" x14ac:dyDescent="0.25">
      <c r="C1024" s="49"/>
    </row>
    <row r="1031" spans="2:2" x14ac:dyDescent="0.25">
      <c r="B1031" s="49"/>
    </row>
    <row r="1047" spans="2:3" x14ac:dyDescent="0.25">
      <c r="C1047" s="49"/>
    </row>
    <row r="1048" spans="2:3" x14ac:dyDescent="0.25">
      <c r="C1048" s="49"/>
    </row>
    <row r="1050" spans="2:3" x14ac:dyDescent="0.25">
      <c r="C1050" s="49"/>
    </row>
    <row r="1051" spans="2:3" x14ac:dyDescent="0.25">
      <c r="C1051" s="49"/>
    </row>
    <row r="1052" spans="2:3" x14ac:dyDescent="0.25">
      <c r="C1052" s="49"/>
    </row>
    <row r="1056" spans="2:3" x14ac:dyDescent="0.25">
      <c r="B1056" s="49"/>
    </row>
    <row r="1061" spans="2:3" x14ac:dyDescent="0.25">
      <c r="C1061" s="49"/>
    </row>
    <row r="1064" spans="2:3" x14ac:dyDescent="0.25">
      <c r="C1064" s="49"/>
    </row>
    <row r="1068" spans="2:3" x14ac:dyDescent="0.25">
      <c r="B1068" s="49"/>
      <c r="C1068" s="49"/>
    </row>
    <row r="1069" spans="2:3" x14ac:dyDescent="0.25">
      <c r="B1069" s="49"/>
      <c r="C1069" s="49"/>
    </row>
    <row r="1070" spans="2:3" x14ac:dyDescent="0.25">
      <c r="B1070" s="49"/>
      <c r="C1070" s="49"/>
    </row>
    <row r="1075" spans="2:3" x14ac:dyDescent="0.25">
      <c r="B1075" s="49"/>
    </row>
    <row r="1077" spans="2:3" x14ac:dyDescent="0.25">
      <c r="C1077" s="49"/>
    </row>
    <row r="1106" spans="2:3" x14ac:dyDescent="0.25">
      <c r="C1106" s="49"/>
    </row>
    <row r="1117" spans="2:3" x14ac:dyDescent="0.25">
      <c r="C1117" s="49"/>
    </row>
    <row r="1118" spans="2:3" x14ac:dyDescent="0.25">
      <c r="B1118" s="49"/>
    </row>
    <row r="1121" spans="2:3" x14ac:dyDescent="0.25">
      <c r="B1121" s="49"/>
    </row>
    <row r="1125" spans="2:3" x14ac:dyDescent="0.25">
      <c r="B1125" s="49"/>
    </row>
    <row r="1128" spans="2:3" x14ac:dyDescent="0.25">
      <c r="C1128" s="49"/>
    </row>
    <row r="1130" spans="2:3" x14ac:dyDescent="0.25">
      <c r="B1130" s="49"/>
    </row>
    <row r="1135" spans="2:3" x14ac:dyDescent="0.25">
      <c r="B1135" s="49"/>
      <c r="C1135" s="49"/>
    </row>
    <row r="1137" spans="2:7" x14ac:dyDescent="0.25">
      <c r="B1137" s="49"/>
    </row>
    <row r="1139" spans="2:7" x14ac:dyDescent="0.25">
      <c r="B1139" s="49"/>
      <c r="C1139" s="49"/>
    </row>
    <row r="1140" spans="2:7" x14ac:dyDescent="0.25">
      <c r="B1140" s="49"/>
    </row>
    <row r="1141" spans="2:7" x14ac:dyDescent="0.25">
      <c r="B1141" s="49"/>
    </row>
    <row r="1143" spans="2:7" x14ac:dyDescent="0.25">
      <c r="B1143" s="49"/>
      <c r="C1143" s="49"/>
    </row>
    <row r="1145" spans="2:7" x14ac:dyDescent="0.25">
      <c r="G1145" s="49"/>
    </row>
    <row r="1146" spans="2:7" x14ac:dyDescent="0.25">
      <c r="C1146" s="49"/>
    </row>
    <row r="1149" spans="2:7" x14ac:dyDescent="0.25">
      <c r="C1149" s="49"/>
    </row>
    <row r="1158" spans="2:3" x14ac:dyDescent="0.25">
      <c r="B1158" s="49"/>
      <c r="C1158" s="49"/>
    </row>
    <row r="1161" spans="2:3" x14ac:dyDescent="0.25">
      <c r="B1161" s="49"/>
    </row>
    <row r="1163" spans="2:3" x14ac:dyDescent="0.25">
      <c r="B1163" s="49"/>
    </row>
    <row r="1164" spans="2:3" x14ac:dyDescent="0.25">
      <c r="B1164" s="49"/>
    </row>
    <row r="1166" spans="2:3" x14ac:dyDescent="0.25">
      <c r="C1166" s="49"/>
    </row>
    <row r="1180" spans="3:3" x14ac:dyDescent="0.25">
      <c r="C1180" s="49"/>
    </row>
    <row r="1181" spans="3:3" x14ac:dyDescent="0.25">
      <c r="C1181" s="49"/>
    </row>
    <row r="1183" spans="3:3" x14ac:dyDescent="0.25">
      <c r="C1183" s="49"/>
    </row>
    <row r="1184" spans="3:3" x14ac:dyDescent="0.25">
      <c r="C1184" s="49"/>
    </row>
    <row r="1186" spans="2:3" x14ac:dyDescent="0.25">
      <c r="B1186" s="49"/>
    </row>
    <row r="1187" spans="2:3" x14ac:dyDescent="0.25">
      <c r="C1187" s="49"/>
    </row>
    <row r="1188" spans="2:3" x14ac:dyDescent="0.25">
      <c r="C1188" s="49"/>
    </row>
    <row r="1189" spans="2:3" x14ac:dyDescent="0.25">
      <c r="B1189" s="49"/>
      <c r="C1189" s="49"/>
    </row>
    <row r="1192" spans="2:3" x14ac:dyDescent="0.25">
      <c r="B1192" s="49"/>
    </row>
    <row r="1198" spans="2:3" x14ac:dyDescent="0.25">
      <c r="B1198" s="49"/>
    </row>
    <row r="1199" spans="2:3" x14ac:dyDescent="0.25">
      <c r="C1199" s="49"/>
    </row>
    <row r="1216" spans="3:3" x14ac:dyDescent="0.25">
      <c r="C1216" s="49"/>
    </row>
    <row r="1218" spans="2:3" x14ac:dyDescent="0.25">
      <c r="C1218" s="49"/>
    </row>
    <row r="1220" spans="2:3" x14ac:dyDescent="0.25">
      <c r="C1220" s="49"/>
    </row>
    <row r="1222" spans="2:3" x14ac:dyDescent="0.25">
      <c r="C1222" s="49"/>
    </row>
    <row r="1223" spans="2:3" x14ac:dyDescent="0.25">
      <c r="C1223" s="49"/>
    </row>
    <row r="1229" spans="2:3" x14ac:dyDescent="0.25">
      <c r="B1229" s="49"/>
    </row>
    <row r="1232" spans="2:3" x14ac:dyDescent="0.25">
      <c r="C1232" s="49"/>
    </row>
    <row r="1257" spans="2:2" x14ac:dyDescent="0.25">
      <c r="B1257" s="49"/>
    </row>
    <row r="1269" spans="3:3" x14ac:dyDescent="0.25">
      <c r="C1269" s="49"/>
    </row>
    <row r="1291" spans="2:3" x14ac:dyDescent="0.25">
      <c r="B1291" s="49"/>
      <c r="C1291" s="49"/>
    </row>
    <row r="1297" spans="3:3" x14ac:dyDescent="0.25">
      <c r="C1297" s="49"/>
    </row>
    <row r="1311" spans="3:3" x14ac:dyDescent="0.25">
      <c r="C1311" s="49"/>
    </row>
    <row r="1316" spans="2:3" x14ac:dyDescent="0.25">
      <c r="B1316" s="49"/>
    </row>
    <row r="1320" spans="2:3" x14ac:dyDescent="0.25">
      <c r="C1320" s="49"/>
    </row>
    <row r="1321" spans="2:3" x14ac:dyDescent="0.25">
      <c r="C1321" s="49"/>
    </row>
    <row r="1322" spans="2:3" x14ac:dyDescent="0.25">
      <c r="B1322" s="49"/>
    </row>
    <row r="1323" spans="2:3" x14ac:dyDescent="0.25">
      <c r="B1323" s="49"/>
    </row>
    <row r="1324" spans="2:3" x14ac:dyDescent="0.25">
      <c r="B1324" s="49"/>
    </row>
    <row r="1332" spans="2:3" x14ac:dyDescent="0.25">
      <c r="B1332" s="49"/>
    </row>
    <row r="1333" spans="2:3" x14ac:dyDescent="0.25">
      <c r="C1333" s="49"/>
    </row>
    <row r="1361" spans="2:3" x14ac:dyDescent="0.25">
      <c r="C1361" s="49"/>
    </row>
    <row r="1362" spans="2:3" x14ac:dyDescent="0.25">
      <c r="B1362" s="49"/>
    </row>
    <row r="1363" spans="2:3" x14ac:dyDescent="0.25">
      <c r="C1363" s="49"/>
    </row>
    <row r="1367" spans="2:3" x14ac:dyDescent="0.25">
      <c r="B1367" s="49"/>
      <c r="C1367" s="49"/>
    </row>
    <row r="1396" spans="2:3" x14ac:dyDescent="0.25">
      <c r="B1396" s="49"/>
    </row>
    <row r="1400" spans="2:3" x14ac:dyDescent="0.25">
      <c r="B1400" s="49"/>
    </row>
    <row r="1401" spans="2:3" x14ac:dyDescent="0.25">
      <c r="B1401" s="49"/>
    </row>
    <row r="1404" spans="2:3" x14ac:dyDescent="0.25">
      <c r="C1404" s="49"/>
    </row>
    <row r="1407" spans="2:3" x14ac:dyDescent="0.25">
      <c r="B1407" s="49"/>
      <c r="C1407" s="49"/>
    </row>
    <row r="1413" spans="2:2" x14ac:dyDescent="0.25">
      <c r="B1413" s="49"/>
    </row>
    <row r="1429" spans="3:3" x14ac:dyDescent="0.25">
      <c r="C1429" s="49"/>
    </row>
    <row r="1457" spans="2:3" x14ac:dyDescent="0.25">
      <c r="B1457" s="49"/>
      <c r="C1457" s="49"/>
    </row>
    <row r="1506" spans="2:3" x14ac:dyDescent="0.25">
      <c r="C1506" s="49"/>
    </row>
    <row r="1508" spans="2:3" x14ac:dyDescent="0.25">
      <c r="B1508" s="49"/>
      <c r="C1508" s="49"/>
    </row>
    <row r="1509" spans="2:3" x14ac:dyDescent="0.25">
      <c r="C1509" s="49"/>
    </row>
    <row r="1510" spans="2:3" x14ac:dyDescent="0.25">
      <c r="B1510" s="49"/>
    </row>
    <row r="1540" spans="2:2" x14ac:dyDescent="0.25">
      <c r="B1540" s="49"/>
    </row>
    <row r="1545" spans="2:2" x14ac:dyDescent="0.25">
      <c r="B1545" s="49"/>
    </row>
    <row r="1597" spans="2:3" x14ac:dyDescent="0.25">
      <c r="B1597" s="49"/>
      <c r="C1597" s="49"/>
    </row>
    <row r="1617" spans="2:3" x14ac:dyDescent="0.25">
      <c r="B1617" s="49"/>
      <c r="C1617" s="49"/>
    </row>
    <row r="1705" spans="2:3" x14ac:dyDescent="0.25">
      <c r="B1705" s="49"/>
      <c r="C1705" s="49"/>
    </row>
    <row r="1706" spans="2:3" x14ac:dyDescent="0.25">
      <c r="B1706" s="49"/>
    </row>
    <row r="1712" spans="2:3" x14ac:dyDescent="0.25">
      <c r="B1712" s="49"/>
    </row>
    <row r="1746" spans="2:3" x14ac:dyDescent="0.25">
      <c r="B1746" s="49"/>
    </row>
    <row r="1754" spans="2:3" x14ac:dyDescent="0.25">
      <c r="B1754" s="49"/>
      <c r="C1754" s="49"/>
    </row>
    <row r="1755" spans="2:3" x14ac:dyDescent="0.25">
      <c r="B1755" s="49"/>
      <c r="C1755" s="49"/>
    </row>
    <row r="1780" spans="2:2" x14ac:dyDescent="0.25">
      <c r="B1780" s="49"/>
    </row>
    <row r="1795" spans="2:3" x14ac:dyDescent="0.25">
      <c r="B1795" s="49"/>
    </row>
    <row r="1796" spans="2:3" x14ac:dyDescent="0.25">
      <c r="B1796" s="49"/>
      <c r="C1796" s="49"/>
    </row>
    <row r="1806" spans="2:3" x14ac:dyDescent="0.25">
      <c r="B1806" s="49"/>
      <c r="C1806" s="49"/>
    </row>
    <row r="1893" spans="2:2" x14ac:dyDescent="0.25">
      <c r="B1893" s="49"/>
    </row>
    <row r="1895" spans="2:2" x14ac:dyDescent="0.25">
      <c r="B1895" s="49"/>
    </row>
    <row r="1900" spans="2:2" x14ac:dyDescent="0.25">
      <c r="B1900" s="49"/>
    </row>
    <row r="1993" spans="2:3" x14ac:dyDescent="0.25">
      <c r="B1993" s="49"/>
      <c r="C1993" s="49"/>
    </row>
    <row r="2001" spans="2:3" x14ac:dyDescent="0.25">
      <c r="B2001" s="49"/>
      <c r="C2001" s="49"/>
    </row>
    <row r="2032" spans="2:3" x14ac:dyDescent="0.25">
      <c r="B2032" s="49"/>
      <c r="C2032" s="49"/>
    </row>
    <row r="2052" spans="2:3" x14ac:dyDescent="0.25">
      <c r="B2052" s="49"/>
      <c r="C2052" s="49"/>
    </row>
    <row r="2134" spans="2:3" x14ac:dyDescent="0.25">
      <c r="B2134" s="49"/>
      <c r="C2134" s="49"/>
    </row>
    <row r="2135" spans="2:3" x14ac:dyDescent="0.25">
      <c r="B2135" s="49"/>
      <c r="C2135" s="49"/>
    </row>
    <row r="2157" spans="2:3" x14ac:dyDescent="0.25">
      <c r="B2157" s="49"/>
      <c r="C2157" s="49"/>
    </row>
    <row r="2183" spans="2:3" x14ac:dyDescent="0.25">
      <c r="B2183" s="49"/>
      <c r="C2183" s="49"/>
    </row>
    <row r="2200" spans="2:3" x14ac:dyDescent="0.25">
      <c r="B2200" s="49"/>
      <c r="C2200" s="49"/>
    </row>
    <row r="2225" spans="2:3" x14ac:dyDescent="0.25">
      <c r="B2225" s="49"/>
      <c r="C2225" s="49"/>
    </row>
    <row r="2390" spans="2:3" x14ac:dyDescent="0.25">
      <c r="B2390" s="49"/>
      <c r="C2390" s="49"/>
    </row>
    <row r="2415" spans="2:3" x14ac:dyDescent="0.25">
      <c r="B2415" s="49"/>
      <c r="C2415" s="49"/>
    </row>
    <row r="2418" spans="2:3" x14ac:dyDescent="0.25">
      <c r="B2418" s="49"/>
      <c r="C2418" s="49"/>
    </row>
    <row r="2449" spans="2:3" x14ac:dyDescent="0.25">
      <c r="B2449" s="49"/>
      <c r="C2449" s="49"/>
    </row>
    <row r="2512" spans="2:3" x14ac:dyDescent="0.25">
      <c r="B2512" s="49"/>
      <c r="C2512" s="49"/>
    </row>
    <row r="2626" spans="2:3" x14ac:dyDescent="0.25">
      <c r="B2626" s="49"/>
      <c r="C2626" s="49"/>
    </row>
    <row r="2647" spans="2:3" x14ac:dyDescent="0.25">
      <c r="B2647" s="49"/>
      <c r="C2647" s="49"/>
    </row>
    <row r="2722" spans="2:3" x14ac:dyDescent="0.25">
      <c r="B2722" s="49"/>
      <c r="C2722" s="49"/>
    </row>
    <row r="2723" spans="2:3" x14ac:dyDescent="0.25">
      <c r="B2723" s="49"/>
      <c r="C2723" s="49"/>
    </row>
    <row r="2900" spans="2:3" x14ac:dyDescent="0.25">
      <c r="B2900" s="49"/>
      <c r="C2900" s="49"/>
    </row>
    <row r="2918" spans="2:3" x14ac:dyDescent="0.25">
      <c r="B2918" s="49"/>
      <c r="C2918" s="49"/>
    </row>
    <row r="2930" spans="2:3" x14ac:dyDescent="0.25">
      <c r="B2930" s="49"/>
      <c r="C2930" s="49"/>
    </row>
    <row r="3008" spans="2:3" x14ac:dyDescent="0.25">
      <c r="B3008" s="49"/>
      <c r="C3008" s="49"/>
    </row>
    <row r="3018" spans="2:3" x14ac:dyDescent="0.25">
      <c r="B3018" s="49"/>
      <c r="C3018" s="49"/>
    </row>
    <row r="3021" spans="2:3" x14ac:dyDescent="0.25">
      <c r="B3021" s="49"/>
      <c r="C3021" s="49"/>
    </row>
    <row r="3038" spans="2:3" x14ac:dyDescent="0.25">
      <c r="B3038" s="49"/>
      <c r="C3038" s="49"/>
    </row>
    <row r="3065" spans="2:3" x14ac:dyDescent="0.25">
      <c r="B3065" s="49"/>
      <c r="C3065" s="49"/>
    </row>
    <row r="3076" spans="2:3" x14ac:dyDescent="0.25">
      <c r="B3076" s="49"/>
      <c r="C3076" s="49"/>
    </row>
    <row r="3088" spans="2:3" x14ac:dyDescent="0.25">
      <c r="B3088" s="49"/>
      <c r="C3088" s="49"/>
    </row>
    <row r="3272" spans="2:3" x14ac:dyDescent="0.25">
      <c r="B3272" s="49"/>
      <c r="C3272" s="49"/>
    </row>
    <row r="3347" spans="2:3" x14ac:dyDescent="0.25">
      <c r="B3347" s="49"/>
      <c r="C3347" s="49"/>
    </row>
    <row r="3359" spans="2:3" x14ac:dyDescent="0.25">
      <c r="B3359" s="49"/>
      <c r="C3359" s="49"/>
    </row>
    <row r="3368" spans="2:3" x14ac:dyDescent="0.25">
      <c r="B3368" s="49"/>
      <c r="C3368" s="49"/>
    </row>
    <row r="3384" spans="2:3" x14ac:dyDescent="0.25">
      <c r="B3384" s="49"/>
      <c r="C3384" s="49"/>
    </row>
    <row r="3473" spans="2:3" x14ac:dyDescent="0.25">
      <c r="B3473" s="49"/>
      <c r="C3473" s="49"/>
    </row>
    <row r="3497" spans="2:3" x14ac:dyDescent="0.25">
      <c r="B3497" s="49"/>
      <c r="C3497" s="49"/>
    </row>
    <row r="3755" spans="2:3" x14ac:dyDescent="0.25">
      <c r="B3755" s="49"/>
      <c r="C3755" s="49"/>
    </row>
    <row r="3767" spans="2:3" x14ac:dyDescent="0.25">
      <c r="B3767" s="49"/>
      <c r="C3767" s="49"/>
    </row>
    <row r="3778" spans="2:3" x14ac:dyDescent="0.25">
      <c r="B3778" s="49"/>
      <c r="C3778" s="49"/>
    </row>
    <row r="3801" spans="2:3" x14ac:dyDescent="0.25">
      <c r="B3801" s="49"/>
      <c r="C3801" s="49"/>
    </row>
    <row r="3802" spans="2:3" x14ac:dyDescent="0.25">
      <c r="B3802" s="49"/>
      <c r="C3802" s="49"/>
    </row>
    <row r="3804" spans="2:3" x14ac:dyDescent="0.25">
      <c r="B3804" s="49"/>
      <c r="C3804" s="49"/>
    </row>
    <row r="3807" spans="2:3" x14ac:dyDescent="0.25">
      <c r="B3807" s="49"/>
      <c r="C3807" s="49"/>
    </row>
    <row r="3813" spans="2:3" x14ac:dyDescent="0.25">
      <c r="B3813" s="49"/>
      <c r="C3813" s="49"/>
    </row>
    <row r="3835" spans="2:3" x14ac:dyDescent="0.25">
      <c r="B3835" s="49"/>
      <c r="C3835" s="49"/>
    </row>
    <row r="3838" spans="2:3" x14ac:dyDescent="0.25">
      <c r="B3838" s="49"/>
      <c r="C3838" s="49"/>
    </row>
    <row r="3863" spans="2:3" x14ac:dyDescent="0.25">
      <c r="B3863" s="49"/>
      <c r="C3863" s="49"/>
    </row>
    <row r="3875" spans="2:3" x14ac:dyDescent="0.25">
      <c r="B3875" s="49"/>
      <c r="C3875" s="49"/>
    </row>
    <row r="3876" spans="2:3" x14ac:dyDescent="0.25">
      <c r="B3876" s="49"/>
      <c r="C3876" s="49"/>
    </row>
    <row r="3930" spans="2:3" x14ac:dyDescent="0.25">
      <c r="B3930" s="49"/>
      <c r="C3930" s="49"/>
    </row>
    <row r="3975" spans="2:3" x14ac:dyDescent="0.25">
      <c r="B3975" s="49"/>
      <c r="C3975" s="49"/>
    </row>
    <row r="3976" spans="2:3" x14ac:dyDescent="0.25">
      <c r="B3976" s="49"/>
      <c r="C3976" s="49"/>
    </row>
    <row r="3979" spans="2:3" x14ac:dyDescent="0.25">
      <c r="B3979" s="49"/>
      <c r="C3979" s="49"/>
    </row>
    <row r="4175" spans="2:3" x14ac:dyDescent="0.25">
      <c r="B4175" s="49"/>
      <c r="C4175" s="49"/>
    </row>
    <row r="4187" spans="2:3" x14ac:dyDescent="0.25">
      <c r="B4187" s="49"/>
      <c r="C4187" s="49"/>
    </row>
    <row r="4208" spans="2:3" x14ac:dyDescent="0.25">
      <c r="B4208" s="49"/>
      <c r="C4208" s="49"/>
    </row>
    <row r="4212" spans="2:3" x14ac:dyDescent="0.25">
      <c r="B4212" s="49"/>
      <c r="C4212" s="49"/>
    </row>
    <row r="4220" spans="2:3" x14ac:dyDescent="0.25">
      <c r="B4220" s="49"/>
      <c r="C4220" s="49"/>
    </row>
    <row r="4252" spans="2:3" x14ac:dyDescent="0.25">
      <c r="B4252" s="49"/>
      <c r="C4252" s="49"/>
    </row>
    <row r="4253" spans="2:3" x14ac:dyDescent="0.25">
      <c r="B4253" s="49"/>
      <c r="C4253" s="49"/>
    </row>
    <row r="4264" spans="2:3" x14ac:dyDescent="0.25">
      <c r="B4264" s="49"/>
      <c r="C4264" s="49"/>
    </row>
    <row r="4277" spans="2:3" x14ac:dyDescent="0.25">
      <c r="B4277" s="49"/>
      <c r="C4277" s="49"/>
    </row>
    <row r="4394" spans="2:3" x14ac:dyDescent="0.25">
      <c r="B4394" s="49"/>
      <c r="C4394" s="49"/>
    </row>
    <row r="4403" spans="2:3" x14ac:dyDescent="0.25">
      <c r="B4403" s="49"/>
      <c r="C4403" s="49"/>
    </row>
    <row r="4410" spans="2:3" x14ac:dyDescent="0.25">
      <c r="B4410" s="49"/>
      <c r="C4410" s="49"/>
    </row>
    <row r="4675" spans="2:3" x14ac:dyDescent="0.25">
      <c r="B4675" s="49"/>
      <c r="C4675" s="49"/>
    </row>
    <row r="4763" spans="2:3" x14ac:dyDescent="0.25">
      <c r="B4763" s="49"/>
      <c r="C4763" s="49"/>
    </row>
    <row r="4767" spans="2:3" x14ac:dyDescent="0.25">
      <c r="B4767" s="49"/>
      <c r="C4767" s="49"/>
    </row>
    <row r="4769" spans="2:3" x14ac:dyDescent="0.25">
      <c r="B4769" s="49"/>
      <c r="C4769" s="49"/>
    </row>
    <row r="4804" spans="2:3" x14ac:dyDescent="0.25">
      <c r="B4804" s="49"/>
      <c r="C4804" s="49"/>
    </row>
    <row r="4868" spans="2:3" x14ac:dyDescent="0.25">
      <c r="B4868" s="49"/>
      <c r="C4868" s="49"/>
    </row>
    <row r="4889" spans="2:3" x14ac:dyDescent="0.25">
      <c r="B4889" s="49"/>
      <c r="C4889" s="49"/>
    </row>
    <row r="4942" spans="2:3" x14ac:dyDescent="0.25">
      <c r="B4942" s="49"/>
      <c r="C4942" s="49"/>
    </row>
    <row r="4975" spans="2:3" x14ac:dyDescent="0.25">
      <c r="B4975" s="49"/>
      <c r="C4975" s="49"/>
    </row>
    <row r="4980" spans="2:3" x14ac:dyDescent="0.25">
      <c r="B4980" s="49"/>
      <c r="C4980" s="49"/>
    </row>
    <row r="5014" spans="2:3" x14ac:dyDescent="0.25">
      <c r="B5014" s="49"/>
      <c r="C5014" s="49"/>
    </row>
    <row r="5096" spans="2:3" x14ac:dyDescent="0.25">
      <c r="B5096" s="49"/>
      <c r="C5096" s="49"/>
    </row>
    <row r="5409" spans="2:3" x14ac:dyDescent="0.25">
      <c r="B5409" s="49"/>
      <c r="C5409" s="49"/>
    </row>
    <row r="5458" spans="2:3" x14ac:dyDescent="0.25">
      <c r="B5458" s="49"/>
      <c r="C5458" s="49"/>
    </row>
    <row r="5459" spans="2:3" x14ac:dyDescent="0.25">
      <c r="B5459" s="49"/>
      <c r="C5459" s="49"/>
    </row>
    <row r="5460" spans="2:3" x14ac:dyDescent="0.25">
      <c r="B5460" s="49"/>
      <c r="C5460" s="49"/>
    </row>
    <row r="5517" spans="2:3" x14ac:dyDescent="0.25">
      <c r="B5517" s="49"/>
      <c r="C5517" s="49"/>
    </row>
    <row r="5548" spans="2:3" x14ac:dyDescent="0.25">
      <c r="B5548" s="49"/>
      <c r="C5548" s="49"/>
    </row>
    <row r="5660" spans="2:3" x14ac:dyDescent="0.25">
      <c r="B5660" s="49"/>
      <c r="C5660" s="49"/>
    </row>
    <row r="5682" spans="2:3" x14ac:dyDescent="0.25">
      <c r="B5682" s="49"/>
      <c r="C5682" s="49"/>
    </row>
    <row r="5876" spans="2:3" x14ac:dyDescent="0.25">
      <c r="B5876" s="49"/>
      <c r="C5876" s="49"/>
    </row>
    <row r="5890" spans="2:3" x14ac:dyDescent="0.25">
      <c r="B5890" s="49"/>
      <c r="C5890" s="49"/>
    </row>
    <row r="5950" spans="2:3" x14ac:dyDescent="0.25">
      <c r="B5950" s="49"/>
      <c r="C5950" s="49"/>
    </row>
    <row r="6012" spans="2:3" x14ac:dyDescent="0.25">
      <c r="B6012" s="49"/>
      <c r="C6012" s="49"/>
    </row>
    <row r="6054" spans="2:3" x14ac:dyDescent="0.25">
      <c r="B6054" s="49"/>
      <c r="C6054" s="49"/>
    </row>
    <row r="6078" spans="2:3" x14ac:dyDescent="0.25">
      <c r="B6078" s="49"/>
      <c r="C6078" s="49"/>
    </row>
    <row r="6105" spans="2:3" x14ac:dyDescent="0.25">
      <c r="B6105" s="49"/>
      <c r="C6105" s="49"/>
    </row>
    <row r="6137" spans="2:3" x14ac:dyDescent="0.25">
      <c r="B6137" s="49"/>
      <c r="C6137" s="49"/>
    </row>
    <row r="6360" spans="2:3" x14ac:dyDescent="0.25">
      <c r="B6360" s="49"/>
      <c r="C6360" s="49"/>
    </row>
    <row r="6406" spans="2:3" x14ac:dyDescent="0.25">
      <c r="B6406" s="49"/>
      <c r="C6406" s="49"/>
    </row>
    <row r="6500" spans="2:3" x14ac:dyDescent="0.25">
      <c r="B6500" s="49"/>
      <c r="C6500" s="49"/>
    </row>
    <row r="6505" spans="2:3" x14ac:dyDescent="0.25">
      <c r="B6505" s="49"/>
      <c r="C6505" s="49"/>
    </row>
    <row r="6528" spans="2:3" x14ac:dyDescent="0.25">
      <c r="B6528" s="49"/>
      <c r="C6528" s="49"/>
    </row>
    <row r="6534" spans="2:3" x14ac:dyDescent="0.25">
      <c r="B6534" s="49"/>
      <c r="C6534" s="49"/>
    </row>
    <row r="6565" spans="2:3" x14ac:dyDescent="0.25">
      <c r="B6565" s="49"/>
      <c r="C6565" s="49"/>
    </row>
    <row r="6586" spans="2:3" x14ac:dyDescent="0.25">
      <c r="B6586" s="49"/>
      <c r="C6586" s="49"/>
    </row>
    <row r="6587" spans="2:3" x14ac:dyDescent="0.25">
      <c r="B6587" s="49"/>
      <c r="C6587" s="49"/>
    </row>
    <row r="6590" spans="2:3" x14ac:dyDescent="0.25">
      <c r="B6590" s="49"/>
      <c r="C6590" s="49"/>
    </row>
    <row r="6608" spans="2:3" x14ac:dyDescent="0.25">
      <c r="B6608" s="49"/>
      <c r="C6608" s="49"/>
    </row>
    <row r="6810" spans="2:3" x14ac:dyDescent="0.25">
      <c r="B6810" s="49"/>
      <c r="C6810" s="49"/>
    </row>
    <row r="6828" spans="2:3" x14ac:dyDescent="0.25">
      <c r="B6828" s="49"/>
      <c r="C6828" s="49"/>
    </row>
    <row r="6842" spans="2:3" x14ac:dyDescent="0.25">
      <c r="B6842" s="49"/>
      <c r="C6842" s="49"/>
    </row>
    <row r="6896" spans="2:3" x14ac:dyDescent="0.25">
      <c r="B6896" s="49"/>
      <c r="C6896" s="49"/>
    </row>
    <row r="6941" spans="2:3" x14ac:dyDescent="0.25">
      <c r="B6941" s="49"/>
      <c r="C6941" s="49"/>
    </row>
    <row r="6978" spans="2:3" x14ac:dyDescent="0.25">
      <c r="B6978" s="49"/>
      <c r="C6978" s="49"/>
    </row>
    <row r="7049" spans="2:3" x14ac:dyDescent="0.25">
      <c r="B7049" s="49"/>
      <c r="C7049" s="49"/>
    </row>
    <row r="7065" spans="2:3" x14ac:dyDescent="0.25">
      <c r="B7065" s="49"/>
      <c r="C7065" s="49"/>
    </row>
    <row r="7279" spans="2:3" x14ac:dyDescent="0.25">
      <c r="B7279" s="49"/>
      <c r="C7279" s="49"/>
    </row>
    <row r="7380" spans="2:3" x14ac:dyDescent="0.25">
      <c r="B7380" s="49"/>
      <c r="C7380" s="49"/>
    </row>
    <row r="7393" spans="2:3" x14ac:dyDescent="0.25">
      <c r="B7393" s="49"/>
      <c r="C7393" s="49"/>
    </row>
    <row r="7420" spans="2:3" x14ac:dyDescent="0.25">
      <c r="B7420" s="49"/>
      <c r="C7420" s="49"/>
    </row>
    <row r="7423" spans="2:3" x14ac:dyDescent="0.25">
      <c r="B7423" s="49"/>
      <c r="C7423" s="49"/>
    </row>
    <row r="7470" spans="2:3" x14ac:dyDescent="0.25">
      <c r="B7470" s="49"/>
      <c r="C7470" s="49"/>
    </row>
    <row r="7474" spans="2:3" x14ac:dyDescent="0.25">
      <c r="B7474" s="49"/>
      <c r="C7474" s="49"/>
    </row>
    <row r="7503" spans="2:3" x14ac:dyDescent="0.25">
      <c r="B7503" s="49"/>
      <c r="C7503" s="49"/>
    </row>
    <row r="7544" spans="2:3" x14ac:dyDescent="0.25">
      <c r="B7544" s="49"/>
      <c r="C7544" s="49"/>
    </row>
    <row r="7552" spans="2:3" x14ac:dyDescent="0.25">
      <c r="B7552" s="49"/>
      <c r="C7552" s="49"/>
    </row>
    <row r="7573" spans="2:3" x14ac:dyDescent="0.25">
      <c r="B7573" s="49"/>
      <c r="C7573" s="49"/>
    </row>
    <row r="7584" spans="2:3" x14ac:dyDescent="0.25">
      <c r="B7584" s="49"/>
      <c r="C7584" s="49"/>
    </row>
    <row r="7917" spans="2:3" x14ac:dyDescent="0.25">
      <c r="B7917" s="49"/>
      <c r="C7917" s="49"/>
    </row>
    <row r="7927" spans="2:3" x14ac:dyDescent="0.25">
      <c r="B7927" s="49"/>
      <c r="C7927" s="49"/>
    </row>
    <row r="7939" spans="2:3" x14ac:dyDescent="0.25">
      <c r="B7939" s="49"/>
      <c r="C7939" s="49"/>
    </row>
    <row r="7956" spans="2:3" x14ac:dyDescent="0.25">
      <c r="B7956" s="49"/>
      <c r="C7956" s="49"/>
    </row>
    <row r="7964" spans="2:3" x14ac:dyDescent="0.25">
      <c r="B7964" s="49"/>
      <c r="C7964" s="49"/>
    </row>
    <row r="7992" spans="2:3" x14ac:dyDescent="0.25">
      <c r="B7992" s="49"/>
      <c r="C7992" s="49"/>
    </row>
    <row r="8221" spans="2:3" x14ac:dyDescent="0.25">
      <c r="B8221" s="49"/>
      <c r="C8221" s="49"/>
    </row>
    <row r="8222" spans="2:3" x14ac:dyDescent="0.25">
      <c r="B8222" s="49"/>
      <c r="C8222" s="49"/>
    </row>
    <row r="8223" spans="2:3" x14ac:dyDescent="0.25">
      <c r="B8223" s="49"/>
      <c r="C8223" s="49"/>
    </row>
    <row r="8226" spans="2:3" x14ac:dyDescent="0.25">
      <c r="B8226" s="49"/>
      <c r="C8226" s="49"/>
    </row>
    <row r="8269" spans="2:3" x14ac:dyDescent="0.25">
      <c r="B8269" s="49"/>
      <c r="C8269" s="49"/>
    </row>
    <row r="8271" spans="2:3" x14ac:dyDescent="0.25">
      <c r="B8271" s="49"/>
      <c r="C8271" s="49"/>
    </row>
    <row r="8275" spans="2:3" x14ac:dyDescent="0.25">
      <c r="B8275" s="49"/>
      <c r="C8275" s="49"/>
    </row>
    <row r="8284" spans="2:3" x14ac:dyDescent="0.25">
      <c r="B8284" s="49"/>
      <c r="C8284" s="49"/>
    </row>
    <row r="8301" spans="2:3" x14ac:dyDescent="0.25">
      <c r="B8301" s="49"/>
      <c r="C8301" s="49"/>
    </row>
    <row r="8306" spans="2:3" x14ac:dyDescent="0.25">
      <c r="B8306" s="49"/>
      <c r="C8306" s="49"/>
    </row>
    <row r="8324" spans="2:3" x14ac:dyDescent="0.25">
      <c r="B8324" s="49"/>
      <c r="C8324" s="49"/>
    </row>
    <row r="8390" spans="2:3" x14ac:dyDescent="0.25">
      <c r="B8390" s="49"/>
      <c r="C8390" s="49"/>
    </row>
    <row r="8392" spans="2:3" x14ac:dyDescent="0.25">
      <c r="B8392" s="49"/>
      <c r="C8392" s="49"/>
    </row>
    <row r="8472" spans="2:3" x14ac:dyDescent="0.25">
      <c r="B8472" s="49"/>
      <c r="C8472" s="49"/>
    </row>
    <row r="8482" spans="2:3" x14ac:dyDescent="0.25">
      <c r="B8482" s="49"/>
      <c r="C8482" s="49"/>
    </row>
    <row r="8696" spans="2:3" x14ac:dyDescent="0.25">
      <c r="B8696" s="49"/>
      <c r="C8696" s="49"/>
    </row>
    <row r="8706" spans="2:3" x14ac:dyDescent="0.25">
      <c r="B8706" s="49"/>
      <c r="C8706" s="49"/>
    </row>
    <row r="8742" spans="2:3" x14ac:dyDescent="0.25">
      <c r="B8742" s="49"/>
      <c r="C8742" s="49"/>
    </row>
    <row r="8782" spans="2:3" x14ac:dyDescent="0.25">
      <c r="B8782" s="49"/>
      <c r="C8782" s="49"/>
    </row>
    <row r="8828" spans="2:3" x14ac:dyDescent="0.25">
      <c r="B8828" s="49"/>
      <c r="C8828" s="49"/>
    </row>
    <row r="8866" spans="2:3" x14ac:dyDescent="0.25">
      <c r="B8866" s="49"/>
      <c r="C8866" s="49"/>
    </row>
    <row r="8881" spans="2:3" x14ac:dyDescent="0.25">
      <c r="B8881" s="49"/>
      <c r="C8881" s="49"/>
    </row>
    <row r="8999" spans="2:3" x14ac:dyDescent="0.25">
      <c r="B8999" s="49"/>
      <c r="C8999" s="49"/>
    </row>
    <row r="9024" spans="2:3" x14ac:dyDescent="0.25">
      <c r="B9024" s="49"/>
      <c r="C9024" s="49"/>
    </row>
    <row r="9082" spans="2:3" x14ac:dyDescent="0.25">
      <c r="B9082" s="49"/>
      <c r="C9082" s="49"/>
    </row>
    <row r="9092" spans="2:3" x14ac:dyDescent="0.25">
      <c r="B9092" s="49"/>
      <c r="C9092" s="49"/>
    </row>
    <row r="9104" spans="2:3" x14ac:dyDescent="0.25">
      <c r="B9104" s="49"/>
      <c r="C9104" s="49"/>
    </row>
    <row r="9112" spans="2:3" x14ac:dyDescent="0.25">
      <c r="B9112" s="49"/>
      <c r="C9112" s="49"/>
    </row>
    <row r="9265" spans="8:8" x14ac:dyDescent="0.25">
      <c r="H9265" s="50"/>
    </row>
    <row r="9266" spans="8:8" x14ac:dyDescent="0.25">
      <c r="H9266" s="50"/>
    </row>
    <row r="9442" spans="2:3" x14ac:dyDescent="0.25">
      <c r="B9442" s="49"/>
      <c r="C9442" s="49"/>
    </row>
    <row r="9443" spans="2:3" x14ac:dyDescent="0.25">
      <c r="B9443" s="49"/>
      <c r="C9443" s="49"/>
    </row>
    <row r="9449" spans="2:3" x14ac:dyDescent="0.25">
      <c r="B9449" s="49"/>
      <c r="C9449" s="49"/>
    </row>
    <row r="9454" spans="2:3" x14ac:dyDescent="0.25">
      <c r="B9454" s="49"/>
      <c r="C9454" s="49"/>
    </row>
    <row r="9503" spans="2:3" x14ac:dyDescent="0.25">
      <c r="B9503" s="49"/>
      <c r="C9503" s="49"/>
    </row>
    <row r="9544" spans="2:3" x14ac:dyDescent="0.25">
      <c r="B9544" s="49"/>
      <c r="C9544" s="49"/>
    </row>
    <row r="9546" spans="2:3" x14ac:dyDescent="0.25">
      <c r="B9546" s="49"/>
      <c r="C9546" s="49"/>
    </row>
    <row r="9602" spans="2:3" x14ac:dyDescent="0.25">
      <c r="B9602" s="49"/>
      <c r="C9602" s="49"/>
    </row>
    <row r="9622" spans="2:3" x14ac:dyDescent="0.25">
      <c r="B9622" s="49"/>
      <c r="C9622" s="49"/>
    </row>
    <row r="9623" spans="2:3" x14ac:dyDescent="0.25">
      <c r="B9623" s="49"/>
      <c r="C9623" s="49"/>
    </row>
    <row r="9686" spans="2:3" x14ac:dyDescent="0.25">
      <c r="B9686" s="49"/>
      <c r="C9686" s="49"/>
    </row>
    <row r="9733" spans="2:3" x14ac:dyDescent="0.25">
      <c r="B9733" s="49"/>
      <c r="C9733" s="49"/>
    </row>
    <row r="9752" spans="2:3" x14ac:dyDescent="0.25">
      <c r="B9752" s="49"/>
      <c r="C9752" s="49"/>
    </row>
    <row r="9778" spans="2:3" x14ac:dyDescent="0.25">
      <c r="B9778" s="49"/>
      <c r="C9778" s="49"/>
    </row>
    <row r="9779" spans="2:3" x14ac:dyDescent="0.25">
      <c r="B9779" s="49"/>
      <c r="C9779" s="49"/>
    </row>
    <row r="9784" spans="2:3" x14ac:dyDescent="0.25">
      <c r="B9784" s="49"/>
      <c r="C9784" s="49"/>
    </row>
    <row r="9790" spans="2:3" x14ac:dyDescent="0.25">
      <c r="B9790" s="49"/>
      <c r="C9790" s="49"/>
    </row>
    <row r="9792" spans="2:3" x14ac:dyDescent="0.25">
      <c r="B9792" s="49"/>
      <c r="C9792" s="49"/>
    </row>
    <row r="10212" spans="2:3" x14ac:dyDescent="0.25">
      <c r="B10212" s="49"/>
      <c r="C10212" s="49"/>
    </row>
    <row r="10213" spans="2:3" x14ac:dyDescent="0.25">
      <c r="B10213" s="49"/>
      <c r="C10213" s="49"/>
    </row>
    <row r="10218" spans="2:3" x14ac:dyDescent="0.25">
      <c r="B10218" s="49"/>
      <c r="C10218" s="49"/>
    </row>
    <row r="10236" spans="2:3" x14ac:dyDescent="0.25">
      <c r="B10236" s="49"/>
      <c r="C10236" s="49"/>
    </row>
    <row r="10271" spans="2:3" x14ac:dyDescent="0.25">
      <c r="B10271" s="49"/>
      <c r="C10271" s="49"/>
    </row>
    <row r="10291" spans="2:3" x14ac:dyDescent="0.25">
      <c r="B10291" s="49"/>
      <c r="C10291" s="49"/>
    </row>
    <row r="10318" spans="2:3" x14ac:dyDescent="0.25">
      <c r="B10318" s="49"/>
      <c r="C10318" s="49"/>
    </row>
    <row r="10344" spans="2:3" x14ac:dyDescent="0.25">
      <c r="B10344" s="49"/>
      <c r="C10344" s="49"/>
    </row>
    <row r="10347" spans="2:3" x14ac:dyDescent="0.25">
      <c r="B10347" s="49"/>
      <c r="C10347" s="49"/>
    </row>
    <row r="10351" spans="2:3" x14ac:dyDescent="0.25">
      <c r="B10351" s="49"/>
      <c r="C10351" s="49"/>
    </row>
    <row r="10362" spans="2:3" x14ac:dyDescent="0.25">
      <c r="B10362" s="49"/>
      <c r="C10362" s="49"/>
    </row>
    <row r="10395" spans="2:3" x14ac:dyDescent="0.25">
      <c r="B10395" s="49"/>
      <c r="C10395" s="49"/>
    </row>
    <row r="10426" spans="2:3" x14ac:dyDescent="0.25">
      <c r="B10426" s="49"/>
      <c r="C10426" s="49"/>
    </row>
    <row r="10454" spans="2:3" x14ac:dyDescent="0.25">
      <c r="B10454" s="49"/>
      <c r="C10454" s="49"/>
    </row>
    <row r="10519" spans="2:3" x14ac:dyDescent="0.25">
      <c r="B10519" s="49"/>
      <c r="C10519" s="49"/>
    </row>
    <row r="10538" spans="2:3" x14ac:dyDescent="0.25">
      <c r="B10538" s="49"/>
      <c r="C10538" s="49"/>
    </row>
    <row r="10945" spans="2:3" x14ac:dyDescent="0.25">
      <c r="B10945" s="49"/>
      <c r="C10945" s="49"/>
    </row>
    <row r="10958" spans="2:3" x14ac:dyDescent="0.25">
      <c r="B10958" s="49"/>
      <c r="C10958" s="49"/>
    </row>
    <row r="10962" spans="2:3" x14ac:dyDescent="0.25">
      <c r="B10962" s="49"/>
      <c r="C10962" s="49"/>
    </row>
    <row r="10963" spans="2:3" x14ac:dyDescent="0.25">
      <c r="B10963" s="49"/>
      <c r="C10963" s="49"/>
    </row>
    <row r="10987" spans="2:3" x14ac:dyDescent="0.25">
      <c r="B10987" s="49"/>
      <c r="C10987" s="49"/>
    </row>
    <row r="10988" spans="2:3" x14ac:dyDescent="0.25">
      <c r="B10988" s="49"/>
      <c r="C10988" s="49"/>
    </row>
    <row r="11026" spans="2:3" x14ac:dyDescent="0.25">
      <c r="B11026" s="49"/>
      <c r="C11026" s="49"/>
    </row>
    <row r="11057" spans="2:3" x14ac:dyDescent="0.25">
      <c r="B11057" s="49"/>
      <c r="C11057" s="49"/>
    </row>
    <row r="11078" spans="2:3" x14ac:dyDescent="0.25">
      <c r="B11078" s="49"/>
      <c r="C11078" s="49"/>
    </row>
    <row r="11161" spans="2:3" x14ac:dyDescent="0.25">
      <c r="B11161" s="49"/>
      <c r="C11161" s="49"/>
    </row>
    <row r="11216" spans="2:3" x14ac:dyDescent="0.25">
      <c r="B11216" s="49"/>
      <c r="C11216" s="49"/>
    </row>
    <row r="11234" spans="2:3" x14ac:dyDescent="0.25">
      <c r="B11234" s="49"/>
      <c r="C11234" s="49"/>
    </row>
    <row r="11257" spans="2:3" x14ac:dyDescent="0.25">
      <c r="B11257" s="49"/>
      <c r="C11257" s="49"/>
    </row>
    <row r="11333" spans="2:3" x14ac:dyDescent="0.25">
      <c r="B11333" s="49"/>
      <c r="C11333" s="49"/>
    </row>
    <row r="11342" spans="2:3" x14ac:dyDescent="0.25">
      <c r="B11342" s="49"/>
      <c r="C11342" s="49"/>
    </row>
    <row r="11368" spans="2:3" x14ac:dyDescent="0.25">
      <c r="B11368" s="49"/>
      <c r="C11368" s="49"/>
    </row>
    <row r="11413" spans="2:3" x14ac:dyDescent="0.25">
      <c r="B11413" s="49"/>
      <c r="C11413" s="49"/>
    </row>
    <row r="11441" spans="2:3" x14ac:dyDescent="0.25">
      <c r="B11441" s="49"/>
      <c r="C11441" s="49"/>
    </row>
    <row r="11442" spans="2:3" x14ac:dyDescent="0.25">
      <c r="B11442" s="49"/>
      <c r="C11442" s="49"/>
    </row>
    <row r="11467" spans="2:3" x14ac:dyDescent="0.25">
      <c r="B11467" s="49"/>
      <c r="C11467" s="49"/>
    </row>
    <row r="11507" spans="2:3" x14ac:dyDescent="0.25">
      <c r="B11507" s="49"/>
      <c r="C11507" s="49"/>
    </row>
    <row r="11514" spans="2:3" x14ac:dyDescent="0.25">
      <c r="B11514" s="49"/>
      <c r="C11514" s="49"/>
    </row>
    <row r="11524" spans="2:3" x14ac:dyDescent="0.25">
      <c r="B11524" s="49"/>
      <c r="C11524" s="49"/>
    </row>
    <row r="11525" spans="2:3" x14ac:dyDescent="0.25">
      <c r="B11525" s="49"/>
      <c r="C11525" s="49"/>
    </row>
    <row r="11572" spans="2:3" x14ac:dyDescent="0.25">
      <c r="B11572" s="49"/>
      <c r="C11572" s="49"/>
    </row>
    <row r="12028" spans="2:3" x14ac:dyDescent="0.25">
      <c r="B12028" s="49"/>
      <c r="C12028" s="49"/>
    </row>
    <row r="12053" spans="2:3" x14ac:dyDescent="0.25">
      <c r="B12053" s="49"/>
      <c r="C12053" s="49"/>
    </row>
    <row r="12108" spans="2:3" x14ac:dyDescent="0.25">
      <c r="B12108" s="49"/>
      <c r="C12108" s="49"/>
    </row>
    <row r="12165" spans="2:3" x14ac:dyDescent="0.25">
      <c r="B12165" s="49"/>
      <c r="C12165" s="49"/>
    </row>
    <row r="12186" spans="2:3" x14ac:dyDescent="0.25">
      <c r="B12186" s="49"/>
      <c r="C12186" s="49"/>
    </row>
    <row r="12232" spans="2:3" x14ac:dyDescent="0.25">
      <c r="B12232" s="49"/>
      <c r="C12232" s="49"/>
    </row>
    <row r="12249" spans="2:3" x14ac:dyDescent="0.25">
      <c r="B12249" s="49"/>
      <c r="C12249" s="49"/>
    </row>
    <row r="12281" spans="2:3" x14ac:dyDescent="0.25">
      <c r="B12281" s="49"/>
      <c r="C12281" s="49"/>
    </row>
    <row r="12288" spans="2:3" x14ac:dyDescent="0.25">
      <c r="B12288" s="49"/>
      <c r="C12288" s="49"/>
    </row>
    <row r="12320" spans="2:3" x14ac:dyDescent="0.25">
      <c r="B12320" s="49"/>
      <c r="C12320" s="49"/>
    </row>
    <row r="12337" spans="2:3" x14ac:dyDescent="0.25">
      <c r="B12337" s="49"/>
      <c r="C12337" s="49"/>
    </row>
    <row r="12371" spans="2:3" x14ac:dyDescent="0.25">
      <c r="B12371" s="49"/>
      <c r="C12371" s="49"/>
    </row>
    <row r="12461" spans="2:3" x14ac:dyDescent="0.25">
      <c r="B12461" s="49"/>
      <c r="C12461" s="49"/>
    </row>
    <row r="12475" spans="2:3" x14ac:dyDescent="0.25">
      <c r="B12475" s="49"/>
      <c r="C12475" s="49"/>
    </row>
    <row r="12539" spans="2:3" x14ac:dyDescent="0.25">
      <c r="B12539" s="49"/>
      <c r="C12539" s="49"/>
    </row>
    <row r="12600" spans="2:3" x14ac:dyDescent="0.25">
      <c r="B12600" s="49"/>
      <c r="C12600" s="49"/>
    </row>
    <row r="12627" spans="2:3" x14ac:dyDescent="0.25">
      <c r="B12627" s="49"/>
      <c r="C12627" s="49"/>
    </row>
    <row r="12687" spans="2:3" x14ac:dyDescent="0.25">
      <c r="B12687" s="49"/>
      <c r="C12687" s="49"/>
    </row>
    <row r="12690" spans="2:3" x14ac:dyDescent="0.25">
      <c r="B12690" s="49"/>
      <c r="C12690" s="49"/>
    </row>
    <row r="13137" spans="2:3" x14ac:dyDescent="0.25">
      <c r="B13137" s="49"/>
      <c r="C13137" s="49"/>
    </row>
    <row r="13166" spans="2:3" x14ac:dyDescent="0.25">
      <c r="B13166" s="49"/>
      <c r="C13166" s="49"/>
    </row>
    <row r="13196" spans="2:3" x14ac:dyDescent="0.25">
      <c r="B13196" s="49"/>
      <c r="C13196" s="49"/>
    </row>
    <row r="13197" spans="2:3" x14ac:dyDescent="0.25">
      <c r="B13197" s="49"/>
      <c r="C13197" s="49"/>
    </row>
    <row r="13260" spans="2:3" x14ac:dyDescent="0.25">
      <c r="B13260" s="49"/>
      <c r="C13260" s="49"/>
    </row>
    <row r="13261" spans="2:3" x14ac:dyDescent="0.25">
      <c r="B13261" s="49"/>
      <c r="C13261" s="49"/>
    </row>
    <row r="13267" spans="2:3" x14ac:dyDescent="0.25">
      <c r="B13267" s="49"/>
      <c r="C13267" s="49"/>
    </row>
    <row r="13333" spans="2:3" x14ac:dyDescent="0.25">
      <c r="B13333" s="49"/>
      <c r="C13333" s="49"/>
    </row>
    <row r="13347" spans="2:3" x14ac:dyDescent="0.25">
      <c r="B13347" s="49"/>
      <c r="C13347" s="49"/>
    </row>
    <row r="13421" spans="2:3" x14ac:dyDescent="0.25">
      <c r="B13421" s="49"/>
      <c r="C13421" s="49"/>
    </row>
    <row r="13453" spans="2:3" x14ac:dyDescent="0.25">
      <c r="B13453" s="49"/>
      <c r="C13453" s="49"/>
    </row>
    <row r="13484" spans="2:3" x14ac:dyDescent="0.25">
      <c r="B13484" s="49"/>
      <c r="C13484" s="49"/>
    </row>
    <row r="13522" spans="2:3" x14ac:dyDescent="0.25">
      <c r="B13522" s="49"/>
      <c r="C13522" s="49"/>
    </row>
    <row r="13532" spans="2:3" x14ac:dyDescent="0.25">
      <c r="B13532" s="49"/>
      <c r="C13532" s="49"/>
    </row>
    <row r="13715" spans="2:3" x14ac:dyDescent="0.25">
      <c r="B13715" s="49"/>
      <c r="C13715" s="49"/>
    </row>
    <row r="13719" spans="2:3" x14ac:dyDescent="0.25">
      <c r="B13719" s="49"/>
      <c r="C13719" s="49"/>
    </row>
    <row r="13761" spans="2:3" x14ac:dyDescent="0.25">
      <c r="B13761" s="49"/>
      <c r="C13761" s="49"/>
    </row>
    <row r="13763" spans="2:3" x14ac:dyDescent="0.25">
      <c r="B13763" s="49"/>
      <c r="C13763" s="49"/>
    </row>
    <row r="13764" spans="2:3" x14ac:dyDescent="0.25">
      <c r="B13764" s="49"/>
      <c r="C13764" s="49"/>
    </row>
    <row r="14197" spans="10:10" x14ac:dyDescent="0.25">
      <c r="J14197" s="49"/>
    </row>
    <row r="14225" spans="12:12" x14ac:dyDescent="0.25">
      <c r="L14225" s="50"/>
    </row>
    <row r="14243" spans="12:12" x14ac:dyDescent="0.25">
      <c r="L14243" s="50"/>
    </row>
    <row r="14259" spans="12:12" x14ac:dyDescent="0.25">
      <c r="L14259" s="50"/>
    </row>
    <row r="14262" spans="12:12" x14ac:dyDescent="0.25">
      <c r="L14262" s="50"/>
    </row>
    <row r="14291" spans="2:12" x14ac:dyDescent="0.25">
      <c r="B14291" s="49"/>
      <c r="C14291" s="49"/>
    </row>
    <row r="14292" spans="2:12" x14ac:dyDescent="0.25">
      <c r="B14292" s="49"/>
      <c r="C14292" s="49"/>
    </row>
    <row r="14293" spans="2:12" x14ac:dyDescent="0.25">
      <c r="B14293" s="49"/>
      <c r="C14293" s="49"/>
    </row>
    <row r="14294" spans="2:12" x14ac:dyDescent="0.25">
      <c r="B14294" s="49"/>
      <c r="C14294" s="49"/>
    </row>
    <row r="14301" spans="2:12" x14ac:dyDescent="0.25">
      <c r="L14301" s="50"/>
    </row>
    <row r="14309" spans="2:12" x14ac:dyDescent="0.25">
      <c r="L14309" s="50"/>
    </row>
    <row r="14310" spans="2:12" x14ac:dyDescent="0.25">
      <c r="B14310" s="49"/>
      <c r="C14310" s="49"/>
    </row>
    <row r="14315" spans="2:12" x14ac:dyDescent="0.25">
      <c r="B14315" s="49"/>
      <c r="C14315" s="49"/>
    </row>
    <row r="14317" spans="2:12" x14ac:dyDescent="0.25">
      <c r="B14317" s="49"/>
      <c r="C14317" s="49"/>
    </row>
    <row r="14328" spans="2:12" x14ac:dyDescent="0.25">
      <c r="B14328" s="49"/>
      <c r="C14328" s="49"/>
    </row>
    <row r="14330" spans="2:12" x14ac:dyDescent="0.25">
      <c r="L14330" s="50"/>
    </row>
    <row r="14337" spans="2:12" x14ac:dyDescent="0.25">
      <c r="B14337" s="49"/>
      <c r="C14337" s="49"/>
    </row>
    <row r="14346" spans="2:12" x14ac:dyDescent="0.25">
      <c r="L14346" s="50"/>
    </row>
    <row r="14378" spans="2:3" x14ac:dyDescent="0.25">
      <c r="B14378" s="49"/>
      <c r="C14378" s="49"/>
    </row>
    <row r="14379" spans="2:3" x14ac:dyDescent="0.25">
      <c r="B14379" s="49"/>
      <c r="C14379" s="49"/>
    </row>
    <row r="14433" spans="2:3" x14ac:dyDescent="0.25">
      <c r="B14433" s="49"/>
      <c r="C14433" s="49"/>
    </row>
    <row r="14464" spans="2:3" x14ac:dyDescent="0.25">
      <c r="B14464" s="49"/>
      <c r="C14464" s="49"/>
    </row>
    <row r="14465" spans="2:3" x14ac:dyDescent="0.25">
      <c r="B14465" s="49"/>
      <c r="C14465" s="49"/>
    </row>
    <row r="14510" spans="2:3" x14ac:dyDescent="0.25">
      <c r="B14510" s="49"/>
      <c r="C14510" s="49"/>
    </row>
    <row r="14538" spans="2:3" x14ac:dyDescent="0.25">
      <c r="B14538" s="49"/>
      <c r="C14538" s="49"/>
    </row>
    <row r="14539" spans="2:3" x14ac:dyDescent="0.25">
      <c r="B14539" s="49"/>
      <c r="C14539" s="49"/>
    </row>
    <row r="14569" spans="2:3" x14ac:dyDescent="0.25">
      <c r="B14569" s="49"/>
      <c r="C14569" s="49"/>
    </row>
    <row r="14573" spans="2:3" x14ac:dyDescent="0.25">
      <c r="B14573" s="49"/>
      <c r="C14573" s="49"/>
    </row>
    <row r="14575" spans="2:3" x14ac:dyDescent="0.25">
      <c r="B14575" s="49"/>
      <c r="C14575" s="49"/>
    </row>
    <row r="14577" spans="2:7" x14ac:dyDescent="0.25">
      <c r="B14577" s="49"/>
      <c r="C14577" s="49"/>
    </row>
    <row r="14580" spans="2:7" x14ac:dyDescent="0.25">
      <c r="G14580" s="49"/>
    </row>
    <row r="14652" spans="9:9" x14ac:dyDescent="0.25">
      <c r="I14652" s="50"/>
    </row>
    <row r="14656" spans="9:9" x14ac:dyDescent="0.25">
      <c r="I14656" s="50"/>
    </row>
    <row r="14660" spans="2:9" x14ac:dyDescent="0.25">
      <c r="I14660" s="50"/>
    </row>
    <row r="14664" spans="2:9" x14ac:dyDescent="0.25">
      <c r="I14664" s="50"/>
    </row>
    <row r="14667" spans="2:9" x14ac:dyDescent="0.25">
      <c r="B14667" s="49"/>
      <c r="C14667" s="49"/>
    </row>
    <row r="14668" spans="2:9" x14ac:dyDescent="0.25">
      <c r="I14668" s="50"/>
    </row>
    <row r="14669" spans="2:9" x14ac:dyDescent="0.25">
      <c r="B14669" s="49"/>
      <c r="C14669" s="49"/>
    </row>
    <row r="14672" spans="2:9" x14ac:dyDescent="0.25">
      <c r="I14672" s="50"/>
    </row>
    <row r="14673" spans="2:9" x14ac:dyDescent="0.25">
      <c r="B14673" s="49"/>
      <c r="C14673" s="49"/>
    </row>
    <row r="14676" spans="2:9" x14ac:dyDescent="0.25">
      <c r="I14676" s="50"/>
    </row>
    <row r="14680" spans="2:9" x14ac:dyDescent="0.25">
      <c r="I14680" s="50"/>
    </row>
    <row r="14684" spans="2:9" x14ac:dyDescent="0.25">
      <c r="I14684" s="50"/>
    </row>
    <row r="14688" spans="2:9" x14ac:dyDescent="0.25">
      <c r="I14688" s="50"/>
    </row>
    <row r="14692" spans="9:9" x14ac:dyDescent="0.25">
      <c r="I14692" s="50"/>
    </row>
    <row r="14714" spans="9:9" x14ac:dyDescent="0.25">
      <c r="I14714" s="50"/>
    </row>
    <row r="14718" spans="9:9" x14ac:dyDescent="0.25">
      <c r="I14718" s="50"/>
    </row>
    <row r="14722" spans="9:9" x14ac:dyDescent="0.25">
      <c r="I14722" s="50"/>
    </row>
    <row r="14726" spans="9:9" x14ac:dyDescent="0.25">
      <c r="I14726" s="50"/>
    </row>
    <row r="14730" spans="9:9" x14ac:dyDescent="0.25">
      <c r="I14730" s="50"/>
    </row>
    <row r="14734" spans="9:9" x14ac:dyDescent="0.25">
      <c r="I14734" s="50"/>
    </row>
    <row r="14738" spans="2:9" x14ac:dyDescent="0.25">
      <c r="B14738" s="49"/>
      <c r="C14738" s="49"/>
      <c r="I14738" s="50"/>
    </row>
    <row r="14755" spans="2:7" x14ac:dyDescent="0.25">
      <c r="B14755" s="49"/>
      <c r="C14755" s="49"/>
    </row>
    <row r="14760" spans="2:7" x14ac:dyDescent="0.25">
      <c r="G14760" s="50"/>
    </row>
    <row r="14764" spans="2:7" x14ac:dyDescent="0.25">
      <c r="B14764" s="49"/>
      <c r="C14764" s="49"/>
    </row>
    <row r="14773" spans="2:3" x14ac:dyDescent="0.25">
      <c r="B14773" s="49"/>
      <c r="C14773" s="49"/>
    </row>
    <row r="14833" spans="2:3" x14ac:dyDescent="0.25">
      <c r="B14833" s="49"/>
      <c r="C14833" s="49"/>
    </row>
    <row r="14837" spans="2:3" x14ac:dyDescent="0.25">
      <c r="B14837" s="49"/>
      <c r="C14837" s="49"/>
    </row>
    <row r="14870" spans="2:3" x14ac:dyDescent="0.25">
      <c r="B14870" s="49"/>
      <c r="C14870" s="49"/>
    </row>
    <row r="14902" spans="2:3" x14ac:dyDescent="0.25">
      <c r="B14902" s="49"/>
      <c r="C14902" s="49"/>
    </row>
    <row r="14932" spans="2:3" x14ac:dyDescent="0.25">
      <c r="B14932" s="49"/>
      <c r="C14932" s="49"/>
    </row>
    <row r="14937" spans="2:3" x14ac:dyDescent="0.25">
      <c r="B14937" s="49"/>
      <c r="C14937" s="49"/>
    </row>
    <row r="15083" spans="2:3" x14ac:dyDescent="0.25">
      <c r="B15083" s="49"/>
      <c r="C15083" s="49"/>
    </row>
    <row r="15110" spans="2:3" x14ac:dyDescent="0.25">
      <c r="B15110" s="49"/>
      <c r="C15110" s="49"/>
    </row>
    <row r="15111" spans="2:3" x14ac:dyDescent="0.25">
      <c r="B15111" s="49"/>
      <c r="C15111" s="49"/>
    </row>
    <row r="15757" spans="2:3" x14ac:dyDescent="0.25">
      <c r="B15757" s="49"/>
      <c r="C15757" s="49"/>
    </row>
    <row r="15858" spans="2:3" x14ac:dyDescent="0.25">
      <c r="B15858" s="49"/>
      <c r="C15858" s="49"/>
    </row>
    <row r="15886" spans="2:3" x14ac:dyDescent="0.25">
      <c r="B15886" s="49"/>
      <c r="C15886" s="49"/>
    </row>
    <row r="15987" spans="2:3" x14ac:dyDescent="0.25">
      <c r="B15987" s="49"/>
      <c r="C15987" s="49"/>
    </row>
    <row r="15989" spans="2:3" x14ac:dyDescent="0.25">
      <c r="B15989" s="49"/>
      <c r="C15989" s="49"/>
    </row>
    <row r="15991" spans="2:3" x14ac:dyDescent="0.25">
      <c r="B15991" s="49"/>
      <c r="C15991" s="49"/>
    </row>
    <row r="15992" spans="2:3" x14ac:dyDescent="0.25">
      <c r="B15992" s="49"/>
      <c r="C15992" s="49"/>
    </row>
    <row r="16008" spans="2:3" x14ac:dyDescent="0.25">
      <c r="B16008" s="49"/>
      <c r="C16008" s="49"/>
    </row>
    <row r="16026" spans="2:3" x14ac:dyDescent="0.25">
      <c r="B16026" s="49"/>
      <c r="C16026" s="49"/>
    </row>
    <row r="16101" spans="2:3" x14ac:dyDescent="0.25">
      <c r="B16101" s="49"/>
      <c r="C16101" s="49"/>
    </row>
    <row r="16105" spans="2:3" x14ac:dyDescent="0.25">
      <c r="B16105" s="49"/>
      <c r="C16105" s="49"/>
    </row>
    <row r="16154" spans="2:3" x14ac:dyDescent="0.25">
      <c r="B16154" s="49"/>
      <c r="C16154" s="49"/>
    </row>
    <row r="16184" spans="2:3" x14ac:dyDescent="0.25">
      <c r="B16184" s="49"/>
      <c r="C16184" s="49"/>
    </row>
    <row r="16193" spans="2:3" x14ac:dyDescent="0.25">
      <c r="B16193" s="49"/>
      <c r="C16193" s="49"/>
    </row>
    <row r="16333" spans="2:3" x14ac:dyDescent="0.25">
      <c r="B16333" s="49"/>
      <c r="C16333" s="49"/>
    </row>
    <row r="16396" spans="2:3" x14ac:dyDescent="0.25">
      <c r="B16396" s="49"/>
      <c r="C16396" s="49"/>
    </row>
    <row r="16400" spans="2:3" x14ac:dyDescent="0.25">
      <c r="B16400" s="49"/>
      <c r="C16400" s="49"/>
    </row>
    <row r="16409" spans="2:3" x14ac:dyDescent="0.25">
      <c r="B16409" s="49"/>
      <c r="C16409" s="49"/>
    </row>
    <row r="16420" spans="2:3" x14ac:dyDescent="0.25">
      <c r="B16420" s="49"/>
      <c r="C16420" s="49"/>
    </row>
    <row r="16442" spans="2:3" x14ac:dyDescent="0.25">
      <c r="B16442" s="49"/>
      <c r="C16442" s="49"/>
    </row>
    <row r="16453" spans="2:3" x14ac:dyDescent="0.25">
      <c r="B16453" s="49"/>
      <c r="C16453" s="49"/>
    </row>
    <row r="16503" spans="2:3" x14ac:dyDescent="0.25">
      <c r="B16503" s="49"/>
      <c r="C16503" s="49"/>
    </row>
    <row r="16508" spans="2:3" x14ac:dyDescent="0.25">
      <c r="B16508" s="49"/>
      <c r="C16508" s="49"/>
    </row>
    <row r="16542" spans="2:3" x14ac:dyDescent="0.25">
      <c r="B16542" s="49"/>
      <c r="C16542" s="49"/>
    </row>
    <row r="16546" spans="2:3" x14ac:dyDescent="0.25">
      <c r="B16546" s="49"/>
      <c r="C16546" s="49"/>
    </row>
    <row r="16565" spans="2:3" x14ac:dyDescent="0.25">
      <c r="B16565" s="49"/>
      <c r="C16565" s="49"/>
    </row>
    <row r="16685" spans="2:3" x14ac:dyDescent="0.25">
      <c r="B16685" s="49"/>
      <c r="C16685" s="49"/>
    </row>
    <row r="16686" spans="2:3" x14ac:dyDescent="0.25">
      <c r="B16686" s="49"/>
      <c r="C16686" s="49"/>
    </row>
    <row r="16687" spans="2:3" x14ac:dyDescent="0.25">
      <c r="B16687" s="49"/>
      <c r="C16687" s="49"/>
    </row>
    <row r="16758" spans="2:3" x14ac:dyDescent="0.25">
      <c r="B16758" s="49"/>
      <c r="C16758" s="49"/>
    </row>
    <row r="16823" spans="2:3" x14ac:dyDescent="0.25">
      <c r="B16823" s="49"/>
      <c r="C16823" s="49"/>
    </row>
    <row r="16825" spans="2:3" x14ac:dyDescent="0.25">
      <c r="B16825" s="49"/>
      <c r="C16825" s="49"/>
    </row>
    <row r="16828" spans="2:3" x14ac:dyDescent="0.25">
      <c r="B16828" s="49"/>
      <c r="C16828" s="49"/>
    </row>
    <row r="16829" spans="2:3" x14ac:dyDescent="0.25">
      <c r="B16829" s="49"/>
      <c r="C16829" s="49"/>
    </row>
    <row r="16849" spans="2:3" x14ac:dyDescent="0.25">
      <c r="B16849" s="49"/>
      <c r="C16849" s="49"/>
    </row>
    <row r="16851" spans="2:3" x14ac:dyDescent="0.25">
      <c r="B16851" s="49"/>
      <c r="C16851" s="49"/>
    </row>
    <row r="16874" spans="2:3" x14ac:dyDescent="0.25">
      <c r="B16874" s="49"/>
      <c r="C16874" s="49"/>
    </row>
    <row r="16880" spans="2:3" x14ac:dyDescent="0.25">
      <c r="B16880" s="49"/>
      <c r="C16880" s="49"/>
    </row>
    <row r="16979" spans="2:3" x14ac:dyDescent="0.25">
      <c r="B16979" s="49"/>
      <c r="C16979" s="49"/>
    </row>
    <row r="17943" spans="2:3" x14ac:dyDescent="0.25">
      <c r="B17943" s="49"/>
      <c r="C17943" s="49"/>
    </row>
    <row r="17958" spans="2:3" x14ac:dyDescent="0.25">
      <c r="B17958" s="49"/>
      <c r="C17958" s="49"/>
    </row>
    <row r="18027" spans="2:3" x14ac:dyDescent="0.25">
      <c r="B18027" s="49"/>
      <c r="C18027" s="49"/>
    </row>
    <row r="18028" spans="2:3" x14ac:dyDescent="0.25">
      <c r="B18028" s="49"/>
      <c r="C18028" s="49"/>
    </row>
    <row r="18031" spans="2:3" x14ac:dyDescent="0.25">
      <c r="B18031" s="49"/>
      <c r="C18031" s="49"/>
    </row>
    <row r="18059" spans="2:3" x14ac:dyDescent="0.25">
      <c r="B18059" s="49"/>
      <c r="C18059" s="49"/>
    </row>
    <row r="18122" spans="2:3" x14ac:dyDescent="0.25">
      <c r="B18122" s="49"/>
      <c r="C18122" s="49"/>
    </row>
    <row r="18135" spans="2:3" x14ac:dyDescent="0.25">
      <c r="B18135" s="49"/>
      <c r="C18135" s="49"/>
    </row>
    <row r="18177" spans="2:3" x14ac:dyDescent="0.25">
      <c r="B18177" s="49"/>
      <c r="C18177" s="49"/>
    </row>
    <row r="18181" spans="2:3" x14ac:dyDescent="0.25">
      <c r="B18181" s="49"/>
      <c r="C18181" s="49"/>
    </row>
    <row r="18211" spans="2:3" x14ac:dyDescent="0.25">
      <c r="B18211" s="49"/>
      <c r="C18211" s="49"/>
    </row>
    <row r="18301" spans="2:3" x14ac:dyDescent="0.25">
      <c r="B18301" s="49"/>
      <c r="C18301" s="49"/>
    </row>
    <row r="18307" spans="2:3" x14ac:dyDescent="0.25">
      <c r="B18307" s="49"/>
      <c r="C18307" s="49"/>
    </row>
    <row r="18339" spans="2:3" x14ac:dyDescent="0.25">
      <c r="B18339" s="49"/>
      <c r="C18339" s="49"/>
    </row>
    <row r="18340" spans="2:3" x14ac:dyDescent="0.25">
      <c r="B18340" s="49"/>
      <c r="C18340" s="49"/>
    </row>
    <row r="18349" spans="2:3" x14ac:dyDescent="0.25">
      <c r="B18349" s="49"/>
      <c r="C18349" s="49"/>
    </row>
    <row r="18388" spans="2:3" x14ac:dyDescent="0.25">
      <c r="B18388" s="49"/>
      <c r="C18388" s="49"/>
    </row>
    <row r="18440" spans="2:3" x14ac:dyDescent="0.25">
      <c r="B18440" s="49"/>
      <c r="C18440" s="49"/>
    </row>
    <row r="18441" spans="2:3" x14ac:dyDescent="0.25">
      <c r="B18441" s="49"/>
      <c r="C18441" s="49"/>
    </row>
    <row r="18478" spans="2:3" x14ac:dyDescent="0.25">
      <c r="B18478" s="49"/>
      <c r="C18478" s="49"/>
    </row>
    <row r="18501" spans="2:3" x14ac:dyDescent="0.25">
      <c r="B18501" s="49"/>
      <c r="C18501" s="49"/>
    </row>
    <row r="18569" spans="2:3" x14ac:dyDescent="0.25">
      <c r="B18569" s="49"/>
      <c r="C18569" s="49"/>
    </row>
    <row r="18588" spans="2:3" x14ac:dyDescent="0.25">
      <c r="B18588" s="49"/>
      <c r="C18588" s="49"/>
    </row>
    <row r="18640" spans="2:3" x14ac:dyDescent="0.25">
      <c r="B18640" s="49"/>
      <c r="C18640" s="49"/>
    </row>
    <row r="18655" spans="2:3" x14ac:dyDescent="0.25">
      <c r="B18655" s="49"/>
      <c r="C18655" s="49"/>
    </row>
    <row r="18708" spans="2:3" x14ac:dyDescent="0.25">
      <c r="B18708" s="49"/>
      <c r="C18708" s="49"/>
    </row>
    <row r="18709" spans="2:3" x14ac:dyDescent="0.25">
      <c r="B18709" s="49"/>
      <c r="C18709" s="49"/>
    </row>
    <row r="18711" spans="2:3" x14ac:dyDescent="0.25">
      <c r="B18711" s="49"/>
      <c r="C18711" s="49"/>
    </row>
    <row r="18712" spans="2:3" x14ac:dyDescent="0.25">
      <c r="B18712" s="49"/>
      <c r="C18712" s="49"/>
    </row>
    <row r="18738" spans="2:3" x14ac:dyDescent="0.25">
      <c r="B18738" s="49"/>
      <c r="C18738" s="49"/>
    </row>
    <row r="18748" spans="2:3" x14ac:dyDescent="0.25">
      <c r="B18748" s="49"/>
      <c r="C18748" s="49"/>
    </row>
    <row r="18792" spans="2:3" x14ac:dyDescent="0.25">
      <c r="B18792" s="49"/>
      <c r="C18792" s="49"/>
    </row>
    <row r="18793" spans="2:3" x14ac:dyDescent="0.25">
      <c r="B18793" s="49"/>
      <c r="C18793" s="49"/>
    </row>
    <row r="18852" spans="2:3" x14ac:dyDescent="0.25">
      <c r="B18852" s="49"/>
      <c r="C18852" s="49"/>
    </row>
    <row r="18854" spans="2:3" x14ac:dyDescent="0.25">
      <c r="B18854" s="49"/>
      <c r="C18854" s="49"/>
    </row>
    <row r="18855" spans="2:3" x14ac:dyDescent="0.25">
      <c r="B18855" s="49"/>
      <c r="C18855" s="49"/>
    </row>
    <row r="18879" spans="2:3" x14ac:dyDescent="0.25">
      <c r="B18879" s="49"/>
      <c r="C18879" s="49"/>
    </row>
    <row r="18912" spans="2:3" x14ac:dyDescent="0.25">
      <c r="B18912" s="49"/>
      <c r="C18912" s="49"/>
    </row>
    <row r="18937" spans="2:3" x14ac:dyDescent="0.25">
      <c r="B18937" s="49"/>
      <c r="C18937" s="49"/>
    </row>
    <row r="19006" spans="2:3" x14ac:dyDescent="0.25">
      <c r="B19006" s="49"/>
      <c r="C19006" s="49"/>
    </row>
    <row r="19011" spans="2:3" x14ac:dyDescent="0.25">
      <c r="B19011" s="49"/>
      <c r="C19011" s="49"/>
    </row>
    <row r="19045" spans="2:3" x14ac:dyDescent="0.25">
      <c r="B19045" s="49"/>
      <c r="C19045" s="49"/>
    </row>
    <row r="19079" spans="2:3" x14ac:dyDescent="0.25">
      <c r="B19079" s="49"/>
      <c r="C19079" s="49"/>
    </row>
    <row r="19138" spans="2:3" x14ac:dyDescent="0.25">
      <c r="B19138" s="49"/>
      <c r="C19138" s="49"/>
    </row>
    <row r="19197" spans="2:3" x14ac:dyDescent="0.25">
      <c r="B19197" s="49"/>
      <c r="C19197" s="49"/>
    </row>
    <row r="19213" spans="2:3" x14ac:dyDescent="0.25">
      <c r="B19213" s="49"/>
      <c r="C19213" s="49"/>
    </row>
    <row r="19277" spans="2:3" x14ac:dyDescent="0.25">
      <c r="B19277" s="49"/>
      <c r="C19277" s="49"/>
    </row>
    <row r="19281" spans="2:3" x14ac:dyDescent="0.25">
      <c r="B19281" s="49"/>
      <c r="C19281" s="49"/>
    </row>
    <row r="19282" spans="2:3" x14ac:dyDescent="0.25">
      <c r="B19282" s="49"/>
      <c r="C19282" s="49"/>
    </row>
    <row r="20132" spans="3:4" x14ac:dyDescent="0.25">
      <c r="C20132" s="49"/>
      <c r="D20132" s="49"/>
    </row>
    <row r="20136" spans="3:4" x14ac:dyDescent="0.25">
      <c r="C20136" s="49"/>
      <c r="D20136" s="49"/>
    </row>
    <row r="20161" spans="3:4" x14ac:dyDescent="0.25">
      <c r="C20161" s="49"/>
      <c r="D20161" s="49"/>
    </row>
    <row r="20271" spans="3:4" x14ac:dyDescent="0.25">
      <c r="C20271" s="49"/>
      <c r="D20271" s="49"/>
    </row>
    <row r="20273" spans="3:4" x14ac:dyDescent="0.25">
      <c r="C20273" s="49"/>
      <c r="D20273" s="49"/>
    </row>
    <row r="20276" spans="3:4" x14ac:dyDescent="0.25">
      <c r="C20276" s="49"/>
      <c r="D20276" s="49"/>
    </row>
    <row r="20279" spans="3:4" x14ac:dyDescent="0.25">
      <c r="C20279" s="49"/>
      <c r="D20279" s="49"/>
    </row>
    <row r="20358" spans="3:4" x14ac:dyDescent="0.25">
      <c r="C20358" s="49"/>
      <c r="D20358" s="49"/>
    </row>
    <row r="20359" spans="3:4" x14ac:dyDescent="0.25">
      <c r="C20359" s="49"/>
      <c r="D20359" s="49"/>
    </row>
    <row r="20422" spans="3:4" x14ac:dyDescent="0.25">
      <c r="C20422" s="49"/>
      <c r="D20422" s="49"/>
    </row>
    <row r="20424" spans="3:4" x14ac:dyDescent="0.25">
      <c r="C20424" s="49"/>
      <c r="D20424" s="49"/>
    </row>
    <row r="20453" spans="3:4" x14ac:dyDescent="0.25">
      <c r="C20453" s="49"/>
      <c r="D20453" s="49"/>
    </row>
    <row r="20474" spans="3:4" x14ac:dyDescent="0.25">
      <c r="C20474" s="49"/>
      <c r="D20474" s="49"/>
    </row>
    <row r="20539" spans="3:4" x14ac:dyDescent="0.25">
      <c r="C20539" s="49"/>
      <c r="D20539" s="49"/>
    </row>
    <row r="20549" spans="3:4" x14ac:dyDescent="0.25">
      <c r="C20549" s="49"/>
      <c r="D20549" s="49"/>
    </row>
    <row r="20669" spans="3:4" x14ac:dyDescent="0.25">
      <c r="C20669" s="49"/>
      <c r="D20669" s="49"/>
    </row>
    <row r="20671" spans="3:4" x14ac:dyDescent="0.25">
      <c r="C20671" s="49"/>
      <c r="D20671" s="49"/>
    </row>
    <row r="20674" spans="3:4" x14ac:dyDescent="0.25">
      <c r="C20674" s="49"/>
      <c r="D20674" s="49"/>
    </row>
    <row r="20675" spans="3:4" x14ac:dyDescent="0.25">
      <c r="C20675" s="49"/>
      <c r="D20675" s="49"/>
    </row>
    <row r="20705" spans="3:4" x14ac:dyDescent="0.25">
      <c r="C20705" s="49"/>
      <c r="D20705" s="49"/>
    </row>
    <row r="20715" spans="3:4" x14ac:dyDescent="0.25">
      <c r="C20715" s="49"/>
      <c r="D20715" s="49"/>
    </row>
    <row r="20785" spans="3:4" x14ac:dyDescent="0.25">
      <c r="C20785" s="49"/>
      <c r="D20785" s="49"/>
    </row>
    <row r="20786" spans="3:4" x14ac:dyDescent="0.25">
      <c r="C20786" s="49"/>
      <c r="D20786" s="49"/>
    </row>
    <row r="20787" spans="3:4" x14ac:dyDescent="0.25">
      <c r="C20787" s="49"/>
      <c r="D20787" s="49"/>
    </row>
    <row r="20788" spans="3:4" x14ac:dyDescent="0.25">
      <c r="C20788" s="49"/>
      <c r="D20788" s="49"/>
    </row>
    <row r="20790" spans="3:4" x14ac:dyDescent="0.25">
      <c r="C20790" s="49"/>
      <c r="D20790" s="49"/>
    </row>
    <row r="20806" spans="3:4" x14ac:dyDescent="0.25">
      <c r="C20806" s="49"/>
      <c r="D20806" s="49"/>
    </row>
    <row r="20899" spans="3:4" x14ac:dyDescent="0.25">
      <c r="C20899" s="49"/>
      <c r="D20899" s="49"/>
    </row>
    <row r="20900" spans="3:4" x14ac:dyDescent="0.25">
      <c r="C20900" s="49"/>
      <c r="D20900" s="49"/>
    </row>
    <row r="20901" spans="3:4" x14ac:dyDescent="0.25">
      <c r="C20901" s="49"/>
      <c r="D20901" s="49"/>
    </row>
    <row r="21022" spans="3:4" x14ac:dyDescent="0.25">
      <c r="C21022" s="49"/>
      <c r="D21022" s="49"/>
    </row>
    <row r="21026" spans="3:4" x14ac:dyDescent="0.25">
      <c r="C21026" s="49"/>
      <c r="D21026" s="49"/>
    </row>
    <row r="21028" spans="3:4" x14ac:dyDescent="0.25">
      <c r="C21028" s="49"/>
      <c r="D21028" s="49"/>
    </row>
    <row r="21092" spans="3:4" x14ac:dyDescent="0.25">
      <c r="C21092" s="49"/>
      <c r="D21092" s="49"/>
    </row>
    <row r="21147" spans="3:4" x14ac:dyDescent="0.25">
      <c r="C21147" s="49"/>
      <c r="D21147" s="49"/>
    </row>
    <row r="21150" spans="3:4" x14ac:dyDescent="0.25">
      <c r="C21150" s="49"/>
      <c r="D21150" s="49"/>
    </row>
    <row r="21203" spans="3:4" x14ac:dyDescent="0.25">
      <c r="C21203" s="49"/>
      <c r="D21203" s="49"/>
    </row>
    <row r="21266" spans="3:4" x14ac:dyDescent="0.25">
      <c r="C21266" s="49"/>
      <c r="D21266" s="49"/>
    </row>
    <row r="21267" spans="3:4" x14ac:dyDescent="0.25">
      <c r="C21267" s="49"/>
      <c r="D21267" s="49"/>
    </row>
    <row r="21269" spans="3:4" x14ac:dyDescent="0.25">
      <c r="C21269" s="49"/>
      <c r="D21269" s="49"/>
    </row>
    <row r="21270" spans="3:4" x14ac:dyDescent="0.25">
      <c r="C21270" s="49"/>
      <c r="D21270" s="49"/>
    </row>
    <row r="21273" spans="3:4" x14ac:dyDescent="0.25">
      <c r="C21273" s="49"/>
      <c r="D21273" s="49"/>
    </row>
    <row r="21274" spans="3:4" x14ac:dyDescent="0.25">
      <c r="C21274" s="49"/>
      <c r="D21274" s="49"/>
    </row>
    <row r="21302" spans="3:4" x14ac:dyDescent="0.25">
      <c r="C21302" s="49"/>
      <c r="D21302" s="49"/>
    </row>
    <row r="21406" spans="3:4" x14ac:dyDescent="0.25">
      <c r="C21406" s="49"/>
      <c r="D21406" s="49"/>
    </row>
    <row r="21407" spans="3:4" x14ac:dyDescent="0.25">
      <c r="C21407" s="49"/>
      <c r="D21407" s="49"/>
    </row>
    <row r="21453" spans="3:4" x14ac:dyDescent="0.25">
      <c r="C21453" s="49"/>
      <c r="D21453" s="49"/>
    </row>
    <row r="21471" spans="3:4" x14ac:dyDescent="0.25">
      <c r="C21471" s="49"/>
      <c r="D21471" s="49"/>
    </row>
    <row r="21529" spans="3:4" x14ac:dyDescent="0.25">
      <c r="C21529" s="49"/>
      <c r="D21529" s="49"/>
    </row>
    <row r="21582" spans="3:4" x14ac:dyDescent="0.25">
      <c r="C21582" s="49"/>
      <c r="D21582" s="49"/>
    </row>
    <row r="21586" spans="3:4" x14ac:dyDescent="0.25">
      <c r="C21586" s="49"/>
      <c r="D21586" s="49"/>
    </row>
    <row r="21615" spans="3:4" x14ac:dyDescent="0.25">
      <c r="C21615" s="49"/>
      <c r="D21615" s="49"/>
    </row>
    <row r="21629" spans="3:4" x14ac:dyDescent="0.25">
      <c r="C21629" s="49"/>
      <c r="D21629" s="49"/>
    </row>
    <row r="21676" spans="3:4" x14ac:dyDescent="0.25">
      <c r="C21676" s="49"/>
      <c r="D21676" s="49"/>
    </row>
    <row r="21730" spans="3:4" x14ac:dyDescent="0.25">
      <c r="C21730" s="49"/>
      <c r="D21730" s="49"/>
    </row>
    <row r="21811" spans="3:4" x14ac:dyDescent="0.25">
      <c r="C21811" s="49"/>
      <c r="D21811" s="49"/>
    </row>
    <row r="21813" spans="3:4" x14ac:dyDescent="0.25">
      <c r="C21813" s="49"/>
      <c r="D21813" s="49"/>
    </row>
    <row r="21865" spans="3:4" x14ac:dyDescent="0.25">
      <c r="C21865" s="49"/>
      <c r="D21865" s="49"/>
    </row>
    <row r="21914" spans="3:4" x14ac:dyDescent="0.25">
      <c r="C21914" s="49"/>
      <c r="D21914" s="49"/>
    </row>
    <row r="22019" spans="3:4" x14ac:dyDescent="0.25">
      <c r="C22019" s="49"/>
      <c r="D22019" s="49"/>
    </row>
    <row r="22054" spans="7:7" x14ac:dyDescent="0.25">
      <c r="G22054" s="50"/>
    </row>
    <row r="22103" spans="3:4" x14ac:dyDescent="0.25">
      <c r="C22103" s="49"/>
      <c r="D22103" s="49"/>
    </row>
    <row r="22110" spans="3:4" x14ac:dyDescent="0.25">
      <c r="C22110" s="49"/>
      <c r="D22110" s="49"/>
    </row>
    <row r="22132" spans="3:4" x14ac:dyDescent="0.25">
      <c r="C22132" s="49"/>
      <c r="D22132" s="49"/>
    </row>
    <row r="22140" spans="3:4" x14ac:dyDescent="0.25">
      <c r="C22140" s="49"/>
      <c r="D22140" s="49"/>
    </row>
    <row r="22172" spans="9:9" x14ac:dyDescent="0.25">
      <c r="I22172" s="50"/>
    </row>
    <row r="22173" spans="9:9" x14ac:dyDescent="0.25">
      <c r="I22173" s="50"/>
    </row>
    <row r="22174" spans="9:9" x14ac:dyDescent="0.25">
      <c r="I22174" s="50"/>
    </row>
    <row r="22175" spans="9:9" x14ac:dyDescent="0.25">
      <c r="I22175" s="50"/>
    </row>
    <row r="22176" spans="9:9" x14ac:dyDescent="0.25">
      <c r="I22176" s="50"/>
    </row>
    <row r="22177" spans="3:9" x14ac:dyDescent="0.25">
      <c r="I22177" s="50"/>
    </row>
    <row r="22179" spans="3:9" x14ac:dyDescent="0.25">
      <c r="C22179" s="49"/>
      <c r="D22179" s="49"/>
      <c r="I22179" s="50"/>
    </row>
    <row r="22180" spans="3:9" x14ac:dyDescent="0.25">
      <c r="I22180" s="50"/>
    </row>
    <row r="22182" spans="3:9" x14ac:dyDescent="0.25">
      <c r="I22182" s="50"/>
    </row>
    <row r="22183" spans="3:9" x14ac:dyDescent="0.25">
      <c r="I22183" s="50"/>
    </row>
    <row r="22184" spans="3:9" x14ac:dyDescent="0.25">
      <c r="I22184" s="50"/>
    </row>
    <row r="22185" spans="3:9" x14ac:dyDescent="0.25">
      <c r="I22185" s="50"/>
    </row>
    <row r="22186" spans="3:9" x14ac:dyDescent="0.25">
      <c r="I22186" s="50"/>
    </row>
    <row r="22187" spans="3:9" x14ac:dyDescent="0.25">
      <c r="I22187" s="50"/>
    </row>
    <row r="22189" spans="3:9" x14ac:dyDescent="0.25">
      <c r="I22189" s="50"/>
    </row>
    <row r="22198" spans="9:9" x14ac:dyDescent="0.25">
      <c r="I22198" s="50"/>
    </row>
    <row r="22200" spans="9:9" x14ac:dyDescent="0.25">
      <c r="I22200" s="50"/>
    </row>
    <row r="22201" spans="9:9" x14ac:dyDescent="0.25">
      <c r="I22201" s="50"/>
    </row>
    <row r="22202" spans="9:9" x14ac:dyDescent="0.25">
      <c r="I22202" s="50"/>
    </row>
    <row r="22203" spans="9:9" x14ac:dyDescent="0.25">
      <c r="I22203" s="50"/>
    </row>
    <row r="22205" spans="9:9" x14ac:dyDescent="0.25">
      <c r="I22205" s="50"/>
    </row>
    <row r="22207" spans="9:9" x14ac:dyDescent="0.25">
      <c r="I22207" s="50"/>
    </row>
    <row r="22209" spans="9:9" x14ac:dyDescent="0.25">
      <c r="I22209" s="50"/>
    </row>
    <row r="22210" spans="9:9" x14ac:dyDescent="0.25">
      <c r="I22210" s="50"/>
    </row>
    <row r="22211" spans="9:9" x14ac:dyDescent="0.25">
      <c r="I22211" s="50"/>
    </row>
    <row r="22212" spans="9:9" x14ac:dyDescent="0.25">
      <c r="I22212" s="50"/>
    </row>
    <row r="22213" spans="9:9" x14ac:dyDescent="0.25">
      <c r="I22213" s="50"/>
    </row>
    <row r="22214" spans="9:9" x14ac:dyDescent="0.25">
      <c r="I22214" s="50"/>
    </row>
    <row r="22216" spans="9:9" x14ac:dyDescent="0.25">
      <c r="I22216" s="50"/>
    </row>
    <row r="22217" spans="9:9" x14ac:dyDescent="0.25">
      <c r="I22217" s="50"/>
    </row>
    <row r="22219" spans="9:9" x14ac:dyDescent="0.25">
      <c r="I22219" s="50"/>
    </row>
    <row r="22220" spans="9:9" x14ac:dyDescent="0.25">
      <c r="I22220" s="50"/>
    </row>
    <row r="22221" spans="9:9" x14ac:dyDescent="0.25">
      <c r="I22221" s="50"/>
    </row>
    <row r="22223" spans="9:9" x14ac:dyDescent="0.25">
      <c r="I22223" s="50"/>
    </row>
    <row r="22224" spans="9:9" x14ac:dyDescent="0.25">
      <c r="I22224" s="50"/>
    </row>
    <row r="22225" spans="9:9" x14ac:dyDescent="0.25">
      <c r="I22225" s="50"/>
    </row>
    <row r="22227" spans="9:9" x14ac:dyDescent="0.25">
      <c r="I22227" s="50"/>
    </row>
    <row r="23387" spans="2:3" x14ac:dyDescent="0.25">
      <c r="B23387" s="49"/>
      <c r="C23387" s="49"/>
    </row>
    <row r="23388" spans="2:3" x14ac:dyDescent="0.25">
      <c r="B23388" s="49"/>
      <c r="C23388" s="49"/>
    </row>
    <row r="23392" spans="2:3" x14ac:dyDescent="0.25">
      <c r="B23392" s="49"/>
      <c r="C23392" s="49"/>
    </row>
    <row r="23397" spans="2:3" x14ac:dyDescent="0.25">
      <c r="B23397" s="49"/>
      <c r="C23397" s="49"/>
    </row>
    <row r="23424" spans="2:3" x14ac:dyDescent="0.25">
      <c r="B23424" s="49"/>
      <c r="C23424" s="49"/>
    </row>
    <row r="23491" spans="2:3" x14ac:dyDescent="0.25">
      <c r="B23491" s="49"/>
      <c r="C23491" s="49"/>
    </row>
    <row r="23492" spans="2:3" x14ac:dyDescent="0.25">
      <c r="B23492" s="49"/>
      <c r="C23492" s="49"/>
    </row>
    <row r="23532" spans="2:3" x14ac:dyDescent="0.25">
      <c r="B23532" s="49"/>
      <c r="C23532" s="49"/>
    </row>
    <row r="23563" spans="2:3" x14ac:dyDescent="0.25">
      <c r="B23563" s="49"/>
      <c r="C23563" s="49"/>
    </row>
    <row r="23567" spans="2:3" x14ac:dyDescent="0.25">
      <c r="B23567" s="49"/>
      <c r="C23567" s="49"/>
    </row>
    <row r="23584" spans="2:3" x14ac:dyDescent="0.25">
      <c r="B23584" s="49"/>
      <c r="C23584" s="49"/>
    </row>
    <row r="23590" spans="2:3" x14ac:dyDescent="0.25">
      <c r="B23590" s="49"/>
      <c r="C23590" s="49"/>
    </row>
    <row r="23634" spans="2:3" x14ac:dyDescent="0.25">
      <c r="B23634" s="49"/>
      <c r="C23634" s="49"/>
    </row>
    <row r="23636" spans="2:3" x14ac:dyDescent="0.25">
      <c r="B23636" s="49"/>
      <c r="C23636" s="49"/>
    </row>
    <row r="23792" spans="2:3" x14ac:dyDescent="0.25">
      <c r="B23792" s="49"/>
      <c r="C23792" s="49"/>
    </row>
    <row r="23807" spans="2:3" x14ac:dyDescent="0.25">
      <c r="B23807" s="49"/>
      <c r="C23807" s="49"/>
    </row>
    <row r="23831" spans="2:3" x14ac:dyDescent="0.25">
      <c r="B23831" s="49"/>
      <c r="C23831" s="49"/>
    </row>
    <row r="23852" spans="2:3" x14ac:dyDescent="0.25">
      <c r="B23852" s="49"/>
      <c r="C23852" s="49"/>
    </row>
    <row r="23863" spans="2:3" x14ac:dyDescent="0.25">
      <c r="B23863" s="49"/>
      <c r="C23863" s="49"/>
    </row>
    <row r="23891" spans="2:3" x14ac:dyDescent="0.25">
      <c r="B23891" s="49"/>
      <c r="C23891" s="49"/>
    </row>
    <row r="23895" spans="2:3" x14ac:dyDescent="0.25">
      <c r="B23895" s="49"/>
      <c r="C23895" s="49"/>
    </row>
    <row r="23935" spans="2:3" x14ac:dyDescent="0.25">
      <c r="B23935" s="49"/>
      <c r="C23935" s="49"/>
    </row>
    <row r="23937" spans="2:3" x14ac:dyDescent="0.25">
      <c r="B23937" s="49"/>
      <c r="C23937" s="49"/>
    </row>
    <row r="23962" spans="2:3" x14ac:dyDescent="0.25">
      <c r="B23962" s="49"/>
      <c r="C23962" s="49"/>
    </row>
    <row r="23974" spans="2:11" x14ac:dyDescent="0.25">
      <c r="B23974" s="49"/>
      <c r="C23974" s="49"/>
    </row>
    <row r="23975" spans="2:11" x14ac:dyDescent="0.25">
      <c r="B23975" s="49"/>
      <c r="C23975" s="49"/>
    </row>
    <row r="23981" spans="2:11" x14ac:dyDescent="0.25">
      <c r="K23981" s="50"/>
    </row>
    <row r="23982" spans="2:11" x14ac:dyDescent="0.25">
      <c r="K23982" s="50"/>
    </row>
    <row r="23983" spans="2:11" x14ac:dyDescent="0.25">
      <c r="K23983" s="50"/>
    </row>
    <row r="23986" spans="11:11" x14ac:dyDescent="0.25">
      <c r="K23986" s="50"/>
    </row>
    <row r="23988" spans="11:11" x14ac:dyDescent="0.25">
      <c r="K23988" s="50"/>
    </row>
    <row r="23989" spans="11:11" x14ac:dyDescent="0.25">
      <c r="K23989" s="50"/>
    </row>
    <row r="23990" spans="11:11" x14ac:dyDescent="0.25">
      <c r="K23990" s="50"/>
    </row>
    <row r="23991" spans="11:11" x14ac:dyDescent="0.25">
      <c r="K23991" s="50"/>
    </row>
    <row r="24080" spans="2:3" x14ac:dyDescent="0.25">
      <c r="B24080" s="49"/>
      <c r="C24080" s="49"/>
    </row>
    <row r="24132" spans="2:3" x14ac:dyDescent="0.25">
      <c r="B24132" s="49"/>
      <c r="C24132" s="49"/>
    </row>
    <row r="24158" spans="2:3" x14ac:dyDescent="0.25">
      <c r="B24158" s="49"/>
      <c r="C24158" s="49"/>
    </row>
    <row r="24199" spans="2:3" x14ac:dyDescent="0.25">
      <c r="B24199" s="49"/>
      <c r="C24199" s="49"/>
    </row>
    <row r="24271" spans="2:3" x14ac:dyDescent="0.25">
      <c r="B24271" s="49"/>
      <c r="C24271" s="49"/>
    </row>
    <row r="24272" spans="2:3" x14ac:dyDescent="0.25">
      <c r="B24272" s="49"/>
      <c r="C24272" s="49"/>
    </row>
    <row r="24331" spans="2:3" x14ac:dyDescent="0.25">
      <c r="B24331" s="49"/>
      <c r="C24331" s="49"/>
    </row>
    <row r="24367" spans="2:3" x14ac:dyDescent="0.25">
      <c r="B24367" s="49"/>
      <c r="C24367" s="49"/>
    </row>
    <row r="24368" spans="2:3" x14ac:dyDescent="0.25">
      <c r="B24368" s="49"/>
      <c r="C24368" s="49"/>
    </row>
    <row r="24370" spans="2:3" x14ac:dyDescent="0.25">
      <c r="B24370" s="49"/>
      <c r="C24370" s="49"/>
    </row>
    <row r="24371" spans="2:3" x14ac:dyDescent="0.25">
      <c r="B24371" s="49"/>
      <c r="C24371" s="49"/>
    </row>
    <row r="24372" spans="2:3" x14ac:dyDescent="0.25">
      <c r="B24372" s="49"/>
      <c r="C24372" s="49"/>
    </row>
    <row r="24397" spans="2:3" x14ac:dyDescent="0.25">
      <c r="B24397" s="49"/>
      <c r="C24397" s="49"/>
    </row>
    <row r="24448" spans="2:3" x14ac:dyDescent="0.25">
      <c r="B24448" s="49"/>
      <c r="C24448" s="49"/>
    </row>
    <row r="24455" spans="2:3" x14ac:dyDescent="0.25">
      <c r="B24455" s="49"/>
      <c r="C24455" s="49"/>
    </row>
    <row r="24466" spans="2:3" x14ac:dyDescent="0.25">
      <c r="B24466" s="49"/>
      <c r="C24466" s="49"/>
    </row>
    <row r="24519" spans="2:3" x14ac:dyDescent="0.25">
      <c r="B24519" s="49"/>
      <c r="C24519" s="49"/>
    </row>
    <row r="24552" spans="2:3" x14ac:dyDescent="0.25">
      <c r="B24552" s="49"/>
      <c r="C24552" s="49"/>
    </row>
    <row r="24589" spans="2:3" x14ac:dyDescent="0.25">
      <c r="B24589" s="49"/>
      <c r="C24589" s="49"/>
    </row>
    <row r="24640" spans="2:3" x14ac:dyDescent="0.25">
      <c r="B24640" s="49"/>
      <c r="C24640" s="49"/>
    </row>
    <row r="24681" spans="2:3" x14ac:dyDescent="0.25">
      <c r="B24681" s="49"/>
      <c r="C24681" s="49"/>
    </row>
    <row r="24683" spans="2:3" x14ac:dyDescent="0.25">
      <c r="B24683" s="49"/>
      <c r="C24683" s="49"/>
    </row>
    <row r="24724" spans="2:3" x14ac:dyDescent="0.25">
      <c r="B24724" s="49"/>
      <c r="C24724" s="49"/>
    </row>
    <row r="24749" spans="2:3" x14ac:dyDescent="0.25">
      <c r="B24749" s="49"/>
      <c r="C24749" s="49"/>
    </row>
    <row r="25395" spans="8:8" x14ac:dyDescent="0.25">
      <c r="H25395" s="51"/>
    </row>
    <row r="25396" spans="8:8" x14ac:dyDescent="0.25">
      <c r="H25396" s="51"/>
    </row>
    <row r="25397" spans="8:8" x14ac:dyDescent="0.25">
      <c r="H25397" s="51"/>
    </row>
    <row r="25398" spans="8:8" x14ac:dyDescent="0.25">
      <c r="H25398" s="51"/>
    </row>
    <row r="25399" spans="8:8" x14ac:dyDescent="0.25">
      <c r="H25399" s="51"/>
    </row>
    <row r="25401" spans="8:8" x14ac:dyDescent="0.25">
      <c r="H25401" s="51"/>
    </row>
    <row r="25860" spans="2:3" x14ac:dyDescent="0.25">
      <c r="B25860" s="49"/>
      <c r="C25860" s="49"/>
    </row>
    <row r="25899" spans="2:3" x14ac:dyDescent="0.25">
      <c r="B25899" s="49"/>
      <c r="C25899" s="49"/>
    </row>
    <row r="25902" spans="2:3" x14ac:dyDescent="0.25">
      <c r="B25902" s="49"/>
      <c r="C25902" s="49"/>
    </row>
    <row r="25935" spans="2:3" x14ac:dyDescent="0.25">
      <c r="B25935" s="49"/>
      <c r="C25935" s="49"/>
    </row>
    <row r="25980" spans="2:3" x14ac:dyDescent="0.25">
      <c r="B25980" s="49"/>
      <c r="C25980" s="49"/>
    </row>
    <row r="26000" spans="2:3" x14ac:dyDescent="0.25">
      <c r="B26000" s="49"/>
      <c r="C26000" s="49"/>
    </row>
    <row r="26047" spans="2:3" x14ac:dyDescent="0.25">
      <c r="B26047" s="49"/>
      <c r="C26047" s="49"/>
    </row>
    <row r="26071" spans="2:3" x14ac:dyDescent="0.25">
      <c r="B26071" s="49"/>
      <c r="C26071" s="49"/>
    </row>
    <row r="26072" spans="2:3" x14ac:dyDescent="0.25">
      <c r="B26072" s="49"/>
      <c r="C26072" s="49"/>
    </row>
    <row r="26100" spans="2:3" x14ac:dyDescent="0.25">
      <c r="B26100" s="49"/>
      <c r="C26100" s="49"/>
    </row>
    <row r="26211" spans="2:3" x14ac:dyDescent="0.25">
      <c r="B26211" s="49"/>
      <c r="C26211" s="49"/>
    </row>
    <row r="26213" spans="2:3" x14ac:dyDescent="0.25">
      <c r="B26213" s="49"/>
      <c r="C26213" s="49"/>
    </row>
    <row r="26214" spans="2:3" x14ac:dyDescent="0.25">
      <c r="B26214" s="49"/>
      <c r="C26214" s="49"/>
    </row>
    <row r="26285" spans="2:3" x14ac:dyDescent="0.25">
      <c r="B26285" s="49"/>
      <c r="C26285" s="49"/>
    </row>
    <row r="26321" spans="2:3" x14ac:dyDescent="0.25">
      <c r="B26321" s="49"/>
      <c r="C26321" s="49"/>
    </row>
    <row r="26361" spans="2:3" x14ac:dyDescent="0.25">
      <c r="B26361" s="49"/>
      <c r="C26361" s="49"/>
    </row>
    <row r="26363" spans="2:3" x14ac:dyDescent="0.25">
      <c r="B26363" s="49"/>
      <c r="C26363" s="49"/>
    </row>
    <row r="26365" spans="2:3" x14ac:dyDescent="0.25">
      <c r="B26365" s="49"/>
      <c r="C26365" s="49"/>
    </row>
    <row r="26434" spans="2:3" x14ac:dyDescent="0.25">
      <c r="B26434" s="49"/>
      <c r="C26434" s="49"/>
    </row>
    <row r="26503" spans="2:3" x14ac:dyDescent="0.25">
      <c r="B26503" s="49"/>
      <c r="C26503" s="49"/>
    </row>
    <row r="26541" spans="2:3" x14ac:dyDescent="0.25">
      <c r="B26541" s="49"/>
      <c r="C26541" s="49"/>
    </row>
    <row r="26573" spans="2:3" x14ac:dyDescent="0.25">
      <c r="B26573" s="49"/>
      <c r="C26573" s="49"/>
    </row>
    <row r="26632" spans="2:3" x14ac:dyDescent="0.25">
      <c r="B26632" s="49"/>
      <c r="C26632" s="49"/>
    </row>
    <row r="26633" spans="2:3" x14ac:dyDescent="0.25">
      <c r="B26633" s="49"/>
      <c r="C26633" s="49"/>
    </row>
    <row r="26672" spans="2:3" x14ac:dyDescent="0.25">
      <c r="B26672" s="49"/>
      <c r="C26672" s="49"/>
    </row>
    <row r="26693" spans="2:3" x14ac:dyDescent="0.25">
      <c r="B26693" s="49"/>
      <c r="C26693" s="49"/>
    </row>
    <row r="26702" spans="2:3" x14ac:dyDescent="0.25">
      <c r="B26702" s="49"/>
      <c r="C26702" s="49"/>
    </row>
    <row r="26722" spans="2:3" x14ac:dyDescent="0.25">
      <c r="B26722" s="49"/>
      <c r="C26722" s="49"/>
    </row>
    <row r="26729" spans="2:3" x14ac:dyDescent="0.25">
      <c r="B26729" s="49"/>
      <c r="C26729" s="49"/>
    </row>
    <row r="26736" spans="2:3" x14ac:dyDescent="0.25">
      <c r="B26736" s="49"/>
      <c r="C26736" s="49"/>
    </row>
    <row r="26750" spans="2:3" x14ac:dyDescent="0.25">
      <c r="B26750" s="49"/>
      <c r="C26750" s="49"/>
    </row>
    <row r="26796" spans="2:3" x14ac:dyDescent="0.25">
      <c r="B26796" s="49"/>
      <c r="C26796" s="49"/>
    </row>
    <row r="26832" spans="2:3" x14ac:dyDescent="0.25">
      <c r="B26832" s="49"/>
      <c r="C26832" s="49"/>
    </row>
    <row r="26875" spans="2:3" x14ac:dyDescent="0.25">
      <c r="B26875" s="49"/>
      <c r="C26875" s="49"/>
    </row>
    <row r="26892" spans="2:3" x14ac:dyDescent="0.25">
      <c r="B26892" s="49"/>
      <c r="C26892" s="49"/>
    </row>
    <row r="26942" spans="2:3" x14ac:dyDescent="0.25">
      <c r="B26942" s="49"/>
      <c r="C26942" s="49"/>
    </row>
    <row r="26944" spans="2:3" x14ac:dyDescent="0.25">
      <c r="B26944" s="49"/>
      <c r="C26944" s="49"/>
    </row>
    <row r="26946" spans="2:3" x14ac:dyDescent="0.25">
      <c r="B26946" s="49"/>
      <c r="C26946" s="49"/>
    </row>
    <row r="26948" spans="2:3" x14ac:dyDescent="0.25">
      <c r="B26948" s="49"/>
      <c r="C26948" s="49"/>
    </row>
    <row r="26949" spans="2:3" x14ac:dyDescent="0.25">
      <c r="B26949" s="49"/>
      <c r="C26949" s="49"/>
    </row>
    <row r="27017" spans="2:3" x14ac:dyDescent="0.25">
      <c r="B27017" s="49"/>
      <c r="C27017" s="49"/>
    </row>
    <row r="27023" spans="2:3" x14ac:dyDescent="0.25">
      <c r="B27023" s="49"/>
      <c r="C27023" s="49"/>
    </row>
    <row r="27037" spans="2:3" x14ac:dyDescent="0.25">
      <c r="B27037" s="49"/>
      <c r="C27037" s="49"/>
    </row>
    <row r="27059" spans="2:3" x14ac:dyDescent="0.25">
      <c r="B27059" s="49"/>
      <c r="C27059" s="49"/>
    </row>
    <row r="27093" spans="2:3" x14ac:dyDescent="0.25">
      <c r="B27093" s="49"/>
      <c r="C27093" s="49"/>
    </row>
    <row r="27232" spans="2:3" x14ac:dyDescent="0.25">
      <c r="B27232" s="49"/>
      <c r="C27232" s="49"/>
    </row>
    <row r="27234" spans="2:3" x14ac:dyDescent="0.25">
      <c r="B27234" s="49"/>
      <c r="C27234" s="49"/>
    </row>
    <row r="27235" spans="2:3" x14ac:dyDescent="0.25">
      <c r="B27235" s="49"/>
      <c r="C27235" s="49"/>
    </row>
    <row r="28239" spans="2:3" x14ac:dyDescent="0.25">
      <c r="B28239" s="49"/>
      <c r="C28239" s="49"/>
    </row>
    <row r="28259" spans="2:3" x14ac:dyDescent="0.25">
      <c r="B28259" s="49"/>
      <c r="C28259" s="49"/>
    </row>
    <row r="28262" spans="2:3" x14ac:dyDescent="0.25">
      <c r="B28262" s="49"/>
      <c r="C28262" s="49"/>
    </row>
    <row r="28328" spans="2:3" x14ac:dyDescent="0.25">
      <c r="B28328" s="49"/>
      <c r="C28328" s="49"/>
    </row>
    <row r="28332" spans="2:3" x14ac:dyDescent="0.25">
      <c r="B28332" s="49"/>
      <c r="C28332" s="49"/>
    </row>
    <row r="28334" spans="2:3" x14ac:dyDescent="0.25">
      <c r="B28334" s="49"/>
      <c r="C28334" s="49"/>
    </row>
    <row r="28356" spans="2:3" x14ac:dyDescent="0.25">
      <c r="B28356" s="49"/>
      <c r="C28356" s="49"/>
    </row>
    <row r="28377" spans="2:3" x14ac:dyDescent="0.25">
      <c r="B28377" s="49"/>
      <c r="C28377" s="49"/>
    </row>
    <row r="28531" spans="2:3" x14ac:dyDescent="0.25">
      <c r="B28531" s="49"/>
      <c r="C28531" s="49"/>
    </row>
    <row r="28532" spans="2:3" x14ac:dyDescent="0.25">
      <c r="B28532" s="49"/>
      <c r="C28532" s="49"/>
    </row>
    <row r="28534" spans="2:3" x14ac:dyDescent="0.25">
      <c r="B28534" s="49"/>
      <c r="C28534" s="49"/>
    </row>
    <row r="28573" spans="2:3" x14ac:dyDescent="0.25">
      <c r="B28573" s="49"/>
      <c r="C28573" s="49"/>
    </row>
    <row r="28584" spans="2:3" x14ac:dyDescent="0.25">
      <c r="B28584" s="49"/>
      <c r="C28584" s="49"/>
    </row>
    <row r="28609" spans="2:3" x14ac:dyDescent="0.25">
      <c r="B28609" s="49"/>
      <c r="C28609" s="49"/>
    </row>
    <row r="28613" spans="2:3" x14ac:dyDescent="0.25">
      <c r="B28613" s="49"/>
      <c r="C28613" s="49"/>
    </row>
    <row r="28699" spans="2:3" x14ac:dyDescent="0.25">
      <c r="B28699" s="49"/>
      <c r="C28699" s="49"/>
    </row>
    <row r="28805" spans="2:3" x14ac:dyDescent="0.25">
      <c r="B28805" s="49"/>
      <c r="C28805" s="49"/>
    </row>
    <row r="28889" spans="2:3" x14ac:dyDescent="0.25">
      <c r="B28889" s="49"/>
      <c r="C28889" s="49"/>
    </row>
    <row r="28890" spans="2:3" x14ac:dyDescent="0.25">
      <c r="B28890" s="49"/>
      <c r="C28890" s="49"/>
    </row>
    <row r="28892" spans="2:3" x14ac:dyDescent="0.25">
      <c r="B28892" s="49"/>
      <c r="C28892" s="49"/>
    </row>
    <row r="28893" spans="2:3" x14ac:dyDescent="0.25">
      <c r="B28893" s="49"/>
      <c r="C28893" s="49"/>
    </row>
    <row r="28932" spans="2:3" x14ac:dyDescent="0.25">
      <c r="B28932" s="49"/>
      <c r="C28932" s="49"/>
    </row>
    <row r="28937" spans="2:3" x14ac:dyDescent="0.25">
      <c r="B28937" s="49"/>
      <c r="C28937" s="49"/>
    </row>
    <row r="28998" spans="2:3" x14ac:dyDescent="0.25">
      <c r="B28998" s="49"/>
      <c r="C28998" s="49"/>
    </row>
    <row r="29214" spans="2:3" x14ac:dyDescent="0.25">
      <c r="B29214" s="49"/>
      <c r="C29214" s="49"/>
    </row>
    <row r="29257" spans="2:3" x14ac:dyDescent="0.25">
      <c r="B29257" s="49"/>
      <c r="C29257" s="49"/>
    </row>
    <row r="29260" spans="2:3" x14ac:dyDescent="0.25">
      <c r="B29260" s="49"/>
      <c r="C29260" s="49"/>
    </row>
    <row r="29368" spans="2:3" x14ac:dyDescent="0.25">
      <c r="B29368" s="49"/>
      <c r="C29368" s="49"/>
    </row>
    <row r="29461" spans="2:3" x14ac:dyDescent="0.25">
      <c r="B29461" s="49"/>
      <c r="C29461" s="49"/>
    </row>
    <row r="29462" spans="2:3" x14ac:dyDescent="0.25">
      <c r="B29462" s="49"/>
      <c r="C29462" s="49"/>
    </row>
    <row r="29463" spans="2:3" x14ac:dyDescent="0.25">
      <c r="B29463" s="49"/>
      <c r="C29463" s="49"/>
    </row>
    <row r="29501" spans="2:3" x14ac:dyDescent="0.25">
      <c r="B29501" s="49"/>
      <c r="C29501" s="49"/>
    </row>
    <row r="29506" spans="2:3" x14ac:dyDescent="0.25">
      <c r="B29506" s="49"/>
      <c r="C29506" s="49"/>
    </row>
    <row r="29552" spans="2:3" x14ac:dyDescent="0.25">
      <c r="B29552" s="49"/>
      <c r="C29552" s="49"/>
    </row>
    <row r="29647" spans="2:3" x14ac:dyDescent="0.25">
      <c r="B29647" s="49"/>
      <c r="C29647" s="49"/>
    </row>
    <row r="29649" spans="2:3" x14ac:dyDescent="0.25">
      <c r="B29649" s="49"/>
      <c r="C29649" s="49"/>
    </row>
    <row r="29679" spans="2:3" x14ac:dyDescent="0.25">
      <c r="B29679" s="49"/>
      <c r="C29679" s="49"/>
    </row>
    <row r="29684" spans="2:3" x14ac:dyDescent="0.25">
      <c r="B29684" s="49"/>
      <c r="C29684" s="49"/>
    </row>
    <row r="29845" spans="2:3" x14ac:dyDescent="0.25">
      <c r="B29845" s="49"/>
      <c r="C29845" s="49"/>
    </row>
    <row r="29851" spans="2:3" x14ac:dyDescent="0.25">
      <c r="B29851" s="49"/>
      <c r="C29851" s="49"/>
    </row>
    <row r="29885" spans="2:3" x14ac:dyDescent="0.25">
      <c r="B29885" s="49"/>
      <c r="C29885" s="49"/>
    </row>
    <row r="29919" spans="2:3" x14ac:dyDescent="0.25">
      <c r="B29919" s="49"/>
      <c r="C29919" s="49"/>
    </row>
    <row r="29934" spans="2:3" x14ac:dyDescent="0.25">
      <c r="B29934" s="49"/>
      <c r="C29934" s="49"/>
    </row>
    <row r="29945" spans="2:3" x14ac:dyDescent="0.25">
      <c r="B29945" s="49"/>
      <c r="C29945" s="49"/>
    </row>
    <row r="30032" spans="2:3" x14ac:dyDescent="0.25">
      <c r="B30032" s="49"/>
      <c r="C30032" s="49"/>
    </row>
    <row r="30034" spans="2:3" x14ac:dyDescent="0.25">
      <c r="B30034" s="49"/>
      <c r="C30034" s="49"/>
    </row>
    <row r="30039" spans="2:3" x14ac:dyDescent="0.25">
      <c r="B30039" s="49"/>
      <c r="C30039" s="49"/>
    </row>
    <row r="35338" spans="7:7" x14ac:dyDescent="0.25">
      <c r="G35338" s="50"/>
    </row>
    <row r="42920" spans="5:5" x14ac:dyDescent="0.25">
      <c r="E42920" s="49"/>
    </row>
    <row r="42948" spans="5:5" x14ac:dyDescent="0.25">
      <c r="E42948" s="49"/>
    </row>
    <row r="42969" spans="5:5" x14ac:dyDescent="0.25">
      <c r="E42969" s="49"/>
    </row>
    <row r="42982" spans="5:5" x14ac:dyDescent="0.25">
      <c r="E42982" s="49"/>
    </row>
    <row r="43026" spans="5:5" x14ac:dyDescent="0.25">
      <c r="E43026" s="49"/>
    </row>
    <row r="43221" spans="5:5" x14ac:dyDescent="0.25">
      <c r="E43221" s="49"/>
    </row>
    <row r="43242" spans="5:5" x14ac:dyDescent="0.25">
      <c r="E43242" s="49"/>
    </row>
    <row r="43275" spans="5:5" x14ac:dyDescent="0.25">
      <c r="E43275" s="49"/>
    </row>
    <row r="43295" spans="5:5" x14ac:dyDescent="0.25">
      <c r="E43295" s="49"/>
    </row>
    <row r="43300" spans="5:5" x14ac:dyDescent="0.25">
      <c r="E43300" s="49"/>
    </row>
    <row r="43307" spans="5:5" x14ac:dyDescent="0.25">
      <c r="E43307" s="49"/>
    </row>
    <row r="43323" spans="5:5" x14ac:dyDescent="0.25">
      <c r="E43323" s="49"/>
    </row>
    <row r="43480" spans="5:5" x14ac:dyDescent="0.25">
      <c r="E43480" s="49"/>
    </row>
    <row r="43525" spans="5:5" x14ac:dyDescent="0.25">
      <c r="E43525" s="49"/>
    </row>
    <row r="43531" spans="5:5" x14ac:dyDescent="0.25">
      <c r="E43531" s="49"/>
    </row>
    <row r="43542" spans="5:5" x14ac:dyDescent="0.25">
      <c r="E43542" s="49"/>
    </row>
    <row r="43616" spans="5:5" x14ac:dyDescent="0.25">
      <c r="E43616" s="49"/>
    </row>
    <row r="43681" spans="5:5" x14ac:dyDescent="0.25">
      <c r="E43681" s="49"/>
    </row>
    <row r="43705" spans="5:5" x14ac:dyDescent="0.25">
      <c r="E43705" s="49"/>
    </row>
    <row r="43735" spans="5:5" x14ac:dyDescent="0.25">
      <c r="E43735" s="49"/>
    </row>
    <row r="43951" spans="5:5" x14ac:dyDescent="0.25">
      <c r="E43951" s="49"/>
    </row>
    <row r="43952" spans="5:5" x14ac:dyDescent="0.25">
      <c r="E43952" s="49"/>
    </row>
    <row r="44018" spans="5:5" x14ac:dyDescent="0.25">
      <c r="E44018" s="49"/>
    </row>
    <row r="44022" spans="5:5" x14ac:dyDescent="0.25">
      <c r="E44022" s="49"/>
    </row>
    <row r="44026" spans="5:5" x14ac:dyDescent="0.25">
      <c r="E44026" s="49"/>
    </row>
    <row r="44041" spans="5:5" x14ac:dyDescent="0.25">
      <c r="E44041" s="49"/>
    </row>
    <row r="44072" spans="5:5" x14ac:dyDescent="0.25">
      <c r="E44072" s="49"/>
    </row>
    <row r="44290" spans="5:5" x14ac:dyDescent="0.25">
      <c r="E44290" s="49"/>
    </row>
    <row r="44340" spans="5:5" x14ac:dyDescent="0.25">
      <c r="E44340" s="49"/>
    </row>
    <row r="44480" spans="5:5" x14ac:dyDescent="0.25">
      <c r="E44480" s="49"/>
    </row>
    <row r="44500" spans="5:5" x14ac:dyDescent="0.25">
      <c r="E44500" s="49"/>
    </row>
    <row r="44588" spans="5:5" x14ac:dyDescent="0.25">
      <c r="E44588" s="49"/>
    </row>
    <row r="44637" spans="5:5" x14ac:dyDescent="0.25">
      <c r="E44637" s="49"/>
    </row>
    <row r="44638" spans="5:5" x14ac:dyDescent="0.25">
      <c r="E44638" s="49"/>
    </row>
    <row r="44679" spans="5:5" x14ac:dyDescent="0.25">
      <c r="E44679" s="49"/>
    </row>
    <row r="44689" spans="5:5" x14ac:dyDescent="0.25">
      <c r="E44689" s="49"/>
    </row>
    <row r="44876" spans="5:5" x14ac:dyDescent="0.25">
      <c r="E44876" s="49"/>
    </row>
    <row r="44884" spans="5:5" x14ac:dyDescent="0.25">
      <c r="E44884" s="49"/>
    </row>
    <row r="44915" spans="5:5" x14ac:dyDescent="0.25">
      <c r="E44915" s="49"/>
    </row>
    <row r="44935" spans="5:5" x14ac:dyDescent="0.25">
      <c r="E44935" s="49"/>
    </row>
    <row r="45017" spans="5:5" x14ac:dyDescent="0.25">
      <c r="E45017" s="49"/>
    </row>
    <row r="45018" spans="5:5" x14ac:dyDescent="0.25">
      <c r="E45018" s="49"/>
    </row>
    <row r="45040" spans="5:5" x14ac:dyDescent="0.25">
      <c r="E45040" s="49"/>
    </row>
    <row r="45066" spans="5:5" x14ac:dyDescent="0.25">
      <c r="E45066" s="49"/>
    </row>
    <row r="45083" spans="5:5" x14ac:dyDescent="0.25">
      <c r="E45083" s="49"/>
    </row>
    <row r="45108" spans="5:5" x14ac:dyDescent="0.25">
      <c r="E45108" s="49"/>
    </row>
    <row r="45273" spans="5:5" x14ac:dyDescent="0.25">
      <c r="E45273" s="49"/>
    </row>
    <row r="45298" spans="5:5" x14ac:dyDescent="0.25">
      <c r="E45298" s="49"/>
    </row>
    <row r="45301" spans="5:5" x14ac:dyDescent="0.25">
      <c r="E45301" s="49"/>
    </row>
    <row r="45332" spans="5:5" x14ac:dyDescent="0.25">
      <c r="E45332" s="49"/>
    </row>
    <row r="45395" spans="5:5" x14ac:dyDescent="0.25">
      <c r="E45395" s="49"/>
    </row>
    <row r="45509" spans="5:5" x14ac:dyDescent="0.25">
      <c r="E45509" s="49"/>
    </row>
    <row r="45530" spans="5:5" x14ac:dyDescent="0.25">
      <c r="E45530" s="49"/>
    </row>
    <row r="45605" spans="5:5" x14ac:dyDescent="0.25">
      <c r="E45605" s="49"/>
    </row>
    <row r="45606" spans="5:5" x14ac:dyDescent="0.25">
      <c r="E45606" s="49"/>
    </row>
    <row r="45783" spans="5:5" x14ac:dyDescent="0.25">
      <c r="E45783" s="49"/>
    </row>
    <row r="45801" spans="5:5" x14ac:dyDescent="0.25">
      <c r="E45801" s="49"/>
    </row>
    <row r="45813" spans="5:5" x14ac:dyDescent="0.25">
      <c r="E45813" s="49"/>
    </row>
    <row r="45891" spans="5:5" x14ac:dyDescent="0.25">
      <c r="E45891" s="49"/>
    </row>
    <row r="45901" spans="5:5" x14ac:dyDescent="0.25">
      <c r="E45901" s="49"/>
    </row>
    <row r="45904" spans="5:5" x14ac:dyDescent="0.25">
      <c r="E45904" s="49"/>
    </row>
    <row r="45921" spans="5:5" x14ac:dyDescent="0.25">
      <c r="E45921" s="49"/>
    </row>
    <row r="45948" spans="5:5" x14ac:dyDescent="0.25">
      <c r="E45948" s="49"/>
    </row>
    <row r="45959" spans="5:5" x14ac:dyDescent="0.25">
      <c r="E45959" s="49"/>
    </row>
    <row r="45971" spans="5:5" x14ac:dyDescent="0.25">
      <c r="E45971" s="49"/>
    </row>
    <row r="46155" spans="5:5" x14ac:dyDescent="0.25">
      <c r="E46155" s="49"/>
    </row>
    <row r="46230" spans="5:5" x14ac:dyDescent="0.25">
      <c r="E46230" s="49"/>
    </row>
    <row r="46242" spans="5:5" x14ac:dyDescent="0.25">
      <c r="E46242" s="49"/>
    </row>
    <row r="46251" spans="5:5" x14ac:dyDescent="0.25">
      <c r="E46251" s="49"/>
    </row>
    <row r="46267" spans="5:5" x14ac:dyDescent="0.25">
      <c r="E46267" s="49"/>
    </row>
    <row r="46356" spans="5:5" x14ac:dyDescent="0.25">
      <c r="E46356" s="49"/>
    </row>
    <row r="46380" spans="5:5" x14ac:dyDescent="0.25">
      <c r="E46380" s="49"/>
    </row>
    <row r="46638" spans="5:5" x14ac:dyDescent="0.25">
      <c r="E46638" s="49"/>
    </row>
    <row r="46650" spans="5:5" x14ac:dyDescent="0.25">
      <c r="E46650" s="49"/>
    </row>
    <row r="46661" spans="5:5" x14ac:dyDescent="0.25">
      <c r="E46661" s="49"/>
    </row>
    <row r="46684" spans="5:5" x14ac:dyDescent="0.25">
      <c r="E46684" s="49"/>
    </row>
    <row r="46685" spans="5:5" x14ac:dyDescent="0.25">
      <c r="E46685" s="49"/>
    </row>
    <row r="46687" spans="5:5" x14ac:dyDescent="0.25">
      <c r="E46687" s="49"/>
    </row>
    <row r="46690" spans="5:5" x14ac:dyDescent="0.25">
      <c r="E46690" s="49"/>
    </row>
    <row r="46696" spans="5:5" x14ac:dyDescent="0.25">
      <c r="E46696" s="49"/>
    </row>
    <row r="46718" spans="5:5" x14ac:dyDescent="0.25">
      <c r="E46718" s="49"/>
    </row>
    <row r="46721" spans="5:5" x14ac:dyDescent="0.25">
      <c r="E46721" s="49"/>
    </row>
    <row r="46746" spans="5:5" x14ac:dyDescent="0.25">
      <c r="E46746" s="49"/>
    </row>
    <row r="46758" spans="5:5" x14ac:dyDescent="0.25">
      <c r="E46758" s="49"/>
    </row>
    <row r="46759" spans="5:5" x14ac:dyDescent="0.25">
      <c r="E46759" s="49"/>
    </row>
    <row r="46813" spans="5:5" x14ac:dyDescent="0.25">
      <c r="E46813" s="49"/>
    </row>
    <row r="46858" spans="5:5" x14ac:dyDescent="0.25">
      <c r="E46858" s="49"/>
    </row>
    <row r="46859" spans="5:5" x14ac:dyDescent="0.25">
      <c r="E46859" s="49"/>
    </row>
    <row r="46862" spans="5:5" x14ac:dyDescent="0.25">
      <c r="E46862" s="49"/>
    </row>
    <row r="47058" spans="5:5" x14ac:dyDescent="0.25">
      <c r="E47058" s="49"/>
    </row>
    <row r="47070" spans="5:5" x14ac:dyDescent="0.25">
      <c r="E47070" s="49"/>
    </row>
    <row r="47091" spans="5:5" x14ac:dyDescent="0.25">
      <c r="E47091" s="49"/>
    </row>
    <row r="47095" spans="5:5" x14ac:dyDescent="0.25">
      <c r="E47095" s="49"/>
    </row>
    <row r="47103" spans="5:5" x14ac:dyDescent="0.25">
      <c r="E47103" s="49"/>
    </row>
    <row r="47135" spans="5:5" x14ac:dyDescent="0.25">
      <c r="E47135" s="49"/>
    </row>
    <row r="47136" spans="5:5" x14ac:dyDescent="0.25">
      <c r="E47136" s="49"/>
    </row>
    <row r="47147" spans="5:5" x14ac:dyDescent="0.25">
      <c r="E47147" s="49"/>
    </row>
    <row r="47160" spans="5:5" x14ac:dyDescent="0.25">
      <c r="E47160" s="49"/>
    </row>
    <row r="47277" spans="5:5" x14ac:dyDescent="0.25">
      <c r="E47277" s="49"/>
    </row>
    <row r="47286" spans="5:5" x14ac:dyDescent="0.25">
      <c r="E47286" s="49"/>
    </row>
    <row r="47293" spans="5:5" x14ac:dyDescent="0.25">
      <c r="E47293" s="49"/>
    </row>
    <row r="47558" spans="5:5" x14ac:dyDescent="0.25">
      <c r="E47558" s="49"/>
    </row>
    <row r="47646" spans="5:5" x14ac:dyDescent="0.25">
      <c r="E47646" s="49"/>
    </row>
    <row r="47650" spans="5:5" x14ac:dyDescent="0.25">
      <c r="E47650" s="49"/>
    </row>
    <row r="47652" spans="5:5" x14ac:dyDescent="0.25">
      <c r="E47652" s="49"/>
    </row>
    <row r="47687" spans="5:5" x14ac:dyDescent="0.25">
      <c r="E47687" s="49"/>
    </row>
    <row r="47751" spans="5:5" x14ac:dyDescent="0.25">
      <c r="E47751" s="49"/>
    </row>
    <row r="47772" spans="5:5" x14ac:dyDescent="0.25">
      <c r="E47772" s="49"/>
    </row>
    <row r="47825" spans="5:5" x14ac:dyDescent="0.25">
      <c r="E47825" s="49"/>
    </row>
    <row r="47858" spans="5:5" x14ac:dyDescent="0.25">
      <c r="E47858" s="49"/>
    </row>
    <row r="47863" spans="5:5" x14ac:dyDescent="0.25">
      <c r="E47863" s="49"/>
    </row>
    <row r="47897" spans="5:5" x14ac:dyDescent="0.25">
      <c r="E47897" s="49"/>
    </row>
    <row r="47979" spans="5:5" x14ac:dyDescent="0.25">
      <c r="E47979" s="49"/>
    </row>
    <row r="48292" spans="5:5" x14ac:dyDescent="0.25">
      <c r="E48292" s="49"/>
    </row>
    <row r="48341" spans="5:5" x14ac:dyDescent="0.25">
      <c r="E48341" s="49"/>
    </row>
    <row r="48342" spans="5:5" x14ac:dyDescent="0.25">
      <c r="E48342" s="49"/>
    </row>
    <row r="48343" spans="5:5" x14ac:dyDescent="0.25">
      <c r="E48343" s="49"/>
    </row>
    <row r="48400" spans="5:5" x14ac:dyDescent="0.25">
      <c r="E48400" s="49"/>
    </row>
    <row r="48431" spans="5:5" x14ac:dyDescent="0.25">
      <c r="E48431" s="49"/>
    </row>
    <row r="48543" spans="5:5" x14ac:dyDescent="0.25">
      <c r="E48543" s="49"/>
    </row>
    <row r="48565" spans="5:5" x14ac:dyDescent="0.25">
      <c r="E48565" s="49"/>
    </row>
    <row r="48759" spans="5:5" x14ac:dyDescent="0.25">
      <c r="E48759" s="49"/>
    </row>
    <row r="48773" spans="5:5" x14ac:dyDescent="0.25">
      <c r="E48773" s="49"/>
    </row>
    <row r="48833" spans="5:5" x14ac:dyDescent="0.25">
      <c r="E48833" s="49"/>
    </row>
    <row r="48895" spans="5:5" x14ac:dyDescent="0.25">
      <c r="E48895" s="49"/>
    </row>
    <row r="48937" spans="5:5" x14ac:dyDescent="0.25">
      <c r="E48937" s="49"/>
    </row>
    <row r="48961" spans="5:5" x14ac:dyDescent="0.25">
      <c r="E48961" s="49"/>
    </row>
    <row r="48988" spans="5:5" x14ac:dyDescent="0.25">
      <c r="E48988" s="49"/>
    </row>
    <row r="49020" spans="5:5" x14ac:dyDescent="0.25">
      <c r="E49020" s="49"/>
    </row>
    <row r="49243" spans="5:5" x14ac:dyDescent="0.25">
      <c r="E49243" s="49"/>
    </row>
    <row r="49289" spans="5:5" x14ac:dyDescent="0.25">
      <c r="E49289" s="49"/>
    </row>
    <row r="49383" spans="5:5" x14ac:dyDescent="0.25">
      <c r="E49383" s="49"/>
    </row>
    <row r="49388" spans="5:5" x14ac:dyDescent="0.25">
      <c r="E49388" s="49"/>
    </row>
    <row r="49411" spans="5:5" x14ac:dyDescent="0.25">
      <c r="E49411" s="49"/>
    </row>
    <row r="49417" spans="5:5" x14ac:dyDescent="0.25">
      <c r="E49417" s="49"/>
    </row>
    <row r="49448" spans="5:5" x14ac:dyDescent="0.25">
      <c r="E49448" s="49"/>
    </row>
    <row r="49469" spans="5:5" x14ac:dyDescent="0.25">
      <c r="E49469" s="49"/>
    </row>
    <row r="49470" spans="5:5" x14ac:dyDescent="0.25">
      <c r="E49470" s="49"/>
    </row>
    <row r="49473" spans="5:5" x14ac:dyDescent="0.25">
      <c r="E49473" s="49"/>
    </row>
    <row r="49491" spans="5:5" x14ac:dyDescent="0.25">
      <c r="E49491" s="49"/>
    </row>
    <row r="49693" spans="5:5" x14ac:dyDescent="0.25">
      <c r="E49693" s="49"/>
    </row>
    <row r="49711" spans="5:5" x14ac:dyDescent="0.25">
      <c r="E49711" s="49"/>
    </row>
    <row r="49725" spans="5:5" x14ac:dyDescent="0.25">
      <c r="E49725" s="49"/>
    </row>
    <row r="49779" spans="5:5" x14ac:dyDescent="0.25">
      <c r="E49779" s="49"/>
    </row>
    <row r="49824" spans="5:5" x14ac:dyDescent="0.25">
      <c r="E49824" s="49"/>
    </row>
    <row r="49861" spans="5:5" x14ac:dyDescent="0.25">
      <c r="E49861" s="49"/>
    </row>
    <row r="49932" spans="5:5" x14ac:dyDescent="0.25">
      <c r="E49932" s="49"/>
    </row>
    <row r="49948" spans="5:5" x14ac:dyDescent="0.25">
      <c r="E49948" s="49"/>
    </row>
    <row r="50162" spans="5:5" x14ac:dyDescent="0.25">
      <c r="E50162" s="49"/>
    </row>
    <row r="50263" spans="5:5" x14ac:dyDescent="0.25">
      <c r="E50263" s="49"/>
    </row>
    <row r="50276" spans="5:5" x14ac:dyDescent="0.25">
      <c r="E50276" s="49"/>
    </row>
    <row r="50303" spans="5:5" x14ac:dyDescent="0.25">
      <c r="E50303" s="49"/>
    </row>
    <row r="50306" spans="5:5" x14ac:dyDescent="0.25">
      <c r="E50306" s="49"/>
    </row>
    <row r="50353" spans="5:5" x14ac:dyDescent="0.25">
      <c r="E50353" s="49"/>
    </row>
    <row r="50357" spans="5:5" x14ac:dyDescent="0.25">
      <c r="E50357" s="49"/>
    </row>
    <row r="50386" spans="5:5" x14ac:dyDescent="0.25">
      <c r="E50386" s="49"/>
    </row>
    <row r="50427" spans="5:5" x14ac:dyDescent="0.25">
      <c r="E50427" s="49"/>
    </row>
    <row r="50435" spans="5:5" x14ac:dyDescent="0.25">
      <c r="E50435" s="49"/>
    </row>
    <row r="50456" spans="5:5" x14ac:dyDescent="0.25">
      <c r="E50456" s="49"/>
    </row>
    <row r="50467" spans="5:5" x14ac:dyDescent="0.25">
      <c r="E50467" s="49"/>
    </row>
    <row r="50800" spans="5:5" x14ac:dyDescent="0.25">
      <c r="E50800" s="49"/>
    </row>
    <row r="50810" spans="5:5" x14ac:dyDescent="0.25">
      <c r="E50810" s="49"/>
    </row>
    <row r="50822" spans="5:5" x14ac:dyDescent="0.25">
      <c r="E50822" s="49"/>
    </row>
    <row r="50839" spans="5:5" x14ac:dyDescent="0.25">
      <c r="E50839" s="49"/>
    </row>
    <row r="50847" spans="5:5" x14ac:dyDescent="0.25">
      <c r="E50847" s="49"/>
    </row>
    <row r="50875" spans="5:5" x14ac:dyDescent="0.25">
      <c r="E50875" s="49"/>
    </row>
    <row r="51104" spans="5:5" x14ac:dyDescent="0.25">
      <c r="E51104" s="49"/>
    </row>
    <row r="51105" spans="5:5" x14ac:dyDescent="0.25">
      <c r="E51105" s="49"/>
    </row>
    <row r="51106" spans="5:5" x14ac:dyDescent="0.25">
      <c r="E51106" s="49"/>
    </row>
    <row r="51109" spans="5:5" x14ac:dyDescent="0.25">
      <c r="E51109" s="49"/>
    </row>
    <row r="51152" spans="5:5" x14ac:dyDescent="0.25">
      <c r="E51152" s="49"/>
    </row>
    <row r="51154" spans="5:5" x14ac:dyDescent="0.25">
      <c r="E51154" s="49"/>
    </row>
    <row r="51158" spans="5:5" x14ac:dyDescent="0.25">
      <c r="E51158" s="49"/>
    </row>
    <row r="51167" spans="5:5" x14ac:dyDescent="0.25">
      <c r="E51167" s="49"/>
    </row>
    <row r="51184" spans="5:5" x14ac:dyDescent="0.25">
      <c r="E51184" s="49"/>
    </row>
    <row r="51189" spans="5:5" x14ac:dyDescent="0.25">
      <c r="E51189" s="49"/>
    </row>
    <row r="51207" spans="5:5" x14ac:dyDescent="0.25">
      <c r="E51207" s="49"/>
    </row>
    <row r="51273" spans="5:5" x14ac:dyDescent="0.25">
      <c r="E51273" s="49"/>
    </row>
    <row r="51275" spans="5:5" x14ac:dyDescent="0.25">
      <c r="E51275" s="49"/>
    </row>
    <row r="51355" spans="5:5" x14ac:dyDescent="0.25">
      <c r="E51355" s="49"/>
    </row>
    <row r="51365" spans="5:5" x14ac:dyDescent="0.25">
      <c r="E51365" s="49"/>
    </row>
    <row r="51579" spans="5:5" x14ac:dyDescent="0.25">
      <c r="E51579" s="49"/>
    </row>
    <row r="51589" spans="5:5" x14ac:dyDescent="0.25">
      <c r="E51589" s="49"/>
    </row>
    <row r="51625" spans="5:5" x14ac:dyDescent="0.25">
      <c r="E51625" s="49"/>
    </row>
    <row r="51665" spans="5:5" x14ac:dyDescent="0.25">
      <c r="E51665" s="49"/>
    </row>
    <row r="51711" spans="5:5" x14ac:dyDescent="0.25">
      <c r="E51711" s="49"/>
    </row>
    <row r="51749" spans="5:5" x14ac:dyDescent="0.25">
      <c r="E51749" s="49"/>
    </row>
    <row r="51764" spans="5:5" x14ac:dyDescent="0.25">
      <c r="E51764" s="49"/>
    </row>
    <row r="51882" spans="5:5" x14ac:dyDescent="0.25">
      <c r="E51882" s="49"/>
    </row>
    <row r="51907" spans="5:5" x14ac:dyDescent="0.25">
      <c r="E51907" s="49"/>
    </row>
    <row r="51965" spans="5:5" x14ac:dyDescent="0.25">
      <c r="E51965" s="49"/>
    </row>
    <row r="51975" spans="5:5" x14ac:dyDescent="0.25">
      <c r="E51975" s="49"/>
    </row>
    <row r="51987" spans="5:5" x14ac:dyDescent="0.25">
      <c r="E51987" s="49"/>
    </row>
    <row r="51995" spans="5:5" x14ac:dyDescent="0.25">
      <c r="E51995" s="49"/>
    </row>
    <row r="52325" spans="5:5" x14ac:dyDescent="0.25">
      <c r="E52325" s="49"/>
    </row>
    <row r="52326" spans="5:5" x14ac:dyDescent="0.25">
      <c r="E52326" s="49"/>
    </row>
    <row r="52332" spans="5:5" x14ac:dyDescent="0.25">
      <c r="E52332" s="49"/>
    </row>
    <row r="52337" spans="5:5" x14ac:dyDescent="0.25">
      <c r="E52337" s="49"/>
    </row>
    <row r="52386" spans="5:5" x14ac:dyDescent="0.25">
      <c r="E52386" s="49"/>
    </row>
    <row r="52427" spans="5:5" x14ac:dyDescent="0.25">
      <c r="E52427" s="49"/>
    </row>
    <row r="52429" spans="5:5" x14ac:dyDescent="0.25">
      <c r="E52429" s="49"/>
    </row>
    <row r="52485" spans="5:5" x14ac:dyDescent="0.25">
      <c r="E52485" s="49"/>
    </row>
    <row r="52505" spans="5:5" x14ac:dyDescent="0.25">
      <c r="E52505" s="49"/>
    </row>
    <row r="52506" spans="5:5" x14ac:dyDescent="0.25">
      <c r="E52506" s="49"/>
    </row>
    <row r="52569" spans="5:5" x14ac:dyDescent="0.25">
      <c r="E52569" s="49"/>
    </row>
    <row r="52616" spans="5:5" x14ac:dyDescent="0.25">
      <c r="E52616" s="49"/>
    </row>
    <row r="52635" spans="5:5" x14ac:dyDescent="0.25">
      <c r="E52635" s="49"/>
    </row>
    <row r="52661" spans="5:5" x14ac:dyDescent="0.25">
      <c r="E52661" s="49"/>
    </row>
    <row r="52662" spans="5:5" x14ac:dyDescent="0.25">
      <c r="E52662" s="49"/>
    </row>
    <row r="52667" spans="5:5" x14ac:dyDescent="0.25">
      <c r="E52667" s="49"/>
    </row>
    <row r="52673" spans="5:5" x14ac:dyDescent="0.25">
      <c r="E52673" s="49"/>
    </row>
    <row r="52675" spans="5:5" x14ac:dyDescent="0.25">
      <c r="E52675" s="49"/>
    </row>
    <row r="53095" spans="5:5" x14ac:dyDescent="0.25">
      <c r="E53095" s="49"/>
    </row>
    <row r="53096" spans="5:5" x14ac:dyDescent="0.25">
      <c r="E53096" s="49"/>
    </row>
    <row r="53101" spans="5:5" x14ac:dyDescent="0.25">
      <c r="E53101" s="49"/>
    </row>
    <row r="53119" spans="5:5" x14ac:dyDescent="0.25">
      <c r="E53119" s="49"/>
    </row>
    <row r="53154" spans="5:5" x14ac:dyDescent="0.25">
      <c r="E53154" s="49"/>
    </row>
    <row r="53174" spans="5:5" x14ac:dyDescent="0.25">
      <c r="E53174" s="49"/>
    </row>
    <row r="53201" spans="5:5" x14ac:dyDescent="0.25">
      <c r="E53201" s="49"/>
    </row>
    <row r="53227" spans="5:5" x14ac:dyDescent="0.25">
      <c r="E53227" s="49"/>
    </row>
    <row r="53230" spans="5:5" x14ac:dyDescent="0.25">
      <c r="E53230" s="49"/>
    </row>
    <row r="53234" spans="5:5" x14ac:dyDescent="0.25">
      <c r="E53234" s="49"/>
    </row>
    <row r="53245" spans="5:5" x14ac:dyDescent="0.25">
      <c r="E53245" s="49"/>
    </row>
    <row r="53278" spans="5:5" x14ac:dyDescent="0.25">
      <c r="E53278" s="49"/>
    </row>
    <row r="53309" spans="5:5" x14ac:dyDescent="0.25">
      <c r="E53309" s="49"/>
    </row>
    <row r="53337" spans="5:5" x14ac:dyDescent="0.25">
      <c r="E53337" s="49"/>
    </row>
    <row r="53402" spans="5:5" x14ac:dyDescent="0.25">
      <c r="E53402" s="49"/>
    </row>
    <row r="53421" spans="5:5" x14ac:dyDescent="0.25">
      <c r="E53421" s="49"/>
    </row>
    <row r="53828" spans="5:5" x14ac:dyDescent="0.25">
      <c r="E53828" s="49"/>
    </row>
    <row r="53841" spans="5:5" x14ac:dyDescent="0.25">
      <c r="E53841" s="49"/>
    </row>
    <row r="53845" spans="5:5" x14ac:dyDescent="0.25">
      <c r="E53845" s="49"/>
    </row>
    <row r="53846" spans="5:5" x14ac:dyDescent="0.25">
      <c r="E53846" s="49"/>
    </row>
    <row r="53870" spans="5:5" x14ac:dyDescent="0.25">
      <c r="E53870" s="49"/>
    </row>
    <row r="53871" spans="5:5" x14ac:dyDescent="0.25">
      <c r="E53871" s="49"/>
    </row>
    <row r="53909" spans="5:5" x14ac:dyDescent="0.25">
      <c r="E53909" s="49"/>
    </row>
    <row r="53940" spans="5:5" x14ac:dyDescent="0.25">
      <c r="E53940" s="49"/>
    </row>
    <row r="53961" spans="5:5" x14ac:dyDescent="0.25">
      <c r="E53961" s="49"/>
    </row>
    <row r="54044" spans="5:5" x14ac:dyDescent="0.25">
      <c r="E54044" s="49"/>
    </row>
    <row r="54099" spans="5:5" x14ac:dyDescent="0.25">
      <c r="E54099" s="49"/>
    </row>
    <row r="54117" spans="5:5" x14ac:dyDescent="0.25">
      <c r="E54117" s="49"/>
    </row>
    <row r="54140" spans="5:5" x14ac:dyDescent="0.25">
      <c r="E54140" s="49"/>
    </row>
    <row r="54216" spans="5:5" x14ac:dyDescent="0.25">
      <c r="E54216" s="49"/>
    </row>
    <row r="54225" spans="5:5" x14ac:dyDescent="0.25">
      <c r="E54225" s="49"/>
    </row>
    <row r="54251" spans="5:5" x14ac:dyDescent="0.25">
      <c r="E54251" s="49"/>
    </row>
    <row r="54296" spans="5:5" x14ac:dyDescent="0.25">
      <c r="E54296" s="49"/>
    </row>
    <row r="54324" spans="5:5" x14ac:dyDescent="0.25">
      <c r="E54324" s="49"/>
    </row>
    <row r="54325" spans="5:5" x14ac:dyDescent="0.25">
      <c r="E54325" s="49"/>
    </row>
    <row r="54350" spans="5:5" x14ac:dyDescent="0.25">
      <c r="E54350" s="49"/>
    </row>
    <row r="54390" spans="5:5" x14ac:dyDescent="0.25">
      <c r="E54390" s="49"/>
    </row>
    <row r="54397" spans="5:5" x14ac:dyDescent="0.25">
      <c r="E54397" s="49"/>
    </row>
    <row r="54407" spans="5:5" x14ac:dyDescent="0.25">
      <c r="E54407" s="49"/>
    </row>
    <row r="54408" spans="5:5" x14ac:dyDescent="0.25">
      <c r="E54408" s="49"/>
    </row>
    <row r="54455" spans="5:5" x14ac:dyDescent="0.25">
      <c r="E54455" s="49"/>
    </row>
    <row r="54911" spans="5:5" x14ac:dyDescent="0.25">
      <c r="E54911" s="49"/>
    </row>
    <row r="54936" spans="5:5" x14ac:dyDescent="0.25">
      <c r="E54936" s="49"/>
    </row>
    <row r="54991" spans="5:5" x14ac:dyDescent="0.25">
      <c r="E54991" s="49"/>
    </row>
    <row r="55048" spans="5:5" x14ac:dyDescent="0.25">
      <c r="E55048" s="49"/>
    </row>
    <row r="55069" spans="5:5" x14ac:dyDescent="0.25">
      <c r="E55069" s="49"/>
    </row>
    <row r="55115" spans="5:5" x14ac:dyDescent="0.25">
      <c r="E55115" s="49"/>
    </row>
    <row r="55132" spans="5:5" x14ac:dyDescent="0.25">
      <c r="E55132" s="49"/>
    </row>
    <row r="55164" spans="5:5" x14ac:dyDescent="0.25">
      <c r="E55164" s="49"/>
    </row>
    <row r="55171" spans="5:5" x14ac:dyDescent="0.25">
      <c r="E55171" s="49"/>
    </row>
    <row r="55203" spans="5:5" x14ac:dyDescent="0.25">
      <c r="E55203" s="49"/>
    </row>
    <row r="55220" spans="5:5" x14ac:dyDescent="0.25">
      <c r="E55220" s="49"/>
    </row>
    <row r="55254" spans="5:5" x14ac:dyDescent="0.25">
      <c r="E55254" s="49"/>
    </row>
    <row r="55344" spans="5:5" x14ac:dyDescent="0.25">
      <c r="E55344" s="49"/>
    </row>
    <row r="55358" spans="5:5" x14ac:dyDescent="0.25">
      <c r="E55358" s="49"/>
    </row>
    <row r="55422" spans="5:5" x14ac:dyDescent="0.25">
      <c r="E55422" s="49"/>
    </row>
    <row r="55483" spans="5:5" x14ac:dyDescent="0.25">
      <c r="E55483" s="49"/>
    </row>
    <row r="55510" spans="5:5" x14ac:dyDescent="0.25">
      <c r="E55510" s="49"/>
    </row>
    <row r="55570" spans="5:5" x14ac:dyDescent="0.25">
      <c r="E55570" s="49"/>
    </row>
    <row r="55573" spans="5:5" x14ac:dyDescent="0.25">
      <c r="E55573" s="49"/>
    </row>
    <row r="56020" spans="5:5" x14ac:dyDescent="0.25">
      <c r="E56020" s="49"/>
    </row>
    <row r="56049" spans="5:5" x14ac:dyDescent="0.25">
      <c r="E56049" s="49"/>
    </row>
    <row r="56079" spans="5:5" x14ac:dyDescent="0.25">
      <c r="E56079" s="49"/>
    </row>
    <row r="56080" spans="5:5" x14ac:dyDescent="0.25">
      <c r="E56080" s="49"/>
    </row>
    <row r="56143" spans="5:5" x14ac:dyDescent="0.25">
      <c r="E56143" s="49"/>
    </row>
    <row r="56144" spans="5:5" x14ac:dyDescent="0.25">
      <c r="E56144" s="49"/>
    </row>
    <row r="56150" spans="5:5" x14ac:dyDescent="0.25">
      <c r="E56150" s="49"/>
    </row>
    <row r="56216" spans="5:5" x14ac:dyDescent="0.25">
      <c r="E56216" s="49"/>
    </row>
    <row r="56230" spans="5:5" x14ac:dyDescent="0.25">
      <c r="E56230" s="49"/>
    </row>
    <row r="56304" spans="5:5" x14ac:dyDescent="0.25">
      <c r="E56304" s="49"/>
    </row>
    <row r="56336" spans="5:5" x14ac:dyDescent="0.25">
      <c r="E56336" s="49"/>
    </row>
    <row r="56367" spans="5:5" x14ac:dyDescent="0.25">
      <c r="E56367" s="49"/>
    </row>
    <row r="56405" spans="5:5" x14ac:dyDescent="0.25">
      <c r="E56405" s="49"/>
    </row>
    <row r="56415" spans="5:5" x14ac:dyDescent="0.25">
      <c r="E56415" s="49"/>
    </row>
    <row r="56598" spans="5:5" x14ac:dyDescent="0.25">
      <c r="E56598" s="49"/>
    </row>
    <row r="56602" spans="5:5" x14ac:dyDescent="0.25">
      <c r="E56602" s="49"/>
    </row>
    <row r="56644" spans="5:5" x14ac:dyDescent="0.25">
      <c r="E56644" s="49"/>
    </row>
    <row r="56646" spans="5:5" x14ac:dyDescent="0.25">
      <c r="E56646" s="49"/>
    </row>
    <row r="56647" spans="5:5" x14ac:dyDescent="0.25">
      <c r="E56647" s="49"/>
    </row>
    <row r="57174" spans="5:5" x14ac:dyDescent="0.25">
      <c r="E57174" s="49"/>
    </row>
    <row r="57175" spans="5:5" x14ac:dyDescent="0.25">
      <c r="E57175" s="49"/>
    </row>
    <row r="57176" spans="5:5" x14ac:dyDescent="0.25">
      <c r="E57176" s="49"/>
    </row>
    <row r="57177" spans="5:5" x14ac:dyDescent="0.25">
      <c r="E57177" s="49"/>
    </row>
    <row r="57193" spans="5:5" x14ac:dyDescent="0.25">
      <c r="E57193" s="49"/>
    </row>
    <row r="57198" spans="5:5" x14ac:dyDescent="0.25">
      <c r="E57198" s="49"/>
    </row>
    <row r="57200" spans="5:5" x14ac:dyDescent="0.25">
      <c r="E57200" s="49"/>
    </row>
    <row r="57211" spans="5:5" x14ac:dyDescent="0.25">
      <c r="E57211" s="49"/>
    </row>
    <row r="57220" spans="5:5" x14ac:dyDescent="0.25">
      <c r="E57220" s="49"/>
    </row>
    <row r="57261" spans="5:5" x14ac:dyDescent="0.25">
      <c r="E57261" s="49"/>
    </row>
    <row r="57262" spans="5:5" x14ac:dyDescent="0.25">
      <c r="E57262" s="49"/>
    </row>
    <row r="57316" spans="5:5" x14ac:dyDescent="0.25">
      <c r="E57316" s="49"/>
    </row>
    <row r="57347" spans="5:5" x14ac:dyDescent="0.25">
      <c r="E57347" s="49"/>
    </row>
    <row r="57348" spans="5:5" x14ac:dyDescent="0.25">
      <c r="E57348" s="49"/>
    </row>
    <row r="57393" spans="5:5" x14ac:dyDescent="0.25">
      <c r="E57393" s="49"/>
    </row>
    <row r="57421" spans="5:5" x14ac:dyDescent="0.25">
      <c r="E57421" s="49"/>
    </row>
    <row r="57422" spans="5:5" x14ac:dyDescent="0.25">
      <c r="E57422" s="49"/>
    </row>
    <row r="57452" spans="5:5" x14ac:dyDescent="0.25">
      <c r="E57452" s="49"/>
    </row>
    <row r="57456" spans="5:5" x14ac:dyDescent="0.25">
      <c r="E57456" s="49"/>
    </row>
    <row r="57458" spans="5:5" x14ac:dyDescent="0.25">
      <c r="E57458" s="49"/>
    </row>
    <row r="57460" spans="5:5" x14ac:dyDescent="0.25">
      <c r="E57460" s="49"/>
    </row>
    <row r="57550" spans="5:5" x14ac:dyDescent="0.25">
      <c r="E57550" s="49"/>
    </row>
    <row r="57552" spans="5:5" x14ac:dyDescent="0.25">
      <c r="E57552" s="49"/>
    </row>
    <row r="57556" spans="5:5" x14ac:dyDescent="0.25">
      <c r="E57556" s="49"/>
    </row>
    <row r="57621" spans="5:5" x14ac:dyDescent="0.25">
      <c r="E57621" s="49"/>
    </row>
    <row r="57638" spans="5:5" x14ac:dyDescent="0.25">
      <c r="E57638" s="49"/>
    </row>
    <row r="57647" spans="5:5" x14ac:dyDescent="0.25">
      <c r="E57647" s="49"/>
    </row>
    <row r="57656" spans="5:5" x14ac:dyDescent="0.25">
      <c r="E57656" s="49"/>
    </row>
    <row r="57716" spans="5:5" x14ac:dyDescent="0.25">
      <c r="E57716" s="49"/>
    </row>
    <row r="57720" spans="5:5" x14ac:dyDescent="0.25">
      <c r="E57720" s="49"/>
    </row>
    <row r="57753" spans="5:5" x14ac:dyDescent="0.25">
      <c r="E57753" s="49"/>
    </row>
    <row r="57785" spans="5:5" x14ac:dyDescent="0.25">
      <c r="E57785" s="49"/>
    </row>
    <row r="57815" spans="5:5" x14ac:dyDescent="0.25">
      <c r="E57815" s="49"/>
    </row>
    <row r="57820" spans="5:5" x14ac:dyDescent="0.25">
      <c r="E57820" s="49"/>
    </row>
    <row r="57966" spans="5:5" x14ac:dyDescent="0.25">
      <c r="E57966" s="49"/>
    </row>
    <row r="57993" spans="5:5" x14ac:dyDescent="0.25">
      <c r="E57993" s="49"/>
    </row>
    <row r="57994" spans="5:5" x14ac:dyDescent="0.25">
      <c r="E57994" s="49"/>
    </row>
    <row r="58640" spans="5:5" x14ac:dyDescent="0.25">
      <c r="E58640" s="49"/>
    </row>
    <row r="58741" spans="5:5" x14ac:dyDescent="0.25">
      <c r="E58741" s="49"/>
    </row>
    <row r="58769" spans="5:5" x14ac:dyDescent="0.25">
      <c r="E58769" s="49"/>
    </row>
    <row r="58870" spans="5:5" x14ac:dyDescent="0.25">
      <c r="E58870" s="49"/>
    </row>
    <row r="58872" spans="5:5" x14ac:dyDescent="0.25">
      <c r="E58872" s="49"/>
    </row>
    <row r="58874" spans="5:5" x14ac:dyDescent="0.25">
      <c r="E58874" s="49"/>
    </row>
    <row r="58875" spans="5:5" x14ac:dyDescent="0.25">
      <c r="E58875" s="49"/>
    </row>
    <row r="58891" spans="5:5" x14ac:dyDescent="0.25">
      <c r="E58891" s="49"/>
    </row>
    <row r="58909" spans="5:5" x14ac:dyDescent="0.25">
      <c r="E58909" s="49"/>
    </row>
    <row r="58984" spans="5:5" x14ac:dyDescent="0.25">
      <c r="E58984" s="49"/>
    </row>
    <row r="58988" spans="5:5" x14ac:dyDescent="0.25">
      <c r="E58988" s="49"/>
    </row>
    <row r="59037" spans="5:5" x14ac:dyDescent="0.25">
      <c r="E59037" s="49"/>
    </row>
    <row r="59067" spans="5:5" x14ac:dyDescent="0.25">
      <c r="E59067" s="49"/>
    </row>
    <row r="59076" spans="5:5" x14ac:dyDescent="0.25">
      <c r="E59076" s="49"/>
    </row>
    <row r="59216" spans="5:5" x14ac:dyDescent="0.25">
      <c r="E59216" s="49"/>
    </row>
    <row r="59279" spans="5:5" x14ac:dyDescent="0.25">
      <c r="E59279" s="49"/>
    </row>
    <row r="59283" spans="5:5" x14ac:dyDescent="0.25">
      <c r="E59283" s="49"/>
    </row>
    <row r="59292" spans="5:5" x14ac:dyDescent="0.25">
      <c r="E59292" s="49"/>
    </row>
    <row r="59303" spans="5:5" x14ac:dyDescent="0.25">
      <c r="E59303" s="49"/>
    </row>
    <row r="59325" spans="5:5" x14ac:dyDescent="0.25">
      <c r="E59325" s="49"/>
    </row>
    <row r="59336" spans="5:5" x14ac:dyDescent="0.25">
      <c r="E59336" s="49"/>
    </row>
    <row r="59386" spans="5:5" x14ac:dyDescent="0.25">
      <c r="E59386" s="49"/>
    </row>
    <row r="59391" spans="5:5" x14ac:dyDescent="0.25">
      <c r="E59391" s="49"/>
    </row>
    <row r="59425" spans="5:5" x14ac:dyDescent="0.25">
      <c r="E59425" s="49"/>
    </row>
    <row r="59429" spans="5:5" x14ac:dyDescent="0.25">
      <c r="E59429" s="49"/>
    </row>
    <row r="59448" spans="5:5" x14ac:dyDescent="0.25">
      <c r="E59448" s="49"/>
    </row>
    <row r="59568" spans="5:5" x14ac:dyDescent="0.25">
      <c r="E59568" s="49"/>
    </row>
    <row r="59569" spans="5:5" x14ac:dyDescent="0.25">
      <c r="E59569" s="49"/>
    </row>
    <row r="59570" spans="5:5" x14ac:dyDescent="0.25">
      <c r="E59570" s="49"/>
    </row>
    <row r="59641" spans="5:5" x14ac:dyDescent="0.25">
      <c r="E59641" s="49"/>
    </row>
    <row r="59706" spans="5:5" x14ac:dyDescent="0.25">
      <c r="E59706" s="49"/>
    </row>
    <row r="59708" spans="5:5" x14ac:dyDescent="0.25">
      <c r="E59708" s="49"/>
    </row>
    <row r="59711" spans="5:5" x14ac:dyDescent="0.25">
      <c r="E59711" s="49"/>
    </row>
    <row r="59712" spans="5:5" x14ac:dyDescent="0.25">
      <c r="E59712" s="49"/>
    </row>
    <row r="59732" spans="5:5" x14ac:dyDescent="0.25">
      <c r="E59732" s="49"/>
    </row>
    <row r="59734" spans="5:5" x14ac:dyDescent="0.25">
      <c r="E59734" s="49"/>
    </row>
    <row r="59757" spans="5:5" x14ac:dyDescent="0.25">
      <c r="E59757" s="49"/>
    </row>
    <row r="59763" spans="5:5" x14ac:dyDescent="0.25">
      <c r="E59763" s="49"/>
    </row>
    <row r="59862" spans="5:5" x14ac:dyDescent="0.25">
      <c r="E59862" s="49"/>
    </row>
    <row r="60826" spans="5:5" x14ac:dyDescent="0.25">
      <c r="E60826" s="49"/>
    </row>
    <row r="60841" spans="5:5" x14ac:dyDescent="0.25">
      <c r="E60841" s="49"/>
    </row>
    <row r="60910" spans="5:5" x14ac:dyDescent="0.25">
      <c r="E60910" s="49"/>
    </row>
    <row r="60911" spans="5:5" x14ac:dyDescent="0.25">
      <c r="E60911" s="49"/>
    </row>
    <row r="60914" spans="5:5" x14ac:dyDescent="0.25">
      <c r="E60914" s="49"/>
    </row>
    <row r="60942" spans="5:5" x14ac:dyDescent="0.25">
      <c r="E60942" s="49"/>
    </row>
    <row r="61005" spans="5:5" x14ac:dyDescent="0.25">
      <c r="E61005" s="49"/>
    </row>
    <row r="61018" spans="5:5" x14ac:dyDescent="0.25">
      <c r="E61018" s="49"/>
    </row>
    <row r="61060" spans="5:5" x14ac:dyDescent="0.25">
      <c r="E61060" s="49"/>
    </row>
    <row r="61064" spans="5:5" x14ac:dyDescent="0.25">
      <c r="E61064" s="49"/>
    </row>
    <row r="61094" spans="5:5" x14ac:dyDescent="0.25">
      <c r="E61094" s="49"/>
    </row>
    <row r="61184" spans="5:5" x14ac:dyDescent="0.25">
      <c r="E61184" s="49"/>
    </row>
    <row r="61190" spans="5:5" x14ac:dyDescent="0.25">
      <c r="E61190" s="49"/>
    </row>
    <row r="61222" spans="5:5" x14ac:dyDescent="0.25">
      <c r="E61222" s="49"/>
    </row>
    <row r="61223" spans="5:5" x14ac:dyDescent="0.25">
      <c r="E61223" s="49"/>
    </row>
    <row r="61232" spans="5:5" x14ac:dyDescent="0.25">
      <c r="E61232" s="49"/>
    </row>
    <row r="61271" spans="5:5" x14ac:dyDescent="0.25">
      <c r="E61271" s="49"/>
    </row>
    <row r="61323" spans="5:5" x14ac:dyDescent="0.25">
      <c r="E61323" s="49"/>
    </row>
    <row r="61324" spans="5:5" x14ac:dyDescent="0.25">
      <c r="E61324" s="49"/>
    </row>
    <row r="61361" spans="5:5" x14ac:dyDescent="0.25">
      <c r="E61361" s="49"/>
    </row>
    <row r="61384" spans="5:5" x14ac:dyDescent="0.25">
      <c r="E61384" s="49"/>
    </row>
    <row r="61452" spans="5:5" x14ac:dyDescent="0.25">
      <c r="E61452" s="49"/>
    </row>
    <row r="61471" spans="5:5" x14ac:dyDescent="0.25">
      <c r="E61471" s="49"/>
    </row>
    <row r="61523" spans="5:5" x14ac:dyDescent="0.25">
      <c r="E61523" s="49"/>
    </row>
    <row r="61538" spans="5:5" x14ac:dyDescent="0.25">
      <c r="E61538" s="49"/>
    </row>
    <row r="61591" spans="5:5" x14ac:dyDescent="0.25">
      <c r="E61591" s="49"/>
    </row>
    <row r="61592" spans="5:5" x14ac:dyDescent="0.25">
      <c r="E61592" s="49"/>
    </row>
    <row r="61594" spans="5:5" x14ac:dyDescent="0.25">
      <c r="E61594" s="49"/>
    </row>
    <row r="61595" spans="5:5" x14ac:dyDescent="0.25">
      <c r="E61595" s="49"/>
    </row>
    <row r="61621" spans="5:5" x14ac:dyDescent="0.25">
      <c r="E61621" s="49"/>
    </row>
    <row r="61631" spans="5:5" x14ac:dyDescent="0.25">
      <c r="E61631" s="49"/>
    </row>
    <row r="61675" spans="5:5" x14ac:dyDescent="0.25">
      <c r="E61675" s="49"/>
    </row>
    <row r="61676" spans="5:5" x14ac:dyDescent="0.25">
      <c r="E61676" s="49"/>
    </row>
    <row r="61735" spans="5:5" x14ac:dyDescent="0.25">
      <c r="E61735" s="49"/>
    </row>
    <row r="61737" spans="5:5" x14ac:dyDescent="0.25">
      <c r="E61737" s="49"/>
    </row>
    <row r="61738" spans="5:5" x14ac:dyDescent="0.25">
      <c r="E61738" s="49"/>
    </row>
    <row r="61762" spans="5:5" x14ac:dyDescent="0.25">
      <c r="E61762" s="49"/>
    </row>
    <row r="61795" spans="5:5" x14ac:dyDescent="0.25">
      <c r="E61795" s="49"/>
    </row>
    <row r="61820" spans="5:5" x14ac:dyDescent="0.25">
      <c r="E61820" s="49"/>
    </row>
    <row r="61889" spans="5:5" x14ac:dyDescent="0.25">
      <c r="E61889" s="49"/>
    </row>
    <row r="61894" spans="5:5" x14ac:dyDescent="0.25">
      <c r="E61894" s="49"/>
    </row>
    <row r="61928" spans="5:5" x14ac:dyDescent="0.25">
      <c r="E61928" s="49"/>
    </row>
    <row r="61962" spans="5:5" x14ac:dyDescent="0.25">
      <c r="E61962" s="49"/>
    </row>
    <row r="62021" spans="5:5" x14ac:dyDescent="0.25">
      <c r="E62021" s="49"/>
    </row>
    <row r="62080" spans="5:5" x14ac:dyDescent="0.25">
      <c r="E62080" s="49"/>
    </row>
    <row r="62096" spans="5:5" x14ac:dyDescent="0.25">
      <c r="E62096" s="49"/>
    </row>
    <row r="62160" spans="5:5" x14ac:dyDescent="0.25">
      <c r="E62160" s="49"/>
    </row>
    <row r="62164" spans="5:5" x14ac:dyDescent="0.25">
      <c r="E62164" s="49"/>
    </row>
    <row r="62165" spans="5:5" x14ac:dyDescent="0.25">
      <c r="E62165" s="49"/>
    </row>
    <row r="63015" spans="6:6" x14ac:dyDescent="0.25">
      <c r="F63015" s="49"/>
    </row>
    <row r="63019" spans="6:6" x14ac:dyDescent="0.25">
      <c r="F63019" s="49"/>
    </row>
    <row r="63044" spans="6:6" x14ac:dyDescent="0.25">
      <c r="F63044" s="49"/>
    </row>
    <row r="63154" spans="6:6" x14ac:dyDescent="0.25">
      <c r="F63154" s="49"/>
    </row>
    <row r="63156" spans="6:6" x14ac:dyDescent="0.25">
      <c r="F63156" s="49"/>
    </row>
    <row r="63159" spans="6:6" x14ac:dyDescent="0.25">
      <c r="F63159" s="49"/>
    </row>
    <row r="63162" spans="6:6" x14ac:dyDescent="0.25">
      <c r="F63162" s="49"/>
    </row>
    <row r="63241" spans="6:6" x14ac:dyDescent="0.25">
      <c r="F63241" s="49"/>
    </row>
    <row r="63242" spans="6:6" x14ac:dyDescent="0.25">
      <c r="F63242" s="49"/>
    </row>
    <row r="63305" spans="6:6" x14ac:dyDescent="0.25">
      <c r="F63305" s="49"/>
    </row>
    <row r="63307" spans="6:6" x14ac:dyDescent="0.25">
      <c r="F63307" s="49"/>
    </row>
    <row r="63336" spans="6:6" x14ac:dyDescent="0.25">
      <c r="F63336" s="49"/>
    </row>
    <row r="63357" spans="6:6" x14ac:dyDescent="0.25">
      <c r="F63357" s="49"/>
    </row>
    <row r="63422" spans="6:6" x14ac:dyDescent="0.25">
      <c r="F63422" s="49"/>
    </row>
    <row r="63432" spans="6:6" x14ac:dyDescent="0.25">
      <c r="F63432" s="49"/>
    </row>
    <row r="63552" spans="6:6" x14ac:dyDescent="0.25">
      <c r="F63552" s="49"/>
    </row>
    <row r="63554" spans="6:6" x14ac:dyDescent="0.25">
      <c r="F63554" s="49"/>
    </row>
    <row r="63557" spans="6:6" x14ac:dyDescent="0.25">
      <c r="F63557" s="49"/>
    </row>
    <row r="63558" spans="6:6" x14ac:dyDescent="0.25">
      <c r="F63558" s="49"/>
    </row>
    <row r="63588" spans="6:6" x14ac:dyDescent="0.25">
      <c r="F63588" s="49"/>
    </row>
    <row r="63598" spans="6:6" x14ac:dyDescent="0.25">
      <c r="F63598" s="49"/>
    </row>
    <row r="63668" spans="6:6" x14ac:dyDescent="0.25">
      <c r="F63668" s="49"/>
    </row>
    <row r="63669" spans="6:6" x14ac:dyDescent="0.25">
      <c r="F63669" s="49"/>
    </row>
    <row r="63670" spans="6:6" x14ac:dyDescent="0.25">
      <c r="F63670" s="49"/>
    </row>
    <row r="63671" spans="6:6" x14ac:dyDescent="0.25">
      <c r="F63671" s="49"/>
    </row>
    <row r="63673" spans="6:6" x14ac:dyDescent="0.25">
      <c r="F63673" s="49"/>
    </row>
    <row r="63689" spans="6:6" x14ac:dyDescent="0.25">
      <c r="F63689" s="49"/>
    </row>
    <row r="63782" spans="6:6" x14ac:dyDescent="0.25">
      <c r="F63782" s="49"/>
    </row>
    <row r="63783" spans="6:6" x14ac:dyDescent="0.25">
      <c r="F63783" s="49"/>
    </row>
    <row r="63784" spans="6:6" x14ac:dyDescent="0.25">
      <c r="F63784" s="49"/>
    </row>
    <row r="63905" spans="6:6" x14ac:dyDescent="0.25">
      <c r="F63905" s="49"/>
    </row>
    <row r="63909" spans="6:6" x14ac:dyDescent="0.25">
      <c r="F63909" s="49"/>
    </row>
    <row r="63911" spans="6:6" x14ac:dyDescent="0.25">
      <c r="F63911" s="49"/>
    </row>
    <row r="63975" spans="6:6" x14ac:dyDescent="0.25">
      <c r="F63975" s="49"/>
    </row>
    <row r="64030" spans="6:6" x14ac:dyDescent="0.25">
      <c r="F64030" s="49"/>
    </row>
    <row r="64033" spans="6:6" x14ac:dyDescent="0.25">
      <c r="F64033" s="49"/>
    </row>
    <row r="64086" spans="6:6" x14ac:dyDescent="0.25">
      <c r="F64086" s="49"/>
    </row>
    <row r="64149" spans="6:6" x14ac:dyDescent="0.25">
      <c r="F64149" s="49"/>
    </row>
    <row r="64150" spans="6:6" x14ac:dyDescent="0.25">
      <c r="F64150" s="49"/>
    </row>
    <row r="64152" spans="6:6" x14ac:dyDescent="0.25">
      <c r="F64152" s="49"/>
    </row>
    <row r="64153" spans="6:6" x14ac:dyDescent="0.25">
      <c r="F64153" s="49"/>
    </row>
    <row r="64156" spans="6:6" x14ac:dyDescent="0.25">
      <c r="F64156" s="49"/>
    </row>
    <row r="64157" spans="6:6" x14ac:dyDescent="0.25">
      <c r="F64157" s="49"/>
    </row>
    <row r="64185" spans="6:6" x14ac:dyDescent="0.25">
      <c r="F64185" s="49"/>
    </row>
    <row r="64289" spans="6:6" x14ac:dyDescent="0.25">
      <c r="F64289" s="49"/>
    </row>
    <row r="64290" spans="6:6" x14ac:dyDescent="0.25">
      <c r="F64290" s="49"/>
    </row>
    <row r="64336" spans="6:6" x14ac:dyDescent="0.25">
      <c r="F64336" s="49"/>
    </row>
    <row r="64354" spans="6:6" x14ac:dyDescent="0.25">
      <c r="F64354" s="49"/>
    </row>
    <row r="64412" spans="6:6" x14ac:dyDescent="0.25">
      <c r="F64412" s="49"/>
    </row>
    <row r="64465" spans="6:6" x14ac:dyDescent="0.25">
      <c r="F64465" s="49"/>
    </row>
    <row r="64469" spans="6:6" x14ac:dyDescent="0.25">
      <c r="F64469" s="49"/>
    </row>
    <row r="64498" spans="6:6" x14ac:dyDescent="0.25">
      <c r="F64498" s="49"/>
    </row>
    <row r="64512" spans="6:6" x14ac:dyDescent="0.25">
      <c r="F64512" s="49"/>
    </row>
    <row r="64559" spans="6:6" x14ac:dyDescent="0.25">
      <c r="F64559" s="49"/>
    </row>
    <row r="64613" spans="6:6" x14ac:dyDescent="0.25">
      <c r="F64613" s="49"/>
    </row>
    <row r="64694" spans="6:6" x14ac:dyDescent="0.25">
      <c r="F64694" s="49"/>
    </row>
    <row r="64696" spans="6:6" x14ac:dyDescent="0.25">
      <c r="F64696" s="49"/>
    </row>
    <row r="64748" spans="6:6" x14ac:dyDescent="0.25">
      <c r="F64748" s="49"/>
    </row>
    <row r="64797" spans="6:6" x14ac:dyDescent="0.25">
      <c r="F64797" s="49"/>
    </row>
    <row r="64902" spans="6:6" x14ac:dyDescent="0.25">
      <c r="F64902" s="49"/>
    </row>
    <row r="64986" spans="6:6" x14ac:dyDescent="0.25">
      <c r="F64986" s="49"/>
    </row>
    <row r="64993" spans="6:6" x14ac:dyDescent="0.25">
      <c r="F64993" s="49"/>
    </row>
    <row r="65015" spans="6:6" x14ac:dyDescent="0.25">
      <c r="F65015" s="49"/>
    </row>
    <row r="65023" spans="6:6" x14ac:dyDescent="0.25">
      <c r="F65023" s="49"/>
    </row>
    <row r="65062" spans="6:6" x14ac:dyDescent="0.25">
      <c r="F65062" s="49"/>
    </row>
    <row r="66270" spans="5:5" x14ac:dyDescent="0.25">
      <c r="E66270" s="49"/>
    </row>
    <row r="66271" spans="5:5" x14ac:dyDescent="0.25">
      <c r="E66271" s="49"/>
    </row>
    <row r="66275" spans="5:5" x14ac:dyDescent="0.25">
      <c r="E66275" s="49"/>
    </row>
    <row r="66280" spans="5:5" x14ac:dyDescent="0.25">
      <c r="E66280" s="49"/>
    </row>
    <row r="66307" spans="5:5" x14ac:dyDescent="0.25">
      <c r="E66307" s="49"/>
    </row>
    <row r="66374" spans="5:5" x14ac:dyDescent="0.25">
      <c r="E66374" s="49"/>
    </row>
    <row r="66375" spans="5:5" x14ac:dyDescent="0.25">
      <c r="E66375" s="49"/>
    </row>
    <row r="66415" spans="5:5" x14ac:dyDescent="0.25">
      <c r="E66415" s="49"/>
    </row>
    <row r="66446" spans="5:5" x14ac:dyDescent="0.25">
      <c r="E66446" s="49"/>
    </row>
    <row r="66450" spans="5:5" x14ac:dyDescent="0.25">
      <c r="E66450" s="49"/>
    </row>
    <row r="66467" spans="5:5" x14ac:dyDescent="0.25">
      <c r="E66467" s="49"/>
    </row>
    <row r="66473" spans="5:5" x14ac:dyDescent="0.25">
      <c r="E66473" s="49"/>
    </row>
    <row r="66517" spans="5:5" x14ac:dyDescent="0.25">
      <c r="E66517" s="49"/>
    </row>
    <row r="66519" spans="5:5" x14ac:dyDescent="0.25">
      <c r="E66519" s="49"/>
    </row>
    <row r="66675" spans="5:5" x14ac:dyDescent="0.25">
      <c r="E66675" s="49"/>
    </row>
    <row r="66690" spans="5:5" x14ac:dyDescent="0.25">
      <c r="E66690" s="49"/>
    </row>
    <row r="66714" spans="5:5" x14ac:dyDescent="0.25">
      <c r="E66714" s="49"/>
    </row>
    <row r="66735" spans="5:5" x14ac:dyDescent="0.25">
      <c r="E66735" s="49"/>
    </row>
    <row r="66746" spans="5:5" x14ac:dyDescent="0.25">
      <c r="E66746" s="49"/>
    </row>
    <row r="66774" spans="5:5" x14ac:dyDescent="0.25">
      <c r="E66774" s="49"/>
    </row>
    <row r="66778" spans="5:5" x14ac:dyDescent="0.25">
      <c r="E66778" s="49"/>
    </row>
    <row r="66818" spans="5:5" x14ac:dyDescent="0.25">
      <c r="E66818" s="49"/>
    </row>
    <row r="66820" spans="5:5" x14ac:dyDescent="0.25">
      <c r="E66820" s="49"/>
    </row>
    <row r="66845" spans="5:5" x14ac:dyDescent="0.25">
      <c r="E66845" s="49"/>
    </row>
    <row r="66857" spans="5:5" x14ac:dyDescent="0.25">
      <c r="E66857" s="49"/>
    </row>
    <row r="66858" spans="5:5" x14ac:dyDescent="0.25">
      <c r="E66858" s="49"/>
    </row>
    <row r="66963" spans="5:5" x14ac:dyDescent="0.25">
      <c r="E66963" s="49"/>
    </row>
    <row r="67015" spans="5:5" x14ac:dyDescent="0.25">
      <c r="E67015" s="49"/>
    </row>
    <row r="67041" spans="5:5" x14ac:dyDescent="0.25">
      <c r="E67041" s="49"/>
    </row>
    <row r="67082" spans="5:5" x14ac:dyDescent="0.25">
      <c r="E67082" s="49"/>
    </row>
    <row r="67154" spans="5:5" x14ac:dyDescent="0.25">
      <c r="E67154" s="49"/>
    </row>
    <row r="67155" spans="5:5" x14ac:dyDescent="0.25">
      <c r="E67155" s="49"/>
    </row>
    <row r="67214" spans="5:5" x14ac:dyDescent="0.25">
      <c r="E67214" s="49"/>
    </row>
    <row r="67250" spans="5:5" x14ac:dyDescent="0.25">
      <c r="E67250" s="49"/>
    </row>
    <row r="67251" spans="5:5" x14ac:dyDescent="0.25">
      <c r="E67251" s="49"/>
    </row>
    <row r="67253" spans="5:5" x14ac:dyDescent="0.25">
      <c r="E67253" s="49"/>
    </row>
    <row r="67254" spans="5:5" x14ac:dyDescent="0.25">
      <c r="E67254" s="49"/>
    </row>
    <row r="67255" spans="5:5" x14ac:dyDescent="0.25">
      <c r="E67255" s="49"/>
    </row>
    <row r="67280" spans="5:5" x14ac:dyDescent="0.25">
      <c r="E67280" s="49"/>
    </row>
    <row r="67331" spans="5:5" x14ac:dyDescent="0.25">
      <c r="E67331" s="49"/>
    </row>
    <row r="67338" spans="5:5" x14ac:dyDescent="0.25">
      <c r="E67338" s="49"/>
    </row>
    <row r="67349" spans="5:5" x14ac:dyDescent="0.25">
      <c r="E67349" s="49"/>
    </row>
    <row r="67402" spans="5:5" x14ac:dyDescent="0.25">
      <c r="E67402" s="49"/>
    </row>
    <row r="67435" spans="5:5" x14ac:dyDescent="0.25">
      <c r="E67435" s="49"/>
    </row>
    <row r="67472" spans="5:5" x14ac:dyDescent="0.25">
      <c r="E67472" s="49"/>
    </row>
    <row r="67523" spans="5:5" x14ac:dyDescent="0.25">
      <c r="E67523" s="49"/>
    </row>
    <row r="67564" spans="5:5" x14ac:dyDescent="0.25">
      <c r="E67564" s="49"/>
    </row>
    <row r="67566" spans="5:5" x14ac:dyDescent="0.25">
      <c r="E67566" s="49"/>
    </row>
    <row r="67607" spans="5:5" x14ac:dyDescent="0.25">
      <c r="E67607" s="49"/>
    </row>
    <row r="67632" spans="5:5" x14ac:dyDescent="0.25">
      <c r="E67632" s="49"/>
    </row>
    <row r="68743" spans="5:5" x14ac:dyDescent="0.25">
      <c r="E68743" s="49"/>
    </row>
    <row r="68782" spans="5:5" x14ac:dyDescent="0.25">
      <c r="E68782" s="49"/>
    </row>
    <row r="68785" spans="5:5" x14ac:dyDescent="0.25">
      <c r="E68785" s="49"/>
    </row>
    <row r="68818" spans="5:5" x14ac:dyDescent="0.25">
      <c r="E68818" s="49"/>
    </row>
    <row r="68863" spans="5:5" x14ac:dyDescent="0.25">
      <c r="E68863" s="49"/>
    </row>
    <row r="68883" spans="5:5" x14ac:dyDescent="0.25">
      <c r="E68883" s="49"/>
    </row>
    <row r="68930" spans="5:5" x14ac:dyDescent="0.25">
      <c r="E68930" s="49"/>
    </row>
    <row r="68954" spans="5:5" x14ac:dyDescent="0.25">
      <c r="E68954" s="49"/>
    </row>
    <row r="68955" spans="5:5" x14ac:dyDescent="0.25">
      <c r="E68955" s="49"/>
    </row>
    <row r="68983" spans="5:5" x14ac:dyDescent="0.25">
      <c r="E68983" s="49"/>
    </row>
    <row r="69094" spans="5:5" x14ac:dyDescent="0.25">
      <c r="E69094" s="49"/>
    </row>
    <row r="69096" spans="5:5" x14ac:dyDescent="0.25">
      <c r="E69096" s="49"/>
    </row>
    <row r="69097" spans="5:5" x14ac:dyDescent="0.25">
      <c r="E69097" s="49"/>
    </row>
    <row r="69168" spans="5:5" x14ac:dyDescent="0.25">
      <c r="E69168" s="49"/>
    </row>
    <row r="69204" spans="5:5" x14ac:dyDescent="0.25">
      <c r="E69204" s="49"/>
    </row>
    <row r="69244" spans="5:5" x14ac:dyDescent="0.25">
      <c r="E69244" s="49"/>
    </row>
    <row r="69246" spans="5:5" x14ac:dyDescent="0.25">
      <c r="E69246" s="49"/>
    </row>
    <row r="69248" spans="5:5" x14ac:dyDescent="0.25">
      <c r="E69248" s="49"/>
    </row>
    <row r="69317" spans="5:5" x14ac:dyDescent="0.25">
      <c r="E69317" s="49"/>
    </row>
    <row r="69386" spans="5:5" x14ac:dyDescent="0.25">
      <c r="E69386" s="49"/>
    </row>
    <row r="69424" spans="5:5" x14ac:dyDescent="0.25">
      <c r="E69424" s="49"/>
    </row>
    <row r="69456" spans="5:5" x14ac:dyDescent="0.25">
      <c r="E69456" s="49"/>
    </row>
    <row r="69515" spans="5:5" x14ac:dyDescent="0.25">
      <c r="E69515" s="49"/>
    </row>
    <row r="69516" spans="5:5" x14ac:dyDescent="0.25">
      <c r="E69516" s="49"/>
    </row>
    <row r="69555" spans="5:5" x14ac:dyDescent="0.25">
      <c r="E69555" s="49"/>
    </row>
    <row r="69576" spans="5:5" x14ac:dyDescent="0.25">
      <c r="E69576" s="49"/>
    </row>
    <row r="69585" spans="5:5" x14ac:dyDescent="0.25">
      <c r="E69585" s="49"/>
    </row>
    <row r="69605" spans="5:5" x14ac:dyDescent="0.25">
      <c r="E69605" s="49"/>
    </row>
    <row r="69612" spans="5:5" x14ac:dyDescent="0.25">
      <c r="E69612" s="49"/>
    </row>
    <row r="69619" spans="5:5" x14ac:dyDescent="0.25">
      <c r="E69619" s="49"/>
    </row>
    <row r="69633" spans="5:5" x14ac:dyDescent="0.25">
      <c r="E69633" s="49"/>
    </row>
    <row r="69679" spans="5:5" x14ac:dyDescent="0.25">
      <c r="E69679" s="49"/>
    </row>
    <row r="69715" spans="5:5" x14ac:dyDescent="0.25">
      <c r="E69715" s="49"/>
    </row>
    <row r="69758" spans="5:5" x14ac:dyDescent="0.25">
      <c r="E69758" s="49"/>
    </row>
    <row r="69775" spans="5:5" x14ac:dyDescent="0.25">
      <c r="E69775" s="49"/>
    </row>
    <row r="69825" spans="5:5" x14ac:dyDescent="0.25">
      <c r="E69825" s="49"/>
    </row>
    <row r="69827" spans="5:5" x14ac:dyDescent="0.25">
      <c r="E69827" s="49"/>
    </row>
    <row r="69829" spans="5:5" x14ac:dyDescent="0.25">
      <c r="E69829" s="49"/>
    </row>
    <row r="69831" spans="5:5" x14ac:dyDescent="0.25">
      <c r="E69831" s="49"/>
    </row>
    <row r="69832" spans="5:5" x14ac:dyDescent="0.25">
      <c r="E69832" s="49"/>
    </row>
    <row r="69900" spans="5:5" x14ac:dyDescent="0.25">
      <c r="E69900" s="49"/>
    </row>
    <row r="69906" spans="5:5" x14ac:dyDescent="0.25">
      <c r="E69906" s="49"/>
    </row>
    <row r="69920" spans="5:5" x14ac:dyDescent="0.25">
      <c r="E69920" s="49"/>
    </row>
    <row r="69942" spans="5:5" x14ac:dyDescent="0.25">
      <c r="E69942" s="49"/>
    </row>
    <row r="69976" spans="5:5" x14ac:dyDescent="0.25">
      <c r="E69976" s="49"/>
    </row>
    <row r="70115" spans="5:5" x14ac:dyDescent="0.25">
      <c r="E70115" s="49"/>
    </row>
    <row r="70117" spans="5:5" x14ac:dyDescent="0.25">
      <c r="E70117" s="49"/>
    </row>
    <row r="70118" spans="5:5" x14ac:dyDescent="0.25">
      <c r="E70118" s="49"/>
    </row>
    <row r="71122" spans="5:5" x14ac:dyDescent="0.25">
      <c r="E71122" s="49"/>
    </row>
    <row r="71142" spans="5:5" x14ac:dyDescent="0.25">
      <c r="E71142" s="49"/>
    </row>
    <row r="71145" spans="5:5" x14ac:dyDescent="0.25">
      <c r="E71145" s="49"/>
    </row>
    <row r="71211" spans="5:5" x14ac:dyDescent="0.25">
      <c r="E71211" s="49"/>
    </row>
    <row r="71215" spans="5:5" x14ac:dyDescent="0.25">
      <c r="E71215" s="49"/>
    </row>
    <row r="71217" spans="5:5" x14ac:dyDescent="0.25">
      <c r="E71217" s="49"/>
    </row>
    <row r="71239" spans="5:5" x14ac:dyDescent="0.25">
      <c r="E71239" s="49"/>
    </row>
    <row r="71260" spans="5:5" x14ac:dyDescent="0.25">
      <c r="E71260" s="49"/>
    </row>
    <row r="71414" spans="5:5" x14ac:dyDescent="0.25">
      <c r="E71414" s="49"/>
    </row>
    <row r="71415" spans="5:5" x14ac:dyDescent="0.25">
      <c r="E71415" s="49"/>
    </row>
    <row r="71417" spans="5:5" x14ac:dyDescent="0.25">
      <c r="E71417" s="49"/>
    </row>
    <row r="71456" spans="5:5" x14ac:dyDescent="0.25">
      <c r="E71456" s="49"/>
    </row>
    <row r="71467" spans="5:5" x14ac:dyDescent="0.25">
      <c r="E71467" s="49"/>
    </row>
    <row r="71492" spans="5:5" x14ac:dyDescent="0.25">
      <c r="E71492" s="49"/>
    </row>
    <row r="71496" spans="5:5" x14ac:dyDescent="0.25">
      <c r="E71496" s="49"/>
    </row>
    <row r="71582" spans="5:5" x14ac:dyDescent="0.25">
      <c r="E71582" s="49"/>
    </row>
    <row r="71688" spans="5:5" x14ac:dyDescent="0.25">
      <c r="E71688" s="49"/>
    </row>
    <row r="71772" spans="5:5" x14ac:dyDescent="0.25">
      <c r="E71772" s="49"/>
    </row>
    <row r="71773" spans="5:5" x14ac:dyDescent="0.25">
      <c r="E71773" s="49"/>
    </row>
    <row r="71775" spans="5:5" x14ac:dyDescent="0.25">
      <c r="E71775" s="49"/>
    </row>
    <row r="71776" spans="5:5" x14ac:dyDescent="0.25">
      <c r="E71776" s="49"/>
    </row>
    <row r="71815" spans="5:5" x14ac:dyDescent="0.25">
      <c r="E71815" s="49"/>
    </row>
    <row r="71820" spans="5:5" x14ac:dyDescent="0.25">
      <c r="E71820" s="49"/>
    </row>
    <row r="71881" spans="5:5" x14ac:dyDescent="0.25">
      <c r="E71881" s="49"/>
    </row>
    <row r="72097" spans="5:5" x14ac:dyDescent="0.25">
      <c r="E72097" s="49"/>
    </row>
    <row r="72140" spans="5:5" x14ac:dyDescent="0.25">
      <c r="E72140" s="49"/>
    </row>
    <row r="72143" spans="5:5" x14ac:dyDescent="0.25">
      <c r="E72143" s="49"/>
    </row>
    <row r="72251" spans="5:5" x14ac:dyDescent="0.25">
      <c r="E72251" s="49"/>
    </row>
    <row r="72344" spans="5:5" x14ac:dyDescent="0.25">
      <c r="E72344" s="49"/>
    </row>
    <row r="72345" spans="5:5" x14ac:dyDescent="0.25">
      <c r="E72345" s="49"/>
    </row>
    <row r="72346" spans="5:5" x14ac:dyDescent="0.25">
      <c r="E72346" s="49"/>
    </row>
    <row r="72384" spans="5:5" x14ac:dyDescent="0.25">
      <c r="E72384" s="49"/>
    </row>
    <row r="72389" spans="5:5" x14ac:dyDescent="0.25">
      <c r="E72389" s="49"/>
    </row>
    <row r="72435" spans="5:5" x14ac:dyDescent="0.25">
      <c r="E72435" s="49"/>
    </row>
    <row r="72530" spans="5:5" x14ac:dyDescent="0.25">
      <c r="E72530" s="49"/>
    </row>
    <row r="72532" spans="5:5" x14ac:dyDescent="0.25">
      <c r="E72532" s="49"/>
    </row>
    <row r="72562" spans="5:5" x14ac:dyDescent="0.25">
      <c r="E72562" s="49"/>
    </row>
    <row r="72567" spans="5:5" x14ac:dyDescent="0.25">
      <c r="E72567" s="49"/>
    </row>
    <row r="72728" spans="5:5" x14ac:dyDescent="0.25">
      <c r="E72728" s="49"/>
    </row>
    <row r="72734" spans="5:5" x14ac:dyDescent="0.25">
      <c r="E72734" s="49"/>
    </row>
    <row r="72768" spans="5:5" x14ac:dyDescent="0.25">
      <c r="E72768" s="49"/>
    </row>
    <row r="72802" spans="5:5" x14ac:dyDescent="0.25">
      <c r="E72802" s="49"/>
    </row>
    <row r="72817" spans="5:5" x14ac:dyDescent="0.25">
      <c r="E72817" s="49"/>
    </row>
    <row r="72828" spans="5:5" x14ac:dyDescent="0.25">
      <c r="E72828" s="49"/>
    </row>
    <row r="72915" spans="5:5" x14ac:dyDescent="0.25">
      <c r="E72915" s="49"/>
    </row>
    <row r="72917" spans="5:5" x14ac:dyDescent="0.25">
      <c r="E72917" s="49"/>
    </row>
    <row r="72922" spans="5:5" x14ac:dyDescent="0.25">
      <c r="E72922" s="49"/>
    </row>
    <row r="74412" spans="5:5" x14ac:dyDescent="0.25">
      <c r="E74412" s="49"/>
    </row>
    <row r="74440" spans="5:5" x14ac:dyDescent="0.25">
      <c r="E74440" s="49"/>
    </row>
    <row r="74461" spans="5:5" x14ac:dyDescent="0.25">
      <c r="E74461" s="49"/>
    </row>
    <row r="74474" spans="5:5" x14ac:dyDescent="0.25">
      <c r="E74474" s="49"/>
    </row>
    <row r="74518" spans="5:5" x14ac:dyDescent="0.25">
      <c r="E74518" s="49"/>
    </row>
    <row r="74713" spans="5:5" x14ac:dyDescent="0.25">
      <c r="E74713" s="49"/>
    </row>
    <row r="74734" spans="5:5" x14ac:dyDescent="0.25">
      <c r="E74734" s="49"/>
    </row>
    <row r="74767" spans="5:5" x14ac:dyDescent="0.25">
      <c r="E74767" s="49"/>
    </row>
    <row r="74787" spans="5:5" x14ac:dyDescent="0.25">
      <c r="E74787" s="49"/>
    </row>
    <row r="74792" spans="5:5" x14ac:dyDescent="0.25">
      <c r="E74792" s="49"/>
    </row>
    <row r="74799" spans="5:5" x14ac:dyDescent="0.25">
      <c r="E74799" s="49"/>
    </row>
    <row r="74815" spans="5:5" x14ac:dyDescent="0.25">
      <c r="E74815" s="49"/>
    </row>
    <row r="74972" spans="5:5" x14ac:dyDescent="0.25">
      <c r="E74972" s="49"/>
    </row>
    <row r="75017" spans="5:5" x14ac:dyDescent="0.25">
      <c r="E75017" s="49"/>
    </row>
    <row r="75023" spans="5:5" x14ac:dyDescent="0.25">
      <c r="E75023" s="49"/>
    </row>
    <row r="75034" spans="5:5" x14ac:dyDescent="0.25">
      <c r="E75034" s="49"/>
    </row>
    <row r="75108" spans="5:5" x14ac:dyDescent="0.25">
      <c r="E75108" s="49"/>
    </row>
    <row r="75173" spans="5:5" x14ac:dyDescent="0.25">
      <c r="E75173" s="49"/>
    </row>
    <row r="75197" spans="5:5" x14ac:dyDescent="0.25">
      <c r="E75197" s="49"/>
    </row>
    <row r="75227" spans="5:5" x14ac:dyDescent="0.25">
      <c r="E75227" s="49"/>
    </row>
    <row r="75443" spans="5:5" x14ac:dyDescent="0.25">
      <c r="E75443" s="49"/>
    </row>
    <row r="75444" spans="5:5" x14ac:dyDescent="0.25">
      <c r="E75444" s="49"/>
    </row>
    <row r="75510" spans="5:5" x14ac:dyDescent="0.25">
      <c r="E75510" s="49"/>
    </row>
    <row r="75514" spans="5:5" x14ac:dyDescent="0.25">
      <c r="E75514" s="49"/>
    </row>
    <row r="75518" spans="5:5" x14ac:dyDescent="0.25">
      <c r="E75518" s="49"/>
    </row>
    <row r="75533" spans="5:5" x14ac:dyDescent="0.25">
      <c r="E75533" s="49"/>
    </row>
    <row r="75564" spans="5:5" x14ac:dyDescent="0.25">
      <c r="E75564" s="49"/>
    </row>
    <row r="75782" spans="5:5" x14ac:dyDescent="0.25">
      <c r="E75782" s="49"/>
    </row>
    <row r="75832" spans="5:5" x14ac:dyDescent="0.25">
      <c r="E75832" s="49"/>
    </row>
    <row r="75972" spans="5:5" x14ac:dyDescent="0.25">
      <c r="E75972" s="49"/>
    </row>
    <row r="75992" spans="5:5" x14ac:dyDescent="0.25">
      <c r="E75992" s="49"/>
    </row>
    <row r="76080" spans="5:5" x14ac:dyDescent="0.25">
      <c r="E76080" s="49"/>
    </row>
    <row r="76129" spans="5:5" x14ac:dyDescent="0.25">
      <c r="E76129" s="49"/>
    </row>
    <row r="76130" spans="5:5" x14ac:dyDescent="0.25">
      <c r="E76130" s="49"/>
    </row>
    <row r="76171" spans="5:5" x14ac:dyDescent="0.25">
      <c r="E76171" s="49"/>
    </row>
    <row r="76181" spans="5:5" x14ac:dyDescent="0.25">
      <c r="E76181" s="49"/>
    </row>
    <row r="76368" spans="5:5" x14ac:dyDescent="0.25">
      <c r="E76368" s="49"/>
    </row>
    <row r="76376" spans="5:5" x14ac:dyDescent="0.25">
      <c r="E76376" s="49"/>
    </row>
    <row r="76407" spans="5:5" x14ac:dyDescent="0.25">
      <c r="E76407" s="49"/>
    </row>
    <row r="76427" spans="5:5" x14ac:dyDescent="0.25">
      <c r="E76427" s="49"/>
    </row>
    <row r="76509" spans="5:5" x14ac:dyDescent="0.25">
      <c r="E76509" s="49"/>
    </row>
    <row r="76510" spans="5:5" x14ac:dyDescent="0.25">
      <c r="E76510" s="49"/>
    </row>
    <row r="76532" spans="5:5" x14ac:dyDescent="0.25">
      <c r="E76532" s="49"/>
    </row>
    <row r="76558" spans="5:5" x14ac:dyDescent="0.25">
      <c r="E76558" s="49"/>
    </row>
    <row r="76575" spans="5:5" x14ac:dyDescent="0.25">
      <c r="E76575" s="49"/>
    </row>
    <row r="76600" spans="5:5" x14ac:dyDescent="0.25">
      <c r="E76600" s="49"/>
    </row>
    <row r="76765" spans="5:5" x14ac:dyDescent="0.25">
      <c r="E76765" s="49"/>
    </row>
    <row r="76790" spans="5:5" x14ac:dyDescent="0.25">
      <c r="E76790" s="49"/>
    </row>
    <row r="76793" spans="5:5" x14ac:dyDescent="0.25">
      <c r="E76793" s="49"/>
    </row>
    <row r="76824" spans="5:5" x14ac:dyDescent="0.25">
      <c r="E76824" s="49"/>
    </row>
    <row r="76887" spans="5:5" x14ac:dyDescent="0.25">
      <c r="E76887" s="49"/>
    </row>
    <row r="77001" spans="5:5" x14ac:dyDescent="0.25">
      <c r="E77001" s="49"/>
    </row>
    <row r="77022" spans="5:5" x14ac:dyDescent="0.25">
      <c r="E77022" s="49"/>
    </row>
    <row r="77097" spans="5:5" x14ac:dyDescent="0.25">
      <c r="E77097" s="49"/>
    </row>
    <row r="77098" spans="5:5" x14ac:dyDescent="0.25">
      <c r="E77098" s="49"/>
    </row>
    <row r="77275" spans="5:5" x14ac:dyDescent="0.25">
      <c r="E77275" s="49"/>
    </row>
    <row r="77293" spans="5:5" x14ac:dyDescent="0.25">
      <c r="E77293" s="49"/>
    </row>
    <row r="77305" spans="5:5" x14ac:dyDescent="0.25">
      <c r="E77305" s="49"/>
    </row>
    <row r="77383" spans="5:5" x14ac:dyDescent="0.25">
      <c r="E77383" s="49"/>
    </row>
    <row r="77393" spans="5:5" x14ac:dyDescent="0.25">
      <c r="E77393" s="49"/>
    </row>
    <row r="77396" spans="5:5" x14ac:dyDescent="0.25">
      <c r="E77396" s="49"/>
    </row>
    <row r="77413" spans="5:5" x14ac:dyDescent="0.25">
      <c r="E77413" s="49"/>
    </row>
    <row r="77440" spans="5:5" x14ac:dyDescent="0.25">
      <c r="E77440" s="49"/>
    </row>
    <row r="77451" spans="5:5" x14ac:dyDescent="0.25">
      <c r="E77451" s="49"/>
    </row>
    <row r="77463" spans="5:5" x14ac:dyDescent="0.25">
      <c r="E77463" s="49"/>
    </row>
    <row r="77647" spans="5:5" x14ac:dyDescent="0.25">
      <c r="E77647" s="49"/>
    </row>
    <row r="77722" spans="5:5" x14ac:dyDescent="0.25">
      <c r="E77722" s="49"/>
    </row>
    <row r="77734" spans="5:5" x14ac:dyDescent="0.25">
      <c r="E77734" s="49"/>
    </row>
    <row r="77743" spans="5:5" x14ac:dyDescent="0.25">
      <c r="E77743" s="49"/>
    </row>
    <row r="77759" spans="5:5" x14ac:dyDescent="0.25">
      <c r="E77759" s="49"/>
    </row>
    <row r="77848" spans="5:5" x14ac:dyDescent="0.25">
      <c r="E77848" s="49"/>
    </row>
    <row r="77872" spans="5:5" x14ac:dyDescent="0.25">
      <c r="E77872" s="49"/>
    </row>
    <row r="78130" spans="5:5" x14ac:dyDescent="0.25">
      <c r="E78130" s="49"/>
    </row>
    <row r="78142" spans="5:5" x14ac:dyDescent="0.25">
      <c r="E78142" s="49"/>
    </row>
    <row r="78153" spans="5:5" x14ac:dyDescent="0.25">
      <c r="E78153" s="49"/>
    </row>
    <row r="78176" spans="5:5" x14ac:dyDescent="0.25">
      <c r="E78176" s="49"/>
    </row>
    <row r="78177" spans="5:5" x14ac:dyDescent="0.25">
      <c r="E78177" s="49"/>
    </row>
    <row r="78179" spans="5:5" x14ac:dyDescent="0.25">
      <c r="E78179" s="49"/>
    </row>
    <row r="78182" spans="5:5" x14ac:dyDescent="0.25">
      <c r="E78182" s="49"/>
    </row>
    <row r="78188" spans="5:5" x14ac:dyDescent="0.25">
      <c r="E78188" s="49"/>
    </row>
    <row r="78210" spans="5:5" x14ac:dyDescent="0.25">
      <c r="E78210" s="49"/>
    </row>
    <row r="78213" spans="5:5" x14ac:dyDescent="0.25">
      <c r="E78213" s="49"/>
    </row>
    <row r="78238" spans="5:5" x14ac:dyDescent="0.25">
      <c r="E78238" s="49"/>
    </row>
    <row r="78250" spans="5:5" x14ac:dyDescent="0.25">
      <c r="E78250" s="49"/>
    </row>
    <row r="78251" spans="5:5" x14ac:dyDescent="0.25">
      <c r="E78251" s="49"/>
    </row>
    <row r="78305" spans="5:5" x14ac:dyDescent="0.25">
      <c r="E78305" s="49"/>
    </row>
    <row r="78350" spans="5:5" x14ac:dyDescent="0.25">
      <c r="E78350" s="49"/>
    </row>
    <row r="78351" spans="5:5" x14ac:dyDescent="0.25">
      <c r="E78351" s="49"/>
    </row>
    <row r="78354" spans="5:5" x14ac:dyDescent="0.25">
      <c r="E78354" s="49"/>
    </row>
    <row r="78550" spans="5:5" x14ac:dyDescent="0.25">
      <c r="E78550" s="49"/>
    </row>
    <row r="78562" spans="5:5" x14ac:dyDescent="0.25">
      <c r="E78562" s="49"/>
    </row>
    <row r="78583" spans="5:5" x14ac:dyDescent="0.25">
      <c r="E78583" s="49"/>
    </row>
    <row r="78587" spans="5:5" x14ac:dyDescent="0.25">
      <c r="E78587" s="49"/>
    </row>
    <row r="78595" spans="5:5" x14ac:dyDescent="0.25">
      <c r="E78595" s="49"/>
    </row>
    <row r="78627" spans="5:5" x14ac:dyDescent="0.25">
      <c r="E78627" s="49"/>
    </row>
    <row r="78628" spans="5:5" x14ac:dyDescent="0.25">
      <c r="E78628" s="49"/>
    </row>
    <row r="78639" spans="5:5" x14ac:dyDescent="0.25">
      <c r="E78639" s="49"/>
    </row>
    <row r="78652" spans="5:5" x14ac:dyDescent="0.25">
      <c r="E78652" s="49"/>
    </row>
    <row r="78769" spans="5:5" x14ac:dyDescent="0.25">
      <c r="E78769" s="49"/>
    </row>
    <row r="78778" spans="5:5" x14ac:dyDescent="0.25">
      <c r="E78778" s="49"/>
    </row>
    <row r="78785" spans="5:5" x14ac:dyDescent="0.25">
      <c r="E78785" s="49"/>
    </row>
    <row r="79050" spans="5:5" x14ac:dyDescent="0.25">
      <c r="E79050" s="49"/>
    </row>
    <row r="79138" spans="5:5" x14ac:dyDescent="0.25">
      <c r="E79138" s="49"/>
    </row>
    <row r="79142" spans="5:5" x14ac:dyDescent="0.25">
      <c r="E79142" s="49"/>
    </row>
    <row r="79144" spans="5:5" x14ac:dyDescent="0.25">
      <c r="E79144" s="49"/>
    </row>
    <row r="79179" spans="5:5" x14ac:dyDescent="0.25">
      <c r="E79179" s="49"/>
    </row>
    <row r="79243" spans="5:5" x14ac:dyDescent="0.25">
      <c r="E79243" s="49"/>
    </row>
    <row r="79264" spans="5:5" x14ac:dyDescent="0.25">
      <c r="E79264" s="49"/>
    </row>
    <row r="79317" spans="5:5" x14ac:dyDescent="0.25">
      <c r="E79317" s="49"/>
    </row>
    <row r="79350" spans="5:5" x14ac:dyDescent="0.25">
      <c r="E79350" s="49"/>
    </row>
    <row r="79355" spans="5:5" x14ac:dyDescent="0.25">
      <c r="E79355" s="49"/>
    </row>
    <row r="79389" spans="5:5" x14ac:dyDescent="0.25">
      <c r="E79389" s="49"/>
    </row>
    <row r="79471" spans="5:5" x14ac:dyDescent="0.25">
      <c r="E79471" s="49"/>
    </row>
    <row r="79784" spans="5:5" x14ac:dyDescent="0.25">
      <c r="E79784" s="49"/>
    </row>
    <row r="79833" spans="5:5" x14ac:dyDescent="0.25">
      <c r="E79833" s="49"/>
    </row>
    <row r="79834" spans="5:5" x14ac:dyDescent="0.25">
      <c r="E79834" s="49"/>
    </row>
    <row r="79835" spans="5:5" x14ac:dyDescent="0.25">
      <c r="E79835" s="49"/>
    </row>
    <row r="79892" spans="5:5" x14ac:dyDescent="0.25">
      <c r="E79892" s="49"/>
    </row>
    <row r="79923" spans="5:5" x14ac:dyDescent="0.25">
      <c r="E79923" s="49"/>
    </row>
    <row r="80035" spans="5:5" x14ac:dyDescent="0.25">
      <c r="E80035" s="49"/>
    </row>
    <row r="80057" spans="5:5" x14ac:dyDescent="0.25">
      <c r="E80057" s="49"/>
    </row>
    <row r="80251" spans="5:5" x14ac:dyDescent="0.25">
      <c r="E80251" s="49"/>
    </row>
    <row r="80265" spans="5:5" x14ac:dyDescent="0.25">
      <c r="E80265" s="49"/>
    </row>
    <row r="80325" spans="5:5" x14ac:dyDescent="0.25">
      <c r="E80325" s="49"/>
    </row>
    <row r="80387" spans="5:5" x14ac:dyDescent="0.25">
      <c r="E80387" s="49"/>
    </row>
    <row r="80429" spans="5:5" x14ac:dyDescent="0.25">
      <c r="E80429" s="49"/>
    </row>
    <row r="80453" spans="5:5" x14ac:dyDescent="0.25">
      <c r="E80453" s="49"/>
    </row>
    <row r="80480" spans="5:5" x14ac:dyDescent="0.25">
      <c r="E80480" s="49"/>
    </row>
    <row r="80512" spans="5:5" x14ac:dyDescent="0.25">
      <c r="E80512" s="49"/>
    </row>
    <row r="80735" spans="5:5" x14ac:dyDescent="0.25">
      <c r="E80735" s="49"/>
    </row>
    <row r="80781" spans="5:5" x14ac:dyDescent="0.25">
      <c r="E80781" s="49"/>
    </row>
    <row r="80875" spans="5:5" x14ac:dyDescent="0.25">
      <c r="E80875" s="49"/>
    </row>
    <row r="80880" spans="5:5" x14ac:dyDescent="0.25">
      <c r="E80880" s="49"/>
    </row>
    <row r="80903" spans="5:5" x14ac:dyDescent="0.25">
      <c r="E80903" s="49"/>
    </row>
    <row r="80909" spans="5:5" x14ac:dyDescent="0.25">
      <c r="E80909" s="49"/>
    </row>
    <row r="80940" spans="5:5" x14ac:dyDescent="0.25">
      <c r="E80940" s="49"/>
    </row>
    <row r="80961" spans="5:5" x14ac:dyDescent="0.25">
      <c r="E80961" s="49"/>
    </row>
    <row r="80962" spans="5:5" x14ac:dyDescent="0.25">
      <c r="E80962" s="49"/>
    </row>
    <row r="80965" spans="5:5" x14ac:dyDescent="0.25">
      <c r="E80965" s="49"/>
    </row>
    <row r="80983" spans="5:5" x14ac:dyDescent="0.25">
      <c r="E80983" s="49"/>
    </row>
    <row r="81185" spans="5:5" x14ac:dyDescent="0.25">
      <c r="E81185" s="49"/>
    </row>
    <row r="81203" spans="5:5" x14ac:dyDescent="0.25">
      <c r="E81203" s="49"/>
    </row>
    <row r="81217" spans="5:5" x14ac:dyDescent="0.25">
      <c r="E81217" s="49"/>
    </row>
    <row r="81271" spans="5:5" x14ac:dyDescent="0.25">
      <c r="E81271" s="49"/>
    </row>
    <row r="81316" spans="5:5" x14ac:dyDescent="0.25">
      <c r="E81316" s="49"/>
    </row>
    <row r="81353" spans="5:5" x14ac:dyDescent="0.25">
      <c r="E81353" s="49"/>
    </row>
    <row r="81424" spans="5:5" x14ac:dyDescent="0.25">
      <c r="E81424" s="49"/>
    </row>
    <row r="81440" spans="5:5" x14ac:dyDescent="0.25">
      <c r="E81440" s="49"/>
    </row>
    <row r="81654" spans="5:5" x14ac:dyDescent="0.25">
      <c r="E81654" s="49"/>
    </row>
    <row r="81755" spans="5:5" x14ac:dyDescent="0.25">
      <c r="E81755" s="49"/>
    </row>
    <row r="81768" spans="5:5" x14ac:dyDescent="0.25">
      <c r="E81768" s="49"/>
    </row>
    <row r="81795" spans="5:5" x14ac:dyDescent="0.25">
      <c r="E81795" s="49"/>
    </row>
    <row r="81798" spans="5:5" x14ac:dyDescent="0.25">
      <c r="E81798" s="49"/>
    </row>
    <row r="81845" spans="5:5" x14ac:dyDescent="0.25">
      <c r="E81845" s="49"/>
    </row>
    <row r="81849" spans="5:5" x14ac:dyDescent="0.25">
      <c r="E81849" s="49"/>
    </row>
    <row r="81878" spans="5:5" x14ac:dyDescent="0.25">
      <c r="E81878" s="49"/>
    </row>
    <row r="81919" spans="5:5" x14ac:dyDescent="0.25">
      <c r="E81919" s="49"/>
    </row>
    <row r="81927" spans="5:5" x14ac:dyDescent="0.25">
      <c r="E81927" s="49"/>
    </row>
    <row r="81948" spans="5:5" x14ac:dyDescent="0.25">
      <c r="E81948" s="49"/>
    </row>
    <row r="81959" spans="5:5" x14ac:dyDescent="0.25">
      <c r="E81959" s="49"/>
    </row>
    <row r="82292" spans="5:5" x14ac:dyDescent="0.25">
      <c r="E82292" s="49"/>
    </row>
    <row r="82302" spans="5:5" x14ac:dyDescent="0.25">
      <c r="E82302" s="49"/>
    </row>
    <row r="82314" spans="5:5" x14ac:dyDescent="0.25">
      <c r="E82314" s="49"/>
    </row>
    <row r="82331" spans="5:5" x14ac:dyDescent="0.25">
      <c r="E82331" s="49"/>
    </row>
    <row r="82339" spans="5:5" x14ac:dyDescent="0.25">
      <c r="E82339" s="49"/>
    </row>
    <row r="82367" spans="5:5" x14ac:dyDescent="0.25">
      <c r="E82367" s="49"/>
    </row>
    <row r="82596" spans="5:5" x14ac:dyDescent="0.25">
      <c r="E82596" s="49"/>
    </row>
    <row r="82597" spans="5:5" x14ac:dyDescent="0.25">
      <c r="E82597" s="49"/>
    </row>
    <row r="82598" spans="5:5" x14ac:dyDescent="0.25">
      <c r="E82598" s="49"/>
    </row>
    <row r="82601" spans="5:5" x14ac:dyDescent="0.25">
      <c r="E82601" s="49"/>
    </row>
    <row r="82644" spans="5:5" x14ac:dyDescent="0.25">
      <c r="E82644" s="49"/>
    </row>
    <row r="82646" spans="5:5" x14ac:dyDescent="0.25">
      <c r="E82646" s="49"/>
    </row>
    <row r="82650" spans="5:5" x14ac:dyDescent="0.25">
      <c r="E82650" s="49"/>
    </row>
    <row r="82659" spans="5:5" x14ac:dyDescent="0.25">
      <c r="E82659" s="49"/>
    </row>
    <row r="82676" spans="5:5" x14ac:dyDescent="0.25">
      <c r="E82676" s="49"/>
    </row>
    <row r="82681" spans="5:5" x14ac:dyDescent="0.25">
      <c r="E82681" s="49"/>
    </row>
    <row r="82699" spans="5:5" x14ac:dyDescent="0.25">
      <c r="E82699" s="49"/>
    </row>
    <row r="82765" spans="5:5" x14ac:dyDescent="0.25">
      <c r="E82765" s="49"/>
    </row>
    <row r="82767" spans="5:5" x14ac:dyDescent="0.25">
      <c r="E82767" s="49"/>
    </row>
    <row r="82847" spans="5:5" x14ac:dyDescent="0.25">
      <c r="E82847" s="49"/>
    </row>
    <row r="82857" spans="5:5" x14ac:dyDescent="0.25">
      <c r="E82857" s="49"/>
    </row>
    <row r="83071" spans="5:5" x14ac:dyDescent="0.25">
      <c r="E83071" s="49"/>
    </row>
    <row r="83081" spans="5:5" x14ac:dyDescent="0.25">
      <c r="E83081" s="49"/>
    </row>
    <row r="83117" spans="5:5" x14ac:dyDescent="0.25">
      <c r="E83117" s="49"/>
    </row>
    <row r="83157" spans="5:5" x14ac:dyDescent="0.25">
      <c r="E83157" s="49"/>
    </row>
    <row r="83203" spans="5:5" x14ac:dyDescent="0.25">
      <c r="E83203" s="49"/>
    </row>
    <row r="83241" spans="5:5" x14ac:dyDescent="0.25">
      <c r="E83241" s="49"/>
    </row>
    <row r="83256" spans="5:5" x14ac:dyDescent="0.25">
      <c r="E83256" s="49"/>
    </row>
    <row r="83374" spans="5:5" x14ac:dyDescent="0.25">
      <c r="E83374" s="49"/>
    </row>
    <row r="83399" spans="5:5" x14ac:dyDescent="0.25">
      <c r="E83399" s="49"/>
    </row>
    <row r="83457" spans="5:5" x14ac:dyDescent="0.25">
      <c r="E83457" s="49"/>
    </row>
    <row r="83467" spans="5:5" x14ac:dyDescent="0.25">
      <c r="E83467" s="49"/>
    </row>
    <row r="83479" spans="5:5" x14ac:dyDescent="0.25">
      <c r="E83479" s="49"/>
    </row>
    <row r="83487" spans="5:5" x14ac:dyDescent="0.25">
      <c r="E83487" s="49"/>
    </row>
    <row r="83817" spans="5:5" x14ac:dyDescent="0.25">
      <c r="E83817" s="49"/>
    </row>
    <row r="83818" spans="5:5" x14ac:dyDescent="0.25">
      <c r="E83818" s="49"/>
    </row>
    <row r="83824" spans="5:5" x14ac:dyDescent="0.25">
      <c r="E83824" s="49"/>
    </row>
    <row r="83829" spans="5:5" x14ac:dyDescent="0.25">
      <c r="E83829" s="49"/>
    </row>
    <row r="83878" spans="5:5" x14ac:dyDescent="0.25">
      <c r="E83878" s="49"/>
    </row>
    <row r="83919" spans="5:5" x14ac:dyDescent="0.25">
      <c r="E83919" s="49"/>
    </row>
    <row r="83921" spans="5:5" x14ac:dyDescent="0.25">
      <c r="E83921" s="49"/>
    </row>
    <row r="83977" spans="5:5" x14ac:dyDescent="0.25">
      <c r="E83977" s="49"/>
    </row>
    <row r="83997" spans="5:5" x14ac:dyDescent="0.25">
      <c r="E83997" s="49"/>
    </row>
    <row r="83998" spans="5:5" x14ac:dyDescent="0.25">
      <c r="E83998" s="49"/>
    </row>
    <row r="84061" spans="5:5" x14ac:dyDescent="0.25">
      <c r="E84061" s="49"/>
    </row>
    <row r="84108" spans="5:5" x14ac:dyDescent="0.25">
      <c r="E84108" s="49"/>
    </row>
    <row r="84127" spans="5:5" x14ac:dyDescent="0.25">
      <c r="E84127" s="49"/>
    </row>
    <row r="84153" spans="5:5" x14ac:dyDescent="0.25">
      <c r="E84153" s="49"/>
    </row>
    <row r="84154" spans="5:5" x14ac:dyDescent="0.25">
      <c r="E84154" s="49"/>
    </row>
    <row r="84159" spans="5:5" x14ac:dyDescent="0.25">
      <c r="E84159" s="49"/>
    </row>
    <row r="84165" spans="5:5" x14ac:dyDescent="0.25">
      <c r="E84165" s="49"/>
    </row>
    <row r="84167" spans="5:5" x14ac:dyDescent="0.25">
      <c r="E84167" s="49"/>
    </row>
    <row r="84587" spans="5:5" x14ac:dyDescent="0.25">
      <c r="E84587" s="49"/>
    </row>
    <row r="84588" spans="5:5" x14ac:dyDescent="0.25">
      <c r="E84588" s="49"/>
    </row>
    <row r="84593" spans="5:5" x14ac:dyDescent="0.25">
      <c r="E84593" s="49"/>
    </row>
    <row r="84611" spans="5:5" x14ac:dyDescent="0.25">
      <c r="E84611" s="49"/>
    </row>
    <row r="84646" spans="5:5" x14ac:dyDescent="0.25">
      <c r="E84646" s="49"/>
    </row>
    <row r="84666" spans="5:5" x14ac:dyDescent="0.25">
      <c r="E84666" s="49"/>
    </row>
    <row r="84693" spans="5:5" x14ac:dyDescent="0.25">
      <c r="E84693" s="49"/>
    </row>
    <row r="84719" spans="5:5" x14ac:dyDescent="0.25">
      <c r="E84719" s="49"/>
    </row>
    <row r="84722" spans="5:5" x14ac:dyDescent="0.25">
      <c r="E84722" s="49"/>
    </row>
    <row r="84726" spans="5:5" x14ac:dyDescent="0.25">
      <c r="E84726" s="49"/>
    </row>
    <row r="84737" spans="5:5" x14ac:dyDescent="0.25">
      <c r="E84737" s="49"/>
    </row>
    <row r="84770" spans="5:5" x14ac:dyDescent="0.25">
      <c r="E84770" s="49"/>
    </row>
    <row r="84801" spans="5:5" x14ac:dyDescent="0.25">
      <c r="E84801" s="49"/>
    </row>
    <row r="84829" spans="5:5" x14ac:dyDescent="0.25">
      <c r="E84829" s="49"/>
    </row>
    <row r="84894" spans="5:5" x14ac:dyDescent="0.25">
      <c r="E84894" s="49"/>
    </row>
    <row r="84913" spans="5:5" x14ac:dyDescent="0.25">
      <c r="E84913" s="49"/>
    </row>
    <row r="85320" spans="5:5" x14ac:dyDescent="0.25">
      <c r="E85320" s="49"/>
    </row>
    <row r="85333" spans="5:5" x14ac:dyDescent="0.25">
      <c r="E85333" s="49"/>
    </row>
    <row r="85337" spans="5:5" x14ac:dyDescent="0.25">
      <c r="E85337" s="49"/>
    </row>
    <row r="85338" spans="5:5" x14ac:dyDescent="0.25">
      <c r="E85338" s="49"/>
    </row>
    <row r="85362" spans="5:5" x14ac:dyDescent="0.25">
      <c r="E85362" s="49"/>
    </row>
    <row r="85363" spans="5:5" x14ac:dyDescent="0.25">
      <c r="E85363" s="49"/>
    </row>
    <row r="85401" spans="5:5" x14ac:dyDescent="0.25">
      <c r="E85401" s="49"/>
    </row>
    <row r="85432" spans="5:5" x14ac:dyDescent="0.25">
      <c r="E85432" s="49"/>
    </row>
    <row r="85453" spans="5:5" x14ac:dyDescent="0.25">
      <c r="E85453" s="49"/>
    </row>
    <row r="85536" spans="5:5" x14ac:dyDescent="0.25">
      <c r="E85536" s="49"/>
    </row>
    <row r="85591" spans="5:5" x14ac:dyDescent="0.25">
      <c r="E85591" s="49"/>
    </row>
    <row r="85609" spans="5:5" x14ac:dyDescent="0.25">
      <c r="E85609" s="49"/>
    </row>
    <row r="85632" spans="5:5" x14ac:dyDescent="0.25">
      <c r="E85632" s="49"/>
    </row>
    <row r="85708" spans="5:5" x14ac:dyDescent="0.25">
      <c r="E85708" s="49"/>
    </row>
    <row r="85717" spans="5:5" x14ac:dyDescent="0.25">
      <c r="E85717" s="49"/>
    </row>
    <row r="85743" spans="5:5" x14ac:dyDescent="0.25">
      <c r="E85743" s="49"/>
    </row>
    <row r="85788" spans="5:5" x14ac:dyDescent="0.25">
      <c r="E85788" s="49"/>
    </row>
    <row r="85816" spans="5:5" x14ac:dyDescent="0.25">
      <c r="E85816" s="49"/>
    </row>
    <row r="85817" spans="5:5" x14ac:dyDescent="0.25">
      <c r="E85817" s="49"/>
    </row>
    <row r="85842" spans="5:5" x14ac:dyDescent="0.25">
      <c r="E85842" s="49"/>
    </row>
    <row r="85882" spans="5:5" x14ac:dyDescent="0.25">
      <c r="E85882" s="49"/>
    </row>
    <row r="85889" spans="5:5" x14ac:dyDescent="0.25">
      <c r="E85889" s="49"/>
    </row>
    <row r="85899" spans="5:5" x14ac:dyDescent="0.25">
      <c r="E85899" s="49"/>
    </row>
    <row r="85900" spans="5:5" x14ac:dyDescent="0.25">
      <c r="E85900" s="49"/>
    </row>
    <row r="85947" spans="5:5" x14ac:dyDescent="0.25">
      <c r="E85947" s="49"/>
    </row>
    <row r="86403" spans="5:5" x14ac:dyDescent="0.25">
      <c r="E86403" s="49"/>
    </row>
    <row r="86428" spans="5:5" x14ac:dyDescent="0.25">
      <c r="E86428" s="49"/>
    </row>
    <row r="86483" spans="5:5" x14ac:dyDescent="0.25">
      <c r="E86483" s="49"/>
    </row>
    <row r="86540" spans="5:5" x14ac:dyDescent="0.25">
      <c r="E86540" s="49"/>
    </row>
    <row r="86561" spans="5:5" x14ac:dyDescent="0.25">
      <c r="E86561" s="49"/>
    </row>
    <row r="86607" spans="5:5" x14ac:dyDescent="0.25">
      <c r="E86607" s="49"/>
    </row>
    <row r="86624" spans="5:5" x14ac:dyDescent="0.25">
      <c r="E86624" s="49"/>
    </row>
    <row r="86656" spans="5:5" x14ac:dyDescent="0.25">
      <c r="E86656" s="49"/>
    </row>
    <row r="86663" spans="5:5" x14ac:dyDescent="0.25">
      <c r="E86663" s="49"/>
    </row>
    <row r="86695" spans="5:5" x14ac:dyDescent="0.25">
      <c r="E86695" s="49"/>
    </row>
    <row r="86712" spans="5:5" x14ac:dyDescent="0.25">
      <c r="E86712" s="49"/>
    </row>
    <row r="86746" spans="5:5" x14ac:dyDescent="0.25">
      <c r="E86746" s="49"/>
    </row>
    <row r="86836" spans="5:5" x14ac:dyDescent="0.25">
      <c r="E86836" s="49"/>
    </row>
    <row r="86850" spans="5:5" x14ac:dyDescent="0.25">
      <c r="E86850" s="49"/>
    </row>
    <row r="86914" spans="5:5" x14ac:dyDescent="0.25">
      <c r="E86914" s="49"/>
    </row>
    <row r="86975" spans="5:5" x14ac:dyDescent="0.25">
      <c r="E86975" s="49"/>
    </row>
    <row r="87002" spans="5:5" x14ac:dyDescent="0.25">
      <c r="E87002" s="49"/>
    </row>
    <row r="87062" spans="5:5" x14ac:dyDescent="0.25">
      <c r="E87062" s="49"/>
    </row>
    <row r="87065" spans="5:5" x14ac:dyDescent="0.25">
      <c r="E87065" s="49"/>
    </row>
    <row r="87512" spans="5:5" x14ac:dyDescent="0.25">
      <c r="E87512" s="49"/>
    </row>
    <row r="87541" spans="5:5" x14ac:dyDescent="0.25">
      <c r="E87541" s="49"/>
    </row>
    <row r="87571" spans="5:5" x14ac:dyDescent="0.25">
      <c r="E87571" s="49"/>
    </row>
    <row r="87572" spans="5:5" x14ac:dyDescent="0.25">
      <c r="E87572" s="49"/>
    </row>
    <row r="87635" spans="5:5" x14ac:dyDescent="0.25">
      <c r="E87635" s="49"/>
    </row>
    <row r="87636" spans="5:5" x14ac:dyDescent="0.25">
      <c r="E87636" s="49"/>
    </row>
    <row r="87642" spans="5:5" x14ac:dyDescent="0.25">
      <c r="E87642" s="49"/>
    </row>
    <row r="87708" spans="5:5" x14ac:dyDescent="0.25">
      <c r="E87708" s="49"/>
    </row>
    <row r="87722" spans="5:5" x14ac:dyDescent="0.25">
      <c r="E87722" s="49"/>
    </row>
    <row r="87796" spans="5:5" x14ac:dyDescent="0.25">
      <c r="E87796" s="49"/>
    </row>
    <row r="87828" spans="5:5" x14ac:dyDescent="0.25">
      <c r="E87828" s="49"/>
    </row>
    <row r="87859" spans="5:5" x14ac:dyDescent="0.25">
      <c r="E87859" s="49"/>
    </row>
    <row r="87897" spans="5:5" x14ac:dyDescent="0.25">
      <c r="E87897" s="49"/>
    </row>
    <row r="87907" spans="5:5" x14ac:dyDescent="0.25">
      <c r="E87907" s="49"/>
    </row>
    <row r="88090" spans="5:5" x14ac:dyDescent="0.25">
      <c r="E88090" s="49"/>
    </row>
    <row r="88094" spans="5:5" x14ac:dyDescent="0.25">
      <c r="E88094" s="49"/>
    </row>
    <row r="88136" spans="5:5" x14ac:dyDescent="0.25">
      <c r="E88136" s="49"/>
    </row>
    <row r="88138" spans="5:5" x14ac:dyDescent="0.25">
      <c r="E88138" s="49"/>
    </row>
    <row r="88139" spans="5:5" x14ac:dyDescent="0.25">
      <c r="E88139" s="49"/>
    </row>
    <row r="88666" spans="5:5" x14ac:dyDescent="0.25">
      <c r="E88666" s="49"/>
    </row>
    <row r="88667" spans="5:5" x14ac:dyDescent="0.25">
      <c r="E88667" s="49"/>
    </row>
    <row r="88668" spans="5:5" x14ac:dyDescent="0.25">
      <c r="E88668" s="49"/>
    </row>
    <row r="88669" spans="5:5" x14ac:dyDescent="0.25">
      <c r="E88669" s="49"/>
    </row>
    <row r="88685" spans="5:5" x14ac:dyDescent="0.25">
      <c r="E88685" s="49"/>
    </row>
    <row r="88690" spans="5:5" x14ac:dyDescent="0.25">
      <c r="E88690" s="49"/>
    </row>
    <row r="88692" spans="5:5" x14ac:dyDescent="0.25">
      <c r="E88692" s="49"/>
    </row>
    <row r="88703" spans="5:5" x14ac:dyDescent="0.25">
      <c r="E88703" s="49"/>
    </row>
    <row r="88712" spans="5:5" x14ac:dyDescent="0.25">
      <c r="E88712" s="49"/>
    </row>
    <row r="88753" spans="5:5" x14ac:dyDescent="0.25">
      <c r="E88753" s="49"/>
    </row>
    <row r="88754" spans="5:5" x14ac:dyDescent="0.25">
      <c r="E88754" s="49"/>
    </row>
    <row r="88808" spans="5:5" x14ac:dyDescent="0.25">
      <c r="E88808" s="49"/>
    </row>
    <row r="88839" spans="5:5" x14ac:dyDescent="0.25">
      <c r="E88839" s="49"/>
    </row>
    <row r="88840" spans="5:5" x14ac:dyDescent="0.25">
      <c r="E88840" s="49"/>
    </row>
    <row r="88885" spans="5:5" x14ac:dyDescent="0.25">
      <c r="E88885" s="49"/>
    </row>
    <row r="88913" spans="5:5" x14ac:dyDescent="0.25">
      <c r="E88913" s="49"/>
    </row>
    <row r="88914" spans="5:5" x14ac:dyDescent="0.25">
      <c r="E88914" s="49"/>
    </row>
    <row r="88944" spans="5:5" x14ac:dyDescent="0.25">
      <c r="E88944" s="49"/>
    </row>
    <row r="88948" spans="5:5" x14ac:dyDescent="0.25">
      <c r="E88948" s="49"/>
    </row>
    <row r="88950" spans="5:5" x14ac:dyDescent="0.25">
      <c r="E88950" s="49"/>
    </row>
    <row r="88952" spans="5:5" x14ac:dyDescent="0.25">
      <c r="E88952" s="49"/>
    </row>
    <row r="89042" spans="5:5" x14ac:dyDescent="0.25">
      <c r="E89042" s="49"/>
    </row>
    <row r="89044" spans="5:5" x14ac:dyDescent="0.25">
      <c r="E89044" s="49"/>
    </row>
    <row r="89048" spans="5:5" x14ac:dyDescent="0.25">
      <c r="E89048" s="49"/>
    </row>
    <row r="89113" spans="5:5" x14ac:dyDescent="0.25">
      <c r="E89113" s="49"/>
    </row>
    <row r="89130" spans="5:5" x14ac:dyDescent="0.25">
      <c r="E89130" s="49"/>
    </row>
    <row r="89139" spans="5:5" x14ac:dyDescent="0.25">
      <c r="E89139" s="49"/>
    </row>
    <row r="89148" spans="5:5" x14ac:dyDescent="0.25">
      <c r="E89148" s="49"/>
    </row>
    <row r="89208" spans="5:5" x14ac:dyDescent="0.25">
      <c r="E89208" s="49"/>
    </row>
    <row r="89212" spans="5:5" x14ac:dyDescent="0.25">
      <c r="E89212" s="49"/>
    </row>
    <row r="89245" spans="5:5" x14ac:dyDescent="0.25">
      <c r="E89245" s="49"/>
    </row>
    <row r="89277" spans="5:5" x14ac:dyDescent="0.25">
      <c r="E89277" s="49"/>
    </row>
    <row r="89307" spans="5:5" x14ac:dyDescent="0.25">
      <c r="E89307" s="49"/>
    </row>
    <row r="89312" spans="5:5" x14ac:dyDescent="0.25">
      <c r="E89312" s="49"/>
    </row>
    <row r="89458" spans="5:5" x14ac:dyDescent="0.25">
      <c r="E89458" s="49"/>
    </row>
    <row r="89485" spans="5:5" x14ac:dyDescent="0.25">
      <c r="E89485" s="49"/>
    </row>
    <row r="89486" spans="5:5" x14ac:dyDescent="0.25">
      <c r="E89486" s="49"/>
    </row>
    <row r="90132" spans="5:5" x14ac:dyDescent="0.25">
      <c r="E90132" s="49"/>
    </row>
    <row r="90233" spans="5:5" x14ac:dyDescent="0.25">
      <c r="E90233" s="49"/>
    </row>
    <row r="90261" spans="5:5" x14ac:dyDescent="0.25">
      <c r="E90261" s="49"/>
    </row>
    <row r="90362" spans="5:5" x14ac:dyDescent="0.25">
      <c r="E90362" s="49"/>
    </row>
    <row r="90364" spans="5:5" x14ac:dyDescent="0.25">
      <c r="E90364" s="49"/>
    </row>
    <row r="90366" spans="5:5" x14ac:dyDescent="0.25">
      <c r="E90366" s="49"/>
    </row>
    <row r="90367" spans="5:5" x14ac:dyDescent="0.25">
      <c r="E90367" s="49"/>
    </row>
    <row r="90383" spans="5:5" x14ac:dyDescent="0.25">
      <c r="E90383" s="49"/>
    </row>
    <row r="90401" spans="5:5" x14ac:dyDescent="0.25">
      <c r="E90401" s="49"/>
    </row>
    <row r="90476" spans="5:5" x14ac:dyDescent="0.25">
      <c r="E90476" s="49"/>
    </row>
    <row r="90480" spans="5:5" x14ac:dyDescent="0.25">
      <c r="E90480" s="49"/>
    </row>
    <row r="90529" spans="5:5" x14ac:dyDescent="0.25">
      <c r="E90529" s="49"/>
    </row>
    <row r="90559" spans="5:5" x14ac:dyDescent="0.25">
      <c r="E90559" s="49"/>
    </row>
    <row r="90568" spans="5:5" x14ac:dyDescent="0.25">
      <c r="E90568" s="49"/>
    </row>
    <row r="90708" spans="5:5" x14ac:dyDescent="0.25">
      <c r="E90708" s="49"/>
    </row>
    <row r="90771" spans="5:5" x14ac:dyDescent="0.25">
      <c r="E90771" s="49"/>
    </row>
    <row r="90775" spans="5:5" x14ac:dyDescent="0.25">
      <c r="E90775" s="49"/>
    </row>
    <row r="90784" spans="5:5" x14ac:dyDescent="0.25">
      <c r="E90784" s="49"/>
    </row>
    <row r="90795" spans="5:5" x14ac:dyDescent="0.25">
      <c r="E90795" s="49"/>
    </row>
    <row r="90817" spans="5:5" x14ac:dyDescent="0.25">
      <c r="E90817" s="49"/>
    </row>
    <row r="90828" spans="5:5" x14ac:dyDescent="0.25">
      <c r="E90828" s="49"/>
    </row>
    <row r="90878" spans="5:5" x14ac:dyDescent="0.25">
      <c r="E90878" s="49"/>
    </row>
    <row r="90883" spans="5:5" x14ac:dyDescent="0.25">
      <c r="E90883" s="49"/>
    </row>
    <row r="90917" spans="5:5" x14ac:dyDescent="0.25">
      <c r="E90917" s="49"/>
    </row>
    <row r="90921" spans="5:5" x14ac:dyDescent="0.25">
      <c r="E90921" s="49"/>
    </row>
    <row r="90940" spans="5:5" x14ac:dyDescent="0.25">
      <c r="E90940" s="49"/>
    </row>
    <row r="91060" spans="5:5" x14ac:dyDescent="0.25">
      <c r="E91060" s="49"/>
    </row>
    <row r="91061" spans="5:5" x14ac:dyDescent="0.25">
      <c r="E91061" s="49"/>
    </row>
    <row r="91062" spans="5:5" x14ac:dyDescent="0.25">
      <c r="E91062" s="49"/>
    </row>
    <row r="91133" spans="5:5" x14ac:dyDescent="0.25">
      <c r="E91133" s="49"/>
    </row>
    <row r="91198" spans="5:5" x14ac:dyDescent="0.25">
      <c r="E91198" s="49"/>
    </row>
    <row r="91200" spans="5:5" x14ac:dyDescent="0.25">
      <c r="E91200" s="49"/>
    </row>
    <row r="91203" spans="5:5" x14ac:dyDescent="0.25">
      <c r="E91203" s="49"/>
    </row>
    <row r="91204" spans="5:5" x14ac:dyDescent="0.25">
      <c r="E91204" s="49"/>
    </row>
    <row r="91224" spans="5:5" x14ac:dyDescent="0.25">
      <c r="E91224" s="49"/>
    </row>
    <row r="91226" spans="5:5" x14ac:dyDescent="0.25">
      <c r="E91226" s="49"/>
    </row>
    <row r="91249" spans="5:5" x14ac:dyDescent="0.25">
      <c r="E91249" s="49"/>
    </row>
    <row r="91255" spans="5:5" x14ac:dyDescent="0.25">
      <c r="E91255" s="49"/>
    </row>
    <row r="91354" spans="5:5" x14ac:dyDescent="0.25">
      <c r="E91354" s="49"/>
    </row>
    <row r="92318" spans="5:5" x14ac:dyDescent="0.25">
      <c r="E92318" s="49"/>
    </row>
    <row r="92333" spans="5:5" x14ac:dyDescent="0.25">
      <c r="E92333" s="49"/>
    </row>
    <row r="92402" spans="5:5" x14ac:dyDescent="0.25">
      <c r="E92402" s="49"/>
    </row>
    <row r="92403" spans="5:5" x14ac:dyDescent="0.25">
      <c r="E92403" s="49"/>
    </row>
    <row r="92406" spans="5:5" x14ac:dyDescent="0.25">
      <c r="E92406" s="49"/>
    </row>
    <row r="92434" spans="5:5" x14ac:dyDescent="0.25">
      <c r="E92434" s="49"/>
    </row>
    <row r="92497" spans="5:5" x14ac:dyDescent="0.25">
      <c r="E92497" s="49"/>
    </row>
    <row r="92510" spans="5:5" x14ac:dyDescent="0.25">
      <c r="E92510" s="49"/>
    </row>
    <row r="92552" spans="5:5" x14ac:dyDescent="0.25">
      <c r="E92552" s="49"/>
    </row>
    <row r="92556" spans="5:5" x14ac:dyDescent="0.25">
      <c r="E92556" s="49"/>
    </row>
    <row r="92586" spans="5:5" x14ac:dyDescent="0.25">
      <c r="E92586" s="49"/>
    </row>
    <row r="92676" spans="5:5" x14ac:dyDescent="0.25">
      <c r="E92676" s="49"/>
    </row>
    <row r="92682" spans="5:5" x14ac:dyDescent="0.25">
      <c r="E92682" s="49"/>
    </row>
    <row r="92714" spans="5:5" x14ac:dyDescent="0.25">
      <c r="E92714" s="49"/>
    </row>
    <row r="92715" spans="5:5" x14ac:dyDescent="0.25">
      <c r="E92715" s="49"/>
    </row>
    <row r="92724" spans="5:5" x14ac:dyDescent="0.25">
      <c r="E92724" s="49"/>
    </row>
    <row r="92763" spans="5:5" x14ac:dyDescent="0.25">
      <c r="E92763" s="49"/>
    </row>
    <row r="92815" spans="5:5" x14ac:dyDescent="0.25">
      <c r="E92815" s="49"/>
    </row>
    <row r="92816" spans="5:5" x14ac:dyDescent="0.25">
      <c r="E92816" s="49"/>
    </row>
    <row r="92853" spans="5:5" x14ac:dyDescent="0.25">
      <c r="E92853" s="49"/>
    </row>
    <row r="92876" spans="5:5" x14ac:dyDescent="0.25">
      <c r="E92876" s="49"/>
    </row>
    <row r="92944" spans="5:5" x14ac:dyDescent="0.25">
      <c r="E92944" s="49"/>
    </row>
    <row r="92963" spans="5:5" x14ac:dyDescent="0.25">
      <c r="E92963" s="49"/>
    </row>
    <row r="93015" spans="5:5" x14ac:dyDescent="0.25">
      <c r="E93015" s="49"/>
    </row>
    <row r="93030" spans="5:5" x14ac:dyDescent="0.25">
      <c r="E93030" s="49"/>
    </row>
    <row r="93083" spans="5:5" x14ac:dyDescent="0.25">
      <c r="E93083" s="49"/>
    </row>
    <row r="93084" spans="5:5" x14ac:dyDescent="0.25">
      <c r="E93084" s="49"/>
    </row>
    <row r="93086" spans="5:5" x14ac:dyDescent="0.25">
      <c r="E93086" s="49"/>
    </row>
    <row r="93087" spans="5:5" x14ac:dyDescent="0.25">
      <c r="E93087" s="49"/>
    </row>
    <row r="93113" spans="5:5" x14ac:dyDescent="0.25">
      <c r="E93113" s="49"/>
    </row>
    <row r="93123" spans="5:5" x14ac:dyDescent="0.25">
      <c r="E93123" s="49"/>
    </row>
    <row r="93167" spans="5:5" x14ac:dyDescent="0.25">
      <c r="E93167" s="49"/>
    </row>
    <row r="93168" spans="5:5" x14ac:dyDescent="0.25">
      <c r="E93168" s="49"/>
    </row>
    <row r="93227" spans="5:5" x14ac:dyDescent="0.25">
      <c r="E93227" s="49"/>
    </row>
    <row r="93229" spans="5:5" x14ac:dyDescent="0.25">
      <c r="E93229" s="49"/>
    </row>
    <row r="93230" spans="5:5" x14ac:dyDescent="0.25">
      <c r="E93230" s="49"/>
    </row>
    <row r="93254" spans="5:5" x14ac:dyDescent="0.25">
      <c r="E93254" s="49"/>
    </row>
    <row r="93287" spans="5:5" x14ac:dyDescent="0.25">
      <c r="E93287" s="49"/>
    </row>
    <row r="93312" spans="5:5" x14ac:dyDescent="0.25">
      <c r="E93312" s="49"/>
    </row>
    <row r="93381" spans="5:5" x14ac:dyDescent="0.25">
      <c r="E93381" s="49"/>
    </row>
    <row r="93386" spans="5:5" x14ac:dyDescent="0.25">
      <c r="E93386" s="49"/>
    </row>
    <row r="93420" spans="5:5" x14ac:dyDescent="0.25">
      <c r="E93420" s="49"/>
    </row>
    <row r="93454" spans="5:5" x14ac:dyDescent="0.25">
      <c r="E93454" s="49"/>
    </row>
    <row r="93513" spans="5:5" x14ac:dyDescent="0.25">
      <c r="E93513" s="49"/>
    </row>
    <row r="93572" spans="5:5" x14ac:dyDescent="0.25">
      <c r="E93572" s="49"/>
    </row>
    <row r="93588" spans="5:5" x14ac:dyDescent="0.25">
      <c r="E93588" s="49"/>
    </row>
    <row r="93652" spans="5:5" x14ac:dyDescent="0.25">
      <c r="E93652" s="49"/>
    </row>
    <row r="93656" spans="5:5" x14ac:dyDescent="0.25">
      <c r="E93656" s="49"/>
    </row>
    <row r="93657" spans="5:5" x14ac:dyDescent="0.25">
      <c r="E93657" s="49"/>
    </row>
    <row r="94507" spans="6:6" x14ac:dyDescent="0.25">
      <c r="F94507" s="49"/>
    </row>
    <row r="94511" spans="6:6" x14ac:dyDescent="0.25">
      <c r="F94511" s="49"/>
    </row>
    <row r="94536" spans="6:6" x14ac:dyDescent="0.25">
      <c r="F94536" s="49"/>
    </row>
    <row r="94646" spans="6:6" x14ac:dyDescent="0.25">
      <c r="F94646" s="49"/>
    </row>
    <row r="94648" spans="6:6" x14ac:dyDescent="0.25">
      <c r="F94648" s="49"/>
    </row>
    <row r="94651" spans="6:6" x14ac:dyDescent="0.25">
      <c r="F94651" s="49"/>
    </row>
    <row r="94654" spans="6:6" x14ac:dyDescent="0.25">
      <c r="F94654" s="49"/>
    </row>
    <row r="94733" spans="6:6" x14ac:dyDescent="0.25">
      <c r="F94733" s="49"/>
    </row>
    <row r="94734" spans="6:6" x14ac:dyDescent="0.25">
      <c r="F94734" s="49"/>
    </row>
    <row r="94797" spans="6:6" x14ac:dyDescent="0.25">
      <c r="F94797" s="49"/>
    </row>
    <row r="94799" spans="6:6" x14ac:dyDescent="0.25">
      <c r="F94799" s="49"/>
    </row>
    <row r="94828" spans="6:6" x14ac:dyDescent="0.25">
      <c r="F94828" s="49"/>
    </row>
    <row r="94849" spans="6:6" x14ac:dyDescent="0.25">
      <c r="F94849" s="49"/>
    </row>
    <row r="94914" spans="6:6" x14ac:dyDescent="0.25">
      <c r="F94914" s="49"/>
    </row>
    <row r="94924" spans="6:6" x14ac:dyDescent="0.25">
      <c r="F94924" s="49"/>
    </row>
    <row r="95044" spans="6:6" x14ac:dyDescent="0.25">
      <c r="F95044" s="49"/>
    </row>
    <row r="95046" spans="6:6" x14ac:dyDescent="0.25">
      <c r="F95046" s="49"/>
    </row>
    <row r="95049" spans="6:6" x14ac:dyDescent="0.25">
      <c r="F95049" s="49"/>
    </row>
    <row r="95050" spans="6:6" x14ac:dyDescent="0.25">
      <c r="F95050" s="49"/>
    </row>
    <row r="95080" spans="6:6" x14ac:dyDescent="0.25">
      <c r="F95080" s="49"/>
    </row>
    <row r="95090" spans="6:6" x14ac:dyDescent="0.25">
      <c r="F95090" s="49"/>
    </row>
    <row r="95160" spans="6:6" x14ac:dyDescent="0.25">
      <c r="F95160" s="49"/>
    </row>
    <row r="95161" spans="6:6" x14ac:dyDescent="0.25">
      <c r="F95161" s="49"/>
    </row>
    <row r="95162" spans="6:6" x14ac:dyDescent="0.25">
      <c r="F95162" s="49"/>
    </row>
    <row r="95163" spans="6:6" x14ac:dyDescent="0.25">
      <c r="F95163" s="49"/>
    </row>
    <row r="95165" spans="6:6" x14ac:dyDescent="0.25">
      <c r="F95165" s="49"/>
    </row>
    <row r="95181" spans="6:6" x14ac:dyDescent="0.25">
      <c r="F95181" s="49"/>
    </row>
    <row r="95274" spans="6:6" x14ac:dyDescent="0.25">
      <c r="F95274" s="49"/>
    </row>
    <row r="95275" spans="6:6" x14ac:dyDescent="0.25">
      <c r="F95275" s="49"/>
    </row>
    <row r="95276" spans="6:6" x14ac:dyDescent="0.25">
      <c r="F95276" s="49"/>
    </row>
    <row r="95397" spans="6:6" x14ac:dyDescent="0.25">
      <c r="F95397" s="49"/>
    </row>
    <row r="95401" spans="6:6" x14ac:dyDescent="0.25">
      <c r="F95401" s="49"/>
    </row>
    <row r="95403" spans="6:6" x14ac:dyDescent="0.25">
      <c r="F95403" s="49"/>
    </row>
    <row r="95467" spans="6:6" x14ac:dyDescent="0.25">
      <c r="F95467" s="49"/>
    </row>
    <row r="95522" spans="6:6" x14ac:dyDescent="0.25">
      <c r="F95522" s="49"/>
    </row>
    <row r="95525" spans="6:6" x14ac:dyDescent="0.25">
      <c r="F95525" s="49"/>
    </row>
    <row r="95578" spans="6:6" x14ac:dyDescent="0.25">
      <c r="F95578" s="49"/>
    </row>
    <row r="95641" spans="6:6" x14ac:dyDescent="0.25">
      <c r="F95641" s="49"/>
    </row>
    <row r="95642" spans="6:6" x14ac:dyDescent="0.25">
      <c r="F95642" s="49"/>
    </row>
    <row r="95644" spans="6:6" x14ac:dyDescent="0.25">
      <c r="F95644" s="49"/>
    </row>
    <row r="95645" spans="6:6" x14ac:dyDescent="0.25">
      <c r="F95645" s="49"/>
    </row>
    <row r="95648" spans="6:6" x14ac:dyDescent="0.25">
      <c r="F95648" s="49"/>
    </row>
    <row r="95649" spans="6:6" x14ac:dyDescent="0.25">
      <c r="F95649" s="49"/>
    </row>
    <row r="95677" spans="6:6" x14ac:dyDescent="0.25">
      <c r="F95677" s="49"/>
    </row>
    <row r="95781" spans="6:6" x14ac:dyDescent="0.25">
      <c r="F95781" s="49"/>
    </row>
    <row r="95782" spans="6:6" x14ac:dyDescent="0.25">
      <c r="F95782" s="49"/>
    </row>
    <row r="95828" spans="6:6" x14ac:dyDescent="0.25">
      <c r="F95828" s="49"/>
    </row>
    <row r="95846" spans="6:6" x14ac:dyDescent="0.25">
      <c r="F95846" s="49"/>
    </row>
    <row r="95904" spans="6:6" x14ac:dyDescent="0.25">
      <c r="F95904" s="49"/>
    </row>
    <row r="95957" spans="6:6" x14ac:dyDescent="0.25">
      <c r="F95957" s="49"/>
    </row>
    <row r="95961" spans="6:6" x14ac:dyDescent="0.25">
      <c r="F95961" s="49"/>
    </row>
    <row r="95990" spans="6:6" x14ac:dyDescent="0.25">
      <c r="F95990" s="49"/>
    </row>
    <row r="96004" spans="6:6" x14ac:dyDescent="0.25">
      <c r="F96004" s="49"/>
    </row>
    <row r="96051" spans="6:6" x14ac:dyDescent="0.25">
      <c r="F96051" s="49"/>
    </row>
    <row r="96105" spans="6:6" x14ac:dyDescent="0.25">
      <c r="F96105" s="49"/>
    </row>
    <row r="96186" spans="6:6" x14ac:dyDescent="0.25">
      <c r="F96186" s="49"/>
    </row>
    <row r="96188" spans="6:6" x14ac:dyDescent="0.25">
      <c r="F96188" s="49"/>
    </row>
    <row r="96240" spans="6:6" x14ac:dyDescent="0.25">
      <c r="F96240" s="49"/>
    </row>
    <row r="96289" spans="6:6" x14ac:dyDescent="0.25">
      <c r="F96289" s="49"/>
    </row>
    <row r="96394" spans="6:6" x14ac:dyDescent="0.25">
      <c r="F96394" s="49"/>
    </row>
    <row r="96478" spans="6:6" x14ac:dyDescent="0.25">
      <c r="F96478" s="49"/>
    </row>
    <row r="96485" spans="6:6" x14ac:dyDescent="0.25">
      <c r="F96485" s="49"/>
    </row>
    <row r="96507" spans="6:6" x14ac:dyDescent="0.25">
      <c r="F96507" s="49"/>
    </row>
    <row r="96515" spans="6:6" x14ac:dyDescent="0.25">
      <c r="F96515" s="49"/>
    </row>
    <row r="96554" spans="6:6" x14ac:dyDescent="0.25">
      <c r="F96554" s="49"/>
    </row>
    <row r="97762" spans="5:5" x14ac:dyDescent="0.25">
      <c r="E97762" s="49"/>
    </row>
    <row r="97763" spans="5:5" x14ac:dyDescent="0.25">
      <c r="E97763" s="49"/>
    </row>
    <row r="97767" spans="5:5" x14ac:dyDescent="0.25">
      <c r="E97767" s="49"/>
    </row>
    <row r="97772" spans="5:5" x14ac:dyDescent="0.25">
      <c r="E97772" s="49"/>
    </row>
    <row r="97799" spans="5:5" x14ac:dyDescent="0.25">
      <c r="E97799" s="49"/>
    </row>
    <row r="97866" spans="5:5" x14ac:dyDescent="0.25">
      <c r="E97866" s="49"/>
    </row>
    <row r="97867" spans="5:5" x14ac:dyDescent="0.25">
      <c r="E97867" s="49"/>
    </row>
    <row r="97907" spans="5:5" x14ac:dyDescent="0.25">
      <c r="E97907" s="49"/>
    </row>
    <row r="97938" spans="5:5" x14ac:dyDescent="0.25">
      <c r="E97938" s="49"/>
    </row>
    <row r="97942" spans="5:5" x14ac:dyDescent="0.25">
      <c r="E97942" s="49"/>
    </row>
    <row r="97959" spans="5:5" x14ac:dyDescent="0.25">
      <c r="E97959" s="49"/>
    </row>
    <row r="97965" spans="5:5" x14ac:dyDescent="0.25">
      <c r="E97965" s="49"/>
    </row>
    <row r="98009" spans="5:5" x14ac:dyDescent="0.25">
      <c r="E98009" s="49"/>
    </row>
    <row r="98011" spans="5:5" x14ac:dyDescent="0.25">
      <c r="E98011" s="49"/>
    </row>
    <row r="98167" spans="5:5" x14ac:dyDescent="0.25">
      <c r="E98167" s="49"/>
    </row>
    <row r="98182" spans="5:5" x14ac:dyDescent="0.25">
      <c r="E98182" s="49"/>
    </row>
    <row r="98206" spans="5:5" x14ac:dyDescent="0.25">
      <c r="E98206" s="49"/>
    </row>
    <row r="98227" spans="5:5" x14ac:dyDescent="0.25">
      <c r="E98227" s="49"/>
    </row>
    <row r="98238" spans="5:5" x14ac:dyDescent="0.25">
      <c r="E98238" s="49"/>
    </row>
    <row r="98266" spans="5:5" x14ac:dyDescent="0.25">
      <c r="E98266" s="49"/>
    </row>
    <row r="98270" spans="5:5" x14ac:dyDescent="0.25">
      <c r="E98270" s="49"/>
    </row>
    <row r="98310" spans="5:5" x14ac:dyDescent="0.25">
      <c r="E98310" s="49"/>
    </row>
    <row r="98312" spans="5:5" x14ac:dyDescent="0.25">
      <c r="E98312" s="49"/>
    </row>
    <row r="98337" spans="5:5" x14ac:dyDescent="0.25">
      <c r="E98337" s="49"/>
    </row>
    <row r="98349" spans="5:5" x14ac:dyDescent="0.25">
      <c r="E98349" s="49"/>
    </row>
    <row r="98350" spans="5:5" x14ac:dyDescent="0.25">
      <c r="E98350" s="49"/>
    </row>
    <row r="98455" spans="5:5" x14ac:dyDescent="0.25">
      <c r="E98455" s="49"/>
    </row>
    <row r="98507" spans="5:5" x14ac:dyDescent="0.25">
      <c r="E98507" s="49"/>
    </row>
    <row r="98533" spans="5:5" x14ac:dyDescent="0.25">
      <c r="E98533" s="49"/>
    </row>
    <row r="98574" spans="5:5" x14ac:dyDescent="0.25">
      <c r="E98574" s="49"/>
    </row>
    <row r="98646" spans="5:5" x14ac:dyDescent="0.25">
      <c r="E98646" s="49"/>
    </row>
    <row r="98647" spans="5:5" x14ac:dyDescent="0.25">
      <c r="E98647" s="49"/>
    </row>
    <row r="98706" spans="5:5" x14ac:dyDescent="0.25">
      <c r="E98706" s="49"/>
    </row>
    <row r="98742" spans="5:5" x14ac:dyDescent="0.25">
      <c r="E98742" s="49"/>
    </row>
    <row r="98743" spans="5:5" x14ac:dyDescent="0.25">
      <c r="E98743" s="49"/>
    </row>
    <row r="98745" spans="5:5" x14ac:dyDescent="0.25">
      <c r="E98745" s="49"/>
    </row>
    <row r="98746" spans="5:5" x14ac:dyDescent="0.25">
      <c r="E98746" s="49"/>
    </row>
    <row r="98747" spans="5:5" x14ac:dyDescent="0.25">
      <c r="E98747" s="49"/>
    </row>
    <row r="98772" spans="5:5" x14ac:dyDescent="0.25">
      <c r="E98772" s="49"/>
    </row>
    <row r="98823" spans="5:5" x14ac:dyDescent="0.25">
      <c r="E98823" s="49"/>
    </row>
    <row r="98830" spans="5:5" x14ac:dyDescent="0.25">
      <c r="E98830" s="49"/>
    </row>
    <row r="98841" spans="5:5" x14ac:dyDescent="0.25">
      <c r="E98841" s="49"/>
    </row>
    <row r="98894" spans="5:5" x14ac:dyDescent="0.25">
      <c r="E98894" s="49"/>
    </row>
    <row r="98927" spans="5:5" x14ac:dyDescent="0.25">
      <c r="E98927" s="49"/>
    </row>
    <row r="98964" spans="5:5" x14ac:dyDescent="0.25">
      <c r="E98964" s="49"/>
    </row>
    <row r="99015" spans="5:5" x14ac:dyDescent="0.25">
      <c r="E99015" s="49"/>
    </row>
    <row r="99056" spans="5:5" x14ac:dyDescent="0.25">
      <c r="E99056" s="49"/>
    </row>
    <row r="99058" spans="5:5" x14ac:dyDescent="0.25">
      <c r="E99058" s="49"/>
    </row>
    <row r="99099" spans="5:5" x14ac:dyDescent="0.25">
      <c r="E99099" s="49"/>
    </row>
    <row r="99124" spans="5:5" x14ac:dyDescent="0.25">
      <c r="E99124" s="49"/>
    </row>
    <row r="100235" spans="5:5" x14ac:dyDescent="0.25">
      <c r="E100235" s="49"/>
    </row>
    <row r="100274" spans="5:5" x14ac:dyDescent="0.25">
      <c r="E100274" s="49"/>
    </row>
    <row r="100277" spans="5:5" x14ac:dyDescent="0.25">
      <c r="E100277" s="49"/>
    </row>
    <row r="100310" spans="5:5" x14ac:dyDescent="0.25">
      <c r="E100310" s="49"/>
    </row>
    <row r="100355" spans="5:5" x14ac:dyDescent="0.25">
      <c r="E100355" s="49"/>
    </row>
    <row r="100375" spans="5:5" x14ac:dyDescent="0.25">
      <c r="E100375" s="49"/>
    </row>
    <row r="100422" spans="5:5" x14ac:dyDescent="0.25">
      <c r="E100422" s="49"/>
    </row>
    <row r="100446" spans="5:5" x14ac:dyDescent="0.25">
      <c r="E100446" s="49"/>
    </row>
    <row r="100447" spans="5:5" x14ac:dyDescent="0.25">
      <c r="E100447" s="49"/>
    </row>
    <row r="100475" spans="5:5" x14ac:dyDescent="0.25">
      <c r="E100475" s="49"/>
    </row>
    <row r="100586" spans="5:5" x14ac:dyDescent="0.25">
      <c r="E100586" s="49"/>
    </row>
    <row r="100588" spans="5:5" x14ac:dyDescent="0.25">
      <c r="E100588" s="49"/>
    </row>
    <row r="100589" spans="5:5" x14ac:dyDescent="0.25">
      <c r="E100589" s="49"/>
    </row>
    <row r="100660" spans="5:5" x14ac:dyDescent="0.25">
      <c r="E100660" s="49"/>
    </row>
    <row r="100696" spans="5:5" x14ac:dyDescent="0.25">
      <c r="E100696" s="49"/>
    </row>
    <row r="100736" spans="5:5" x14ac:dyDescent="0.25">
      <c r="E100736" s="49"/>
    </row>
    <row r="100738" spans="5:5" x14ac:dyDescent="0.25">
      <c r="E100738" s="49"/>
    </row>
    <row r="100740" spans="5:5" x14ac:dyDescent="0.25">
      <c r="E100740" s="49"/>
    </row>
    <row r="100809" spans="5:5" x14ac:dyDescent="0.25">
      <c r="E100809" s="49"/>
    </row>
    <row r="100878" spans="5:5" x14ac:dyDescent="0.25">
      <c r="E100878" s="49"/>
    </row>
    <row r="100916" spans="5:5" x14ac:dyDescent="0.25">
      <c r="E100916" s="49"/>
    </row>
    <row r="100948" spans="5:5" x14ac:dyDescent="0.25">
      <c r="E100948" s="49"/>
    </row>
    <row r="101007" spans="5:5" x14ac:dyDescent="0.25">
      <c r="E101007" s="49"/>
    </row>
    <row r="101008" spans="5:5" x14ac:dyDescent="0.25">
      <c r="E101008" s="49"/>
    </row>
    <row r="101047" spans="5:5" x14ac:dyDescent="0.25">
      <c r="E101047" s="49"/>
    </row>
    <row r="101068" spans="5:5" x14ac:dyDescent="0.25">
      <c r="E101068" s="49"/>
    </row>
    <row r="101077" spans="5:5" x14ac:dyDescent="0.25">
      <c r="E101077" s="49"/>
    </row>
    <row r="101097" spans="5:5" x14ac:dyDescent="0.25">
      <c r="E101097" s="49"/>
    </row>
    <row r="101104" spans="5:5" x14ac:dyDescent="0.25">
      <c r="E101104" s="49"/>
    </row>
    <row r="101111" spans="5:5" x14ac:dyDescent="0.25">
      <c r="E101111" s="49"/>
    </row>
    <row r="101125" spans="5:5" x14ac:dyDescent="0.25">
      <c r="E101125" s="49"/>
    </row>
    <row r="101171" spans="5:5" x14ac:dyDescent="0.25">
      <c r="E101171" s="49"/>
    </row>
    <row r="101207" spans="5:5" x14ac:dyDescent="0.25">
      <c r="E101207" s="49"/>
    </row>
    <row r="101250" spans="5:5" x14ac:dyDescent="0.25">
      <c r="E101250" s="49"/>
    </row>
    <row r="101267" spans="5:5" x14ac:dyDescent="0.25">
      <c r="E101267" s="49"/>
    </row>
    <row r="101317" spans="5:5" x14ac:dyDescent="0.25">
      <c r="E101317" s="49"/>
    </row>
    <row r="101319" spans="5:5" x14ac:dyDescent="0.25">
      <c r="E101319" s="49"/>
    </row>
    <row r="101321" spans="5:5" x14ac:dyDescent="0.25">
      <c r="E101321" s="49"/>
    </row>
    <row r="101323" spans="5:5" x14ac:dyDescent="0.25">
      <c r="E101323" s="49"/>
    </row>
    <row r="101324" spans="5:5" x14ac:dyDescent="0.25">
      <c r="E101324" s="49"/>
    </row>
    <row r="101392" spans="5:5" x14ac:dyDescent="0.25">
      <c r="E101392" s="49"/>
    </row>
    <row r="101398" spans="5:5" x14ac:dyDescent="0.25">
      <c r="E101398" s="49"/>
    </row>
    <row r="101412" spans="5:5" x14ac:dyDescent="0.25">
      <c r="E101412" s="49"/>
    </row>
    <row r="101434" spans="5:5" x14ac:dyDescent="0.25">
      <c r="E101434" s="49"/>
    </row>
    <row r="101468" spans="5:5" x14ac:dyDescent="0.25">
      <c r="E101468" s="49"/>
    </row>
    <row r="101607" spans="5:5" x14ac:dyDescent="0.25">
      <c r="E101607" s="49"/>
    </row>
    <row r="101609" spans="5:5" x14ac:dyDescent="0.25">
      <c r="E101609" s="49"/>
    </row>
    <row r="101610" spans="5:5" x14ac:dyDescent="0.25">
      <c r="E101610" s="49"/>
    </row>
    <row r="102614" spans="5:5" x14ac:dyDescent="0.25">
      <c r="E102614" s="49"/>
    </row>
    <row r="102634" spans="5:5" x14ac:dyDescent="0.25">
      <c r="E102634" s="49"/>
    </row>
    <row r="102637" spans="5:5" x14ac:dyDescent="0.25">
      <c r="E102637" s="49"/>
    </row>
    <row r="102703" spans="5:5" x14ac:dyDescent="0.25">
      <c r="E102703" s="49"/>
    </row>
    <row r="102707" spans="5:5" x14ac:dyDescent="0.25">
      <c r="E102707" s="49"/>
    </row>
    <row r="102709" spans="5:5" x14ac:dyDescent="0.25">
      <c r="E102709" s="49"/>
    </row>
    <row r="102731" spans="5:5" x14ac:dyDescent="0.25">
      <c r="E102731" s="49"/>
    </row>
    <row r="102752" spans="5:5" x14ac:dyDescent="0.25">
      <c r="E102752" s="49"/>
    </row>
    <row r="102906" spans="5:5" x14ac:dyDescent="0.25">
      <c r="E102906" s="49"/>
    </row>
    <row r="102907" spans="5:5" x14ac:dyDescent="0.25">
      <c r="E102907" s="49"/>
    </row>
    <row r="102909" spans="5:5" x14ac:dyDescent="0.25">
      <c r="E102909" s="49"/>
    </row>
    <row r="102948" spans="5:5" x14ac:dyDescent="0.25">
      <c r="E102948" s="49"/>
    </row>
    <row r="102959" spans="5:5" x14ac:dyDescent="0.25">
      <c r="E102959" s="49"/>
    </row>
    <row r="102984" spans="5:5" x14ac:dyDescent="0.25">
      <c r="E102984" s="49"/>
    </row>
    <row r="102988" spans="5:5" x14ac:dyDescent="0.25">
      <c r="E102988" s="49"/>
    </row>
    <row r="103074" spans="5:5" x14ac:dyDescent="0.25">
      <c r="E103074" s="49"/>
    </row>
    <row r="103180" spans="5:5" x14ac:dyDescent="0.25">
      <c r="E103180" s="49"/>
    </row>
    <row r="103264" spans="5:5" x14ac:dyDescent="0.25">
      <c r="E103264" s="49"/>
    </row>
    <row r="103265" spans="5:5" x14ac:dyDescent="0.25">
      <c r="E103265" s="49"/>
    </row>
    <row r="103267" spans="5:5" x14ac:dyDescent="0.25">
      <c r="E103267" s="49"/>
    </row>
    <row r="103268" spans="5:5" x14ac:dyDescent="0.25">
      <c r="E103268" s="49"/>
    </row>
    <row r="103307" spans="5:5" x14ac:dyDescent="0.25">
      <c r="E103307" s="49"/>
    </row>
    <row r="103312" spans="5:5" x14ac:dyDescent="0.25">
      <c r="E103312" s="49"/>
    </row>
    <row r="103373" spans="5:5" x14ac:dyDescent="0.25">
      <c r="E103373" s="49"/>
    </row>
    <row r="103589" spans="5:5" x14ac:dyDescent="0.25">
      <c r="E103589" s="49"/>
    </row>
    <row r="103632" spans="5:5" x14ac:dyDescent="0.25">
      <c r="E103632" s="49"/>
    </row>
    <row r="103635" spans="5:5" x14ac:dyDescent="0.25">
      <c r="E103635" s="49"/>
    </row>
    <row r="103743" spans="5:5" x14ac:dyDescent="0.25">
      <c r="E103743" s="49"/>
    </row>
    <row r="103836" spans="5:5" x14ac:dyDescent="0.25">
      <c r="E103836" s="49"/>
    </row>
    <row r="103837" spans="5:5" x14ac:dyDescent="0.25">
      <c r="E103837" s="49"/>
    </row>
    <row r="103838" spans="5:5" x14ac:dyDescent="0.25">
      <c r="E103838" s="49"/>
    </row>
    <row r="103876" spans="5:5" x14ac:dyDescent="0.25">
      <c r="E103876" s="49"/>
    </row>
    <row r="103881" spans="5:5" x14ac:dyDescent="0.25">
      <c r="E103881" s="49"/>
    </row>
    <row r="103927" spans="5:5" x14ac:dyDescent="0.25">
      <c r="E103927" s="49"/>
    </row>
    <row r="104022" spans="5:5" x14ac:dyDescent="0.25">
      <c r="E104022" s="49"/>
    </row>
    <row r="104024" spans="5:5" x14ac:dyDescent="0.25">
      <c r="E104024" s="49"/>
    </row>
    <row r="104054" spans="5:5" x14ac:dyDescent="0.25">
      <c r="E104054" s="49"/>
    </row>
    <row r="104059" spans="5:5" x14ac:dyDescent="0.25">
      <c r="E104059" s="49"/>
    </row>
    <row r="104220" spans="5:5" x14ac:dyDescent="0.25">
      <c r="E104220" s="49"/>
    </row>
    <row r="104226" spans="5:5" x14ac:dyDescent="0.25">
      <c r="E104226" s="49"/>
    </row>
    <row r="104260" spans="5:5" x14ac:dyDescent="0.25">
      <c r="E104260" s="49"/>
    </row>
    <row r="104294" spans="5:5" x14ac:dyDescent="0.25">
      <c r="E104294" s="49"/>
    </row>
    <row r="104309" spans="5:5" x14ac:dyDescent="0.25">
      <c r="E104309" s="49"/>
    </row>
    <row r="104320" spans="5:5" x14ac:dyDescent="0.25">
      <c r="E104320" s="49"/>
    </row>
    <row r="104407" spans="5:5" x14ac:dyDescent="0.25">
      <c r="E104407" s="49"/>
    </row>
    <row r="104409" spans="5:5" x14ac:dyDescent="0.25">
      <c r="E104409" s="49"/>
    </row>
    <row r="104414" spans="5:5" x14ac:dyDescent="0.25">
      <c r="E104414" s="49"/>
    </row>
  </sheetData>
  <mergeCells count="1">
    <mergeCell ref="A1:D1"/>
  </mergeCells>
  <dataValidations count="1">
    <dataValidation allowBlank="1" errorTitle="Invalid character" error="A folder name can't contain any of the following characters:_x000a_/ \ : * ? &quot; &lt; &gt; |" promptTitle="Folder name" prompt="Each cell contains the name of a folder. Each of these folders will become a subfolder of the cell value at it's left (going left and up to find the the first non empty cell)._x000a__x000a_A folder name can't contain any of the following characters:_x000a_/ \ : * ? &quot; &lt; &gt; |" sqref="A1:XFD1048576"/>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ImportFolderStructure">
                <anchor moveWithCells="1" sizeWithCells="1">
                  <from>
                    <xdr:col>4</xdr:col>
                    <xdr:colOff>104775</xdr:colOff>
                    <xdr:row>0</xdr:row>
                    <xdr:rowOff>57150</xdr:rowOff>
                  </from>
                  <to>
                    <xdr:col>8</xdr:col>
                    <xdr:colOff>0</xdr:colOff>
                    <xdr:row>0</xdr:row>
                    <xdr:rowOff>561975</xdr:rowOff>
                  </to>
                </anchor>
              </controlPr>
            </control>
          </mc:Choice>
        </mc:AlternateContent>
        <mc:AlternateContent xmlns:mc="http://schemas.openxmlformats.org/markup-compatibility/2006">
          <mc:Choice Requires="x14">
            <control shapeId="15362" r:id="rId5" name="Button 2">
              <controlPr defaultSize="0" print="0" autoFill="0" autoPict="0" macro="[0]!clearImportData">
                <anchor moveWithCells="1" sizeWithCells="1">
                  <from>
                    <xdr:col>8</xdr:col>
                    <xdr:colOff>247650</xdr:colOff>
                    <xdr:row>0</xdr:row>
                    <xdr:rowOff>342900</xdr:rowOff>
                  </from>
                  <to>
                    <xdr:col>10</xdr:col>
                    <xdr:colOff>523875</xdr:colOff>
                    <xdr:row>0</xdr:row>
                    <xdr:rowOff>561975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
  <sheetViews>
    <sheetView workbookViewId="0">
      <selection activeCell="A3" sqref="A3"/>
    </sheetView>
  </sheetViews>
  <sheetFormatPr defaultRowHeight="12.75" x14ac:dyDescent="0.2"/>
  <sheetData>
    <row r="1" spans="1:1" x14ac:dyDescent="0.2">
      <c r="A1" s="18" t="s">
        <v>6</v>
      </c>
    </row>
    <row r="2" spans="1:1" x14ac:dyDescent="0.2">
      <c r="A2" s="18" t="s">
        <v>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4"/>
  <sheetViews>
    <sheetView workbookViewId="0">
      <selection activeCell="D7" sqref="D7"/>
    </sheetView>
  </sheetViews>
  <sheetFormatPr defaultRowHeight="15" outlineLevelRow="1" x14ac:dyDescent="0.25"/>
  <cols>
    <col min="1" max="1" width="14.140625" style="23" customWidth="1"/>
    <col min="2" max="3" width="9.140625" style="23"/>
    <col min="4" max="4" width="28.85546875" style="23" customWidth="1"/>
    <col min="5" max="5" width="32.85546875" style="23" customWidth="1"/>
    <col min="6" max="16384" width="9.140625" style="23"/>
  </cols>
  <sheetData>
    <row r="1" spans="1:5" s="25" customFormat="1" x14ac:dyDescent="0.25">
      <c r="A1" s="25" t="s">
        <v>17</v>
      </c>
    </row>
    <row r="2" spans="1:5" outlineLevel="1" x14ac:dyDescent="0.25">
      <c r="A2" s="29" t="s">
        <v>11</v>
      </c>
      <c r="B2" s="30" t="s">
        <v>8</v>
      </c>
      <c r="C2" s="30" t="s">
        <v>13</v>
      </c>
    </row>
    <row r="3" spans="1:5" outlineLevel="1" x14ac:dyDescent="0.25">
      <c r="A3" s="31" t="s">
        <v>12</v>
      </c>
      <c r="B3" s="32" t="s">
        <v>9</v>
      </c>
      <c r="C3" s="32" t="s">
        <v>14</v>
      </c>
    </row>
    <row r="4" spans="1:5" outlineLevel="1" x14ac:dyDescent="0.25">
      <c r="A4" s="31"/>
      <c r="B4" s="32" t="s">
        <v>10</v>
      </c>
      <c r="C4" s="32" t="s">
        <v>15</v>
      </c>
    </row>
    <row r="5" spans="1:5" outlineLevel="1" x14ac:dyDescent="0.25"/>
    <row r="6" spans="1:5" outlineLevel="1" x14ac:dyDescent="0.25"/>
    <row r="7" spans="1:5" outlineLevel="1" x14ac:dyDescent="0.25"/>
    <row r="8" spans="1:5" outlineLevel="1" x14ac:dyDescent="0.25">
      <c r="A8" s="24" t="s">
        <v>18</v>
      </c>
      <c r="E8" s="35" t="s">
        <v>22</v>
      </c>
    </row>
    <row r="9" spans="1:5" outlineLevel="1" x14ac:dyDescent="0.25">
      <c r="D9" s="23" t="s">
        <v>20</v>
      </c>
      <c r="E9" s="28" t="str">
        <f>SearchHLookup(D9,$B$3:$C$4,$B$2:$C$2,1)</f>
        <v>Fruits</v>
      </c>
    </row>
    <row r="10" spans="1:5" outlineLevel="1" x14ac:dyDescent="0.25">
      <c r="D10" s="23" t="s">
        <v>21</v>
      </c>
      <c r="E10" s="28" t="str">
        <f>SearchHLookup(D10,$B$3:$C$4,$B$2:$C$2,1)</f>
        <v>Animals</v>
      </c>
    </row>
    <row r="11" spans="1:5" outlineLevel="1" x14ac:dyDescent="0.25"/>
    <row r="12" spans="1:5" outlineLevel="1" x14ac:dyDescent="0.25"/>
    <row r="13" spans="1:5" s="25" customFormat="1" x14ac:dyDescent="0.25">
      <c r="A13" s="25" t="s">
        <v>16</v>
      </c>
    </row>
    <row r="14" spans="1:5" outlineLevel="1" x14ac:dyDescent="0.25">
      <c r="A14" s="29" t="s">
        <v>11</v>
      </c>
      <c r="B14" s="33" t="s">
        <v>12</v>
      </c>
      <c r="C14" s="33"/>
    </row>
    <row r="15" spans="1:5" outlineLevel="1" x14ac:dyDescent="0.25">
      <c r="A15" s="34" t="s">
        <v>8</v>
      </c>
      <c r="B15" s="32" t="s">
        <v>9</v>
      </c>
      <c r="C15" s="32" t="s">
        <v>10</v>
      </c>
    </row>
    <row r="16" spans="1:5" outlineLevel="1" x14ac:dyDescent="0.25">
      <c r="A16" s="34" t="s">
        <v>13</v>
      </c>
      <c r="B16" s="32" t="s">
        <v>14</v>
      </c>
      <c r="C16" s="32" t="s">
        <v>15</v>
      </c>
    </row>
    <row r="17" spans="1:5" outlineLevel="1" x14ac:dyDescent="0.25"/>
    <row r="18" spans="1:5" outlineLevel="1" x14ac:dyDescent="0.25"/>
    <row r="19" spans="1:5" outlineLevel="1" x14ac:dyDescent="0.25"/>
    <row r="20" spans="1:5" outlineLevel="1" x14ac:dyDescent="0.25">
      <c r="A20" s="24" t="s">
        <v>19</v>
      </c>
      <c r="E20" s="35" t="s">
        <v>22</v>
      </c>
    </row>
    <row r="21" spans="1:5" outlineLevel="1" x14ac:dyDescent="0.25">
      <c r="D21" s="23" t="s">
        <v>20</v>
      </c>
      <c r="E21" s="28" t="str">
        <f>SearchVLookup(D21,$B$15:$C$16,$A$15:$A$16,1)</f>
        <v>Fruits</v>
      </c>
    </row>
    <row r="22" spans="1:5" outlineLevel="1" x14ac:dyDescent="0.25">
      <c r="D22" s="23" t="s">
        <v>21</v>
      </c>
      <c r="E22" s="28" t="str">
        <f>SearchVLookup(D22,$B$15:$C$16,$A$15:$A$16,1)</f>
        <v>Animals</v>
      </c>
    </row>
    <row r="23" spans="1:5" outlineLevel="1" x14ac:dyDescent="0.25"/>
    <row r="24" spans="1:5" outlineLevel="1" x14ac:dyDescent="0.25"/>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25"/>
  <sheetViews>
    <sheetView workbookViewId="0">
      <selection activeCell="B23" sqref="B23"/>
    </sheetView>
  </sheetViews>
  <sheetFormatPr defaultRowHeight="12.75" x14ac:dyDescent="0.2"/>
  <cols>
    <col min="1" max="1" width="28.42578125" customWidth="1"/>
    <col min="2" max="2" width="35.7109375" customWidth="1"/>
    <col min="3" max="3" width="75.42578125" customWidth="1"/>
    <col min="4" max="4" width="55.28515625" customWidth="1"/>
  </cols>
  <sheetData>
    <row r="1" spans="1:4" ht="59.25" customHeight="1" x14ac:dyDescent="0.2">
      <c r="A1" s="45" t="s">
        <v>45</v>
      </c>
      <c r="B1" s="45"/>
      <c r="C1" s="45"/>
    </row>
    <row r="3" spans="1:4" x14ac:dyDescent="0.2">
      <c r="A3" s="18" t="s">
        <v>23</v>
      </c>
      <c r="C3" s="27" t="s">
        <v>24</v>
      </c>
      <c r="D3" s="26"/>
    </row>
    <row r="5" spans="1:4" x14ac:dyDescent="0.2">
      <c r="A5" s="36" t="s">
        <v>46</v>
      </c>
    </row>
    <row r="6" spans="1:4" x14ac:dyDescent="0.2">
      <c r="A6" s="42" t="s">
        <v>25</v>
      </c>
      <c r="B6" s="26">
        <v>20</v>
      </c>
    </row>
    <row r="7" spans="1:4" x14ac:dyDescent="0.2">
      <c r="A7" s="42" t="s">
        <v>26</v>
      </c>
      <c r="B7" s="26">
        <v>2</v>
      </c>
    </row>
    <row r="8" spans="1:4" x14ac:dyDescent="0.2">
      <c r="A8" s="42" t="s">
        <v>38</v>
      </c>
      <c r="B8" s="26">
        <v>3</v>
      </c>
    </row>
    <row r="9" spans="1:4" x14ac:dyDescent="0.2">
      <c r="A9" s="42" t="s">
        <v>28</v>
      </c>
      <c r="B9" s="41" t="s">
        <v>27</v>
      </c>
    </row>
    <row r="10" spans="1:4" x14ac:dyDescent="0.2">
      <c r="A10" s="42" t="s">
        <v>39</v>
      </c>
      <c r="B10" s="41" t="s">
        <v>40</v>
      </c>
    </row>
    <row r="11" spans="1:4" ht="20.25" customHeight="1" x14ac:dyDescent="0.2"/>
    <row r="13" spans="1:4" ht="15.75" customHeight="1" x14ac:dyDescent="0.2"/>
    <row r="15" spans="1:4" ht="19.5" customHeight="1" x14ac:dyDescent="0.2"/>
    <row r="16" spans="1:4" ht="12.75" customHeight="1" x14ac:dyDescent="0.2">
      <c r="A16" s="40"/>
      <c r="B16" s="40"/>
      <c r="C16" s="40"/>
    </row>
    <row r="18" spans="2:3" x14ac:dyDescent="0.2">
      <c r="B18" s="36" t="s">
        <v>44</v>
      </c>
    </row>
    <row r="20" spans="2:3" x14ac:dyDescent="0.2">
      <c r="B20" s="39" t="s">
        <v>29</v>
      </c>
      <c r="C20" s="37" t="s">
        <v>41</v>
      </c>
    </row>
    <row r="21" spans="2:3" ht="25.5" x14ac:dyDescent="0.2">
      <c r="B21" s="39" t="s">
        <v>30</v>
      </c>
      <c r="C21" s="38" t="s">
        <v>42</v>
      </c>
    </row>
    <row r="22" spans="2:3" x14ac:dyDescent="0.2">
      <c r="B22" s="39" t="s">
        <v>31</v>
      </c>
      <c r="C22" s="37" t="s">
        <v>35</v>
      </c>
    </row>
    <row r="23" spans="2:3" x14ac:dyDescent="0.2">
      <c r="B23" s="39" t="s">
        <v>32</v>
      </c>
      <c r="C23" s="37" t="s">
        <v>43</v>
      </c>
    </row>
    <row r="24" spans="2:3" x14ac:dyDescent="0.2">
      <c r="B24" s="39" t="s">
        <v>33</v>
      </c>
      <c r="C24" s="37" t="s">
        <v>36</v>
      </c>
    </row>
    <row r="25" spans="2:3" x14ac:dyDescent="0.2">
      <c r="B25" s="39" t="s">
        <v>34</v>
      </c>
      <c r="C25" s="37" t="s">
        <v>37</v>
      </c>
    </row>
  </sheetData>
  <mergeCells count="1">
    <mergeCell ref="A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OpenFolderSelectionDialog">
                <anchor moveWithCells="1" sizeWithCells="1">
                  <from>
                    <xdr:col>1</xdr:col>
                    <xdr:colOff>95250</xdr:colOff>
                    <xdr:row>2</xdr:row>
                    <xdr:rowOff>9525</xdr:rowOff>
                  </from>
                  <to>
                    <xdr:col>2</xdr:col>
                    <xdr:colOff>581025</xdr:colOff>
                    <xdr:row>3</xdr:row>
                    <xdr:rowOff>123825</xdr:rowOff>
                  </to>
                </anchor>
              </controlPr>
            </control>
          </mc:Choice>
        </mc:AlternateContent>
        <mc:AlternateContent xmlns:mc="http://schemas.openxmlformats.org/markup-compatibility/2006">
          <mc:Choice Requires="x14">
            <control shapeId="14338" r:id="rId5" name="Button 2">
              <controlPr defaultSize="0" print="0" autoFill="0" autoPict="0" macro="[0]!ExportFile">
                <anchor moveWithCells="1" sizeWithCells="1">
                  <from>
                    <xdr:col>0</xdr:col>
                    <xdr:colOff>85725</xdr:colOff>
                    <xdr:row>11</xdr:row>
                    <xdr:rowOff>28575</xdr:rowOff>
                  </from>
                  <to>
                    <xdr:col>1</xdr:col>
                    <xdr:colOff>171450</xdr:colOff>
                    <xdr:row>14</xdr:row>
                    <xdr:rowOff>171450</xdr:rowOff>
                  </to>
                </anchor>
              </controlPr>
            </control>
          </mc:Choice>
        </mc:AlternateContent>
        <mc:AlternateContent xmlns:mc="http://schemas.openxmlformats.org/markup-compatibility/2006">
          <mc:Choice Requires="x14">
            <control shapeId="14339" r:id="rId6" name="Button 3">
              <controlPr defaultSize="0" print="0" autoFill="0" autoPict="0" macro="[0]!MakeReadable">
                <anchor moveWithCells="1" sizeWithCells="1">
                  <from>
                    <xdr:col>1</xdr:col>
                    <xdr:colOff>276225</xdr:colOff>
                    <xdr:row>11</xdr:row>
                    <xdr:rowOff>38100</xdr:rowOff>
                  </from>
                  <to>
                    <xdr:col>2</xdr:col>
                    <xdr:colOff>514350</xdr:colOff>
                    <xdr:row>14</xdr:row>
                    <xdr:rowOff>152400</xdr:rowOff>
                  </to>
                </anchor>
              </controlPr>
            </control>
          </mc:Choice>
        </mc:AlternateContent>
        <mc:AlternateContent xmlns:mc="http://schemas.openxmlformats.org/markup-compatibility/2006">
          <mc:Choice Requires="x14">
            <control shapeId="14340" r:id="rId7" name="Button 4">
              <controlPr defaultSize="0" print="0" autoFill="0" autoPict="0" macro="[0]!DisplayAsExported">
                <anchor moveWithCells="1" sizeWithCells="1">
                  <from>
                    <xdr:col>2</xdr:col>
                    <xdr:colOff>609600</xdr:colOff>
                    <xdr:row>11</xdr:row>
                    <xdr:rowOff>57150</xdr:rowOff>
                  </from>
                  <to>
                    <xdr:col>2</xdr:col>
                    <xdr:colOff>3209925</xdr:colOff>
                    <xdr:row>14</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CY4"/>
  <sheetViews>
    <sheetView showGridLines="0" tabSelected="1" workbookViewId="0">
      <pane xSplit="2" ySplit="2" topLeftCell="C3" activePane="bottomRight" state="frozenSplit"/>
      <selection pane="topRight" activeCell="C1" sqref="C1"/>
      <selection pane="bottomLeft" activeCell="A3" sqref="A3"/>
      <selection pane="bottomRight" activeCell="A3" sqref="A3"/>
    </sheetView>
  </sheetViews>
  <sheetFormatPr defaultRowHeight="12.75" x14ac:dyDescent="0.2"/>
  <cols>
    <col min="1" max="1" width="25.7109375" style="80" customWidth="1"/>
    <col min="2" max="2" width="25.7109375" style="75" customWidth="1"/>
    <col min="3" max="3" width="2.7109375" style="76" customWidth="1"/>
    <col min="4" max="4" width="25.7109375" style="76" customWidth="1"/>
    <col min="5" max="5" width="2.7109375" style="76" customWidth="1"/>
    <col min="6" max="6" width="25.7109375" style="76" customWidth="1"/>
    <col min="7" max="7" width="2.7109375" style="76" customWidth="1"/>
    <col min="8" max="8" width="25.7109375" style="76" customWidth="1"/>
    <col min="9" max="9" width="2.7109375" style="76" customWidth="1"/>
    <col min="10" max="10" width="25.7109375" style="76" customWidth="1"/>
    <col min="11" max="11" width="2.7109375" style="76" customWidth="1"/>
    <col min="12" max="12" width="25.7109375" style="76" customWidth="1"/>
    <col min="13" max="13" width="2.7109375" style="76" customWidth="1"/>
    <col min="14" max="14" width="25.7109375" style="76" customWidth="1"/>
    <col min="15" max="15" width="2.7109375" style="76" customWidth="1"/>
    <col min="16" max="16" width="25.7109375" style="76" customWidth="1"/>
    <col min="17" max="17" width="2.7109375" style="76" customWidth="1"/>
    <col min="18" max="18" width="25.7109375" style="76" customWidth="1"/>
    <col min="19" max="19" width="2.7109375" style="76" customWidth="1"/>
    <col min="20" max="20" width="25.140625" style="76" customWidth="1"/>
    <col min="21" max="21" width="2.7109375" style="76" customWidth="1" collapsed="1"/>
    <col min="22" max="22" width="25.7109375" style="77" customWidth="1"/>
    <col min="23" max="23" width="2.7109375" style="78" customWidth="1"/>
    <col min="24" max="24" width="25.7109375" style="76" customWidth="1"/>
    <col min="25" max="25" width="2.7109375" style="76" customWidth="1"/>
    <col min="26" max="26" width="25.7109375" style="76" customWidth="1"/>
    <col min="27" max="27" width="2.7109375" style="76" customWidth="1"/>
    <col min="28" max="28" width="25.7109375" style="76" customWidth="1"/>
    <col min="29" max="29" width="2.7109375" style="76" customWidth="1"/>
    <col min="30" max="30" width="25.7109375" style="76" customWidth="1"/>
    <col min="31" max="31" width="2.7109375" style="76" customWidth="1"/>
    <col min="32" max="32" width="25.7109375" style="76" customWidth="1"/>
    <col min="33" max="33" width="2.7109375" style="76" customWidth="1"/>
    <col min="34" max="34" width="25.7109375" style="76" customWidth="1"/>
    <col min="35" max="35" width="2.7109375" style="76" customWidth="1"/>
    <col min="36" max="36" width="25.7109375" style="76" customWidth="1"/>
    <col min="37" max="37" width="2.7109375" style="76" customWidth="1"/>
    <col min="38" max="38" width="25.7109375" style="76" customWidth="1"/>
    <col min="39" max="39" width="2.7109375" style="76" customWidth="1"/>
    <col min="40" max="40" width="25.7109375" style="76" customWidth="1"/>
    <col min="41" max="41" width="2.7109375" style="76" customWidth="1"/>
    <col min="42" max="42" width="25.7109375" style="77" customWidth="1"/>
    <col min="43" max="43" width="25.7109375" style="78" customWidth="1"/>
    <col min="44" max="51" width="25.7109375" style="76" customWidth="1"/>
    <col min="52" max="52" width="25.7109375" style="77" customWidth="1"/>
    <col min="53" max="53" width="25.7109375" style="78" customWidth="1"/>
    <col min="54" max="55" width="25.7109375" style="76" customWidth="1"/>
    <col min="56" max="56" width="25.7109375" style="77" customWidth="1"/>
    <col min="57" max="57" width="30.7109375" style="78" customWidth="1"/>
    <col min="58" max="58" width="30.7109375" style="77" customWidth="1"/>
    <col min="59" max="59" width="42.7109375" style="79" customWidth="1"/>
    <col min="60" max="60" width="50.42578125" style="71" hidden="1" customWidth="1"/>
    <col min="61" max="61" width="13.85546875" style="72" hidden="1" customWidth="1"/>
    <col min="62" max="62" width="12.42578125" style="72" hidden="1" customWidth="1"/>
    <col min="63" max="63" width="52.7109375" style="72" hidden="1" customWidth="1"/>
    <col min="64" max="64" width="43" style="72" hidden="1" customWidth="1"/>
    <col min="65" max="73" width="7.140625" style="72" hidden="1" customWidth="1"/>
    <col min="74" max="74" width="30.85546875" style="72" hidden="1" customWidth="1"/>
    <col min="75" max="93" width="7.140625" style="72" hidden="1" customWidth="1"/>
    <col min="94" max="94" width="43.85546875" style="72" hidden="1" customWidth="1"/>
    <col min="95" max="97" width="7.140625" style="72" hidden="1" customWidth="1"/>
    <col min="98" max="98" width="125.28515625" style="72" hidden="1" customWidth="1"/>
    <col min="99" max="99" width="7.140625" style="72" hidden="1" customWidth="1"/>
    <col min="100" max="100" width="71.28515625" style="72" hidden="1" customWidth="1"/>
    <col min="101" max="101" width="11.85546875" style="72" hidden="1" customWidth="1"/>
    <col min="102" max="102" width="9.140625" style="72" hidden="1" customWidth="1"/>
    <col min="103" max="103" width="9.140625" style="73" collapsed="1"/>
    <col min="104" max="256" width="9.140625" style="73"/>
    <col min="257" max="258" width="25.7109375" style="73" customWidth="1"/>
    <col min="259" max="259" width="2.7109375" style="73" customWidth="1"/>
    <col min="260" max="260" width="25.7109375" style="73" customWidth="1"/>
    <col min="261" max="261" width="2.7109375" style="73" customWidth="1"/>
    <col min="262" max="262" width="25.7109375" style="73" customWidth="1"/>
    <col min="263" max="263" width="2.7109375" style="73" customWidth="1"/>
    <col min="264" max="264" width="25.7109375" style="73" customWidth="1"/>
    <col min="265" max="265" width="2.7109375" style="73" customWidth="1"/>
    <col min="266" max="266" width="25.7109375" style="73" customWidth="1"/>
    <col min="267" max="267" width="2.7109375" style="73" customWidth="1"/>
    <col min="268" max="268" width="25.7109375" style="73" customWidth="1"/>
    <col min="269" max="269" width="2.7109375" style="73" customWidth="1"/>
    <col min="270" max="270" width="25.7109375" style="73" customWidth="1"/>
    <col min="271" max="271" width="2.7109375" style="73" customWidth="1"/>
    <col min="272" max="272" width="25.7109375" style="73" customWidth="1"/>
    <col min="273" max="273" width="2.7109375" style="73" customWidth="1"/>
    <col min="274" max="274" width="25.7109375" style="73" customWidth="1"/>
    <col min="275" max="275" width="2.7109375" style="73" customWidth="1"/>
    <col min="276" max="276" width="25.140625" style="73" customWidth="1"/>
    <col min="277" max="277" width="2.7109375" style="73" customWidth="1"/>
    <col min="278" max="278" width="25.7109375" style="73" customWidth="1"/>
    <col min="279" max="279" width="2.7109375" style="73" customWidth="1"/>
    <col min="280" max="280" width="25.7109375" style="73" customWidth="1"/>
    <col min="281" max="281" width="2.7109375" style="73" customWidth="1"/>
    <col min="282" max="282" width="25.7109375" style="73" customWidth="1"/>
    <col min="283" max="283" width="2.7109375" style="73" customWidth="1"/>
    <col min="284" max="284" width="25.7109375" style="73" customWidth="1"/>
    <col min="285" max="285" width="2.7109375" style="73" customWidth="1"/>
    <col min="286" max="286" width="25.7109375" style="73" customWidth="1"/>
    <col min="287" max="287" width="2.7109375" style="73" customWidth="1"/>
    <col min="288" max="288" width="25.7109375" style="73" customWidth="1"/>
    <col min="289" max="289" width="2.7109375" style="73" customWidth="1"/>
    <col min="290" max="290" width="25.7109375" style="73" customWidth="1"/>
    <col min="291" max="291" width="2.7109375" style="73" customWidth="1"/>
    <col min="292" max="292" width="25.7109375" style="73" customWidth="1"/>
    <col min="293" max="293" width="2.7109375" style="73" customWidth="1"/>
    <col min="294" max="294" width="25.7109375" style="73" customWidth="1"/>
    <col min="295" max="295" width="2.7109375" style="73" customWidth="1"/>
    <col min="296" max="296" width="25.7109375" style="73" customWidth="1"/>
    <col min="297" max="297" width="2.7109375" style="73" customWidth="1"/>
    <col min="298" max="312" width="25.7109375" style="73" customWidth="1"/>
    <col min="313" max="314" width="30.7109375" style="73" customWidth="1"/>
    <col min="315" max="315" width="42.7109375" style="73" customWidth="1"/>
    <col min="316" max="358" width="0" style="73" hidden="1" customWidth="1"/>
    <col min="359" max="512" width="9.140625" style="73"/>
    <col min="513" max="514" width="25.7109375" style="73" customWidth="1"/>
    <col min="515" max="515" width="2.7109375" style="73" customWidth="1"/>
    <col min="516" max="516" width="25.7109375" style="73" customWidth="1"/>
    <col min="517" max="517" width="2.7109375" style="73" customWidth="1"/>
    <col min="518" max="518" width="25.7109375" style="73" customWidth="1"/>
    <col min="519" max="519" width="2.7109375" style="73" customWidth="1"/>
    <col min="520" max="520" width="25.7109375" style="73" customWidth="1"/>
    <col min="521" max="521" width="2.7109375" style="73" customWidth="1"/>
    <col min="522" max="522" width="25.7109375" style="73" customWidth="1"/>
    <col min="523" max="523" width="2.7109375" style="73" customWidth="1"/>
    <col min="524" max="524" width="25.7109375" style="73" customWidth="1"/>
    <col min="525" max="525" width="2.7109375" style="73" customWidth="1"/>
    <col min="526" max="526" width="25.7109375" style="73" customWidth="1"/>
    <col min="527" max="527" width="2.7109375" style="73" customWidth="1"/>
    <col min="528" max="528" width="25.7109375" style="73" customWidth="1"/>
    <col min="529" max="529" width="2.7109375" style="73" customWidth="1"/>
    <col min="530" max="530" width="25.7109375" style="73" customWidth="1"/>
    <col min="531" max="531" width="2.7109375" style="73" customWidth="1"/>
    <col min="532" max="532" width="25.140625" style="73" customWidth="1"/>
    <col min="533" max="533" width="2.7109375" style="73" customWidth="1"/>
    <col min="534" max="534" width="25.7109375" style="73" customWidth="1"/>
    <col min="535" max="535" width="2.7109375" style="73" customWidth="1"/>
    <col min="536" max="536" width="25.7109375" style="73" customWidth="1"/>
    <col min="537" max="537" width="2.7109375" style="73" customWidth="1"/>
    <col min="538" max="538" width="25.7109375" style="73" customWidth="1"/>
    <col min="539" max="539" width="2.7109375" style="73" customWidth="1"/>
    <col min="540" max="540" width="25.7109375" style="73" customWidth="1"/>
    <col min="541" max="541" width="2.7109375" style="73" customWidth="1"/>
    <col min="542" max="542" width="25.7109375" style="73" customWidth="1"/>
    <col min="543" max="543" width="2.7109375" style="73" customWidth="1"/>
    <col min="544" max="544" width="25.7109375" style="73" customWidth="1"/>
    <col min="545" max="545" width="2.7109375" style="73" customWidth="1"/>
    <col min="546" max="546" width="25.7109375" style="73" customWidth="1"/>
    <col min="547" max="547" width="2.7109375" style="73" customWidth="1"/>
    <col min="548" max="548" width="25.7109375" style="73" customWidth="1"/>
    <col min="549" max="549" width="2.7109375" style="73" customWidth="1"/>
    <col min="550" max="550" width="25.7109375" style="73" customWidth="1"/>
    <col min="551" max="551" width="2.7109375" style="73" customWidth="1"/>
    <col min="552" max="552" width="25.7109375" style="73" customWidth="1"/>
    <col min="553" max="553" width="2.7109375" style="73" customWidth="1"/>
    <col min="554" max="568" width="25.7109375" style="73" customWidth="1"/>
    <col min="569" max="570" width="30.7109375" style="73" customWidth="1"/>
    <col min="571" max="571" width="42.7109375" style="73" customWidth="1"/>
    <col min="572" max="614" width="0" style="73" hidden="1" customWidth="1"/>
    <col min="615" max="768" width="9.140625" style="73"/>
    <col min="769" max="770" width="25.7109375" style="73" customWidth="1"/>
    <col min="771" max="771" width="2.7109375" style="73" customWidth="1"/>
    <col min="772" max="772" width="25.7109375" style="73" customWidth="1"/>
    <col min="773" max="773" width="2.7109375" style="73" customWidth="1"/>
    <col min="774" max="774" width="25.7109375" style="73" customWidth="1"/>
    <col min="775" max="775" width="2.7109375" style="73" customWidth="1"/>
    <col min="776" max="776" width="25.7109375" style="73" customWidth="1"/>
    <col min="777" max="777" width="2.7109375" style="73" customWidth="1"/>
    <col min="778" max="778" width="25.7109375" style="73" customWidth="1"/>
    <col min="779" max="779" width="2.7109375" style="73" customWidth="1"/>
    <col min="780" max="780" width="25.7109375" style="73" customWidth="1"/>
    <col min="781" max="781" width="2.7109375" style="73" customWidth="1"/>
    <col min="782" max="782" width="25.7109375" style="73" customWidth="1"/>
    <col min="783" max="783" width="2.7109375" style="73" customWidth="1"/>
    <col min="784" max="784" width="25.7109375" style="73" customWidth="1"/>
    <col min="785" max="785" width="2.7109375" style="73" customWidth="1"/>
    <col min="786" max="786" width="25.7109375" style="73" customWidth="1"/>
    <col min="787" max="787" width="2.7109375" style="73" customWidth="1"/>
    <col min="788" max="788" width="25.140625" style="73" customWidth="1"/>
    <col min="789" max="789" width="2.7109375" style="73" customWidth="1"/>
    <col min="790" max="790" width="25.7109375" style="73" customWidth="1"/>
    <col min="791" max="791" width="2.7109375" style="73" customWidth="1"/>
    <col min="792" max="792" width="25.7109375" style="73" customWidth="1"/>
    <col min="793" max="793" width="2.7109375" style="73" customWidth="1"/>
    <col min="794" max="794" width="25.7109375" style="73" customWidth="1"/>
    <col min="795" max="795" width="2.7109375" style="73" customWidth="1"/>
    <col min="796" max="796" width="25.7109375" style="73" customWidth="1"/>
    <col min="797" max="797" width="2.7109375" style="73" customWidth="1"/>
    <col min="798" max="798" width="25.7109375" style="73" customWidth="1"/>
    <col min="799" max="799" width="2.7109375" style="73" customWidth="1"/>
    <col min="800" max="800" width="25.7109375" style="73" customWidth="1"/>
    <col min="801" max="801" width="2.7109375" style="73" customWidth="1"/>
    <col min="802" max="802" width="25.7109375" style="73" customWidth="1"/>
    <col min="803" max="803" width="2.7109375" style="73" customWidth="1"/>
    <col min="804" max="804" width="25.7109375" style="73" customWidth="1"/>
    <col min="805" max="805" width="2.7109375" style="73" customWidth="1"/>
    <col min="806" max="806" width="25.7109375" style="73" customWidth="1"/>
    <col min="807" max="807" width="2.7109375" style="73" customWidth="1"/>
    <col min="808" max="808" width="25.7109375" style="73" customWidth="1"/>
    <col min="809" max="809" width="2.7109375" style="73" customWidth="1"/>
    <col min="810" max="824" width="25.7109375" style="73" customWidth="1"/>
    <col min="825" max="826" width="30.7109375" style="73" customWidth="1"/>
    <col min="827" max="827" width="42.7109375" style="73" customWidth="1"/>
    <col min="828" max="870" width="0" style="73" hidden="1" customWidth="1"/>
    <col min="871" max="1024" width="9.140625" style="73"/>
    <col min="1025" max="1026" width="25.7109375" style="73" customWidth="1"/>
    <col min="1027" max="1027" width="2.7109375" style="73" customWidth="1"/>
    <col min="1028" max="1028" width="25.7109375" style="73" customWidth="1"/>
    <col min="1029" max="1029" width="2.7109375" style="73" customWidth="1"/>
    <col min="1030" max="1030" width="25.7109375" style="73" customWidth="1"/>
    <col min="1031" max="1031" width="2.7109375" style="73" customWidth="1"/>
    <col min="1032" max="1032" width="25.7109375" style="73" customWidth="1"/>
    <col min="1033" max="1033" width="2.7109375" style="73" customWidth="1"/>
    <col min="1034" max="1034" width="25.7109375" style="73" customWidth="1"/>
    <col min="1035" max="1035" width="2.7109375" style="73" customWidth="1"/>
    <col min="1036" max="1036" width="25.7109375" style="73" customWidth="1"/>
    <col min="1037" max="1037" width="2.7109375" style="73" customWidth="1"/>
    <col min="1038" max="1038" width="25.7109375" style="73" customWidth="1"/>
    <col min="1039" max="1039" width="2.7109375" style="73" customWidth="1"/>
    <col min="1040" max="1040" width="25.7109375" style="73" customWidth="1"/>
    <col min="1041" max="1041" width="2.7109375" style="73" customWidth="1"/>
    <col min="1042" max="1042" width="25.7109375" style="73" customWidth="1"/>
    <col min="1043" max="1043" width="2.7109375" style="73" customWidth="1"/>
    <col min="1044" max="1044" width="25.140625" style="73" customWidth="1"/>
    <col min="1045" max="1045" width="2.7109375" style="73" customWidth="1"/>
    <col min="1046" max="1046" width="25.7109375" style="73" customWidth="1"/>
    <col min="1047" max="1047" width="2.7109375" style="73" customWidth="1"/>
    <col min="1048" max="1048" width="25.7109375" style="73" customWidth="1"/>
    <col min="1049" max="1049" width="2.7109375" style="73" customWidth="1"/>
    <col min="1050" max="1050" width="25.7109375" style="73" customWidth="1"/>
    <col min="1051" max="1051" width="2.7109375" style="73" customWidth="1"/>
    <col min="1052" max="1052" width="25.7109375" style="73" customWidth="1"/>
    <col min="1053" max="1053" width="2.7109375" style="73" customWidth="1"/>
    <col min="1054" max="1054" width="25.7109375" style="73" customWidth="1"/>
    <col min="1055" max="1055" width="2.7109375" style="73" customWidth="1"/>
    <col min="1056" max="1056" width="25.7109375" style="73" customWidth="1"/>
    <col min="1057" max="1057" width="2.7109375" style="73" customWidth="1"/>
    <col min="1058" max="1058" width="25.7109375" style="73" customWidth="1"/>
    <col min="1059" max="1059" width="2.7109375" style="73" customWidth="1"/>
    <col min="1060" max="1060" width="25.7109375" style="73" customWidth="1"/>
    <col min="1061" max="1061" width="2.7109375" style="73" customWidth="1"/>
    <col min="1062" max="1062" width="25.7109375" style="73" customWidth="1"/>
    <col min="1063" max="1063" width="2.7109375" style="73" customWidth="1"/>
    <col min="1064" max="1064" width="25.7109375" style="73" customWidth="1"/>
    <col min="1065" max="1065" width="2.7109375" style="73" customWidth="1"/>
    <col min="1066" max="1080" width="25.7109375" style="73" customWidth="1"/>
    <col min="1081" max="1082" width="30.7109375" style="73" customWidth="1"/>
    <col min="1083" max="1083" width="42.7109375" style="73" customWidth="1"/>
    <col min="1084" max="1126" width="0" style="73" hidden="1" customWidth="1"/>
    <col min="1127" max="1280" width="9.140625" style="73"/>
    <col min="1281" max="1282" width="25.7109375" style="73" customWidth="1"/>
    <col min="1283" max="1283" width="2.7109375" style="73" customWidth="1"/>
    <col min="1284" max="1284" width="25.7109375" style="73" customWidth="1"/>
    <col min="1285" max="1285" width="2.7109375" style="73" customWidth="1"/>
    <col min="1286" max="1286" width="25.7109375" style="73" customWidth="1"/>
    <col min="1287" max="1287" width="2.7109375" style="73" customWidth="1"/>
    <col min="1288" max="1288" width="25.7109375" style="73" customWidth="1"/>
    <col min="1289" max="1289" width="2.7109375" style="73" customWidth="1"/>
    <col min="1290" max="1290" width="25.7109375" style="73" customWidth="1"/>
    <col min="1291" max="1291" width="2.7109375" style="73" customWidth="1"/>
    <col min="1292" max="1292" width="25.7109375" style="73" customWidth="1"/>
    <col min="1293" max="1293" width="2.7109375" style="73" customWidth="1"/>
    <col min="1294" max="1294" width="25.7109375" style="73" customWidth="1"/>
    <col min="1295" max="1295" width="2.7109375" style="73" customWidth="1"/>
    <col min="1296" max="1296" width="25.7109375" style="73" customWidth="1"/>
    <col min="1297" max="1297" width="2.7109375" style="73" customWidth="1"/>
    <col min="1298" max="1298" width="25.7109375" style="73" customWidth="1"/>
    <col min="1299" max="1299" width="2.7109375" style="73" customWidth="1"/>
    <col min="1300" max="1300" width="25.140625" style="73" customWidth="1"/>
    <col min="1301" max="1301" width="2.7109375" style="73" customWidth="1"/>
    <col min="1302" max="1302" width="25.7109375" style="73" customWidth="1"/>
    <col min="1303" max="1303" width="2.7109375" style="73" customWidth="1"/>
    <col min="1304" max="1304" width="25.7109375" style="73" customWidth="1"/>
    <col min="1305" max="1305" width="2.7109375" style="73" customWidth="1"/>
    <col min="1306" max="1306" width="25.7109375" style="73" customWidth="1"/>
    <col min="1307" max="1307" width="2.7109375" style="73" customWidth="1"/>
    <col min="1308" max="1308" width="25.7109375" style="73" customWidth="1"/>
    <col min="1309" max="1309" width="2.7109375" style="73" customWidth="1"/>
    <col min="1310" max="1310" width="25.7109375" style="73" customWidth="1"/>
    <col min="1311" max="1311" width="2.7109375" style="73" customWidth="1"/>
    <col min="1312" max="1312" width="25.7109375" style="73" customWidth="1"/>
    <col min="1313" max="1313" width="2.7109375" style="73" customWidth="1"/>
    <col min="1314" max="1314" width="25.7109375" style="73" customWidth="1"/>
    <col min="1315" max="1315" width="2.7109375" style="73" customWidth="1"/>
    <col min="1316" max="1316" width="25.7109375" style="73" customWidth="1"/>
    <col min="1317" max="1317" width="2.7109375" style="73" customWidth="1"/>
    <col min="1318" max="1318" width="25.7109375" style="73" customWidth="1"/>
    <col min="1319" max="1319" width="2.7109375" style="73" customWidth="1"/>
    <col min="1320" max="1320" width="25.7109375" style="73" customWidth="1"/>
    <col min="1321" max="1321" width="2.7109375" style="73" customWidth="1"/>
    <col min="1322" max="1336" width="25.7109375" style="73" customWidth="1"/>
    <col min="1337" max="1338" width="30.7109375" style="73" customWidth="1"/>
    <col min="1339" max="1339" width="42.7109375" style="73" customWidth="1"/>
    <col min="1340" max="1382" width="0" style="73" hidden="1" customWidth="1"/>
    <col min="1383" max="1536" width="9.140625" style="73"/>
    <col min="1537" max="1538" width="25.7109375" style="73" customWidth="1"/>
    <col min="1539" max="1539" width="2.7109375" style="73" customWidth="1"/>
    <col min="1540" max="1540" width="25.7109375" style="73" customWidth="1"/>
    <col min="1541" max="1541" width="2.7109375" style="73" customWidth="1"/>
    <col min="1542" max="1542" width="25.7109375" style="73" customWidth="1"/>
    <col min="1543" max="1543" width="2.7109375" style="73" customWidth="1"/>
    <col min="1544" max="1544" width="25.7109375" style="73" customWidth="1"/>
    <col min="1545" max="1545" width="2.7109375" style="73" customWidth="1"/>
    <col min="1546" max="1546" width="25.7109375" style="73" customWidth="1"/>
    <col min="1547" max="1547" width="2.7109375" style="73" customWidth="1"/>
    <col min="1548" max="1548" width="25.7109375" style="73" customWidth="1"/>
    <col min="1549" max="1549" width="2.7109375" style="73" customWidth="1"/>
    <col min="1550" max="1550" width="25.7109375" style="73" customWidth="1"/>
    <col min="1551" max="1551" width="2.7109375" style="73" customWidth="1"/>
    <col min="1552" max="1552" width="25.7109375" style="73" customWidth="1"/>
    <col min="1553" max="1553" width="2.7109375" style="73" customWidth="1"/>
    <col min="1554" max="1554" width="25.7109375" style="73" customWidth="1"/>
    <col min="1555" max="1555" width="2.7109375" style="73" customWidth="1"/>
    <col min="1556" max="1556" width="25.140625" style="73" customWidth="1"/>
    <col min="1557" max="1557" width="2.7109375" style="73" customWidth="1"/>
    <col min="1558" max="1558" width="25.7109375" style="73" customWidth="1"/>
    <col min="1559" max="1559" width="2.7109375" style="73" customWidth="1"/>
    <col min="1560" max="1560" width="25.7109375" style="73" customWidth="1"/>
    <col min="1561" max="1561" width="2.7109375" style="73" customWidth="1"/>
    <col min="1562" max="1562" width="25.7109375" style="73" customWidth="1"/>
    <col min="1563" max="1563" width="2.7109375" style="73" customWidth="1"/>
    <col min="1564" max="1564" width="25.7109375" style="73" customWidth="1"/>
    <col min="1565" max="1565" width="2.7109375" style="73" customWidth="1"/>
    <col min="1566" max="1566" width="25.7109375" style="73" customWidth="1"/>
    <col min="1567" max="1567" width="2.7109375" style="73" customWidth="1"/>
    <col min="1568" max="1568" width="25.7109375" style="73" customWidth="1"/>
    <col min="1569" max="1569" width="2.7109375" style="73" customWidth="1"/>
    <col min="1570" max="1570" width="25.7109375" style="73" customWidth="1"/>
    <col min="1571" max="1571" width="2.7109375" style="73" customWidth="1"/>
    <col min="1572" max="1572" width="25.7109375" style="73" customWidth="1"/>
    <col min="1573" max="1573" width="2.7109375" style="73" customWidth="1"/>
    <col min="1574" max="1574" width="25.7109375" style="73" customWidth="1"/>
    <col min="1575" max="1575" width="2.7109375" style="73" customWidth="1"/>
    <col min="1576" max="1576" width="25.7109375" style="73" customWidth="1"/>
    <col min="1577" max="1577" width="2.7109375" style="73" customWidth="1"/>
    <col min="1578" max="1592" width="25.7109375" style="73" customWidth="1"/>
    <col min="1593" max="1594" width="30.7109375" style="73" customWidth="1"/>
    <col min="1595" max="1595" width="42.7109375" style="73" customWidth="1"/>
    <col min="1596" max="1638" width="0" style="73" hidden="1" customWidth="1"/>
    <col min="1639" max="1792" width="9.140625" style="73"/>
    <col min="1793" max="1794" width="25.7109375" style="73" customWidth="1"/>
    <col min="1795" max="1795" width="2.7109375" style="73" customWidth="1"/>
    <col min="1796" max="1796" width="25.7109375" style="73" customWidth="1"/>
    <col min="1797" max="1797" width="2.7109375" style="73" customWidth="1"/>
    <col min="1798" max="1798" width="25.7109375" style="73" customWidth="1"/>
    <col min="1799" max="1799" width="2.7109375" style="73" customWidth="1"/>
    <col min="1800" max="1800" width="25.7109375" style="73" customWidth="1"/>
    <col min="1801" max="1801" width="2.7109375" style="73" customWidth="1"/>
    <col min="1802" max="1802" width="25.7109375" style="73" customWidth="1"/>
    <col min="1803" max="1803" width="2.7109375" style="73" customWidth="1"/>
    <col min="1804" max="1804" width="25.7109375" style="73" customWidth="1"/>
    <col min="1805" max="1805" width="2.7109375" style="73" customWidth="1"/>
    <col min="1806" max="1806" width="25.7109375" style="73" customWidth="1"/>
    <col min="1807" max="1807" width="2.7109375" style="73" customWidth="1"/>
    <col min="1808" max="1808" width="25.7109375" style="73" customWidth="1"/>
    <col min="1809" max="1809" width="2.7109375" style="73" customWidth="1"/>
    <col min="1810" max="1810" width="25.7109375" style="73" customWidth="1"/>
    <col min="1811" max="1811" width="2.7109375" style="73" customWidth="1"/>
    <col min="1812" max="1812" width="25.140625" style="73" customWidth="1"/>
    <col min="1813" max="1813" width="2.7109375" style="73" customWidth="1"/>
    <col min="1814" max="1814" width="25.7109375" style="73" customWidth="1"/>
    <col min="1815" max="1815" width="2.7109375" style="73" customWidth="1"/>
    <col min="1816" max="1816" width="25.7109375" style="73" customWidth="1"/>
    <col min="1817" max="1817" width="2.7109375" style="73" customWidth="1"/>
    <col min="1818" max="1818" width="25.7109375" style="73" customWidth="1"/>
    <col min="1819" max="1819" width="2.7109375" style="73" customWidth="1"/>
    <col min="1820" max="1820" width="25.7109375" style="73" customWidth="1"/>
    <col min="1821" max="1821" width="2.7109375" style="73" customWidth="1"/>
    <col min="1822" max="1822" width="25.7109375" style="73" customWidth="1"/>
    <col min="1823" max="1823" width="2.7109375" style="73" customWidth="1"/>
    <col min="1824" max="1824" width="25.7109375" style="73" customWidth="1"/>
    <col min="1825" max="1825" width="2.7109375" style="73" customWidth="1"/>
    <col min="1826" max="1826" width="25.7109375" style="73" customWidth="1"/>
    <col min="1827" max="1827" width="2.7109375" style="73" customWidth="1"/>
    <col min="1828" max="1828" width="25.7109375" style="73" customWidth="1"/>
    <col min="1829" max="1829" width="2.7109375" style="73" customWidth="1"/>
    <col min="1830" max="1830" width="25.7109375" style="73" customWidth="1"/>
    <col min="1831" max="1831" width="2.7109375" style="73" customWidth="1"/>
    <col min="1832" max="1832" width="25.7109375" style="73" customWidth="1"/>
    <col min="1833" max="1833" width="2.7109375" style="73" customWidth="1"/>
    <col min="1834" max="1848" width="25.7109375" style="73" customWidth="1"/>
    <col min="1849" max="1850" width="30.7109375" style="73" customWidth="1"/>
    <col min="1851" max="1851" width="42.7109375" style="73" customWidth="1"/>
    <col min="1852" max="1894" width="0" style="73" hidden="1" customWidth="1"/>
    <col min="1895" max="2048" width="9.140625" style="73"/>
    <col min="2049" max="2050" width="25.7109375" style="73" customWidth="1"/>
    <col min="2051" max="2051" width="2.7109375" style="73" customWidth="1"/>
    <col min="2052" max="2052" width="25.7109375" style="73" customWidth="1"/>
    <col min="2053" max="2053" width="2.7109375" style="73" customWidth="1"/>
    <col min="2054" max="2054" width="25.7109375" style="73" customWidth="1"/>
    <col min="2055" max="2055" width="2.7109375" style="73" customWidth="1"/>
    <col min="2056" max="2056" width="25.7109375" style="73" customWidth="1"/>
    <col min="2057" max="2057" width="2.7109375" style="73" customWidth="1"/>
    <col min="2058" max="2058" width="25.7109375" style="73" customWidth="1"/>
    <col min="2059" max="2059" width="2.7109375" style="73" customWidth="1"/>
    <col min="2060" max="2060" width="25.7109375" style="73" customWidth="1"/>
    <col min="2061" max="2061" width="2.7109375" style="73" customWidth="1"/>
    <col min="2062" max="2062" width="25.7109375" style="73" customWidth="1"/>
    <col min="2063" max="2063" width="2.7109375" style="73" customWidth="1"/>
    <col min="2064" max="2064" width="25.7109375" style="73" customWidth="1"/>
    <col min="2065" max="2065" width="2.7109375" style="73" customWidth="1"/>
    <col min="2066" max="2066" width="25.7109375" style="73" customWidth="1"/>
    <col min="2067" max="2067" width="2.7109375" style="73" customWidth="1"/>
    <col min="2068" max="2068" width="25.140625" style="73" customWidth="1"/>
    <col min="2069" max="2069" width="2.7109375" style="73" customWidth="1"/>
    <col min="2070" max="2070" width="25.7109375" style="73" customWidth="1"/>
    <col min="2071" max="2071" width="2.7109375" style="73" customWidth="1"/>
    <col min="2072" max="2072" width="25.7109375" style="73" customWidth="1"/>
    <col min="2073" max="2073" width="2.7109375" style="73" customWidth="1"/>
    <col min="2074" max="2074" width="25.7109375" style="73" customWidth="1"/>
    <col min="2075" max="2075" width="2.7109375" style="73" customWidth="1"/>
    <col min="2076" max="2076" width="25.7109375" style="73" customWidth="1"/>
    <col min="2077" max="2077" width="2.7109375" style="73" customWidth="1"/>
    <col min="2078" max="2078" width="25.7109375" style="73" customWidth="1"/>
    <col min="2079" max="2079" width="2.7109375" style="73" customWidth="1"/>
    <col min="2080" max="2080" width="25.7109375" style="73" customWidth="1"/>
    <col min="2081" max="2081" width="2.7109375" style="73" customWidth="1"/>
    <col min="2082" max="2082" width="25.7109375" style="73" customWidth="1"/>
    <col min="2083" max="2083" width="2.7109375" style="73" customWidth="1"/>
    <col min="2084" max="2084" width="25.7109375" style="73" customWidth="1"/>
    <col min="2085" max="2085" width="2.7109375" style="73" customWidth="1"/>
    <col min="2086" max="2086" width="25.7109375" style="73" customWidth="1"/>
    <col min="2087" max="2087" width="2.7109375" style="73" customWidth="1"/>
    <col min="2088" max="2088" width="25.7109375" style="73" customWidth="1"/>
    <col min="2089" max="2089" width="2.7109375" style="73" customWidth="1"/>
    <col min="2090" max="2104" width="25.7109375" style="73" customWidth="1"/>
    <col min="2105" max="2106" width="30.7109375" style="73" customWidth="1"/>
    <col min="2107" max="2107" width="42.7109375" style="73" customWidth="1"/>
    <col min="2108" max="2150" width="0" style="73" hidden="1" customWidth="1"/>
    <col min="2151" max="2304" width="9.140625" style="73"/>
    <col min="2305" max="2306" width="25.7109375" style="73" customWidth="1"/>
    <col min="2307" max="2307" width="2.7109375" style="73" customWidth="1"/>
    <col min="2308" max="2308" width="25.7109375" style="73" customWidth="1"/>
    <col min="2309" max="2309" width="2.7109375" style="73" customWidth="1"/>
    <col min="2310" max="2310" width="25.7109375" style="73" customWidth="1"/>
    <col min="2311" max="2311" width="2.7109375" style="73" customWidth="1"/>
    <col min="2312" max="2312" width="25.7109375" style="73" customWidth="1"/>
    <col min="2313" max="2313" width="2.7109375" style="73" customWidth="1"/>
    <col min="2314" max="2314" width="25.7109375" style="73" customWidth="1"/>
    <col min="2315" max="2315" width="2.7109375" style="73" customWidth="1"/>
    <col min="2316" max="2316" width="25.7109375" style="73" customWidth="1"/>
    <col min="2317" max="2317" width="2.7109375" style="73" customWidth="1"/>
    <col min="2318" max="2318" width="25.7109375" style="73" customWidth="1"/>
    <col min="2319" max="2319" width="2.7109375" style="73" customWidth="1"/>
    <col min="2320" max="2320" width="25.7109375" style="73" customWidth="1"/>
    <col min="2321" max="2321" width="2.7109375" style="73" customWidth="1"/>
    <col min="2322" max="2322" width="25.7109375" style="73" customWidth="1"/>
    <col min="2323" max="2323" width="2.7109375" style="73" customWidth="1"/>
    <col min="2324" max="2324" width="25.140625" style="73" customWidth="1"/>
    <col min="2325" max="2325" width="2.7109375" style="73" customWidth="1"/>
    <col min="2326" max="2326" width="25.7109375" style="73" customWidth="1"/>
    <col min="2327" max="2327" width="2.7109375" style="73" customWidth="1"/>
    <col min="2328" max="2328" width="25.7109375" style="73" customWidth="1"/>
    <col min="2329" max="2329" width="2.7109375" style="73" customWidth="1"/>
    <col min="2330" max="2330" width="25.7109375" style="73" customWidth="1"/>
    <col min="2331" max="2331" width="2.7109375" style="73" customWidth="1"/>
    <col min="2332" max="2332" width="25.7109375" style="73" customWidth="1"/>
    <col min="2333" max="2333" width="2.7109375" style="73" customWidth="1"/>
    <col min="2334" max="2334" width="25.7109375" style="73" customWidth="1"/>
    <col min="2335" max="2335" width="2.7109375" style="73" customWidth="1"/>
    <col min="2336" max="2336" width="25.7109375" style="73" customWidth="1"/>
    <col min="2337" max="2337" width="2.7109375" style="73" customWidth="1"/>
    <col min="2338" max="2338" width="25.7109375" style="73" customWidth="1"/>
    <col min="2339" max="2339" width="2.7109375" style="73" customWidth="1"/>
    <col min="2340" max="2340" width="25.7109375" style="73" customWidth="1"/>
    <col min="2341" max="2341" width="2.7109375" style="73" customWidth="1"/>
    <col min="2342" max="2342" width="25.7109375" style="73" customWidth="1"/>
    <col min="2343" max="2343" width="2.7109375" style="73" customWidth="1"/>
    <col min="2344" max="2344" width="25.7109375" style="73" customWidth="1"/>
    <col min="2345" max="2345" width="2.7109375" style="73" customWidth="1"/>
    <col min="2346" max="2360" width="25.7109375" style="73" customWidth="1"/>
    <col min="2361" max="2362" width="30.7109375" style="73" customWidth="1"/>
    <col min="2363" max="2363" width="42.7109375" style="73" customWidth="1"/>
    <col min="2364" max="2406" width="0" style="73" hidden="1" customWidth="1"/>
    <col min="2407" max="2560" width="9.140625" style="73"/>
    <col min="2561" max="2562" width="25.7109375" style="73" customWidth="1"/>
    <col min="2563" max="2563" width="2.7109375" style="73" customWidth="1"/>
    <col min="2564" max="2564" width="25.7109375" style="73" customWidth="1"/>
    <col min="2565" max="2565" width="2.7109375" style="73" customWidth="1"/>
    <col min="2566" max="2566" width="25.7109375" style="73" customWidth="1"/>
    <col min="2567" max="2567" width="2.7109375" style="73" customWidth="1"/>
    <col min="2568" max="2568" width="25.7109375" style="73" customWidth="1"/>
    <col min="2569" max="2569" width="2.7109375" style="73" customWidth="1"/>
    <col min="2570" max="2570" width="25.7109375" style="73" customWidth="1"/>
    <col min="2571" max="2571" width="2.7109375" style="73" customWidth="1"/>
    <col min="2572" max="2572" width="25.7109375" style="73" customWidth="1"/>
    <col min="2573" max="2573" width="2.7109375" style="73" customWidth="1"/>
    <col min="2574" max="2574" width="25.7109375" style="73" customWidth="1"/>
    <col min="2575" max="2575" width="2.7109375" style="73" customWidth="1"/>
    <col min="2576" max="2576" width="25.7109375" style="73" customWidth="1"/>
    <col min="2577" max="2577" width="2.7109375" style="73" customWidth="1"/>
    <col min="2578" max="2578" width="25.7109375" style="73" customWidth="1"/>
    <col min="2579" max="2579" width="2.7109375" style="73" customWidth="1"/>
    <col min="2580" max="2580" width="25.140625" style="73" customWidth="1"/>
    <col min="2581" max="2581" width="2.7109375" style="73" customWidth="1"/>
    <col min="2582" max="2582" width="25.7109375" style="73" customWidth="1"/>
    <col min="2583" max="2583" width="2.7109375" style="73" customWidth="1"/>
    <col min="2584" max="2584" width="25.7109375" style="73" customWidth="1"/>
    <col min="2585" max="2585" width="2.7109375" style="73" customWidth="1"/>
    <col min="2586" max="2586" width="25.7109375" style="73" customWidth="1"/>
    <col min="2587" max="2587" width="2.7109375" style="73" customWidth="1"/>
    <col min="2588" max="2588" width="25.7109375" style="73" customWidth="1"/>
    <col min="2589" max="2589" width="2.7109375" style="73" customWidth="1"/>
    <col min="2590" max="2590" width="25.7109375" style="73" customWidth="1"/>
    <col min="2591" max="2591" width="2.7109375" style="73" customWidth="1"/>
    <col min="2592" max="2592" width="25.7109375" style="73" customWidth="1"/>
    <col min="2593" max="2593" width="2.7109375" style="73" customWidth="1"/>
    <col min="2594" max="2594" width="25.7109375" style="73" customWidth="1"/>
    <col min="2595" max="2595" width="2.7109375" style="73" customWidth="1"/>
    <col min="2596" max="2596" width="25.7109375" style="73" customWidth="1"/>
    <col min="2597" max="2597" width="2.7109375" style="73" customWidth="1"/>
    <col min="2598" max="2598" width="25.7109375" style="73" customWidth="1"/>
    <col min="2599" max="2599" width="2.7109375" style="73" customWidth="1"/>
    <col min="2600" max="2600" width="25.7109375" style="73" customWidth="1"/>
    <col min="2601" max="2601" width="2.7109375" style="73" customWidth="1"/>
    <col min="2602" max="2616" width="25.7109375" style="73" customWidth="1"/>
    <col min="2617" max="2618" width="30.7109375" style="73" customWidth="1"/>
    <col min="2619" max="2619" width="42.7109375" style="73" customWidth="1"/>
    <col min="2620" max="2662" width="0" style="73" hidden="1" customWidth="1"/>
    <col min="2663" max="2816" width="9.140625" style="73"/>
    <col min="2817" max="2818" width="25.7109375" style="73" customWidth="1"/>
    <col min="2819" max="2819" width="2.7109375" style="73" customWidth="1"/>
    <col min="2820" max="2820" width="25.7109375" style="73" customWidth="1"/>
    <col min="2821" max="2821" width="2.7109375" style="73" customWidth="1"/>
    <col min="2822" max="2822" width="25.7109375" style="73" customWidth="1"/>
    <col min="2823" max="2823" width="2.7109375" style="73" customWidth="1"/>
    <col min="2824" max="2824" width="25.7109375" style="73" customWidth="1"/>
    <col min="2825" max="2825" width="2.7109375" style="73" customWidth="1"/>
    <col min="2826" max="2826" width="25.7109375" style="73" customWidth="1"/>
    <col min="2827" max="2827" width="2.7109375" style="73" customWidth="1"/>
    <col min="2828" max="2828" width="25.7109375" style="73" customWidth="1"/>
    <col min="2829" max="2829" width="2.7109375" style="73" customWidth="1"/>
    <col min="2830" max="2830" width="25.7109375" style="73" customWidth="1"/>
    <col min="2831" max="2831" width="2.7109375" style="73" customWidth="1"/>
    <col min="2832" max="2832" width="25.7109375" style="73" customWidth="1"/>
    <col min="2833" max="2833" width="2.7109375" style="73" customWidth="1"/>
    <col min="2834" max="2834" width="25.7109375" style="73" customWidth="1"/>
    <col min="2835" max="2835" width="2.7109375" style="73" customWidth="1"/>
    <col min="2836" max="2836" width="25.140625" style="73" customWidth="1"/>
    <col min="2837" max="2837" width="2.7109375" style="73" customWidth="1"/>
    <col min="2838" max="2838" width="25.7109375" style="73" customWidth="1"/>
    <col min="2839" max="2839" width="2.7109375" style="73" customWidth="1"/>
    <col min="2840" max="2840" width="25.7109375" style="73" customWidth="1"/>
    <col min="2841" max="2841" width="2.7109375" style="73" customWidth="1"/>
    <col min="2842" max="2842" width="25.7109375" style="73" customWidth="1"/>
    <col min="2843" max="2843" width="2.7109375" style="73" customWidth="1"/>
    <col min="2844" max="2844" width="25.7109375" style="73" customWidth="1"/>
    <col min="2845" max="2845" width="2.7109375" style="73" customWidth="1"/>
    <col min="2846" max="2846" width="25.7109375" style="73" customWidth="1"/>
    <col min="2847" max="2847" width="2.7109375" style="73" customWidth="1"/>
    <col min="2848" max="2848" width="25.7109375" style="73" customWidth="1"/>
    <col min="2849" max="2849" width="2.7109375" style="73" customWidth="1"/>
    <col min="2850" max="2850" width="25.7109375" style="73" customWidth="1"/>
    <col min="2851" max="2851" width="2.7109375" style="73" customWidth="1"/>
    <col min="2852" max="2852" width="25.7109375" style="73" customWidth="1"/>
    <col min="2853" max="2853" width="2.7109375" style="73" customWidth="1"/>
    <col min="2854" max="2854" width="25.7109375" style="73" customWidth="1"/>
    <col min="2855" max="2855" width="2.7109375" style="73" customWidth="1"/>
    <col min="2856" max="2856" width="25.7109375" style="73" customWidth="1"/>
    <col min="2857" max="2857" width="2.7109375" style="73" customWidth="1"/>
    <col min="2858" max="2872" width="25.7109375" style="73" customWidth="1"/>
    <col min="2873" max="2874" width="30.7109375" style="73" customWidth="1"/>
    <col min="2875" max="2875" width="42.7109375" style="73" customWidth="1"/>
    <col min="2876" max="2918" width="0" style="73" hidden="1" customWidth="1"/>
    <col min="2919" max="3072" width="9.140625" style="73"/>
    <col min="3073" max="3074" width="25.7109375" style="73" customWidth="1"/>
    <col min="3075" max="3075" width="2.7109375" style="73" customWidth="1"/>
    <col min="3076" max="3076" width="25.7109375" style="73" customWidth="1"/>
    <col min="3077" max="3077" width="2.7109375" style="73" customWidth="1"/>
    <col min="3078" max="3078" width="25.7109375" style="73" customWidth="1"/>
    <col min="3079" max="3079" width="2.7109375" style="73" customWidth="1"/>
    <col min="3080" max="3080" width="25.7109375" style="73" customWidth="1"/>
    <col min="3081" max="3081" width="2.7109375" style="73" customWidth="1"/>
    <col min="3082" max="3082" width="25.7109375" style="73" customWidth="1"/>
    <col min="3083" max="3083" width="2.7109375" style="73" customWidth="1"/>
    <col min="3084" max="3084" width="25.7109375" style="73" customWidth="1"/>
    <col min="3085" max="3085" width="2.7109375" style="73" customWidth="1"/>
    <col min="3086" max="3086" width="25.7109375" style="73" customWidth="1"/>
    <col min="3087" max="3087" width="2.7109375" style="73" customWidth="1"/>
    <col min="3088" max="3088" width="25.7109375" style="73" customWidth="1"/>
    <col min="3089" max="3089" width="2.7109375" style="73" customWidth="1"/>
    <col min="3090" max="3090" width="25.7109375" style="73" customWidth="1"/>
    <col min="3091" max="3091" width="2.7109375" style="73" customWidth="1"/>
    <col min="3092" max="3092" width="25.140625" style="73" customWidth="1"/>
    <col min="3093" max="3093" width="2.7109375" style="73" customWidth="1"/>
    <col min="3094" max="3094" width="25.7109375" style="73" customWidth="1"/>
    <col min="3095" max="3095" width="2.7109375" style="73" customWidth="1"/>
    <col min="3096" max="3096" width="25.7109375" style="73" customWidth="1"/>
    <col min="3097" max="3097" width="2.7109375" style="73" customWidth="1"/>
    <col min="3098" max="3098" width="25.7109375" style="73" customWidth="1"/>
    <col min="3099" max="3099" width="2.7109375" style="73" customWidth="1"/>
    <col min="3100" max="3100" width="25.7109375" style="73" customWidth="1"/>
    <col min="3101" max="3101" width="2.7109375" style="73" customWidth="1"/>
    <col min="3102" max="3102" width="25.7109375" style="73" customWidth="1"/>
    <col min="3103" max="3103" width="2.7109375" style="73" customWidth="1"/>
    <col min="3104" max="3104" width="25.7109375" style="73" customWidth="1"/>
    <col min="3105" max="3105" width="2.7109375" style="73" customWidth="1"/>
    <col min="3106" max="3106" width="25.7109375" style="73" customWidth="1"/>
    <col min="3107" max="3107" width="2.7109375" style="73" customWidth="1"/>
    <col min="3108" max="3108" width="25.7109375" style="73" customWidth="1"/>
    <col min="3109" max="3109" width="2.7109375" style="73" customWidth="1"/>
    <col min="3110" max="3110" width="25.7109375" style="73" customWidth="1"/>
    <col min="3111" max="3111" width="2.7109375" style="73" customWidth="1"/>
    <col min="3112" max="3112" width="25.7109375" style="73" customWidth="1"/>
    <col min="3113" max="3113" width="2.7109375" style="73" customWidth="1"/>
    <col min="3114" max="3128" width="25.7109375" style="73" customWidth="1"/>
    <col min="3129" max="3130" width="30.7109375" style="73" customWidth="1"/>
    <col min="3131" max="3131" width="42.7109375" style="73" customWidth="1"/>
    <col min="3132" max="3174" width="0" style="73" hidden="1" customWidth="1"/>
    <col min="3175" max="3328" width="9.140625" style="73"/>
    <col min="3329" max="3330" width="25.7109375" style="73" customWidth="1"/>
    <col min="3331" max="3331" width="2.7109375" style="73" customWidth="1"/>
    <col min="3332" max="3332" width="25.7109375" style="73" customWidth="1"/>
    <col min="3333" max="3333" width="2.7109375" style="73" customWidth="1"/>
    <col min="3334" max="3334" width="25.7109375" style="73" customWidth="1"/>
    <col min="3335" max="3335" width="2.7109375" style="73" customWidth="1"/>
    <col min="3336" max="3336" width="25.7109375" style="73" customWidth="1"/>
    <col min="3337" max="3337" width="2.7109375" style="73" customWidth="1"/>
    <col min="3338" max="3338" width="25.7109375" style="73" customWidth="1"/>
    <col min="3339" max="3339" width="2.7109375" style="73" customWidth="1"/>
    <col min="3340" max="3340" width="25.7109375" style="73" customWidth="1"/>
    <col min="3341" max="3341" width="2.7109375" style="73" customWidth="1"/>
    <col min="3342" max="3342" width="25.7109375" style="73" customWidth="1"/>
    <col min="3343" max="3343" width="2.7109375" style="73" customWidth="1"/>
    <col min="3344" max="3344" width="25.7109375" style="73" customWidth="1"/>
    <col min="3345" max="3345" width="2.7109375" style="73" customWidth="1"/>
    <col min="3346" max="3346" width="25.7109375" style="73" customWidth="1"/>
    <col min="3347" max="3347" width="2.7109375" style="73" customWidth="1"/>
    <col min="3348" max="3348" width="25.140625" style="73" customWidth="1"/>
    <col min="3349" max="3349" width="2.7109375" style="73" customWidth="1"/>
    <col min="3350" max="3350" width="25.7109375" style="73" customWidth="1"/>
    <col min="3351" max="3351" width="2.7109375" style="73" customWidth="1"/>
    <col min="3352" max="3352" width="25.7109375" style="73" customWidth="1"/>
    <col min="3353" max="3353" width="2.7109375" style="73" customWidth="1"/>
    <col min="3354" max="3354" width="25.7109375" style="73" customWidth="1"/>
    <col min="3355" max="3355" width="2.7109375" style="73" customWidth="1"/>
    <col min="3356" max="3356" width="25.7109375" style="73" customWidth="1"/>
    <col min="3357" max="3357" width="2.7109375" style="73" customWidth="1"/>
    <col min="3358" max="3358" width="25.7109375" style="73" customWidth="1"/>
    <col min="3359" max="3359" width="2.7109375" style="73" customWidth="1"/>
    <col min="3360" max="3360" width="25.7109375" style="73" customWidth="1"/>
    <col min="3361" max="3361" width="2.7109375" style="73" customWidth="1"/>
    <col min="3362" max="3362" width="25.7109375" style="73" customWidth="1"/>
    <col min="3363" max="3363" width="2.7109375" style="73" customWidth="1"/>
    <col min="3364" max="3364" width="25.7109375" style="73" customWidth="1"/>
    <col min="3365" max="3365" width="2.7109375" style="73" customWidth="1"/>
    <col min="3366" max="3366" width="25.7109375" style="73" customWidth="1"/>
    <col min="3367" max="3367" width="2.7109375" style="73" customWidth="1"/>
    <col min="3368" max="3368" width="25.7109375" style="73" customWidth="1"/>
    <col min="3369" max="3369" width="2.7109375" style="73" customWidth="1"/>
    <col min="3370" max="3384" width="25.7109375" style="73" customWidth="1"/>
    <col min="3385" max="3386" width="30.7109375" style="73" customWidth="1"/>
    <col min="3387" max="3387" width="42.7109375" style="73" customWidth="1"/>
    <col min="3388" max="3430" width="0" style="73" hidden="1" customWidth="1"/>
    <col min="3431" max="3584" width="9.140625" style="73"/>
    <col min="3585" max="3586" width="25.7109375" style="73" customWidth="1"/>
    <col min="3587" max="3587" width="2.7109375" style="73" customWidth="1"/>
    <col min="3588" max="3588" width="25.7109375" style="73" customWidth="1"/>
    <col min="3589" max="3589" width="2.7109375" style="73" customWidth="1"/>
    <col min="3590" max="3590" width="25.7109375" style="73" customWidth="1"/>
    <col min="3591" max="3591" width="2.7109375" style="73" customWidth="1"/>
    <col min="3592" max="3592" width="25.7109375" style="73" customWidth="1"/>
    <col min="3593" max="3593" width="2.7109375" style="73" customWidth="1"/>
    <col min="3594" max="3594" width="25.7109375" style="73" customWidth="1"/>
    <col min="3595" max="3595" width="2.7109375" style="73" customWidth="1"/>
    <col min="3596" max="3596" width="25.7109375" style="73" customWidth="1"/>
    <col min="3597" max="3597" width="2.7109375" style="73" customWidth="1"/>
    <col min="3598" max="3598" width="25.7109375" style="73" customWidth="1"/>
    <col min="3599" max="3599" width="2.7109375" style="73" customWidth="1"/>
    <col min="3600" max="3600" width="25.7109375" style="73" customWidth="1"/>
    <col min="3601" max="3601" width="2.7109375" style="73" customWidth="1"/>
    <col min="3602" max="3602" width="25.7109375" style="73" customWidth="1"/>
    <col min="3603" max="3603" width="2.7109375" style="73" customWidth="1"/>
    <col min="3604" max="3604" width="25.140625" style="73" customWidth="1"/>
    <col min="3605" max="3605" width="2.7109375" style="73" customWidth="1"/>
    <col min="3606" max="3606" width="25.7109375" style="73" customWidth="1"/>
    <col min="3607" max="3607" width="2.7109375" style="73" customWidth="1"/>
    <col min="3608" max="3608" width="25.7109375" style="73" customWidth="1"/>
    <col min="3609" max="3609" width="2.7109375" style="73" customWidth="1"/>
    <col min="3610" max="3610" width="25.7109375" style="73" customWidth="1"/>
    <col min="3611" max="3611" width="2.7109375" style="73" customWidth="1"/>
    <col min="3612" max="3612" width="25.7109375" style="73" customWidth="1"/>
    <col min="3613" max="3613" width="2.7109375" style="73" customWidth="1"/>
    <col min="3614" max="3614" width="25.7109375" style="73" customWidth="1"/>
    <col min="3615" max="3615" width="2.7109375" style="73" customWidth="1"/>
    <col min="3616" max="3616" width="25.7109375" style="73" customWidth="1"/>
    <col min="3617" max="3617" width="2.7109375" style="73" customWidth="1"/>
    <col min="3618" max="3618" width="25.7109375" style="73" customWidth="1"/>
    <col min="3619" max="3619" width="2.7109375" style="73" customWidth="1"/>
    <col min="3620" max="3620" width="25.7109375" style="73" customWidth="1"/>
    <col min="3621" max="3621" width="2.7109375" style="73" customWidth="1"/>
    <col min="3622" max="3622" width="25.7109375" style="73" customWidth="1"/>
    <col min="3623" max="3623" width="2.7109375" style="73" customWidth="1"/>
    <col min="3624" max="3624" width="25.7109375" style="73" customWidth="1"/>
    <col min="3625" max="3625" width="2.7109375" style="73" customWidth="1"/>
    <col min="3626" max="3640" width="25.7109375" style="73" customWidth="1"/>
    <col min="3641" max="3642" width="30.7109375" style="73" customWidth="1"/>
    <col min="3643" max="3643" width="42.7109375" style="73" customWidth="1"/>
    <col min="3644" max="3686" width="0" style="73" hidden="1" customWidth="1"/>
    <col min="3687" max="3840" width="9.140625" style="73"/>
    <col min="3841" max="3842" width="25.7109375" style="73" customWidth="1"/>
    <col min="3843" max="3843" width="2.7109375" style="73" customWidth="1"/>
    <col min="3844" max="3844" width="25.7109375" style="73" customWidth="1"/>
    <col min="3845" max="3845" width="2.7109375" style="73" customWidth="1"/>
    <col min="3846" max="3846" width="25.7109375" style="73" customWidth="1"/>
    <col min="3847" max="3847" width="2.7109375" style="73" customWidth="1"/>
    <col min="3848" max="3848" width="25.7109375" style="73" customWidth="1"/>
    <col min="3849" max="3849" width="2.7109375" style="73" customWidth="1"/>
    <col min="3850" max="3850" width="25.7109375" style="73" customWidth="1"/>
    <col min="3851" max="3851" width="2.7109375" style="73" customWidth="1"/>
    <col min="3852" max="3852" width="25.7109375" style="73" customWidth="1"/>
    <col min="3853" max="3853" width="2.7109375" style="73" customWidth="1"/>
    <col min="3854" max="3854" width="25.7109375" style="73" customWidth="1"/>
    <col min="3855" max="3855" width="2.7109375" style="73" customWidth="1"/>
    <col min="3856" max="3856" width="25.7109375" style="73" customWidth="1"/>
    <col min="3857" max="3857" width="2.7109375" style="73" customWidth="1"/>
    <col min="3858" max="3858" width="25.7109375" style="73" customWidth="1"/>
    <col min="3859" max="3859" width="2.7109375" style="73" customWidth="1"/>
    <col min="3860" max="3860" width="25.140625" style="73" customWidth="1"/>
    <col min="3861" max="3861" width="2.7109375" style="73" customWidth="1"/>
    <col min="3862" max="3862" width="25.7109375" style="73" customWidth="1"/>
    <col min="3863" max="3863" width="2.7109375" style="73" customWidth="1"/>
    <col min="3864" max="3864" width="25.7109375" style="73" customWidth="1"/>
    <col min="3865" max="3865" width="2.7109375" style="73" customWidth="1"/>
    <col min="3866" max="3866" width="25.7109375" style="73" customWidth="1"/>
    <col min="3867" max="3867" width="2.7109375" style="73" customWidth="1"/>
    <col min="3868" max="3868" width="25.7109375" style="73" customWidth="1"/>
    <col min="3869" max="3869" width="2.7109375" style="73" customWidth="1"/>
    <col min="3870" max="3870" width="25.7109375" style="73" customWidth="1"/>
    <col min="3871" max="3871" width="2.7109375" style="73" customWidth="1"/>
    <col min="3872" max="3872" width="25.7109375" style="73" customWidth="1"/>
    <col min="3873" max="3873" width="2.7109375" style="73" customWidth="1"/>
    <col min="3874" max="3874" width="25.7109375" style="73" customWidth="1"/>
    <col min="3875" max="3875" width="2.7109375" style="73" customWidth="1"/>
    <col min="3876" max="3876" width="25.7109375" style="73" customWidth="1"/>
    <col min="3877" max="3877" width="2.7109375" style="73" customWidth="1"/>
    <col min="3878" max="3878" width="25.7109375" style="73" customWidth="1"/>
    <col min="3879" max="3879" width="2.7109375" style="73" customWidth="1"/>
    <col min="3880" max="3880" width="25.7109375" style="73" customWidth="1"/>
    <col min="3881" max="3881" width="2.7109375" style="73" customWidth="1"/>
    <col min="3882" max="3896" width="25.7109375" style="73" customWidth="1"/>
    <col min="3897" max="3898" width="30.7109375" style="73" customWidth="1"/>
    <col min="3899" max="3899" width="42.7109375" style="73" customWidth="1"/>
    <col min="3900" max="3942" width="0" style="73" hidden="1" customWidth="1"/>
    <col min="3943" max="4096" width="9.140625" style="73"/>
    <col min="4097" max="4098" width="25.7109375" style="73" customWidth="1"/>
    <col min="4099" max="4099" width="2.7109375" style="73" customWidth="1"/>
    <col min="4100" max="4100" width="25.7109375" style="73" customWidth="1"/>
    <col min="4101" max="4101" width="2.7109375" style="73" customWidth="1"/>
    <col min="4102" max="4102" width="25.7109375" style="73" customWidth="1"/>
    <col min="4103" max="4103" width="2.7109375" style="73" customWidth="1"/>
    <col min="4104" max="4104" width="25.7109375" style="73" customWidth="1"/>
    <col min="4105" max="4105" width="2.7109375" style="73" customWidth="1"/>
    <col min="4106" max="4106" width="25.7109375" style="73" customWidth="1"/>
    <col min="4107" max="4107" width="2.7109375" style="73" customWidth="1"/>
    <col min="4108" max="4108" width="25.7109375" style="73" customWidth="1"/>
    <col min="4109" max="4109" width="2.7109375" style="73" customWidth="1"/>
    <col min="4110" max="4110" width="25.7109375" style="73" customWidth="1"/>
    <col min="4111" max="4111" width="2.7109375" style="73" customWidth="1"/>
    <col min="4112" max="4112" width="25.7109375" style="73" customWidth="1"/>
    <col min="4113" max="4113" width="2.7109375" style="73" customWidth="1"/>
    <col min="4114" max="4114" width="25.7109375" style="73" customWidth="1"/>
    <col min="4115" max="4115" width="2.7109375" style="73" customWidth="1"/>
    <col min="4116" max="4116" width="25.140625" style="73" customWidth="1"/>
    <col min="4117" max="4117" width="2.7109375" style="73" customWidth="1"/>
    <col min="4118" max="4118" width="25.7109375" style="73" customWidth="1"/>
    <col min="4119" max="4119" width="2.7109375" style="73" customWidth="1"/>
    <col min="4120" max="4120" width="25.7109375" style="73" customWidth="1"/>
    <col min="4121" max="4121" width="2.7109375" style="73" customWidth="1"/>
    <col min="4122" max="4122" width="25.7109375" style="73" customWidth="1"/>
    <col min="4123" max="4123" width="2.7109375" style="73" customWidth="1"/>
    <col min="4124" max="4124" width="25.7109375" style="73" customWidth="1"/>
    <col min="4125" max="4125" width="2.7109375" style="73" customWidth="1"/>
    <col min="4126" max="4126" width="25.7109375" style="73" customWidth="1"/>
    <col min="4127" max="4127" width="2.7109375" style="73" customWidth="1"/>
    <col min="4128" max="4128" width="25.7109375" style="73" customWidth="1"/>
    <col min="4129" max="4129" width="2.7109375" style="73" customWidth="1"/>
    <col min="4130" max="4130" width="25.7109375" style="73" customWidth="1"/>
    <col min="4131" max="4131" width="2.7109375" style="73" customWidth="1"/>
    <col min="4132" max="4132" width="25.7109375" style="73" customWidth="1"/>
    <col min="4133" max="4133" width="2.7109375" style="73" customWidth="1"/>
    <col min="4134" max="4134" width="25.7109375" style="73" customWidth="1"/>
    <col min="4135" max="4135" width="2.7109375" style="73" customWidth="1"/>
    <col min="4136" max="4136" width="25.7109375" style="73" customWidth="1"/>
    <col min="4137" max="4137" width="2.7109375" style="73" customWidth="1"/>
    <col min="4138" max="4152" width="25.7109375" style="73" customWidth="1"/>
    <col min="4153" max="4154" width="30.7109375" style="73" customWidth="1"/>
    <col min="4155" max="4155" width="42.7109375" style="73" customWidth="1"/>
    <col min="4156" max="4198" width="0" style="73" hidden="1" customWidth="1"/>
    <col min="4199" max="4352" width="9.140625" style="73"/>
    <col min="4353" max="4354" width="25.7109375" style="73" customWidth="1"/>
    <col min="4355" max="4355" width="2.7109375" style="73" customWidth="1"/>
    <col min="4356" max="4356" width="25.7109375" style="73" customWidth="1"/>
    <col min="4357" max="4357" width="2.7109375" style="73" customWidth="1"/>
    <col min="4358" max="4358" width="25.7109375" style="73" customWidth="1"/>
    <col min="4359" max="4359" width="2.7109375" style="73" customWidth="1"/>
    <col min="4360" max="4360" width="25.7109375" style="73" customWidth="1"/>
    <col min="4361" max="4361" width="2.7109375" style="73" customWidth="1"/>
    <col min="4362" max="4362" width="25.7109375" style="73" customWidth="1"/>
    <col min="4363" max="4363" width="2.7109375" style="73" customWidth="1"/>
    <col min="4364" max="4364" width="25.7109375" style="73" customWidth="1"/>
    <col min="4365" max="4365" width="2.7109375" style="73" customWidth="1"/>
    <col min="4366" max="4366" width="25.7109375" style="73" customWidth="1"/>
    <col min="4367" max="4367" width="2.7109375" style="73" customWidth="1"/>
    <col min="4368" max="4368" width="25.7109375" style="73" customWidth="1"/>
    <col min="4369" max="4369" width="2.7109375" style="73" customWidth="1"/>
    <col min="4370" max="4370" width="25.7109375" style="73" customWidth="1"/>
    <col min="4371" max="4371" width="2.7109375" style="73" customWidth="1"/>
    <col min="4372" max="4372" width="25.140625" style="73" customWidth="1"/>
    <col min="4373" max="4373" width="2.7109375" style="73" customWidth="1"/>
    <col min="4374" max="4374" width="25.7109375" style="73" customWidth="1"/>
    <col min="4375" max="4375" width="2.7109375" style="73" customWidth="1"/>
    <col min="4376" max="4376" width="25.7109375" style="73" customWidth="1"/>
    <col min="4377" max="4377" width="2.7109375" style="73" customWidth="1"/>
    <col min="4378" max="4378" width="25.7109375" style="73" customWidth="1"/>
    <col min="4379" max="4379" width="2.7109375" style="73" customWidth="1"/>
    <col min="4380" max="4380" width="25.7109375" style="73" customWidth="1"/>
    <col min="4381" max="4381" width="2.7109375" style="73" customWidth="1"/>
    <col min="4382" max="4382" width="25.7109375" style="73" customWidth="1"/>
    <col min="4383" max="4383" width="2.7109375" style="73" customWidth="1"/>
    <col min="4384" max="4384" width="25.7109375" style="73" customWidth="1"/>
    <col min="4385" max="4385" width="2.7109375" style="73" customWidth="1"/>
    <col min="4386" max="4386" width="25.7109375" style="73" customWidth="1"/>
    <col min="4387" max="4387" width="2.7109375" style="73" customWidth="1"/>
    <col min="4388" max="4388" width="25.7109375" style="73" customWidth="1"/>
    <col min="4389" max="4389" width="2.7109375" style="73" customWidth="1"/>
    <col min="4390" max="4390" width="25.7109375" style="73" customWidth="1"/>
    <col min="4391" max="4391" width="2.7109375" style="73" customWidth="1"/>
    <col min="4392" max="4392" width="25.7109375" style="73" customWidth="1"/>
    <col min="4393" max="4393" width="2.7109375" style="73" customWidth="1"/>
    <col min="4394" max="4408" width="25.7109375" style="73" customWidth="1"/>
    <col min="4409" max="4410" width="30.7109375" style="73" customWidth="1"/>
    <col min="4411" max="4411" width="42.7109375" style="73" customWidth="1"/>
    <col min="4412" max="4454" width="0" style="73" hidden="1" customWidth="1"/>
    <col min="4455" max="4608" width="9.140625" style="73"/>
    <col min="4609" max="4610" width="25.7109375" style="73" customWidth="1"/>
    <col min="4611" max="4611" width="2.7109375" style="73" customWidth="1"/>
    <col min="4612" max="4612" width="25.7109375" style="73" customWidth="1"/>
    <col min="4613" max="4613" width="2.7109375" style="73" customWidth="1"/>
    <col min="4614" max="4614" width="25.7109375" style="73" customWidth="1"/>
    <col min="4615" max="4615" width="2.7109375" style="73" customWidth="1"/>
    <col min="4616" max="4616" width="25.7109375" style="73" customWidth="1"/>
    <col min="4617" max="4617" width="2.7109375" style="73" customWidth="1"/>
    <col min="4618" max="4618" width="25.7109375" style="73" customWidth="1"/>
    <col min="4619" max="4619" width="2.7109375" style="73" customWidth="1"/>
    <col min="4620" max="4620" width="25.7109375" style="73" customWidth="1"/>
    <col min="4621" max="4621" width="2.7109375" style="73" customWidth="1"/>
    <col min="4622" max="4622" width="25.7109375" style="73" customWidth="1"/>
    <col min="4623" max="4623" width="2.7109375" style="73" customWidth="1"/>
    <col min="4624" max="4624" width="25.7109375" style="73" customWidth="1"/>
    <col min="4625" max="4625" width="2.7109375" style="73" customWidth="1"/>
    <col min="4626" max="4626" width="25.7109375" style="73" customWidth="1"/>
    <col min="4627" max="4627" width="2.7109375" style="73" customWidth="1"/>
    <col min="4628" max="4628" width="25.140625" style="73" customWidth="1"/>
    <col min="4629" max="4629" width="2.7109375" style="73" customWidth="1"/>
    <col min="4630" max="4630" width="25.7109375" style="73" customWidth="1"/>
    <col min="4631" max="4631" width="2.7109375" style="73" customWidth="1"/>
    <col min="4632" max="4632" width="25.7109375" style="73" customWidth="1"/>
    <col min="4633" max="4633" width="2.7109375" style="73" customWidth="1"/>
    <col min="4634" max="4634" width="25.7109375" style="73" customWidth="1"/>
    <col min="4635" max="4635" width="2.7109375" style="73" customWidth="1"/>
    <col min="4636" max="4636" width="25.7109375" style="73" customWidth="1"/>
    <col min="4637" max="4637" width="2.7109375" style="73" customWidth="1"/>
    <col min="4638" max="4638" width="25.7109375" style="73" customWidth="1"/>
    <col min="4639" max="4639" width="2.7109375" style="73" customWidth="1"/>
    <col min="4640" max="4640" width="25.7109375" style="73" customWidth="1"/>
    <col min="4641" max="4641" width="2.7109375" style="73" customWidth="1"/>
    <col min="4642" max="4642" width="25.7109375" style="73" customWidth="1"/>
    <col min="4643" max="4643" width="2.7109375" style="73" customWidth="1"/>
    <col min="4644" max="4644" width="25.7109375" style="73" customWidth="1"/>
    <col min="4645" max="4645" width="2.7109375" style="73" customWidth="1"/>
    <col min="4646" max="4646" width="25.7109375" style="73" customWidth="1"/>
    <col min="4647" max="4647" width="2.7109375" style="73" customWidth="1"/>
    <col min="4648" max="4648" width="25.7109375" style="73" customWidth="1"/>
    <col min="4649" max="4649" width="2.7109375" style="73" customWidth="1"/>
    <col min="4650" max="4664" width="25.7109375" style="73" customWidth="1"/>
    <col min="4665" max="4666" width="30.7109375" style="73" customWidth="1"/>
    <col min="4667" max="4667" width="42.7109375" style="73" customWidth="1"/>
    <col min="4668" max="4710" width="0" style="73" hidden="1" customWidth="1"/>
    <col min="4711" max="4864" width="9.140625" style="73"/>
    <col min="4865" max="4866" width="25.7109375" style="73" customWidth="1"/>
    <col min="4867" max="4867" width="2.7109375" style="73" customWidth="1"/>
    <col min="4868" max="4868" width="25.7109375" style="73" customWidth="1"/>
    <col min="4869" max="4869" width="2.7109375" style="73" customWidth="1"/>
    <col min="4870" max="4870" width="25.7109375" style="73" customWidth="1"/>
    <col min="4871" max="4871" width="2.7109375" style="73" customWidth="1"/>
    <col min="4872" max="4872" width="25.7109375" style="73" customWidth="1"/>
    <col min="4873" max="4873" width="2.7109375" style="73" customWidth="1"/>
    <col min="4874" max="4874" width="25.7109375" style="73" customWidth="1"/>
    <col min="4875" max="4875" width="2.7109375" style="73" customWidth="1"/>
    <col min="4876" max="4876" width="25.7109375" style="73" customWidth="1"/>
    <col min="4877" max="4877" width="2.7109375" style="73" customWidth="1"/>
    <col min="4878" max="4878" width="25.7109375" style="73" customWidth="1"/>
    <col min="4879" max="4879" width="2.7109375" style="73" customWidth="1"/>
    <col min="4880" max="4880" width="25.7109375" style="73" customWidth="1"/>
    <col min="4881" max="4881" width="2.7109375" style="73" customWidth="1"/>
    <col min="4882" max="4882" width="25.7109375" style="73" customWidth="1"/>
    <col min="4883" max="4883" width="2.7109375" style="73" customWidth="1"/>
    <col min="4884" max="4884" width="25.140625" style="73" customWidth="1"/>
    <col min="4885" max="4885" width="2.7109375" style="73" customWidth="1"/>
    <col min="4886" max="4886" width="25.7109375" style="73" customWidth="1"/>
    <col min="4887" max="4887" width="2.7109375" style="73" customWidth="1"/>
    <col min="4888" max="4888" width="25.7109375" style="73" customWidth="1"/>
    <col min="4889" max="4889" width="2.7109375" style="73" customWidth="1"/>
    <col min="4890" max="4890" width="25.7109375" style="73" customWidth="1"/>
    <col min="4891" max="4891" width="2.7109375" style="73" customWidth="1"/>
    <col min="4892" max="4892" width="25.7109375" style="73" customWidth="1"/>
    <col min="4893" max="4893" width="2.7109375" style="73" customWidth="1"/>
    <col min="4894" max="4894" width="25.7109375" style="73" customWidth="1"/>
    <col min="4895" max="4895" width="2.7109375" style="73" customWidth="1"/>
    <col min="4896" max="4896" width="25.7109375" style="73" customWidth="1"/>
    <col min="4897" max="4897" width="2.7109375" style="73" customWidth="1"/>
    <col min="4898" max="4898" width="25.7109375" style="73" customWidth="1"/>
    <col min="4899" max="4899" width="2.7109375" style="73" customWidth="1"/>
    <col min="4900" max="4900" width="25.7109375" style="73" customWidth="1"/>
    <col min="4901" max="4901" width="2.7109375" style="73" customWidth="1"/>
    <col min="4902" max="4902" width="25.7109375" style="73" customWidth="1"/>
    <col min="4903" max="4903" width="2.7109375" style="73" customWidth="1"/>
    <col min="4904" max="4904" width="25.7109375" style="73" customWidth="1"/>
    <col min="4905" max="4905" width="2.7109375" style="73" customWidth="1"/>
    <col min="4906" max="4920" width="25.7109375" style="73" customWidth="1"/>
    <col min="4921" max="4922" width="30.7109375" style="73" customWidth="1"/>
    <col min="4923" max="4923" width="42.7109375" style="73" customWidth="1"/>
    <col min="4924" max="4966" width="0" style="73" hidden="1" customWidth="1"/>
    <col min="4967" max="5120" width="9.140625" style="73"/>
    <col min="5121" max="5122" width="25.7109375" style="73" customWidth="1"/>
    <col min="5123" max="5123" width="2.7109375" style="73" customWidth="1"/>
    <col min="5124" max="5124" width="25.7109375" style="73" customWidth="1"/>
    <col min="5125" max="5125" width="2.7109375" style="73" customWidth="1"/>
    <col min="5126" max="5126" width="25.7109375" style="73" customWidth="1"/>
    <col min="5127" max="5127" width="2.7109375" style="73" customWidth="1"/>
    <col min="5128" max="5128" width="25.7109375" style="73" customWidth="1"/>
    <col min="5129" max="5129" width="2.7109375" style="73" customWidth="1"/>
    <col min="5130" max="5130" width="25.7109375" style="73" customWidth="1"/>
    <col min="5131" max="5131" width="2.7109375" style="73" customWidth="1"/>
    <col min="5132" max="5132" width="25.7109375" style="73" customWidth="1"/>
    <col min="5133" max="5133" width="2.7109375" style="73" customWidth="1"/>
    <col min="5134" max="5134" width="25.7109375" style="73" customWidth="1"/>
    <col min="5135" max="5135" width="2.7109375" style="73" customWidth="1"/>
    <col min="5136" max="5136" width="25.7109375" style="73" customWidth="1"/>
    <col min="5137" max="5137" width="2.7109375" style="73" customWidth="1"/>
    <col min="5138" max="5138" width="25.7109375" style="73" customWidth="1"/>
    <col min="5139" max="5139" width="2.7109375" style="73" customWidth="1"/>
    <col min="5140" max="5140" width="25.140625" style="73" customWidth="1"/>
    <col min="5141" max="5141" width="2.7109375" style="73" customWidth="1"/>
    <col min="5142" max="5142" width="25.7109375" style="73" customWidth="1"/>
    <col min="5143" max="5143" width="2.7109375" style="73" customWidth="1"/>
    <col min="5144" max="5144" width="25.7109375" style="73" customWidth="1"/>
    <col min="5145" max="5145" width="2.7109375" style="73" customWidth="1"/>
    <col min="5146" max="5146" width="25.7109375" style="73" customWidth="1"/>
    <col min="5147" max="5147" width="2.7109375" style="73" customWidth="1"/>
    <col min="5148" max="5148" width="25.7109375" style="73" customWidth="1"/>
    <col min="5149" max="5149" width="2.7109375" style="73" customWidth="1"/>
    <col min="5150" max="5150" width="25.7109375" style="73" customWidth="1"/>
    <col min="5151" max="5151" width="2.7109375" style="73" customWidth="1"/>
    <col min="5152" max="5152" width="25.7109375" style="73" customWidth="1"/>
    <col min="5153" max="5153" width="2.7109375" style="73" customWidth="1"/>
    <col min="5154" max="5154" width="25.7109375" style="73" customWidth="1"/>
    <col min="5155" max="5155" width="2.7109375" style="73" customWidth="1"/>
    <col min="5156" max="5156" width="25.7109375" style="73" customWidth="1"/>
    <col min="5157" max="5157" width="2.7109375" style="73" customWidth="1"/>
    <col min="5158" max="5158" width="25.7109375" style="73" customWidth="1"/>
    <col min="5159" max="5159" width="2.7109375" style="73" customWidth="1"/>
    <col min="5160" max="5160" width="25.7109375" style="73" customWidth="1"/>
    <col min="5161" max="5161" width="2.7109375" style="73" customWidth="1"/>
    <col min="5162" max="5176" width="25.7109375" style="73" customWidth="1"/>
    <col min="5177" max="5178" width="30.7109375" style="73" customWidth="1"/>
    <col min="5179" max="5179" width="42.7109375" style="73" customWidth="1"/>
    <col min="5180" max="5222" width="0" style="73" hidden="1" customWidth="1"/>
    <col min="5223" max="5376" width="9.140625" style="73"/>
    <col min="5377" max="5378" width="25.7109375" style="73" customWidth="1"/>
    <col min="5379" max="5379" width="2.7109375" style="73" customWidth="1"/>
    <col min="5380" max="5380" width="25.7109375" style="73" customWidth="1"/>
    <col min="5381" max="5381" width="2.7109375" style="73" customWidth="1"/>
    <col min="5382" max="5382" width="25.7109375" style="73" customWidth="1"/>
    <col min="5383" max="5383" width="2.7109375" style="73" customWidth="1"/>
    <col min="5384" max="5384" width="25.7109375" style="73" customWidth="1"/>
    <col min="5385" max="5385" width="2.7109375" style="73" customWidth="1"/>
    <col min="5386" max="5386" width="25.7109375" style="73" customWidth="1"/>
    <col min="5387" max="5387" width="2.7109375" style="73" customWidth="1"/>
    <col min="5388" max="5388" width="25.7109375" style="73" customWidth="1"/>
    <col min="5389" max="5389" width="2.7109375" style="73" customWidth="1"/>
    <col min="5390" max="5390" width="25.7109375" style="73" customWidth="1"/>
    <col min="5391" max="5391" width="2.7109375" style="73" customWidth="1"/>
    <col min="5392" max="5392" width="25.7109375" style="73" customWidth="1"/>
    <col min="5393" max="5393" width="2.7109375" style="73" customWidth="1"/>
    <col min="5394" max="5394" width="25.7109375" style="73" customWidth="1"/>
    <col min="5395" max="5395" width="2.7109375" style="73" customWidth="1"/>
    <col min="5396" max="5396" width="25.140625" style="73" customWidth="1"/>
    <col min="5397" max="5397" width="2.7109375" style="73" customWidth="1"/>
    <col min="5398" max="5398" width="25.7109375" style="73" customWidth="1"/>
    <col min="5399" max="5399" width="2.7109375" style="73" customWidth="1"/>
    <col min="5400" max="5400" width="25.7109375" style="73" customWidth="1"/>
    <col min="5401" max="5401" width="2.7109375" style="73" customWidth="1"/>
    <col min="5402" max="5402" width="25.7109375" style="73" customWidth="1"/>
    <col min="5403" max="5403" width="2.7109375" style="73" customWidth="1"/>
    <col min="5404" max="5404" width="25.7109375" style="73" customWidth="1"/>
    <col min="5405" max="5405" width="2.7109375" style="73" customWidth="1"/>
    <col min="5406" max="5406" width="25.7109375" style="73" customWidth="1"/>
    <col min="5407" max="5407" width="2.7109375" style="73" customWidth="1"/>
    <col min="5408" max="5408" width="25.7109375" style="73" customWidth="1"/>
    <col min="5409" max="5409" width="2.7109375" style="73" customWidth="1"/>
    <col min="5410" max="5410" width="25.7109375" style="73" customWidth="1"/>
    <col min="5411" max="5411" width="2.7109375" style="73" customWidth="1"/>
    <col min="5412" max="5412" width="25.7109375" style="73" customWidth="1"/>
    <col min="5413" max="5413" width="2.7109375" style="73" customWidth="1"/>
    <col min="5414" max="5414" width="25.7109375" style="73" customWidth="1"/>
    <col min="5415" max="5415" width="2.7109375" style="73" customWidth="1"/>
    <col min="5416" max="5416" width="25.7109375" style="73" customWidth="1"/>
    <col min="5417" max="5417" width="2.7109375" style="73" customWidth="1"/>
    <col min="5418" max="5432" width="25.7109375" style="73" customWidth="1"/>
    <col min="5433" max="5434" width="30.7109375" style="73" customWidth="1"/>
    <col min="5435" max="5435" width="42.7109375" style="73" customWidth="1"/>
    <col min="5436" max="5478" width="0" style="73" hidden="1" customWidth="1"/>
    <col min="5479" max="5632" width="9.140625" style="73"/>
    <col min="5633" max="5634" width="25.7109375" style="73" customWidth="1"/>
    <col min="5635" max="5635" width="2.7109375" style="73" customWidth="1"/>
    <col min="5636" max="5636" width="25.7109375" style="73" customWidth="1"/>
    <col min="5637" max="5637" width="2.7109375" style="73" customWidth="1"/>
    <col min="5638" max="5638" width="25.7109375" style="73" customWidth="1"/>
    <col min="5639" max="5639" width="2.7109375" style="73" customWidth="1"/>
    <col min="5640" max="5640" width="25.7109375" style="73" customWidth="1"/>
    <col min="5641" max="5641" width="2.7109375" style="73" customWidth="1"/>
    <col min="5642" max="5642" width="25.7109375" style="73" customWidth="1"/>
    <col min="5643" max="5643" width="2.7109375" style="73" customWidth="1"/>
    <col min="5644" max="5644" width="25.7109375" style="73" customWidth="1"/>
    <col min="5645" max="5645" width="2.7109375" style="73" customWidth="1"/>
    <col min="5646" max="5646" width="25.7109375" style="73" customWidth="1"/>
    <col min="5647" max="5647" width="2.7109375" style="73" customWidth="1"/>
    <col min="5648" max="5648" width="25.7109375" style="73" customWidth="1"/>
    <col min="5649" max="5649" width="2.7109375" style="73" customWidth="1"/>
    <col min="5650" max="5650" width="25.7109375" style="73" customWidth="1"/>
    <col min="5651" max="5651" width="2.7109375" style="73" customWidth="1"/>
    <col min="5652" max="5652" width="25.140625" style="73" customWidth="1"/>
    <col min="5653" max="5653" width="2.7109375" style="73" customWidth="1"/>
    <col min="5654" max="5654" width="25.7109375" style="73" customWidth="1"/>
    <col min="5655" max="5655" width="2.7109375" style="73" customWidth="1"/>
    <col min="5656" max="5656" width="25.7109375" style="73" customWidth="1"/>
    <col min="5657" max="5657" width="2.7109375" style="73" customWidth="1"/>
    <col min="5658" max="5658" width="25.7109375" style="73" customWidth="1"/>
    <col min="5659" max="5659" width="2.7109375" style="73" customWidth="1"/>
    <col min="5660" max="5660" width="25.7109375" style="73" customWidth="1"/>
    <col min="5661" max="5661" width="2.7109375" style="73" customWidth="1"/>
    <col min="5662" max="5662" width="25.7109375" style="73" customWidth="1"/>
    <col min="5663" max="5663" width="2.7109375" style="73" customWidth="1"/>
    <col min="5664" max="5664" width="25.7109375" style="73" customWidth="1"/>
    <col min="5665" max="5665" width="2.7109375" style="73" customWidth="1"/>
    <col min="5666" max="5666" width="25.7109375" style="73" customWidth="1"/>
    <col min="5667" max="5667" width="2.7109375" style="73" customWidth="1"/>
    <col min="5668" max="5668" width="25.7109375" style="73" customWidth="1"/>
    <col min="5669" max="5669" width="2.7109375" style="73" customWidth="1"/>
    <col min="5670" max="5670" width="25.7109375" style="73" customWidth="1"/>
    <col min="5671" max="5671" width="2.7109375" style="73" customWidth="1"/>
    <col min="5672" max="5672" width="25.7109375" style="73" customWidth="1"/>
    <col min="5673" max="5673" width="2.7109375" style="73" customWidth="1"/>
    <col min="5674" max="5688" width="25.7109375" style="73" customWidth="1"/>
    <col min="5689" max="5690" width="30.7109375" style="73" customWidth="1"/>
    <col min="5691" max="5691" width="42.7109375" style="73" customWidth="1"/>
    <col min="5692" max="5734" width="0" style="73" hidden="1" customWidth="1"/>
    <col min="5735" max="5888" width="9.140625" style="73"/>
    <col min="5889" max="5890" width="25.7109375" style="73" customWidth="1"/>
    <col min="5891" max="5891" width="2.7109375" style="73" customWidth="1"/>
    <col min="5892" max="5892" width="25.7109375" style="73" customWidth="1"/>
    <col min="5893" max="5893" width="2.7109375" style="73" customWidth="1"/>
    <col min="5894" max="5894" width="25.7109375" style="73" customWidth="1"/>
    <col min="5895" max="5895" width="2.7109375" style="73" customWidth="1"/>
    <col min="5896" max="5896" width="25.7109375" style="73" customWidth="1"/>
    <col min="5897" max="5897" width="2.7109375" style="73" customWidth="1"/>
    <col min="5898" max="5898" width="25.7109375" style="73" customWidth="1"/>
    <col min="5899" max="5899" width="2.7109375" style="73" customWidth="1"/>
    <col min="5900" max="5900" width="25.7109375" style="73" customWidth="1"/>
    <col min="5901" max="5901" width="2.7109375" style="73" customWidth="1"/>
    <col min="5902" max="5902" width="25.7109375" style="73" customWidth="1"/>
    <col min="5903" max="5903" width="2.7109375" style="73" customWidth="1"/>
    <col min="5904" max="5904" width="25.7109375" style="73" customWidth="1"/>
    <col min="5905" max="5905" width="2.7109375" style="73" customWidth="1"/>
    <col min="5906" max="5906" width="25.7109375" style="73" customWidth="1"/>
    <col min="5907" max="5907" width="2.7109375" style="73" customWidth="1"/>
    <col min="5908" max="5908" width="25.140625" style="73" customWidth="1"/>
    <col min="5909" max="5909" width="2.7109375" style="73" customWidth="1"/>
    <col min="5910" max="5910" width="25.7109375" style="73" customWidth="1"/>
    <col min="5911" max="5911" width="2.7109375" style="73" customWidth="1"/>
    <col min="5912" max="5912" width="25.7109375" style="73" customWidth="1"/>
    <col min="5913" max="5913" width="2.7109375" style="73" customWidth="1"/>
    <col min="5914" max="5914" width="25.7109375" style="73" customWidth="1"/>
    <col min="5915" max="5915" width="2.7109375" style="73" customWidth="1"/>
    <col min="5916" max="5916" width="25.7109375" style="73" customWidth="1"/>
    <col min="5917" max="5917" width="2.7109375" style="73" customWidth="1"/>
    <col min="5918" max="5918" width="25.7109375" style="73" customWidth="1"/>
    <col min="5919" max="5919" width="2.7109375" style="73" customWidth="1"/>
    <col min="5920" max="5920" width="25.7109375" style="73" customWidth="1"/>
    <col min="5921" max="5921" width="2.7109375" style="73" customWidth="1"/>
    <col min="5922" max="5922" width="25.7109375" style="73" customWidth="1"/>
    <col min="5923" max="5923" width="2.7109375" style="73" customWidth="1"/>
    <col min="5924" max="5924" width="25.7109375" style="73" customWidth="1"/>
    <col min="5925" max="5925" width="2.7109375" style="73" customWidth="1"/>
    <col min="5926" max="5926" width="25.7109375" style="73" customWidth="1"/>
    <col min="5927" max="5927" width="2.7109375" style="73" customWidth="1"/>
    <col min="5928" max="5928" width="25.7109375" style="73" customWidth="1"/>
    <col min="5929" max="5929" width="2.7109375" style="73" customWidth="1"/>
    <col min="5930" max="5944" width="25.7109375" style="73" customWidth="1"/>
    <col min="5945" max="5946" width="30.7109375" style="73" customWidth="1"/>
    <col min="5947" max="5947" width="42.7109375" style="73" customWidth="1"/>
    <col min="5948" max="5990" width="0" style="73" hidden="1" customWidth="1"/>
    <col min="5991" max="6144" width="9.140625" style="73"/>
    <col min="6145" max="6146" width="25.7109375" style="73" customWidth="1"/>
    <col min="6147" max="6147" width="2.7109375" style="73" customWidth="1"/>
    <col min="6148" max="6148" width="25.7109375" style="73" customWidth="1"/>
    <col min="6149" max="6149" width="2.7109375" style="73" customWidth="1"/>
    <col min="6150" max="6150" width="25.7109375" style="73" customWidth="1"/>
    <col min="6151" max="6151" width="2.7109375" style="73" customWidth="1"/>
    <col min="6152" max="6152" width="25.7109375" style="73" customWidth="1"/>
    <col min="6153" max="6153" width="2.7109375" style="73" customWidth="1"/>
    <col min="6154" max="6154" width="25.7109375" style="73" customWidth="1"/>
    <col min="6155" max="6155" width="2.7109375" style="73" customWidth="1"/>
    <col min="6156" max="6156" width="25.7109375" style="73" customWidth="1"/>
    <col min="6157" max="6157" width="2.7109375" style="73" customWidth="1"/>
    <col min="6158" max="6158" width="25.7109375" style="73" customWidth="1"/>
    <col min="6159" max="6159" width="2.7109375" style="73" customWidth="1"/>
    <col min="6160" max="6160" width="25.7109375" style="73" customWidth="1"/>
    <col min="6161" max="6161" width="2.7109375" style="73" customWidth="1"/>
    <col min="6162" max="6162" width="25.7109375" style="73" customWidth="1"/>
    <col min="6163" max="6163" width="2.7109375" style="73" customWidth="1"/>
    <col min="6164" max="6164" width="25.140625" style="73" customWidth="1"/>
    <col min="6165" max="6165" width="2.7109375" style="73" customWidth="1"/>
    <col min="6166" max="6166" width="25.7109375" style="73" customWidth="1"/>
    <col min="6167" max="6167" width="2.7109375" style="73" customWidth="1"/>
    <col min="6168" max="6168" width="25.7109375" style="73" customWidth="1"/>
    <col min="6169" max="6169" width="2.7109375" style="73" customWidth="1"/>
    <col min="6170" max="6170" width="25.7109375" style="73" customWidth="1"/>
    <col min="6171" max="6171" width="2.7109375" style="73" customWidth="1"/>
    <col min="6172" max="6172" width="25.7109375" style="73" customWidth="1"/>
    <col min="6173" max="6173" width="2.7109375" style="73" customWidth="1"/>
    <col min="6174" max="6174" width="25.7109375" style="73" customWidth="1"/>
    <col min="6175" max="6175" width="2.7109375" style="73" customWidth="1"/>
    <col min="6176" max="6176" width="25.7109375" style="73" customWidth="1"/>
    <col min="6177" max="6177" width="2.7109375" style="73" customWidth="1"/>
    <col min="6178" max="6178" width="25.7109375" style="73" customWidth="1"/>
    <col min="6179" max="6179" width="2.7109375" style="73" customWidth="1"/>
    <col min="6180" max="6180" width="25.7109375" style="73" customWidth="1"/>
    <col min="6181" max="6181" width="2.7109375" style="73" customWidth="1"/>
    <col min="6182" max="6182" width="25.7109375" style="73" customWidth="1"/>
    <col min="6183" max="6183" width="2.7109375" style="73" customWidth="1"/>
    <col min="6184" max="6184" width="25.7109375" style="73" customWidth="1"/>
    <col min="6185" max="6185" width="2.7109375" style="73" customWidth="1"/>
    <col min="6186" max="6200" width="25.7109375" style="73" customWidth="1"/>
    <col min="6201" max="6202" width="30.7109375" style="73" customWidth="1"/>
    <col min="6203" max="6203" width="42.7109375" style="73" customWidth="1"/>
    <col min="6204" max="6246" width="0" style="73" hidden="1" customWidth="1"/>
    <col min="6247" max="6400" width="9.140625" style="73"/>
    <col min="6401" max="6402" width="25.7109375" style="73" customWidth="1"/>
    <col min="6403" max="6403" width="2.7109375" style="73" customWidth="1"/>
    <col min="6404" max="6404" width="25.7109375" style="73" customWidth="1"/>
    <col min="6405" max="6405" width="2.7109375" style="73" customWidth="1"/>
    <col min="6406" max="6406" width="25.7109375" style="73" customWidth="1"/>
    <col min="6407" max="6407" width="2.7109375" style="73" customWidth="1"/>
    <col min="6408" max="6408" width="25.7109375" style="73" customWidth="1"/>
    <col min="6409" max="6409" width="2.7109375" style="73" customWidth="1"/>
    <col min="6410" max="6410" width="25.7109375" style="73" customWidth="1"/>
    <col min="6411" max="6411" width="2.7109375" style="73" customWidth="1"/>
    <col min="6412" max="6412" width="25.7109375" style="73" customWidth="1"/>
    <col min="6413" max="6413" width="2.7109375" style="73" customWidth="1"/>
    <col min="6414" max="6414" width="25.7109375" style="73" customWidth="1"/>
    <col min="6415" max="6415" width="2.7109375" style="73" customWidth="1"/>
    <col min="6416" max="6416" width="25.7109375" style="73" customWidth="1"/>
    <col min="6417" max="6417" width="2.7109375" style="73" customWidth="1"/>
    <col min="6418" max="6418" width="25.7109375" style="73" customWidth="1"/>
    <col min="6419" max="6419" width="2.7109375" style="73" customWidth="1"/>
    <col min="6420" max="6420" width="25.140625" style="73" customWidth="1"/>
    <col min="6421" max="6421" width="2.7109375" style="73" customWidth="1"/>
    <col min="6422" max="6422" width="25.7109375" style="73" customWidth="1"/>
    <col min="6423" max="6423" width="2.7109375" style="73" customWidth="1"/>
    <col min="6424" max="6424" width="25.7109375" style="73" customWidth="1"/>
    <col min="6425" max="6425" width="2.7109375" style="73" customWidth="1"/>
    <col min="6426" max="6426" width="25.7109375" style="73" customWidth="1"/>
    <col min="6427" max="6427" width="2.7109375" style="73" customWidth="1"/>
    <col min="6428" max="6428" width="25.7109375" style="73" customWidth="1"/>
    <col min="6429" max="6429" width="2.7109375" style="73" customWidth="1"/>
    <col min="6430" max="6430" width="25.7109375" style="73" customWidth="1"/>
    <col min="6431" max="6431" width="2.7109375" style="73" customWidth="1"/>
    <col min="6432" max="6432" width="25.7109375" style="73" customWidth="1"/>
    <col min="6433" max="6433" width="2.7109375" style="73" customWidth="1"/>
    <col min="6434" max="6434" width="25.7109375" style="73" customWidth="1"/>
    <col min="6435" max="6435" width="2.7109375" style="73" customWidth="1"/>
    <col min="6436" max="6436" width="25.7109375" style="73" customWidth="1"/>
    <col min="6437" max="6437" width="2.7109375" style="73" customWidth="1"/>
    <col min="6438" max="6438" width="25.7109375" style="73" customWidth="1"/>
    <col min="6439" max="6439" width="2.7109375" style="73" customWidth="1"/>
    <col min="6440" max="6440" width="25.7109375" style="73" customWidth="1"/>
    <col min="6441" max="6441" width="2.7109375" style="73" customWidth="1"/>
    <col min="6442" max="6456" width="25.7109375" style="73" customWidth="1"/>
    <col min="6457" max="6458" width="30.7109375" style="73" customWidth="1"/>
    <col min="6459" max="6459" width="42.7109375" style="73" customWidth="1"/>
    <col min="6460" max="6502" width="0" style="73" hidden="1" customWidth="1"/>
    <col min="6503" max="6656" width="9.140625" style="73"/>
    <col min="6657" max="6658" width="25.7109375" style="73" customWidth="1"/>
    <col min="6659" max="6659" width="2.7109375" style="73" customWidth="1"/>
    <col min="6660" max="6660" width="25.7109375" style="73" customWidth="1"/>
    <col min="6661" max="6661" width="2.7109375" style="73" customWidth="1"/>
    <col min="6662" max="6662" width="25.7109375" style="73" customWidth="1"/>
    <col min="6663" max="6663" width="2.7109375" style="73" customWidth="1"/>
    <col min="6664" max="6664" width="25.7109375" style="73" customWidth="1"/>
    <col min="6665" max="6665" width="2.7109375" style="73" customWidth="1"/>
    <col min="6666" max="6666" width="25.7109375" style="73" customWidth="1"/>
    <col min="6667" max="6667" width="2.7109375" style="73" customWidth="1"/>
    <col min="6668" max="6668" width="25.7109375" style="73" customWidth="1"/>
    <col min="6669" max="6669" width="2.7109375" style="73" customWidth="1"/>
    <col min="6670" max="6670" width="25.7109375" style="73" customWidth="1"/>
    <col min="6671" max="6671" width="2.7109375" style="73" customWidth="1"/>
    <col min="6672" max="6672" width="25.7109375" style="73" customWidth="1"/>
    <col min="6673" max="6673" width="2.7109375" style="73" customWidth="1"/>
    <col min="6674" max="6674" width="25.7109375" style="73" customWidth="1"/>
    <col min="6675" max="6675" width="2.7109375" style="73" customWidth="1"/>
    <col min="6676" max="6676" width="25.140625" style="73" customWidth="1"/>
    <col min="6677" max="6677" width="2.7109375" style="73" customWidth="1"/>
    <col min="6678" max="6678" width="25.7109375" style="73" customWidth="1"/>
    <col min="6679" max="6679" width="2.7109375" style="73" customWidth="1"/>
    <col min="6680" max="6680" width="25.7109375" style="73" customWidth="1"/>
    <col min="6681" max="6681" width="2.7109375" style="73" customWidth="1"/>
    <col min="6682" max="6682" width="25.7109375" style="73" customWidth="1"/>
    <col min="6683" max="6683" width="2.7109375" style="73" customWidth="1"/>
    <col min="6684" max="6684" width="25.7109375" style="73" customWidth="1"/>
    <col min="6685" max="6685" width="2.7109375" style="73" customWidth="1"/>
    <col min="6686" max="6686" width="25.7109375" style="73" customWidth="1"/>
    <col min="6687" max="6687" width="2.7109375" style="73" customWidth="1"/>
    <col min="6688" max="6688" width="25.7109375" style="73" customWidth="1"/>
    <col min="6689" max="6689" width="2.7109375" style="73" customWidth="1"/>
    <col min="6690" max="6690" width="25.7109375" style="73" customWidth="1"/>
    <col min="6691" max="6691" width="2.7109375" style="73" customWidth="1"/>
    <col min="6692" max="6692" width="25.7109375" style="73" customWidth="1"/>
    <col min="6693" max="6693" width="2.7109375" style="73" customWidth="1"/>
    <col min="6694" max="6694" width="25.7109375" style="73" customWidth="1"/>
    <col min="6695" max="6695" width="2.7109375" style="73" customWidth="1"/>
    <col min="6696" max="6696" width="25.7109375" style="73" customWidth="1"/>
    <col min="6697" max="6697" width="2.7109375" style="73" customWidth="1"/>
    <col min="6698" max="6712" width="25.7109375" style="73" customWidth="1"/>
    <col min="6713" max="6714" width="30.7109375" style="73" customWidth="1"/>
    <col min="6715" max="6715" width="42.7109375" style="73" customWidth="1"/>
    <col min="6716" max="6758" width="0" style="73" hidden="1" customWidth="1"/>
    <col min="6759" max="6912" width="9.140625" style="73"/>
    <col min="6913" max="6914" width="25.7109375" style="73" customWidth="1"/>
    <col min="6915" max="6915" width="2.7109375" style="73" customWidth="1"/>
    <col min="6916" max="6916" width="25.7109375" style="73" customWidth="1"/>
    <col min="6917" max="6917" width="2.7109375" style="73" customWidth="1"/>
    <col min="6918" max="6918" width="25.7109375" style="73" customWidth="1"/>
    <col min="6919" max="6919" width="2.7109375" style="73" customWidth="1"/>
    <col min="6920" max="6920" width="25.7109375" style="73" customWidth="1"/>
    <col min="6921" max="6921" width="2.7109375" style="73" customWidth="1"/>
    <col min="6922" max="6922" width="25.7109375" style="73" customWidth="1"/>
    <col min="6923" max="6923" width="2.7109375" style="73" customWidth="1"/>
    <col min="6924" max="6924" width="25.7109375" style="73" customWidth="1"/>
    <col min="6925" max="6925" width="2.7109375" style="73" customWidth="1"/>
    <col min="6926" max="6926" width="25.7109375" style="73" customWidth="1"/>
    <col min="6927" max="6927" width="2.7109375" style="73" customWidth="1"/>
    <col min="6928" max="6928" width="25.7109375" style="73" customWidth="1"/>
    <col min="6929" max="6929" width="2.7109375" style="73" customWidth="1"/>
    <col min="6930" max="6930" width="25.7109375" style="73" customWidth="1"/>
    <col min="6931" max="6931" width="2.7109375" style="73" customWidth="1"/>
    <col min="6932" max="6932" width="25.140625" style="73" customWidth="1"/>
    <col min="6933" max="6933" width="2.7109375" style="73" customWidth="1"/>
    <col min="6934" max="6934" width="25.7109375" style="73" customWidth="1"/>
    <col min="6935" max="6935" width="2.7109375" style="73" customWidth="1"/>
    <col min="6936" max="6936" width="25.7109375" style="73" customWidth="1"/>
    <col min="6937" max="6937" width="2.7109375" style="73" customWidth="1"/>
    <col min="6938" max="6938" width="25.7109375" style="73" customWidth="1"/>
    <col min="6939" max="6939" width="2.7109375" style="73" customWidth="1"/>
    <col min="6940" max="6940" width="25.7109375" style="73" customWidth="1"/>
    <col min="6941" max="6941" width="2.7109375" style="73" customWidth="1"/>
    <col min="6942" max="6942" width="25.7109375" style="73" customWidth="1"/>
    <col min="6943" max="6943" width="2.7109375" style="73" customWidth="1"/>
    <col min="6944" max="6944" width="25.7109375" style="73" customWidth="1"/>
    <col min="6945" max="6945" width="2.7109375" style="73" customWidth="1"/>
    <col min="6946" max="6946" width="25.7109375" style="73" customWidth="1"/>
    <col min="6947" max="6947" width="2.7109375" style="73" customWidth="1"/>
    <col min="6948" max="6948" width="25.7109375" style="73" customWidth="1"/>
    <col min="6949" max="6949" width="2.7109375" style="73" customWidth="1"/>
    <col min="6950" max="6950" width="25.7109375" style="73" customWidth="1"/>
    <col min="6951" max="6951" width="2.7109375" style="73" customWidth="1"/>
    <col min="6952" max="6952" width="25.7109375" style="73" customWidth="1"/>
    <col min="6953" max="6953" width="2.7109375" style="73" customWidth="1"/>
    <col min="6954" max="6968" width="25.7109375" style="73" customWidth="1"/>
    <col min="6969" max="6970" width="30.7109375" style="73" customWidth="1"/>
    <col min="6971" max="6971" width="42.7109375" style="73" customWidth="1"/>
    <col min="6972" max="7014" width="0" style="73" hidden="1" customWidth="1"/>
    <col min="7015" max="7168" width="9.140625" style="73"/>
    <col min="7169" max="7170" width="25.7109375" style="73" customWidth="1"/>
    <col min="7171" max="7171" width="2.7109375" style="73" customWidth="1"/>
    <col min="7172" max="7172" width="25.7109375" style="73" customWidth="1"/>
    <col min="7173" max="7173" width="2.7109375" style="73" customWidth="1"/>
    <col min="7174" max="7174" width="25.7109375" style="73" customWidth="1"/>
    <col min="7175" max="7175" width="2.7109375" style="73" customWidth="1"/>
    <col min="7176" max="7176" width="25.7109375" style="73" customWidth="1"/>
    <col min="7177" max="7177" width="2.7109375" style="73" customWidth="1"/>
    <col min="7178" max="7178" width="25.7109375" style="73" customWidth="1"/>
    <col min="7179" max="7179" width="2.7109375" style="73" customWidth="1"/>
    <col min="7180" max="7180" width="25.7109375" style="73" customWidth="1"/>
    <col min="7181" max="7181" width="2.7109375" style="73" customWidth="1"/>
    <col min="7182" max="7182" width="25.7109375" style="73" customWidth="1"/>
    <col min="7183" max="7183" width="2.7109375" style="73" customWidth="1"/>
    <col min="7184" max="7184" width="25.7109375" style="73" customWidth="1"/>
    <col min="7185" max="7185" width="2.7109375" style="73" customWidth="1"/>
    <col min="7186" max="7186" width="25.7109375" style="73" customWidth="1"/>
    <col min="7187" max="7187" width="2.7109375" style="73" customWidth="1"/>
    <col min="7188" max="7188" width="25.140625" style="73" customWidth="1"/>
    <col min="7189" max="7189" width="2.7109375" style="73" customWidth="1"/>
    <col min="7190" max="7190" width="25.7109375" style="73" customWidth="1"/>
    <col min="7191" max="7191" width="2.7109375" style="73" customWidth="1"/>
    <col min="7192" max="7192" width="25.7109375" style="73" customWidth="1"/>
    <col min="7193" max="7193" width="2.7109375" style="73" customWidth="1"/>
    <col min="7194" max="7194" width="25.7109375" style="73" customWidth="1"/>
    <col min="7195" max="7195" width="2.7109375" style="73" customWidth="1"/>
    <col min="7196" max="7196" width="25.7109375" style="73" customWidth="1"/>
    <col min="7197" max="7197" width="2.7109375" style="73" customWidth="1"/>
    <col min="7198" max="7198" width="25.7109375" style="73" customWidth="1"/>
    <col min="7199" max="7199" width="2.7109375" style="73" customWidth="1"/>
    <col min="7200" max="7200" width="25.7109375" style="73" customWidth="1"/>
    <col min="7201" max="7201" width="2.7109375" style="73" customWidth="1"/>
    <col min="7202" max="7202" width="25.7109375" style="73" customWidth="1"/>
    <col min="7203" max="7203" width="2.7109375" style="73" customWidth="1"/>
    <col min="7204" max="7204" width="25.7109375" style="73" customWidth="1"/>
    <col min="7205" max="7205" width="2.7109375" style="73" customWidth="1"/>
    <col min="7206" max="7206" width="25.7109375" style="73" customWidth="1"/>
    <col min="7207" max="7207" width="2.7109375" style="73" customWidth="1"/>
    <col min="7208" max="7208" width="25.7109375" style="73" customWidth="1"/>
    <col min="7209" max="7209" width="2.7109375" style="73" customWidth="1"/>
    <col min="7210" max="7224" width="25.7109375" style="73" customWidth="1"/>
    <col min="7225" max="7226" width="30.7109375" style="73" customWidth="1"/>
    <col min="7227" max="7227" width="42.7109375" style="73" customWidth="1"/>
    <col min="7228" max="7270" width="0" style="73" hidden="1" customWidth="1"/>
    <col min="7271" max="7424" width="9.140625" style="73"/>
    <col min="7425" max="7426" width="25.7109375" style="73" customWidth="1"/>
    <col min="7427" max="7427" width="2.7109375" style="73" customWidth="1"/>
    <col min="7428" max="7428" width="25.7109375" style="73" customWidth="1"/>
    <col min="7429" max="7429" width="2.7109375" style="73" customWidth="1"/>
    <col min="7430" max="7430" width="25.7109375" style="73" customWidth="1"/>
    <col min="7431" max="7431" width="2.7109375" style="73" customWidth="1"/>
    <col min="7432" max="7432" width="25.7109375" style="73" customWidth="1"/>
    <col min="7433" max="7433" width="2.7109375" style="73" customWidth="1"/>
    <col min="7434" max="7434" width="25.7109375" style="73" customWidth="1"/>
    <col min="7435" max="7435" width="2.7109375" style="73" customWidth="1"/>
    <col min="7436" max="7436" width="25.7109375" style="73" customWidth="1"/>
    <col min="7437" max="7437" width="2.7109375" style="73" customWidth="1"/>
    <col min="7438" max="7438" width="25.7109375" style="73" customWidth="1"/>
    <col min="7439" max="7439" width="2.7109375" style="73" customWidth="1"/>
    <col min="7440" max="7440" width="25.7109375" style="73" customWidth="1"/>
    <col min="7441" max="7441" width="2.7109375" style="73" customWidth="1"/>
    <col min="7442" max="7442" width="25.7109375" style="73" customWidth="1"/>
    <col min="7443" max="7443" width="2.7109375" style="73" customWidth="1"/>
    <col min="7444" max="7444" width="25.140625" style="73" customWidth="1"/>
    <col min="7445" max="7445" width="2.7109375" style="73" customWidth="1"/>
    <col min="7446" max="7446" width="25.7109375" style="73" customWidth="1"/>
    <col min="7447" max="7447" width="2.7109375" style="73" customWidth="1"/>
    <col min="7448" max="7448" width="25.7109375" style="73" customWidth="1"/>
    <col min="7449" max="7449" width="2.7109375" style="73" customWidth="1"/>
    <col min="7450" max="7450" width="25.7109375" style="73" customWidth="1"/>
    <col min="7451" max="7451" width="2.7109375" style="73" customWidth="1"/>
    <col min="7452" max="7452" width="25.7109375" style="73" customWidth="1"/>
    <col min="7453" max="7453" width="2.7109375" style="73" customWidth="1"/>
    <col min="7454" max="7454" width="25.7109375" style="73" customWidth="1"/>
    <col min="7455" max="7455" width="2.7109375" style="73" customWidth="1"/>
    <col min="7456" max="7456" width="25.7109375" style="73" customWidth="1"/>
    <col min="7457" max="7457" width="2.7109375" style="73" customWidth="1"/>
    <col min="7458" max="7458" width="25.7109375" style="73" customWidth="1"/>
    <col min="7459" max="7459" width="2.7109375" style="73" customWidth="1"/>
    <col min="7460" max="7460" width="25.7109375" style="73" customWidth="1"/>
    <col min="7461" max="7461" width="2.7109375" style="73" customWidth="1"/>
    <col min="7462" max="7462" width="25.7109375" style="73" customWidth="1"/>
    <col min="7463" max="7463" width="2.7109375" style="73" customWidth="1"/>
    <col min="7464" max="7464" width="25.7109375" style="73" customWidth="1"/>
    <col min="7465" max="7465" width="2.7109375" style="73" customWidth="1"/>
    <col min="7466" max="7480" width="25.7109375" style="73" customWidth="1"/>
    <col min="7481" max="7482" width="30.7109375" style="73" customWidth="1"/>
    <col min="7483" max="7483" width="42.7109375" style="73" customWidth="1"/>
    <col min="7484" max="7526" width="0" style="73" hidden="1" customWidth="1"/>
    <col min="7527" max="7680" width="9.140625" style="73"/>
    <col min="7681" max="7682" width="25.7109375" style="73" customWidth="1"/>
    <col min="7683" max="7683" width="2.7109375" style="73" customWidth="1"/>
    <col min="7684" max="7684" width="25.7109375" style="73" customWidth="1"/>
    <col min="7685" max="7685" width="2.7109375" style="73" customWidth="1"/>
    <col min="7686" max="7686" width="25.7109375" style="73" customWidth="1"/>
    <col min="7687" max="7687" width="2.7109375" style="73" customWidth="1"/>
    <col min="7688" max="7688" width="25.7109375" style="73" customWidth="1"/>
    <col min="7689" max="7689" width="2.7109375" style="73" customWidth="1"/>
    <col min="7690" max="7690" width="25.7109375" style="73" customWidth="1"/>
    <col min="7691" max="7691" width="2.7109375" style="73" customWidth="1"/>
    <col min="7692" max="7692" width="25.7109375" style="73" customWidth="1"/>
    <col min="7693" max="7693" width="2.7109375" style="73" customWidth="1"/>
    <col min="7694" max="7694" width="25.7109375" style="73" customWidth="1"/>
    <col min="7695" max="7695" width="2.7109375" style="73" customWidth="1"/>
    <col min="7696" max="7696" width="25.7109375" style="73" customWidth="1"/>
    <col min="7697" max="7697" width="2.7109375" style="73" customWidth="1"/>
    <col min="7698" max="7698" width="25.7109375" style="73" customWidth="1"/>
    <col min="7699" max="7699" width="2.7109375" style="73" customWidth="1"/>
    <col min="7700" max="7700" width="25.140625" style="73" customWidth="1"/>
    <col min="7701" max="7701" width="2.7109375" style="73" customWidth="1"/>
    <col min="7702" max="7702" width="25.7109375" style="73" customWidth="1"/>
    <col min="7703" max="7703" width="2.7109375" style="73" customWidth="1"/>
    <col min="7704" max="7704" width="25.7109375" style="73" customWidth="1"/>
    <col min="7705" max="7705" width="2.7109375" style="73" customWidth="1"/>
    <col min="7706" max="7706" width="25.7109375" style="73" customWidth="1"/>
    <col min="7707" max="7707" width="2.7109375" style="73" customWidth="1"/>
    <col min="7708" max="7708" width="25.7109375" style="73" customWidth="1"/>
    <col min="7709" max="7709" width="2.7109375" style="73" customWidth="1"/>
    <col min="7710" max="7710" width="25.7109375" style="73" customWidth="1"/>
    <col min="7711" max="7711" width="2.7109375" style="73" customWidth="1"/>
    <col min="7712" max="7712" width="25.7109375" style="73" customWidth="1"/>
    <col min="7713" max="7713" width="2.7109375" style="73" customWidth="1"/>
    <col min="7714" max="7714" width="25.7109375" style="73" customWidth="1"/>
    <col min="7715" max="7715" width="2.7109375" style="73" customWidth="1"/>
    <col min="7716" max="7716" width="25.7109375" style="73" customWidth="1"/>
    <col min="7717" max="7717" width="2.7109375" style="73" customWidth="1"/>
    <col min="7718" max="7718" width="25.7109375" style="73" customWidth="1"/>
    <col min="7719" max="7719" width="2.7109375" style="73" customWidth="1"/>
    <col min="7720" max="7720" width="25.7109375" style="73" customWidth="1"/>
    <col min="7721" max="7721" width="2.7109375" style="73" customWidth="1"/>
    <col min="7722" max="7736" width="25.7109375" style="73" customWidth="1"/>
    <col min="7737" max="7738" width="30.7109375" style="73" customWidth="1"/>
    <col min="7739" max="7739" width="42.7109375" style="73" customWidth="1"/>
    <col min="7740" max="7782" width="0" style="73" hidden="1" customWidth="1"/>
    <col min="7783" max="7936" width="9.140625" style="73"/>
    <col min="7937" max="7938" width="25.7109375" style="73" customWidth="1"/>
    <col min="7939" max="7939" width="2.7109375" style="73" customWidth="1"/>
    <col min="7940" max="7940" width="25.7109375" style="73" customWidth="1"/>
    <col min="7941" max="7941" width="2.7109375" style="73" customWidth="1"/>
    <col min="7942" max="7942" width="25.7109375" style="73" customWidth="1"/>
    <col min="7943" max="7943" width="2.7109375" style="73" customWidth="1"/>
    <col min="7944" max="7944" width="25.7109375" style="73" customWidth="1"/>
    <col min="7945" max="7945" width="2.7109375" style="73" customWidth="1"/>
    <col min="7946" max="7946" width="25.7109375" style="73" customWidth="1"/>
    <col min="7947" max="7947" width="2.7109375" style="73" customWidth="1"/>
    <col min="7948" max="7948" width="25.7109375" style="73" customWidth="1"/>
    <col min="7949" max="7949" width="2.7109375" style="73" customWidth="1"/>
    <col min="7950" max="7950" width="25.7109375" style="73" customWidth="1"/>
    <col min="7951" max="7951" width="2.7109375" style="73" customWidth="1"/>
    <col min="7952" max="7952" width="25.7109375" style="73" customWidth="1"/>
    <col min="7953" max="7953" width="2.7109375" style="73" customWidth="1"/>
    <col min="7954" max="7954" width="25.7109375" style="73" customWidth="1"/>
    <col min="7955" max="7955" width="2.7109375" style="73" customWidth="1"/>
    <col min="7956" max="7956" width="25.140625" style="73" customWidth="1"/>
    <col min="7957" max="7957" width="2.7109375" style="73" customWidth="1"/>
    <col min="7958" max="7958" width="25.7109375" style="73" customWidth="1"/>
    <col min="7959" max="7959" width="2.7109375" style="73" customWidth="1"/>
    <col min="7960" max="7960" width="25.7109375" style="73" customWidth="1"/>
    <col min="7961" max="7961" width="2.7109375" style="73" customWidth="1"/>
    <col min="7962" max="7962" width="25.7109375" style="73" customWidth="1"/>
    <col min="7963" max="7963" width="2.7109375" style="73" customWidth="1"/>
    <col min="7964" max="7964" width="25.7109375" style="73" customWidth="1"/>
    <col min="7965" max="7965" width="2.7109375" style="73" customWidth="1"/>
    <col min="7966" max="7966" width="25.7109375" style="73" customWidth="1"/>
    <col min="7967" max="7967" width="2.7109375" style="73" customWidth="1"/>
    <col min="7968" max="7968" width="25.7109375" style="73" customWidth="1"/>
    <col min="7969" max="7969" width="2.7109375" style="73" customWidth="1"/>
    <col min="7970" max="7970" width="25.7109375" style="73" customWidth="1"/>
    <col min="7971" max="7971" width="2.7109375" style="73" customWidth="1"/>
    <col min="7972" max="7972" width="25.7109375" style="73" customWidth="1"/>
    <col min="7973" max="7973" width="2.7109375" style="73" customWidth="1"/>
    <col min="7974" max="7974" width="25.7109375" style="73" customWidth="1"/>
    <col min="7975" max="7975" width="2.7109375" style="73" customWidth="1"/>
    <col min="7976" max="7976" width="25.7109375" style="73" customWidth="1"/>
    <col min="7977" max="7977" width="2.7109375" style="73" customWidth="1"/>
    <col min="7978" max="7992" width="25.7109375" style="73" customWidth="1"/>
    <col min="7993" max="7994" width="30.7109375" style="73" customWidth="1"/>
    <col min="7995" max="7995" width="42.7109375" style="73" customWidth="1"/>
    <col min="7996" max="8038" width="0" style="73" hidden="1" customWidth="1"/>
    <col min="8039" max="8192" width="9.140625" style="73"/>
    <col min="8193" max="8194" width="25.7109375" style="73" customWidth="1"/>
    <col min="8195" max="8195" width="2.7109375" style="73" customWidth="1"/>
    <col min="8196" max="8196" width="25.7109375" style="73" customWidth="1"/>
    <col min="8197" max="8197" width="2.7109375" style="73" customWidth="1"/>
    <col min="8198" max="8198" width="25.7109375" style="73" customWidth="1"/>
    <col min="8199" max="8199" width="2.7109375" style="73" customWidth="1"/>
    <col min="8200" max="8200" width="25.7109375" style="73" customWidth="1"/>
    <col min="8201" max="8201" width="2.7109375" style="73" customWidth="1"/>
    <col min="8202" max="8202" width="25.7109375" style="73" customWidth="1"/>
    <col min="8203" max="8203" width="2.7109375" style="73" customWidth="1"/>
    <col min="8204" max="8204" width="25.7109375" style="73" customWidth="1"/>
    <col min="8205" max="8205" width="2.7109375" style="73" customWidth="1"/>
    <col min="8206" max="8206" width="25.7109375" style="73" customWidth="1"/>
    <col min="8207" max="8207" width="2.7109375" style="73" customWidth="1"/>
    <col min="8208" max="8208" width="25.7109375" style="73" customWidth="1"/>
    <col min="8209" max="8209" width="2.7109375" style="73" customWidth="1"/>
    <col min="8210" max="8210" width="25.7109375" style="73" customWidth="1"/>
    <col min="8211" max="8211" width="2.7109375" style="73" customWidth="1"/>
    <col min="8212" max="8212" width="25.140625" style="73" customWidth="1"/>
    <col min="8213" max="8213" width="2.7109375" style="73" customWidth="1"/>
    <col min="8214" max="8214" width="25.7109375" style="73" customWidth="1"/>
    <col min="8215" max="8215" width="2.7109375" style="73" customWidth="1"/>
    <col min="8216" max="8216" width="25.7109375" style="73" customWidth="1"/>
    <col min="8217" max="8217" width="2.7109375" style="73" customWidth="1"/>
    <col min="8218" max="8218" width="25.7109375" style="73" customWidth="1"/>
    <col min="8219" max="8219" width="2.7109375" style="73" customWidth="1"/>
    <col min="8220" max="8220" width="25.7109375" style="73" customWidth="1"/>
    <col min="8221" max="8221" width="2.7109375" style="73" customWidth="1"/>
    <col min="8222" max="8222" width="25.7109375" style="73" customWidth="1"/>
    <col min="8223" max="8223" width="2.7109375" style="73" customWidth="1"/>
    <col min="8224" max="8224" width="25.7109375" style="73" customWidth="1"/>
    <col min="8225" max="8225" width="2.7109375" style="73" customWidth="1"/>
    <col min="8226" max="8226" width="25.7109375" style="73" customWidth="1"/>
    <col min="8227" max="8227" width="2.7109375" style="73" customWidth="1"/>
    <col min="8228" max="8228" width="25.7109375" style="73" customWidth="1"/>
    <col min="8229" max="8229" width="2.7109375" style="73" customWidth="1"/>
    <col min="8230" max="8230" width="25.7109375" style="73" customWidth="1"/>
    <col min="8231" max="8231" width="2.7109375" style="73" customWidth="1"/>
    <col min="8232" max="8232" width="25.7109375" style="73" customWidth="1"/>
    <col min="8233" max="8233" width="2.7109375" style="73" customWidth="1"/>
    <col min="8234" max="8248" width="25.7109375" style="73" customWidth="1"/>
    <col min="8249" max="8250" width="30.7109375" style="73" customWidth="1"/>
    <col min="8251" max="8251" width="42.7109375" style="73" customWidth="1"/>
    <col min="8252" max="8294" width="0" style="73" hidden="1" customWidth="1"/>
    <col min="8295" max="8448" width="9.140625" style="73"/>
    <col min="8449" max="8450" width="25.7109375" style="73" customWidth="1"/>
    <col min="8451" max="8451" width="2.7109375" style="73" customWidth="1"/>
    <col min="8452" max="8452" width="25.7109375" style="73" customWidth="1"/>
    <col min="8453" max="8453" width="2.7109375" style="73" customWidth="1"/>
    <col min="8454" max="8454" width="25.7109375" style="73" customWidth="1"/>
    <col min="8455" max="8455" width="2.7109375" style="73" customWidth="1"/>
    <col min="8456" max="8456" width="25.7109375" style="73" customWidth="1"/>
    <col min="8457" max="8457" width="2.7109375" style="73" customWidth="1"/>
    <col min="8458" max="8458" width="25.7109375" style="73" customWidth="1"/>
    <col min="8459" max="8459" width="2.7109375" style="73" customWidth="1"/>
    <col min="8460" max="8460" width="25.7109375" style="73" customWidth="1"/>
    <col min="8461" max="8461" width="2.7109375" style="73" customWidth="1"/>
    <col min="8462" max="8462" width="25.7109375" style="73" customWidth="1"/>
    <col min="8463" max="8463" width="2.7109375" style="73" customWidth="1"/>
    <col min="8464" max="8464" width="25.7109375" style="73" customWidth="1"/>
    <col min="8465" max="8465" width="2.7109375" style="73" customWidth="1"/>
    <col min="8466" max="8466" width="25.7109375" style="73" customWidth="1"/>
    <col min="8467" max="8467" width="2.7109375" style="73" customWidth="1"/>
    <col min="8468" max="8468" width="25.140625" style="73" customWidth="1"/>
    <col min="8469" max="8469" width="2.7109375" style="73" customWidth="1"/>
    <col min="8470" max="8470" width="25.7109375" style="73" customWidth="1"/>
    <col min="8471" max="8471" width="2.7109375" style="73" customWidth="1"/>
    <col min="8472" max="8472" width="25.7109375" style="73" customWidth="1"/>
    <col min="8473" max="8473" width="2.7109375" style="73" customWidth="1"/>
    <col min="8474" max="8474" width="25.7109375" style="73" customWidth="1"/>
    <col min="8475" max="8475" width="2.7109375" style="73" customWidth="1"/>
    <col min="8476" max="8476" width="25.7109375" style="73" customWidth="1"/>
    <col min="8477" max="8477" width="2.7109375" style="73" customWidth="1"/>
    <col min="8478" max="8478" width="25.7109375" style="73" customWidth="1"/>
    <col min="8479" max="8479" width="2.7109375" style="73" customWidth="1"/>
    <col min="8480" max="8480" width="25.7109375" style="73" customWidth="1"/>
    <col min="8481" max="8481" width="2.7109375" style="73" customWidth="1"/>
    <col min="8482" max="8482" width="25.7109375" style="73" customWidth="1"/>
    <col min="8483" max="8483" width="2.7109375" style="73" customWidth="1"/>
    <col min="8484" max="8484" width="25.7109375" style="73" customWidth="1"/>
    <col min="8485" max="8485" width="2.7109375" style="73" customWidth="1"/>
    <col min="8486" max="8486" width="25.7109375" style="73" customWidth="1"/>
    <col min="8487" max="8487" width="2.7109375" style="73" customWidth="1"/>
    <col min="8488" max="8488" width="25.7109375" style="73" customWidth="1"/>
    <col min="8489" max="8489" width="2.7109375" style="73" customWidth="1"/>
    <col min="8490" max="8504" width="25.7109375" style="73" customWidth="1"/>
    <col min="8505" max="8506" width="30.7109375" style="73" customWidth="1"/>
    <col min="8507" max="8507" width="42.7109375" style="73" customWidth="1"/>
    <col min="8508" max="8550" width="0" style="73" hidden="1" customWidth="1"/>
    <col min="8551" max="8704" width="9.140625" style="73"/>
    <col min="8705" max="8706" width="25.7109375" style="73" customWidth="1"/>
    <col min="8707" max="8707" width="2.7109375" style="73" customWidth="1"/>
    <col min="8708" max="8708" width="25.7109375" style="73" customWidth="1"/>
    <col min="8709" max="8709" width="2.7109375" style="73" customWidth="1"/>
    <col min="8710" max="8710" width="25.7109375" style="73" customWidth="1"/>
    <col min="8711" max="8711" width="2.7109375" style="73" customWidth="1"/>
    <col min="8712" max="8712" width="25.7109375" style="73" customWidth="1"/>
    <col min="8713" max="8713" width="2.7109375" style="73" customWidth="1"/>
    <col min="8714" max="8714" width="25.7109375" style="73" customWidth="1"/>
    <col min="8715" max="8715" width="2.7109375" style="73" customWidth="1"/>
    <col min="8716" max="8716" width="25.7109375" style="73" customWidth="1"/>
    <col min="8717" max="8717" width="2.7109375" style="73" customWidth="1"/>
    <col min="8718" max="8718" width="25.7109375" style="73" customWidth="1"/>
    <col min="8719" max="8719" width="2.7109375" style="73" customWidth="1"/>
    <col min="8720" max="8720" width="25.7109375" style="73" customWidth="1"/>
    <col min="8721" max="8721" width="2.7109375" style="73" customWidth="1"/>
    <col min="8722" max="8722" width="25.7109375" style="73" customWidth="1"/>
    <col min="8723" max="8723" width="2.7109375" style="73" customWidth="1"/>
    <col min="8724" max="8724" width="25.140625" style="73" customWidth="1"/>
    <col min="8725" max="8725" width="2.7109375" style="73" customWidth="1"/>
    <col min="8726" max="8726" width="25.7109375" style="73" customWidth="1"/>
    <col min="8727" max="8727" width="2.7109375" style="73" customWidth="1"/>
    <col min="8728" max="8728" width="25.7109375" style="73" customWidth="1"/>
    <col min="8729" max="8729" width="2.7109375" style="73" customWidth="1"/>
    <col min="8730" max="8730" width="25.7109375" style="73" customWidth="1"/>
    <col min="8731" max="8731" width="2.7109375" style="73" customWidth="1"/>
    <col min="8732" max="8732" width="25.7109375" style="73" customWidth="1"/>
    <col min="8733" max="8733" width="2.7109375" style="73" customWidth="1"/>
    <col min="8734" max="8734" width="25.7109375" style="73" customWidth="1"/>
    <col min="8735" max="8735" width="2.7109375" style="73" customWidth="1"/>
    <col min="8736" max="8736" width="25.7109375" style="73" customWidth="1"/>
    <col min="8737" max="8737" width="2.7109375" style="73" customWidth="1"/>
    <col min="8738" max="8738" width="25.7109375" style="73" customWidth="1"/>
    <col min="8739" max="8739" width="2.7109375" style="73" customWidth="1"/>
    <col min="8740" max="8740" width="25.7109375" style="73" customWidth="1"/>
    <col min="8741" max="8741" width="2.7109375" style="73" customWidth="1"/>
    <col min="8742" max="8742" width="25.7109375" style="73" customWidth="1"/>
    <col min="8743" max="8743" width="2.7109375" style="73" customWidth="1"/>
    <col min="8744" max="8744" width="25.7109375" style="73" customWidth="1"/>
    <col min="8745" max="8745" width="2.7109375" style="73" customWidth="1"/>
    <col min="8746" max="8760" width="25.7109375" style="73" customWidth="1"/>
    <col min="8761" max="8762" width="30.7109375" style="73" customWidth="1"/>
    <col min="8763" max="8763" width="42.7109375" style="73" customWidth="1"/>
    <col min="8764" max="8806" width="0" style="73" hidden="1" customWidth="1"/>
    <col min="8807" max="8960" width="9.140625" style="73"/>
    <col min="8961" max="8962" width="25.7109375" style="73" customWidth="1"/>
    <col min="8963" max="8963" width="2.7109375" style="73" customWidth="1"/>
    <col min="8964" max="8964" width="25.7109375" style="73" customWidth="1"/>
    <col min="8965" max="8965" width="2.7109375" style="73" customWidth="1"/>
    <col min="8966" max="8966" width="25.7109375" style="73" customWidth="1"/>
    <col min="8967" max="8967" width="2.7109375" style="73" customWidth="1"/>
    <col min="8968" max="8968" width="25.7109375" style="73" customWidth="1"/>
    <col min="8969" max="8969" width="2.7109375" style="73" customWidth="1"/>
    <col min="8970" max="8970" width="25.7109375" style="73" customWidth="1"/>
    <col min="8971" max="8971" width="2.7109375" style="73" customWidth="1"/>
    <col min="8972" max="8972" width="25.7109375" style="73" customWidth="1"/>
    <col min="8973" max="8973" width="2.7109375" style="73" customWidth="1"/>
    <col min="8974" max="8974" width="25.7109375" style="73" customWidth="1"/>
    <col min="8975" max="8975" width="2.7109375" style="73" customWidth="1"/>
    <col min="8976" max="8976" width="25.7109375" style="73" customWidth="1"/>
    <col min="8977" max="8977" width="2.7109375" style="73" customWidth="1"/>
    <col min="8978" max="8978" width="25.7109375" style="73" customWidth="1"/>
    <col min="8979" max="8979" width="2.7109375" style="73" customWidth="1"/>
    <col min="8980" max="8980" width="25.140625" style="73" customWidth="1"/>
    <col min="8981" max="8981" width="2.7109375" style="73" customWidth="1"/>
    <col min="8982" max="8982" width="25.7109375" style="73" customWidth="1"/>
    <col min="8983" max="8983" width="2.7109375" style="73" customWidth="1"/>
    <col min="8984" max="8984" width="25.7109375" style="73" customWidth="1"/>
    <col min="8985" max="8985" width="2.7109375" style="73" customWidth="1"/>
    <col min="8986" max="8986" width="25.7109375" style="73" customWidth="1"/>
    <col min="8987" max="8987" width="2.7109375" style="73" customWidth="1"/>
    <col min="8988" max="8988" width="25.7109375" style="73" customWidth="1"/>
    <col min="8989" max="8989" width="2.7109375" style="73" customWidth="1"/>
    <col min="8990" max="8990" width="25.7109375" style="73" customWidth="1"/>
    <col min="8991" max="8991" width="2.7109375" style="73" customWidth="1"/>
    <col min="8992" max="8992" width="25.7109375" style="73" customWidth="1"/>
    <col min="8993" max="8993" width="2.7109375" style="73" customWidth="1"/>
    <col min="8994" max="8994" width="25.7109375" style="73" customWidth="1"/>
    <col min="8995" max="8995" width="2.7109375" style="73" customWidth="1"/>
    <col min="8996" max="8996" width="25.7109375" style="73" customWidth="1"/>
    <col min="8997" max="8997" width="2.7109375" style="73" customWidth="1"/>
    <col min="8998" max="8998" width="25.7109375" style="73" customWidth="1"/>
    <col min="8999" max="8999" width="2.7109375" style="73" customWidth="1"/>
    <col min="9000" max="9000" width="25.7109375" style="73" customWidth="1"/>
    <col min="9001" max="9001" width="2.7109375" style="73" customWidth="1"/>
    <col min="9002" max="9016" width="25.7109375" style="73" customWidth="1"/>
    <col min="9017" max="9018" width="30.7109375" style="73" customWidth="1"/>
    <col min="9019" max="9019" width="42.7109375" style="73" customWidth="1"/>
    <col min="9020" max="9062" width="0" style="73" hidden="1" customWidth="1"/>
    <col min="9063" max="9216" width="9.140625" style="73"/>
    <col min="9217" max="9218" width="25.7109375" style="73" customWidth="1"/>
    <col min="9219" max="9219" width="2.7109375" style="73" customWidth="1"/>
    <col min="9220" max="9220" width="25.7109375" style="73" customWidth="1"/>
    <col min="9221" max="9221" width="2.7109375" style="73" customWidth="1"/>
    <col min="9222" max="9222" width="25.7109375" style="73" customWidth="1"/>
    <col min="9223" max="9223" width="2.7109375" style="73" customWidth="1"/>
    <col min="9224" max="9224" width="25.7109375" style="73" customWidth="1"/>
    <col min="9225" max="9225" width="2.7109375" style="73" customWidth="1"/>
    <col min="9226" max="9226" width="25.7109375" style="73" customWidth="1"/>
    <col min="9227" max="9227" width="2.7109375" style="73" customWidth="1"/>
    <col min="9228" max="9228" width="25.7109375" style="73" customWidth="1"/>
    <col min="9229" max="9229" width="2.7109375" style="73" customWidth="1"/>
    <col min="9230" max="9230" width="25.7109375" style="73" customWidth="1"/>
    <col min="9231" max="9231" width="2.7109375" style="73" customWidth="1"/>
    <col min="9232" max="9232" width="25.7109375" style="73" customWidth="1"/>
    <col min="9233" max="9233" width="2.7109375" style="73" customWidth="1"/>
    <col min="9234" max="9234" width="25.7109375" style="73" customWidth="1"/>
    <col min="9235" max="9235" width="2.7109375" style="73" customWidth="1"/>
    <col min="9236" max="9236" width="25.140625" style="73" customWidth="1"/>
    <col min="9237" max="9237" width="2.7109375" style="73" customWidth="1"/>
    <col min="9238" max="9238" width="25.7109375" style="73" customWidth="1"/>
    <col min="9239" max="9239" width="2.7109375" style="73" customWidth="1"/>
    <col min="9240" max="9240" width="25.7109375" style="73" customWidth="1"/>
    <col min="9241" max="9241" width="2.7109375" style="73" customWidth="1"/>
    <col min="9242" max="9242" width="25.7109375" style="73" customWidth="1"/>
    <col min="9243" max="9243" width="2.7109375" style="73" customWidth="1"/>
    <col min="9244" max="9244" width="25.7109375" style="73" customWidth="1"/>
    <col min="9245" max="9245" width="2.7109375" style="73" customWidth="1"/>
    <col min="9246" max="9246" width="25.7109375" style="73" customWidth="1"/>
    <col min="9247" max="9247" width="2.7109375" style="73" customWidth="1"/>
    <col min="9248" max="9248" width="25.7109375" style="73" customWidth="1"/>
    <col min="9249" max="9249" width="2.7109375" style="73" customWidth="1"/>
    <col min="9250" max="9250" width="25.7109375" style="73" customWidth="1"/>
    <col min="9251" max="9251" width="2.7109375" style="73" customWidth="1"/>
    <col min="9252" max="9252" width="25.7109375" style="73" customWidth="1"/>
    <col min="9253" max="9253" width="2.7109375" style="73" customWidth="1"/>
    <col min="9254" max="9254" width="25.7109375" style="73" customWidth="1"/>
    <col min="9255" max="9255" width="2.7109375" style="73" customWidth="1"/>
    <col min="9256" max="9256" width="25.7109375" style="73" customWidth="1"/>
    <col min="9257" max="9257" width="2.7109375" style="73" customWidth="1"/>
    <col min="9258" max="9272" width="25.7109375" style="73" customWidth="1"/>
    <col min="9273" max="9274" width="30.7109375" style="73" customWidth="1"/>
    <col min="9275" max="9275" width="42.7109375" style="73" customWidth="1"/>
    <col min="9276" max="9318" width="0" style="73" hidden="1" customWidth="1"/>
    <col min="9319" max="9472" width="9.140625" style="73"/>
    <col min="9473" max="9474" width="25.7109375" style="73" customWidth="1"/>
    <col min="9475" max="9475" width="2.7109375" style="73" customWidth="1"/>
    <col min="9476" max="9476" width="25.7109375" style="73" customWidth="1"/>
    <col min="9477" max="9477" width="2.7109375" style="73" customWidth="1"/>
    <col min="9478" max="9478" width="25.7109375" style="73" customWidth="1"/>
    <col min="9479" max="9479" width="2.7109375" style="73" customWidth="1"/>
    <col min="9480" max="9480" width="25.7109375" style="73" customWidth="1"/>
    <col min="9481" max="9481" width="2.7109375" style="73" customWidth="1"/>
    <col min="9482" max="9482" width="25.7109375" style="73" customWidth="1"/>
    <col min="9483" max="9483" width="2.7109375" style="73" customWidth="1"/>
    <col min="9484" max="9484" width="25.7109375" style="73" customWidth="1"/>
    <col min="9485" max="9485" width="2.7109375" style="73" customWidth="1"/>
    <col min="9486" max="9486" width="25.7109375" style="73" customWidth="1"/>
    <col min="9487" max="9487" width="2.7109375" style="73" customWidth="1"/>
    <col min="9488" max="9488" width="25.7109375" style="73" customWidth="1"/>
    <col min="9489" max="9489" width="2.7109375" style="73" customWidth="1"/>
    <col min="9490" max="9490" width="25.7109375" style="73" customWidth="1"/>
    <col min="9491" max="9491" width="2.7109375" style="73" customWidth="1"/>
    <col min="9492" max="9492" width="25.140625" style="73" customWidth="1"/>
    <col min="9493" max="9493" width="2.7109375" style="73" customWidth="1"/>
    <col min="9494" max="9494" width="25.7109375" style="73" customWidth="1"/>
    <col min="9495" max="9495" width="2.7109375" style="73" customWidth="1"/>
    <col min="9496" max="9496" width="25.7109375" style="73" customWidth="1"/>
    <col min="9497" max="9497" width="2.7109375" style="73" customWidth="1"/>
    <col min="9498" max="9498" width="25.7109375" style="73" customWidth="1"/>
    <col min="9499" max="9499" width="2.7109375" style="73" customWidth="1"/>
    <col min="9500" max="9500" width="25.7109375" style="73" customWidth="1"/>
    <col min="9501" max="9501" width="2.7109375" style="73" customWidth="1"/>
    <col min="9502" max="9502" width="25.7109375" style="73" customWidth="1"/>
    <col min="9503" max="9503" width="2.7109375" style="73" customWidth="1"/>
    <col min="9504" max="9504" width="25.7109375" style="73" customWidth="1"/>
    <col min="9505" max="9505" width="2.7109375" style="73" customWidth="1"/>
    <col min="9506" max="9506" width="25.7109375" style="73" customWidth="1"/>
    <col min="9507" max="9507" width="2.7109375" style="73" customWidth="1"/>
    <col min="9508" max="9508" width="25.7109375" style="73" customWidth="1"/>
    <col min="9509" max="9509" width="2.7109375" style="73" customWidth="1"/>
    <col min="9510" max="9510" width="25.7109375" style="73" customWidth="1"/>
    <col min="9511" max="9511" width="2.7109375" style="73" customWidth="1"/>
    <col min="9512" max="9512" width="25.7109375" style="73" customWidth="1"/>
    <col min="9513" max="9513" width="2.7109375" style="73" customWidth="1"/>
    <col min="9514" max="9528" width="25.7109375" style="73" customWidth="1"/>
    <col min="9529" max="9530" width="30.7109375" style="73" customWidth="1"/>
    <col min="9531" max="9531" width="42.7109375" style="73" customWidth="1"/>
    <col min="9532" max="9574" width="0" style="73" hidden="1" customWidth="1"/>
    <col min="9575" max="9728" width="9.140625" style="73"/>
    <col min="9729" max="9730" width="25.7109375" style="73" customWidth="1"/>
    <col min="9731" max="9731" width="2.7109375" style="73" customWidth="1"/>
    <col min="9732" max="9732" width="25.7109375" style="73" customWidth="1"/>
    <col min="9733" max="9733" width="2.7109375" style="73" customWidth="1"/>
    <col min="9734" max="9734" width="25.7109375" style="73" customWidth="1"/>
    <col min="9735" max="9735" width="2.7109375" style="73" customWidth="1"/>
    <col min="9736" max="9736" width="25.7109375" style="73" customWidth="1"/>
    <col min="9737" max="9737" width="2.7109375" style="73" customWidth="1"/>
    <col min="9738" max="9738" width="25.7109375" style="73" customWidth="1"/>
    <col min="9739" max="9739" width="2.7109375" style="73" customWidth="1"/>
    <col min="9740" max="9740" width="25.7109375" style="73" customWidth="1"/>
    <col min="9741" max="9741" width="2.7109375" style="73" customWidth="1"/>
    <col min="9742" max="9742" width="25.7109375" style="73" customWidth="1"/>
    <col min="9743" max="9743" width="2.7109375" style="73" customWidth="1"/>
    <col min="9744" max="9744" width="25.7109375" style="73" customWidth="1"/>
    <col min="9745" max="9745" width="2.7109375" style="73" customWidth="1"/>
    <col min="9746" max="9746" width="25.7109375" style="73" customWidth="1"/>
    <col min="9747" max="9747" width="2.7109375" style="73" customWidth="1"/>
    <col min="9748" max="9748" width="25.140625" style="73" customWidth="1"/>
    <col min="9749" max="9749" width="2.7109375" style="73" customWidth="1"/>
    <col min="9750" max="9750" width="25.7109375" style="73" customWidth="1"/>
    <col min="9751" max="9751" width="2.7109375" style="73" customWidth="1"/>
    <col min="9752" max="9752" width="25.7109375" style="73" customWidth="1"/>
    <col min="9753" max="9753" width="2.7109375" style="73" customWidth="1"/>
    <col min="9754" max="9754" width="25.7109375" style="73" customWidth="1"/>
    <col min="9755" max="9755" width="2.7109375" style="73" customWidth="1"/>
    <col min="9756" max="9756" width="25.7109375" style="73" customWidth="1"/>
    <col min="9757" max="9757" width="2.7109375" style="73" customWidth="1"/>
    <col min="9758" max="9758" width="25.7109375" style="73" customWidth="1"/>
    <col min="9759" max="9759" width="2.7109375" style="73" customWidth="1"/>
    <col min="9760" max="9760" width="25.7109375" style="73" customWidth="1"/>
    <col min="9761" max="9761" width="2.7109375" style="73" customWidth="1"/>
    <col min="9762" max="9762" width="25.7109375" style="73" customWidth="1"/>
    <col min="9763" max="9763" width="2.7109375" style="73" customWidth="1"/>
    <col min="9764" max="9764" width="25.7109375" style="73" customWidth="1"/>
    <col min="9765" max="9765" width="2.7109375" style="73" customWidth="1"/>
    <col min="9766" max="9766" width="25.7109375" style="73" customWidth="1"/>
    <col min="9767" max="9767" width="2.7109375" style="73" customWidth="1"/>
    <col min="9768" max="9768" width="25.7109375" style="73" customWidth="1"/>
    <col min="9769" max="9769" width="2.7109375" style="73" customWidth="1"/>
    <col min="9770" max="9784" width="25.7109375" style="73" customWidth="1"/>
    <col min="9785" max="9786" width="30.7109375" style="73" customWidth="1"/>
    <col min="9787" max="9787" width="42.7109375" style="73" customWidth="1"/>
    <col min="9788" max="9830" width="0" style="73" hidden="1" customWidth="1"/>
    <col min="9831" max="9984" width="9.140625" style="73"/>
    <col min="9985" max="9986" width="25.7109375" style="73" customWidth="1"/>
    <col min="9987" max="9987" width="2.7109375" style="73" customWidth="1"/>
    <col min="9988" max="9988" width="25.7109375" style="73" customWidth="1"/>
    <col min="9989" max="9989" width="2.7109375" style="73" customWidth="1"/>
    <col min="9990" max="9990" width="25.7109375" style="73" customWidth="1"/>
    <col min="9991" max="9991" width="2.7109375" style="73" customWidth="1"/>
    <col min="9992" max="9992" width="25.7109375" style="73" customWidth="1"/>
    <col min="9993" max="9993" width="2.7109375" style="73" customWidth="1"/>
    <col min="9994" max="9994" width="25.7109375" style="73" customWidth="1"/>
    <col min="9995" max="9995" width="2.7109375" style="73" customWidth="1"/>
    <col min="9996" max="9996" width="25.7109375" style="73" customWidth="1"/>
    <col min="9997" max="9997" width="2.7109375" style="73" customWidth="1"/>
    <col min="9998" max="9998" width="25.7109375" style="73" customWidth="1"/>
    <col min="9999" max="9999" width="2.7109375" style="73" customWidth="1"/>
    <col min="10000" max="10000" width="25.7109375" style="73" customWidth="1"/>
    <col min="10001" max="10001" width="2.7109375" style="73" customWidth="1"/>
    <col min="10002" max="10002" width="25.7109375" style="73" customWidth="1"/>
    <col min="10003" max="10003" width="2.7109375" style="73" customWidth="1"/>
    <col min="10004" max="10004" width="25.140625" style="73" customWidth="1"/>
    <col min="10005" max="10005" width="2.7109375" style="73" customWidth="1"/>
    <col min="10006" max="10006" width="25.7109375" style="73" customWidth="1"/>
    <col min="10007" max="10007" width="2.7109375" style="73" customWidth="1"/>
    <col min="10008" max="10008" width="25.7109375" style="73" customWidth="1"/>
    <col min="10009" max="10009" width="2.7109375" style="73" customWidth="1"/>
    <col min="10010" max="10010" width="25.7109375" style="73" customWidth="1"/>
    <col min="10011" max="10011" width="2.7109375" style="73" customWidth="1"/>
    <col min="10012" max="10012" width="25.7109375" style="73" customWidth="1"/>
    <col min="10013" max="10013" width="2.7109375" style="73" customWidth="1"/>
    <col min="10014" max="10014" width="25.7109375" style="73" customWidth="1"/>
    <col min="10015" max="10015" width="2.7109375" style="73" customWidth="1"/>
    <col min="10016" max="10016" width="25.7109375" style="73" customWidth="1"/>
    <col min="10017" max="10017" width="2.7109375" style="73" customWidth="1"/>
    <col min="10018" max="10018" width="25.7109375" style="73" customWidth="1"/>
    <col min="10019" max="10019" width="2.7109375" style="73" customWidth="1"/>
    <col min="10020" max="10020" width="25.7109375" style="73" customWidth="1"/>
    <col min="10021" max="10021" width="2.7109375" style="73" customWidth="1"/>
    <col min="10022" max="10022" width="25.7109375" style="73" customWidth="1"/>
    <col min="10023" max="10023" width="2.7109375" style="73" customWidth="1"/>
    <col min="10024" max="10024" width="25.7109375" style="73" customWidth="1"/>
    <col min="10025" max="10025" width="2.7109375" style="73" customWidth="1"/>
    <col min="10026" max="10040" width="25.7109375" style="73" customWidth="1"/>
    <col min="10041" max="10042" width="30.7109375" style="73" customWidth="1"/>
    <col min="10043" max="10043" width="42.7109375" style="73" customWidth="1"/>
    <col min="10044" max="10086" width="0" style="73" hidden="1" customWidth="1"/>
    <col min="10087" max="10240" width="9.140625" style="73"/>
    <col min="10241" max="10242" width="25.7109375" style="73" customWidth="1"/>
    <col min="10243" max="10243" width="2.7109375" style="73" customWidth="1"/>
    <col min="10244" max="10244" width="25.7109375" style="73" customWidth="1"/>
    <col min="10245" max="10245" width="2.7109375" style="73" customWidth="1"/>
    <col min="10246" max="10246" width="25.7109375" style="73" customWidth="1"/>
    <col min="10247" max="10247" width="2.7109375" style="73" customWidth="1"/>
    <col min="10248" max="10248" width="25.7109375" style="73" customWidth="1"/>
    <col min="10249" max="10249" width="2.7109375" style="73" customWidth="1"/>
    <col min="10250" max="10250" width="25.7109375" style="73" customWidth="1"/>
    <col min="10251" max="10251" width="2.7109375" style="73" customWidth="1"/>
    <col min="10252" max="10252" width="25.7109375" style="73" customWidth="1"/>
    <col min="10253" max="10253" width="2.7109375" style="73" customWidth="1"/>
    <col min="10254" max="10254" width="25.7109375" style="73" customWidth="1"/>
    <col min="10255" max="10255" width="2.7109375" style="73" customWidth="1"/>
    <col min="10256" max="10256" width="25.7109375" style="73" customWidth="1"/>
    <col min="10257" max="10257" width="2.7109375" style="73" customWidth="1"/>
    <col min="10258" max="10258" width="25.7109375" style="73" customWidth="1"/>
    <col min="10259" max="10259" width="2.7109375" style="73" customWidth="1"/>
    <col min="10260" max="10260" width="25.140625" style="73" customWidth="1"/>
    <col min="10261" max="10261" width="2.7109375" style="73" customWidth="1"/>
    <col min="10262" max="10262" width="25.7109375" style="73" customWidth="1"/>
    <col min="10263" max="10263" width="2.7109375" style="73" customWidth="1"/>
    <col min="10264" max="10264" width="25.7109375" style="73" customWidth="1"/>
    <col min="10265" max="10265" width="2.7109375" style="73" customWidth="1"/>
    <col min="10266" max="10266" width="25.7109375" style="73" customWidth="1"/>
    <col min="10267" max="10267" width="2.7109375" style="73" customWidth="1"/>
    <col min="10268" max="10268" width="25.7109375" style="73" customWidth="1"/>
    <col min="10269" max="10269" width="2.7109375" style="73" customWidth="1"/>
    <col min="10270" max="10270" width="25.7109375" style="73" customWidth="1"/>
    <col min="10271" max="10271" width="2.7109375" style="73" customWidth="1"/>
    <col min="10272" max="10272" width="25.7109375" style="73" customWidth="1"/>
    <col min="10273" max="10273" width="2.7109375" style="73" customWidth="1"/>
    <col min="10274" max="10274" width="25.7109375" style="73" customWidth="1"/>
    <col min="10275" max="10275" width="2.7109375" style="73" customWidth="1"/>
    <col min="10276" max="10276" width="25.7109375" style="73" customWidth="1"/>
    <col min="10277" max="10277" width="2.7109375" style="73" customWidth="1"/>
    <col min="10278" max="10278" width="25.7109375" style="73" customWidth="1"/>
    <col min="10279" max="10279" width="2.7109375" style="73" customWidth="1"/>
    <col min="10280" max="10280" width="25.7109375" style="73" customWidth="1"/>
    <col min="10281" max="10281" width="2.7109375" style="73" customWidth="1"/>
    <col min="10282" max="10296" width="25.7109375" style="73" customWidth="1"/>
    <col min="10297" max="10298" width="30.7109375" style="73" customWidth="1"/>
    <col min="10299" max="10299" width="42.7109375" style="73" customWidth="1"/>
    <col min="10300" max="10342" width="0" style="73" hidden="1" customWidth="1"/>
    <col min="10343" max="10496" width="9.140625" style="73"/>
    <col min="10497" max="10498" width="25.7109375" style="73" customWidth="1"/>
    <col min="10499" max="10499" width="2.7109375" style="73" customWidth="1"/>
    <col min="10500" max="10500" width="25.7109375" style="73" customWidth="1"/>
    <col min="10501" max="10501" width="2.7109375" style="73" customWidth="1"/>
    <col min="10502" max="10502" width="25.7109375" style="73" customWidth="1"/>
    <col min="10503" max="10503" width="2.7109375" style="73" customWidth="1"/>
    <col min="10504" max="10504" width="25.7109375" style="73" customWidth="1"/>
    <col min="10505" max="10505" width="2.7109375" style="73" customWidth="1"/>
    <col min="10506" max="10506" width="25.7109375" style="73" customWidth="1"/>
    <col min="10507" max="10507" width="2.7109375" style="73" customWidth="1"/>
    <col min="10508" max="10508" width="25.7109375" style="73" customWidth="1"/>
    <col min="10509" max="10509" width="2.7109375" style="73" customWidth="1"/>
    <col min="10510" max="10510" width="25.7109375" style="73" customWidth="1"/>
    <col min="10511" max="10511" width="2.7109375" style="73" customWidth="1"/>
    <col min="10512" max="10512" width="25.7109375" style="73" customWidth="1"/>
    <col min="10513" max="10513" width="2.7109375" style="73" customWidth="1"/>
    <col min="10514" max="10514" width="25.7109375" style="73" customWidth="1"/>
    <col min="10515" max="10515" width="2.7109375" style="73" customWidth="1"/>
    <col min="10516" max="10516" width="25.140625" style="73" customWidth="1"/>
    <col min="10517" max="10517" width="2.7109375" style="73" customWidth="1"/>
    <col min="10518" max="10518" width="25.7109375" style="73" customWidth="1"/>
    <col min="10519" max="10519" width="2.7109375" style="73" customWidth="1"/>
    <col min="10520" max="10520" width="25.7109375" style="73" customWidth="1"/>
    <col min="10521" max="10521" width="2.7109375" style="73" customWidth="1"/>
    <col min="10522" max="10522" width="25.7109375" style="73" customWidth="1"/>
    <col min="10523" max="10523" width="2.7109375" style="73" customWidth="1"/>
    <col min="10524" max="10524" width="25.7109375" style="73" customWidth="1"/>
    <col min="10525" max="10525" width="2.7109375" style="73" customWidth="1"/>
    <col min="10526" max="10526" width="25.7109375" style="73" customWidth="1"/>
    <col min="10527" max="10527" width="2.7109375" style="73" customWidth="1"/>
    <col min="10528" max="10528" width="25.7109375" style="73" customWidth="1"/>
    <col min="10529" max="10529" width="2.7109375" style="73" customWidth="1"/>
    <col min="10530" max="10530" width="25.7109375" style="73" customWidth="1"/>
    <col min="10531" max="10531" width="2.7109375" style="73" customWidth="1"/>
    <col min="10532" max="10532" width="25.7109375" style="73" customWidth="1"/>
    <col min="10533" max="10533" width="2.7109375" style="73" customWidth="1"/>
    <col min="10534" max="10534" width="25.7109375" style="73" customWidth="1"/>
    <col min="10535" max="10535" width="2.7109375" style="73" customWidth="1"/>
    <col min="10536" max="10536" width="25.7109375" style="73" customWidth="1"/>
    <col min="10537" max="10537" width="2.7109375" style="73" customWidth="1"/>
    <col min="10538" max="10552" width="25.7109375" style="73" customWidth="1"/>
    <col min="10553" max="10554" width="30.7109375" style="73" customWidth="1"/>
    <col min="10555" max="10555" width="42.7109375" style="73" customWidth="1"/>
    <col min="10556" max="10598" width="0" style="73" hidden="1" customWidth="1"/>
    <col min="10599" max="10752" width="9.140625" style="73"/>
    <col min="10753" max="10754" width="25.7109375" style="73" customWidth="1"/>
    <col min="10755" max="10755" width="2.7109375" style="73" customWidth="1"/>
    <col min="10756" max="10756" width="25.7109375" style="73" customWidth="1"/>
    <col min="10757" max="10757" width="2.7109375" style="73" customWidth="1"/>
    <col min="10758" max="10758" width="25.7109375" style="73" customWidth="1"/>
    <col min="10759" max="10759" width="2.7109375" style="73" customWidth="1"/>
    <col min="10760" max="10760" width="25.7109375" style="73" customWidth="1"/>
    <col min="10761" max="10761" width="2.7109375" style="73" customWidth="1"/>
    <col min="10762" max="10762" width="25.7109375" style="73" customWidth="1"/>
    <col min="10763" max="10763" width="2.7109375" style="73" customWidth="1"/>
    <col min="10764" max="10764" width="25.7109375" style="73" customWidth="1"/>
    <col min="10765" max="10765" width="2.7109375" style="73" customWidth="1"/>
    <col min="10766" max="10766" width="25.7109375" style="73" customWidth="1"/>
    <col min="10767" max="10767" width="2.7109375" style="73" customWidth="1"/>
    <col min="10768" max="10768" width="25.7109375" style="73" customWidth="1"/>
    <col min="10769" max="10769" width="2.7109375" style="73" customWidth="1"/>
    <col min="10770" max="10770" width="25.7109375" style="73" customWidth="1"/>
    <col min="10771" max="10771" width="2.7109375" style="73" customWidth="1"/>
    <col min="10772" max="10772" width="25.140625" style="73" customWidth="1"/>
    <col min="10773" max="10773" width="2.7109375" style="73" customWidth="1"/>
    <col min="10774" max="10774" width="25.7109375" style="73" customWidth="1"/>
    <col min="10775" max="10775" width="2.7109375" style="73" customWidth="1"/>
    <col min="10776" max="10776" width="25.7109375" style="73" customWidth="1"/>
    <col min="10777" max="10777" width="2.7109375" style="73" customWidth="1"/>
    <col min="10778" max="10778" width="25.7109375" style="73" customWidth="1"/>
    <col min="10779" max="10779" width="2.7109375" style="73" customWidth="1"/>
    <col min="10780" max="10780" width="25.7109375" style="73" customWidth="1"/>
    <col min="10781" max="10781" width="2.7109375" style="73" customWidth="1"/>
    <col min="10782" max="10782" width="25.7109375" style="73" customWidth="1"/>
    <col min="10783" max="10783" width="2.7109375" style="73" customWidth="1"/>
    <col min="10784" max="10784" width="25.7109375" style="73" customWidth="1"/>
    <col min="10785" max="10785" width="2.7109375" style="73" customWidth="1"/>
    <col min="10786" max="10786" width="25.7109375" style="73" customWidth="1"/>
    <col min="10787" max="10787" width="2.7109375" style="73" customWidth="1"/>
    <col min="10788" max="10788" width="25.7109375" style="73" customWidth="1"/>
    <col min="10789" max="10789" width="2.7109375" style="73" customWidth="1"/>
    <col min="10790" max="10790" width="25.7109375" style="73" customWidth="1"/>
    <col min="10791" max="10791" width="2.7109375" style="73" customWidth="1"/>
    <col min="10792" max="10792" width="25.7109375" style="73" customWidth="1"/>
    <col min="10793" max="10793" width="2.7109375" style="73" customWidth="1"/>
    <col min="10794" max="10808" width="25.7109375" style="73" customWidth="1"/>
    <col min="10809" max="10810" width="30.7109375" style="73" customWidth="1"/>
    <col min="10811" max="10811" width="42.7109375" style="73" customWidth="1"/>
    <col min="10812" max="10854" width="0" style="73" hidden="1" customWidth="1"/>
    <col min="10855" max="11008" width="9.140625" style="73"/>
    <col min="11009" max="11010" width="25.7109375" style="73" customWidth="1"/>
    <col min="11011" max="11011" width="2.7109375" style="73" customWidth="1"/>
    <col min="11012" max="11012" width="25.7109375" style="73" customWidth="1"/>
    <col min="11013" max="11013" width="2.7109375" style="73" customWidth="1"/>
    <col min="11014" max="11014" width="25.7109375" style="73" customWidth="1"/>
    <col min="11015" max="11015" width="2.7109375" style="73" customWidth="1"/>
    <col min="11016" max="11016" width="25.7109375" style="73" customWidth="1"/>
    <col min="11017" max="11017" width="2.7109375" style="73" customWidth="1"/>
    <col min="11018" max="11018" width="25.7109375" style="73" customWidth="1"/>
    <col min="11019" max="11019" width="2.7109375" style="73" customWidth="1"/>
    <col min="11020" max="11020" width="25.7109375" style="73" customWidth="1"/>
    <col min="11021" max="11021" width="2.7109375" style="73" customWidth="1"/>
    <col min="11022" max="11022" width="25.7109375" style="73" customWidth="1"/>
    <col min="11023" max="11023" width="2.7109375" style="73" customWidth="1"/>
    <col min="11024" max="11024" width="25.7109375" style="73" customWidth="1"/>
    <col min="11025" max="11025" width="2.7109375" style="73" customWidth="1"/>
    <col min="11026" max="11026" width="25.7109375" style="73" customWidth="1"/>
    <col min="11027" max="11027" width="2.7109375" style="73" customWidth="1"/>
    <col min="11028" max="11028" width="25.140625" style="73" customWidth="1"/>
    <col min="11029" max="11029" width="2.7109375" style="73" customWidth="1"/>
    <col min="11030" max="11030" width="25.7109375" style="73" customWidth="1"/>
    <col min="11031" max="11031" width="2.7109375" style="73" customWidth="1"/>
    <col min="11032" max="11032" width="25.7109375" style="73" customWidth="1"/>
    <col min="11033" max="11033" width="2.7109375" style="73" customWidth="1"/>
    <col min="11034" max="11034" width="25.7109375" style="73" customWidth="1"/>
    <col min="11035" max="11035" width="2.7109375" style="73" customWidth="1"/>
    <col min="11036" max="11036" width="25.7109375" style="73" customWidth="1"/>
    <col min="11037" max="11037" width="2.7109375" style="73" customWidth="1"/>
    <col min="11038" max="11038" width="25.7109375" style="73" customWidth="1"/>
    <col min="11039" max="11039" width="2.7109375" style="73" customWidth="1"/>
    <col min="11040" max="11040" width="25.7109375" style="73" customWidth="1"/>
    <col min="11041" max="11041" width="2.7109375" style="73" customWidth="1"/>
    <col min="11042" max="11042" width="25.7109375" style="73" customWidth="1"/>
    <col min="11043" max="11043" width="2.7109375" style="73" customWidth="1"/>
    <col min="11044" max="11044" width="25.7109375" style="73" customWidth="1"/>
    <col min="11045" max="11045" width="2.7109375" style="73" customWidth="1"/>
    <col min="11046" max="11046" width="25.7109375" style="73" customWidth="1"/>
    <col min="11047" max="11047" width="2.7109375" style="73" customWidth="1"/>
    <col min="11048" max="11048" width="25.7109375" style="73" customWidth="1"/>
    <col min="11049" max="11049" width="2.7109375" style="73" customWidth="1"/>
    <col min="11050" max="11064" width="25.7109375" style="73" customWidth="1"/>
    <col min="11065" max="11066" width="30.7109375" style="73" customWidth="1"/>
    <col min="11067" max="11067" width="42.7109375" style="73" customWidth="1"/>
    <col min="11068" max="11110" width="0" style="73" hidden="1" customWidth="1"/>
    <col min="11111" max="11264" width="9.140625" style="73"/>
    <col min="11265" max="11266" width="25.7109375" style="73" customWidth="1"/>
    <col min="11267" max="11267" width="2.7109375" style="73" customWidth="1"/>
    <col min="11268" max="11268" width="25.7109375" style="73" customWidth="1"/>
    <col min="11269" max="11269" width="2.7109375" style="73" customWidth="1"/>
    <col min="11270" max="11270" width="25.7109375" style="73" customWidth="1"/>
    <col min="11271" max="11271" width="2.7109375" style="73" customWidth="1"/>
    <col min="11272" max="11272" width="25.7109375" style="73" customWidth="1"/>
    <col min="11273" max="11273" width="2.7109375" style="73" customWidth="1"/>
    <col min="11274" max="11274" width="25.7109375" style="73" customWidth="1"/>
    <col min="11275" max="11275" width="2.7109375" style="73" customWidth="1"/>
    <col min="11276" max="11276" width="25.7109375" style="73" customWidth="1"/>
    <col min="11277" max="11277" width="2.7109375" style="73" customWidth="1"/>
    <col min="11278" max="11278" width="25.7109375" style="73" customWidth="1"/>
    <col min="11279" max="11279" width="2.7109375" style="73" customWidth="1"/>
    <col min="11280" max="11280" width="25.7109375" style="73" customWidth="1"/>
    <col min="11281" max="11281" width="2.7109375" style="73" customWidth="1"/>
    <col min="11282" max="11282" width="25.7109375" style="73" customWidth="1"/>
    <col min="11283" max="11283" width="2.7109375" style="73" customWidth="1"/>
    <col min="11284" max="11284" width="25.140625" style="73" customWidth="1"/>
    <col min="11285" max="11285" width="2.7109375" style="73" customWidth="1"/>
    <col min="11286" max="11286" width="25.7109375" style="73" customWidth="1"/>
    <col min="11287" max="11287" width="2.7109375" style="73" customWidth="1"/>
    <col min="11288" max="11288" width="25.7109375" style="73" customWidth="1"/>
    <col min="11289" max="11289" width="2.7109375" style="73" customWidth="1"/>
    <col min="11290" max="11290" width="25.7109375" style="73" customWidth="1"/>
    <col min="11291" max="11291" width="2.7109375" style="73" customWidth="1"/>
    <col min="11292" max="11292" width="25.7109375" style="73" customWidth="1"/>
    <col min="11293" max="11293" width="2.7109375" style="73" customWidth="1"/>
    <col min="11294" max="11294" width="25.7109375" style="73" customWidth="1"/>
    <col min="11295" max="11295" width="2.7109375" style="73" customWidth="1"/>
    <col min="11296" max="11296" width="25.7109375" style="73" customWidth="1"/>
    <col min="11297" max="11297" width="2.7109375" style="73" customWidth="1"/>
    <col min="11298" max="11298" width="25.7109375" style="73" customWidth="1"/>
    <col min="11299" max="11299" width="2.7109375" style="73" customWidth="1"/>
    <col min="11300" max="11300" width="25.7109375" style="73" customWidth="1"/>
    <col min="11301" max="11301" width="2.7109375" style="73" customWidth="1"/>
    <col min="11302" max="11302" width="25.7109375" style="73" customWidth="1"/>
    <col min="11303" max="11303" width="2.7109375" style="73" customWidth="1"/>
    <col min="11304" max="11304" width="25.7109375" style="73" customWidth="1"/>
    <col min="11305" max="11305" width="2.7109375" style="73" customWidth="1"/>
    <col min="11306" max="11320" width="25.7109375" style="73" customWidth="1"/>
    <col min="11321" max="11322" width="30.7109375" style="73" customWidth="1"/>
    <col min="11323" max="11323" width="42.7109375" style="73" customWidth="1"/>
    <col min="11324" max="11366" width="0" style="73" hidden="1" customWidth="1"/>
    <col min="11367" max="11520" width="9.140625" style="73"/>
    <col min="11521" max="11522" width="25.7109375" style="73" customWidth="1"/>
    <col min="11523" max="11523" width="2.7109375" style="73" customWidth="1"/>
    <col min="11524" max="11524" width="25.7109375" style="73" customWidth="1"/>
    <col min="11525" max="11525" width="2.7109375" style="73" customWidth="1"/>
    <col min="11526" max="11526" width="25.7109375" style="73" customWidth="1"/>
    <col min="11527" max="11527" width="2.7109375" style="73" customWidth="1"/>
    <col min="11528" max="11528" width="25.7109375" style="73" customWidth="1"/>
    <col min="11529" max="11529" width="2.7109375" style="73" customWidth="1"/>
    <col min="11530" max="11530" width="25.7109375" style="73" customWidth="1"/>
    <col min="11531" max="11531" width="2.7109375" style="73" customWidth="1"/>
    <col min="11532" max="11532" width="25.7109375" style="73" customWidth="1"/>
    <col min="11533" max="11533" width="2.7109375" style="73" customWidth="1"/>
    <col min="11534" max="11534" width="25.7109375" style="73" customWidth="1"/>
    <col min="11535" max="11535" width="2.7109375" style="73" customWidth="1"/>
    <col min="11536" max="11536" width="25.7109375" style="73" customWidth="1"/>
    <col min="11537" max="11537" width="2.7109375" style="73" customWidth="1"/>
    <col min="11538" max="11538" width="25.7109375" style="73" customWidth="1"/>
    <col min="11539" max="11539" width="2.7109375" style="73" customWidth="1"/>
    <col min="11540" max="11540" width="25.140625" style="73" customWidth="1"/>
    <col min="11541" max="11541" width="2.7109375" style="73" customWidth="1"/>
    <col min="11542" max="11542" width="25.7109375" style="73" customWidth="1"/>
    <col min="11543" max="11543" width="2.7109375" style="73" customWidth="1"/>
    <col min="11544" max="11544" width="25.7109375" style="73" customWidth="1"/>
    <col min="11545" max="11545" width="2.7109375" style="73" customWidth="1"/>
    <col min="11546" max="11546" width="25.7109375" style="73" customWidth="1"/>
    <col min="11547" max="11547" width="2.7109375" style="73" customWidth="1"/>
    <col min="11548" max="11548" width="25.7109375" style="73" customWidth="1"/>
    <col min="11549" max="11549" width="2.7109375" style="73" customWidth="1"/>
    <col min="11550" max="11550" width="25.7109375" style="73" customWidth="1"/>
    <col min="11551" max="11551" width="2.7109375" style="73" customWidth="1"/>
    <col min="11552" max="11552" width="25.7109375" style="73" customWidth="1"/>
    <col min="11553" max="11553" width="2.7109375" style="73" customWidth="1"/>
    <col min="11554" max="11554" width="25.7109375" style="73" customWidth="1"/>
    <col min="11555" max="11555" width="2.7109375" style="73" customWidth="1"/>
    <col min="11556" max="11556" width="25.7109375" style="73" customWidth="1"/>
    <col min="11557" max="11557" width="2.7109375" style="73" customWidth="1"/>
    <col min="11558" max="11558" width="25.7109375" style="73" customWidth="1"/>
    <col min="11559" max="11559" width="2.7109375" style="73" customWidth="1"/>
    <col min="11560" max="11560" width="25.7109375" style="73" customWidth="1"/>
    <col min="11561" max="11561" width="2.7109375" style="73" customWidth="1"/>
    <col min="11562" max="11576" width="25.7109375" style="73" customWidth="1"/>
    <col min="11577" max="11578" width="30.7109375" style="73" customWidth="1"/>
    <col min="11579" max="11579" width="42.7109375" style="73" customWidth="1"/>
    <col min="11580" max="11622" width="0" style="73" hidden="1" customWidth="1"/>
    <col min="11623" max="11776" width="9.140625" style="73"/>
    <col min="11777" max="11778" width="25.7109375" style="73" customWidth="1"/>
    <col min="11779" max="11779" width="2.7109375" style="73" customWidth="1"/>
    <col min="11780" max="11780" width="25.7109375" style="73" customWidth="1"/>
    <col min="11781" max="11781" width="2.7109375" style="73" customWidth="1"/>
    <col min="11782" max="11782" width="25.7109375" style="73" customWidth="1"/>
    <col min="11783" max="11783" width="2.7109375" style="73" customWidth="1"/>
    <col min="11784" max="11784" width="25.7109375" style="73" customWidth="1"/>
    <col min="11785" max="11785" width="2.7109375" style="73" customWidth="1"/>
    <col min="11786" max="11786" width="25.7109375" style="73" customWidth="1"/>
    <col min="11787" max="11787" width="2.7109375" style="73" customWidth="1"/>
    <col min="11788" max="11788" width="25.7109375" style="73" customWidth="1"/>
    <col min="11789" max="11789" width="2.7109375" style="73" customWidth="1"/>
    <col min="11790" max="11790" width="25.7109375" style="73" customWidth="1"/>
    <col min="11791" max="11791" width="2.7109375" style="73" customWidth="1"/>
    <col min="11792" max="11792" width="25.7109375" style="73" customWidth="1"/>
    <col min="11793" max="11793" width="2.7109375" style="73" customWidth="1"/>
    <col min="11794" max="11794" width="25.7109375" style="73" customWidth="1"/>
    <col min="11795" max="11795" width="2.7109375" style="73" customWidth="1"/>
    <col min="11796" max="11796" width="25.140625" style="73" customWidth="1"/>
    <col min="11797" max="11797" width="2.7109375" style="73" customWidth="1"/>
    <col min="11798" max="11798" width="25.7109375" style="73" customWidth="1"/>
    <col min="11799" max="11799" width="2.7109375" style="73" customWidth="1"/>
    <col min="11800" max="11800" width="25.7109375" style="73" customWidth="1"/>
    <col min="11801" max="11801" width="2.7109375" style="73" customWidth="1"/>
    <col min="11802" max="11802" width="25.7109375" style="73" customWidth="1"/>
    <col min="11803" max="11803" width="2.7109375" style="73" customWidth="1"/>
    <col min="11804" max="11804" width="25.7109375" style="73" customWidth="1"/>
    <col min="11805" max="11805" width="2.7109375" style="73" customWidth="1"/>
    <col min="11806" max="11806" width="25.7109375" style="73" customWidth="1"/>
    <col min="11807" max="11807" width="2.7109375" style="73" customWidth="1"/>
    <col min="11808" max="11808" width="25.7109375" style="73" customWidth="1"/>
    <col min="11809" max="11809" width="2.7109375" style="73" customWidth="1"/>
    <col min="11810" max="11810" width="25.7109375" style="73" customWidth="1"/>
    <col min="11811" max="11811" width="2.7109375" style="73" customWidth="1"/>
    <col min="11812" max="11812" width="25.7109375" style="73" customWidth="1"/>
    <col min="11813" max="11813" width="2.7109375" style="73" customWidth="1"/>
    <col min="11814" max="11814" width="25.7109375" style="73" customWidth="1"/>
    <col min="11815" max="11815" width="2.7109375" style="73" customWidth="1"/>
    <col min="11816" max="11816" width="25.7109375" style="73" customWidth="1"/>
    <col min="11817" max="11817" width="2.7109375" style="73" customWidth="1"/>
    <col min="11818" max="11832" width="25.7109375" style="73" customWidth="1"/>
    <col min="11833" max="11834" width="30.7109375" style="73" customWidth="1"/>
    <col min="11835" max="11835" width="42.7109375" style="73" customWidth="1"/>
    <col min="11836" max="11878" width="0" style="73" hidden="1" customWidth="1"/>
    <col min="11879" max="12032" width="9.140625" style="73"/>
    <col min="12033" max="12034" width="25.7109375" style="73" customWidth="1"/>
    <col min="12035" max="12035" width="2.7109375" style="73" customWidth="1"/>
    <col min="12036" max="12036" width="25.7109375" style="73" customWidth="1"/>
    <col min="12037" max="12037" width="2.7109375" style="73" customWidth="1"/>
    <col min="12038" max="12038" width="25.7109375" style="73" customWidth="1"/>
    <col min="12039" max="12039" width="2.7109375" style="73" customWidth="1"/>
    <col min="12040" max="12040" width="25.7109375" style="73" customWidth="1"/>
    <col min="12041" max="12041" width="2.7109375" style="73" customWidth="1"/>
    <col min="12042" max="12042" width="25.7109375" style="73" customWidth="1"/>
    <col min="12043" max="12043" width="2.7109375" style="73" customWidth="1"/>
    <col min="12044" max="12044" width="25.7109375" style="73" customWidth="1"/>
    <col min="12045" max="12045" width="2.7109375" style="73" customWidth="1"/>
    <col min="12046" max="12046" width="25.7109375" style="73" customWidth="1"/>
    <col min="12047" max="12047" width="2.7109375" style="73" customWidth="1"/>
    <col min="12048" max="12048" width="25.7109375" style="73" customWidth="1"/>
    <col min="12049" max="12049" width="2.7109375" style="73" customWidth="1"/>
    <col min="12050" max="12050" width="25.7109375" style="73" customWidth="1"/>
    <col min="12051" max="12051" width="2.7109375" style="73" customWidth="1"/>
    <col min="12052" max="12052" width="25.140625" style="73" customWidth="1"/>
    <col min="12053" max="12053" width="2.7109375" style="73" customWidth="1"/>
    <col min="12054" max="12054" width="25.7109375" style="73" customWidth="1"/>
    <col min="12055" max="12055" width="2.7109375" style="73" customWidth="1"/>
    <col min="12056" max="12056" width="25.7109375" style="73" customWidth="1"/>
    <col min="12057" max="12057" width="2.7109375" style="73" customWidth="1"/>
    <col min="12058" max="12058" width="25.7109375" style="73" customWidth="1"/>
    <col min="12059" max="12059" width="2.7109375" style="73" customWidth="1"/>
    <col min="12060" max="12060" width="25.7109375" style="73" customWidth="1"/>
    <col min="12061" max="12061" width="2.7109375" style="73" customWidth="1"/>
    <col min="12062" max="12062" width="25.7109375" style="73" customWidth="1"/>
    <col min="12063" max="12063" width="2.7109375" style="73" customWidth="1"/>
    <col min="12064" max="12064" width="25.7109375" style="73" customWidth="1"/>
    <col min="12065" max="12065" width="2.7109375" style="73" customWidth="1"/>
    <col min="12066" max="12066" width="25.7109375" style="73" customWidth="1"/>
    <col min="12067" max="12067" width="2.7109375" style="73" customWidth="1"/>
    <col min="12068" max="12068" width="25.7109375" style="73" customWidth="1"/>
    <col min="12069" max="12069" width="2.7109375" style="73" customWidth="1"/>
    <col min="12070" max="12070" width="25.7109375" style="73" customWidth="1"/>
    <col min="12071" max="12071" width="2.7109375" style="73" customWidth="1"/>
    <col min="12072" max="12072" width="25.7109375" style="73" customWidth="1"/>
    <col min="12073" max="12073" width="2.7109375" style="73" customWidth="1"/>
    <col min="12074" max="12088" width="25.7109375" style="73" customWidth="1"/>
    <col min="12089" max="12090" width="30.7109375" style="73" customWidth="1"/>
    <col min="12091" max="12091" width="42.7109375" style="73" customWidth="1"/>
    <col min="12092" max="12134" width="0" style="73" hidden="1" customWidth="1"/>
    <col min="12135" max="12288" width="9.140625" style="73"/>
    <col min="12289" max="12290" width="25.7109375" style="73" customWidth="1"/>
    <col min="12291" max="12291" width="2.7109375" style="73" customWidth="1"/>
    <col min="12292" max="12292" width="25.7109375" style="73" customWidth="1"/>
    <col min="12293" max="12293" width="2.7109375" style="73" customWidth="1"/>
    <col min="12294" max="12294" width="25.7109375" style="73" customWidth="1"/>
    <col min="12295" max="12295" width="2.7109375" style="73" customWidth="1"/>
    <col min="12296" max="12296" width="25.7109375" style="73" customWidth="1"/>
    <col min="12297" max="12297" width="2.7109375" style="73" customWidth="1"/>
    <col min="12298" max="12298" width="25.7109375" style="73" customWidth="1"/>
    <col min="12299" max="12299" width="2.7109375" style="73" customWidth="1"/>
    <col min="12300" max="12300" width="25.7109375" style="73" customWidth="1"/>
    <col min="12301" max="12301" width="2.7109375" style="73" customWidth="1"/>
    <col min="12302" max="12302" width="25.7109375" style="73" customWidth="1"/>
    <col min="12303" max="12303" width="2.7109375" style="73" customWidth="1"/>
    <col min="12304" max="12304" width="25.7109375" style="73" customWidth="1"/>
    <col min="12305" max="12305" width="2.7109375" style="73" customWidth="1"/>
    <col min="12306" max="12306" width="25.7109375" style="73" customWidth="1"/>
    <col min="12307" max="12307" width="2.7109375" style="73" customWidth="1"/>
    <col min="12308" max="12308" width="25.140625" style="73" customWidth="1"/>
    <col min="12309" max="12309" width="2.7109375" style="73" customWidth="1"/>
    <col min="12310" max="12310" width="25.7109375" style="73" customWidth="1"/>
    <col min="12311" max="12311" width="2.7109375" style="73" customWidth="1"/>
    <col min="12312" max="12312" width="25.7109375" style="73" customWidth="1"/>
    <col min="12313" max="12313" width="2.7109375" style="73" customWidth="1"/>
    <col min="12314" max="12314" width="25.7109375" style="73" customWidth="1"/>
    <col min="12315" max="12315" width="2.7109375" style="73" customWidth="1"/>
    <col min="12316" max="12316" width="25.7109375" style="73" customWidth="1"/>
    <col min="12317" max="12317" width="2.7109375" style="73" customWidth="1"/>
    <col min="12318" max="12318" width="25.7109375" style="73" customWidth="1"/>
    <col min="12319" max="12319" width="2.7109375" style="73" customWidth="1"/>
    <col min="12320" max="12320" width="25.7109375" style="73" customWidth="1"/>
    <col min="12321" max="12321" width="2.7109375" style="73" customWidth="1"/>
    <col min="12322" max="12322" width="25.7109375" style="73" customWidth="1"/>
    <col min="12323" max="12323" width="2.7109375" style="73" customWidth="1"/>
    <col min="12324" max="12324" width="25.7109375" style="73" customWidth="1"/>
    <col min="12325" max="12325" width="2.7109375" style="73" customWidth="1"/>
    <col min="12326" max="12326" width="25.7109375" style="73" customWidth="1"/>
    <col min="12327" max="12327" width="2.7109375" style="73" customWidth="1"/>
    <col min="12328" max="12328" width="25.7109375" style="73" customWidth="1"/>
    <col min="12329" max="12329" width="2.7109375" style="73" customWidth="1"/>
    <col min="12330" max="12344" width="25.7109375" style="73" customWidth="1"/>
    <col min="12345" max="12346" width="30.7109375" style="73" customWidth="1"/>
    <col min="12347" max="12347" width="42.7109375" style="73" customWidth="1"/>
    <col min="12348" max="12390" width="0" style="73" hidden="1" customWidth="1"/>
    <col min="12391" max="12544" width="9.140625" style="73"/>
    <col min="12545" max="12546" width="25.7109375" style="73" customWidth="1"/>
    <col min="12547" max="12547" width="2.7109375" style="73" customWidth="1"/>
    <col min="12548" max="12548" width="25.7109375" style="73" customWidth="1"/>
    <col min="12549" max="12549" width="2.7109375" style="73" customWidth="1"/>
    <col min="12550" max="12550" width="25.7109375" style="73" customWidth="1"/>
    <col min="12551" max="12551" width="2.7109375" style="73" customWidth="1"/>
    <col min="12552" max="12552" width="25.7109375" style="73" customWidth="1"/>
    <col min="12553" max="12553" width="2.7109375" style="73" customWidth="1"/>
    <col min="12554" max="12554" width="25.7109375" style="73" customWidth="1"/>
    <col min="12555" max="12555" width="2.7109375" style="73" customWidth="1"/>
    <col min="12556" max="12556" width="25.7109375" style="73" customWidth="1"/>
    <col min="12557" max="12557" width="2.7109375" style="73" customWidth="1"/>
    <col min="12558" max="12558" width="25.7109375" style="73" customWidth="1"/>
    <col min="12559" max="12559" width="2.7109375" style="73" customWidth="1"/>
    <col min="12560" max="12560" width="25.7109375" style="73" customWidth="1"/>
    <col min="12561" max="12561" width="2.7109375" style="73" customWidth="1"/>
    <col min="12562" max="12562" width="25.7109375" style="73" customWidth="1"/>
    <col min="12563" max="12563" width="2.7109375" style="73" customWidth="1"/>
    <col min="12564" max="12564" width="25.140625" style="73" customWidth="1"/>
    <col min="12565" max="12565" width="2.7109375" style="73" customWidth="1"/>
    <col min="12566" max="12566" width="25.7109375" style="73" customWidth="1"/>
    <col min="12567" max="12567" width="2.7109375" style="73" customWidth="1"/>
    <col min="12568" max="12568" width="25.7109375" style="73" customWidth="1"/>
    <col min="12569" max="12569" width="2.7109375" style="73" customWidth="1"/>
    <col min="12570" max="12570" width="25.7109375" style="73" customWidth="1"/>
    <col min="12571" max="12571" width="2.7109375" style="73" customWidth="1"/>
    <col min="12572" max="12572" width="25.7109375" style="73" customWidth="1"/>
    <col min="12573" max="12573" width="2.7109375" style="73" customWidth="1"/>
    <col min="12574" max="12574" width="25.7109375" style="73" customWidth="1"/>
    <col min="12575" max="12575" width="2.7109375" style="73" customWidth="1"/>
    <col min="12576" max="12576" width="25.7109375" style="73" customWidth="1"/>
    <col min="12577" max="12577" width="2.7109375" style="73" customWidth="1"/>
    <col min="12578" max="12578" width="25.7109375" style="73" customWidth="1"/>
    <col min="12579" max="12579" width="2.7109375" style="73" customWidth="1"/>
    <col min="12580" max="12580" width="25.7109375" style="73" customWidth="1"/>
    <col min="12581" max="12581" width="2.7109375" style="73" customWidth="1"/>
    <col min="12582" max="12582" width="25.7109375" style="73" customWidth="1"/>
    <col min="12583" max="12583" width="2.7109375" style="73" customWidth="1"/>
    <col min="12584" max="12584" width="25.7109375" style="73" customWidth="1"/>
    <col min="12585" max="12585" width="2.7109375" style="73" customWidth="1"/>
    <col min="12586" max="12600" width="25.7109375" style="73" customWidth="1"/>
    <col min="12601" max="12602" width="30.7109375" style="73" customWidth="1"/>
    <col min="12603" max="12603" width="42.7109375" style="73" customWidth="1"/>
    <col min="12604" max="12646" width="0" style="73" hidden="1" customWidth="1"/>
    <col min="12647" max="12800" width="9.140625" style="73"/>
    <col min="12801" max="12802" width="25.7109375" style="73" customWidth="1"/>
    <col min="12803" max="12803" width="2.7109375" style="73" customWidth="1"/>
    <col min="12804" max="12804" width="25.7109375" style="73" customWidth="1"/>
    <col min="12805" max="12805" width="2.7109375" style="73" customWidth="1"/>
    <col min="12806" max="12806" width="25.7109375" style="73" customWidth="1"/>
    <col min="12807" max="12807" width="2.7109375" style="73" customWidth="1"/>
    <col min="12808" max="12808" width="25.7109375" style="73" customWidth="1"/>
    <col min="12809" max="12809" width="2.7109375" style="73" customWidth="1"/>
    <col min="12810" max="12810" width="25.7109375" style="73" customWidth="1"/>
    <col min="12811" max="12811" width="2.7109375" style="73" customWidth="1"/>
    <col min="12812" max="12812" width="25.7109375" style="73" customWidth="1"/>
    <col min="12813" max="12813" width="2.7109375" style="73" customWidth="1"/>
    <col min="12814" max="12814" width="25.7109375" style="73" customWidth="1"/>
    <col min="12815" max="12815" width="2.7109375" style="73" customWidth="1"/>
    <col min="12816" max="12816" width="25.7109375" style="73" customWidth="1"/>
    <col min="12817" max="12817" width="2.7109375" style="73" customWidth="1"/>
    <col min="12818" max="12818" width="25.7109375" style="73" customWidth="1"/>
    <col min="12819" max="12819" width="2.7109375" style="73" customWidth="1"/>
    <col min="12820" max="12820" width="25.140625" style="73" customWidth="1"/>
    <col min="12821" max="12821" width="2.7109375" style="73" customWidth="1"/>
    <col min="12822" max="12822" width="25.7109375" style="73" customWidth="1"/>
    <col min="12823" max="12823" width="2.7109375" style="73" customWidth="1"/>
    <col min="12824" max="12824" width="25.7109375" style="73" customWidth="1"/>
    <col min="12825" max="12825" width="2.7109375" style="73" customWidth="1"/>
    <col min="12826" max="12826" width="25.7109375" style="73" customWidth="1"/>
    <col min="12827" max="12827" width="2.7109375" style="73" customWidth="1"/>
    <col min="12828" max="12828" width="25.7109375" style="73" customWidth="1"/>
    <col min="12829" max="12829" width="2.7109375" style="73" customWidth="1"/>
    <col min="12830" max="12830" width="25.7109375" style="73" customWidth="1"/>
    <col min="12831" max="12831" width="2.7109375" style="73" customWidth="1"/>
    <col min="12832" max="12832" width="25.7109375" style="73" customWidth="1"/>
    <col min="12833" max="12833" width="2.7109375" style="73" customWidth="1"/>
    <col min="12834" max="12834" width="25.7109375" style="73" customWidth="1"/>
    <col min="12835" max="12835" width="2.7109375" style="73" customWidth="1"/>
    <col min="12836" max="12836" width="25.7109375" style="73" customWidth="1"/>
    <col min="12837" max="12837" width="2.7109375" style="73" customWidth="1"/>
    <col min="12838" max="12838" width="25.7109375" style="73" customWidth="1"/>
    <col min="12839" max="12839" width="2.7109375" style="73" customWidth="1"/>
    <col min="12840" max="12840" width="25.7109375" style="73" customWidth="1"/>
    <col min="12841" max="12841" width="2.7109375" style="73" customWidth="1"/>
    <col min="12842" max="12856" width="25.7109375" style="73" customWidth="1"/>
    <col min="12857" max="12858" width="30.7109375" style="73" customWidth="1"/>
    <col min="12859" max="12859" width="42.7109375" style="73" customWidth="1"/>
    <col min="12860" max="12902" width="0" style="73" hidden="1" customWidth="1"/>
    <col min="12903" max="13056" width="9.140625" style="73"/>
    <col min="13057" max="13058" width="25.7109375" style="73" customWidth="1"/>
    <col min="13059" max="13059" width="2.7109375" style="73" customWidth="1"/>
    <col min="13060" max="13060" width="25.7109375" style="73" customWidth="1"/>
    <col min="13061" max="13061" width="2.7109375" style="73" customWidth="1"/>
    <col min="13062" max="13062" width="25.7109375" style="73" customWidth="1"/>
    <col min="13063" max="13063" width="2.7109375" style="73" customWidth="1"/>
    <col min="13064" max="13064" width="25.7109375" style="73" customWidth="1"/>
    <col min="13065" max="13065" width="2.7109375" style="73" customWidth="1"/>
    <col min="13066" max="13066" width="25.7109375" style="73" customWidth="1"/>
    <col min="13067" max="13067" width="2.7109375" style="73" customWidth="1"/>
    <col min="13068" max="13068" width="25.7109375" style="73" customWidth="1"/>
    <col min="13069" max="13069" width="2.7109375" style="73" customWidth="1"/>
    <col min="13070" max="13070" width="25.7109375" style="73" customWidth="1"/>
    <col min="13071" max="13071" width="2.7109375" style="73" customWidth="1"/>
    <col min="13072" max="13072" width="25.7109375" style="73" customWidth="1"/>
    <col min="13073" max="13073" width="2.7109375" style="73" customWidth="1"/>
    <col min="13074" max="13074" width="25.7109375" style="73" customWidth="1"/>
    <col min="13075" max="13075" width="2.7109375" style="73" customWidth="1"/>
    <col min="13076" max="13076" width="25.140625" style="73" customWidth="1"/>
    <col min="13077" max="13077" width="2.7109375" style="73" customWidth="1"/>
    <col min="13078" max="13078" width="25.7109375" style="73" customWidth="1"/>
    <col min="13079" max="13079" width="2.7109375" style="73" customWidth="1"/>
    <col min="13080" max="13080" width="25.7109375" style="73" customWidth="1"/>
    <col min="13081" max="13081" width="2.7109375" style="73" customWidth="1"/>
    <col min="13082" max="13082" width="25.7109375" style="73" customWidth="1"/>
    <col min="13083" max="13083" width="2.7109375" style="73" customWidth="1"/>
    <col min="13084" max="13084" width="25.7109375" style="73" customWidth="1"/>
    <col min="13085" max="13085" width="2.7109375" style="73" customWidth="1"/>
    <col min="13086" max="13086" width="25.7109375" style="73" customWidth="1"/>
    <col min="13087" max="13087" width="2.7109375" style="73" customWidth="1"/>
    <col min="13088" max="13088" width="25.7109375" style="73" customWidth="1"/>
    <col min="13089" max="13089" width="2.7109375" style="73" customWidth="1"/>
    <col min="13090" max="13090" width="25.7109375" style="73" customWidth="1"/>
    <col min="13091" max="13091" width="2.7109375" style="73" customWidth="1"/>
    <col min="13092" max="13092" width="25.7109375" style="73" customWidth="1"/>
    <col min="13093" max="13093" width="2.7109375" style="73" customWidth="1"/>
    <col min="13094" max="13094" width="25.7109375" style="73" customWidth="1"/>
    <col min="13095" max="13095" width="2.7109375" style="73" customWidth="1"/>
    <col min="13096" max="13096" width="25.7109375" style="73" customWidth="1"/>
    <col min="13097" max="13097" width="2.7109375" style="73" customWidth="1"/>
    <col min="13098" max="13112" width="25.7109375" style="73" customWidth="1"/>
    <col min="13113" max="13114" width="30.7109375" style="73" customWidth="1"/>
    <col min="13115" max="13115" width="42.7109375" style="73" customWidth="1"/>
    <col min="13116" max="13158" width="0" style="73" hidden="1" customWidth="1"/>
    <col min="13159" max="13312" width="9.140625" style="73"/>
    <col min="13313" max="13314" width="25.7109375" style="73" customWidth="1"/>
    <col min="13315" max="13315" width="2.7109375" style="73" customWidth="1"/>
    <col min="13316" max="13316" width="25.7109375" style="73" customWidth="1"/>
    <col min="13317" max="13317" width="2.7109375" style="73" customWidth="1"/>
    <col min="13318" max="13318" width="25.7109375" style="73" customWidth="1"/>
    <col min="13319" max="13319" width="2.7109375" style="73" customWidth="1"/>
    <col min="13320" max="13320" width="25.7109375" style="73" customWidth="1"/>
    <col min="13321" max="13321" width="2.7109375" style="73" customWidth="1"/>
    <col min="13322" max="13322" width="25.7109375" style="73" customWidth="1"/>
    <col min="13323" max="13323" width="2.7109375" style="73" customWidth="1"/>
    <col min="13324" max="13324" width="25.7109375" style="73" customWidth="1"/>
    <col min="13325" max="13325" width="2.7109375" style="73" customWidth="1"/>
    <col min="13326" max="13326" width="25.7109375" style="73" customWidth="1"/>
    <col min="13327" max="13327" width="2.7109375" style="73" customWidth="1"/>
    <col min="13328" max="13328" width="25.7109375" style="73" customWidth="1"/>
    <col min="13329" max="13329" width="2.7109375" style="73" customWidth="1"/>
    <col min="13330" max="13330" width="25.7109375" style="73" customWidth="1"/>
    <col min="13331" max="13331" width="2.7109375" style="73" customWidth="1"/>
    <col min="13332" max="13332" width="25.140625" style="73" customWidth="1"/>
    <col min="13333" max="13333" width="2.7109375" style="73" customWidth="1"/>
    <col min="13334" max="13334" width="25.7109375" style="73" customWidth="1"/>
    <col min="13335" max="13335" width="2.7109375" style="73" customWidth="1"/>
    <col min="13336" max="13336" width="25.7109375" style="73" customWidth="1"/>
    <col min="13337" max="13337" width="2.7109375" style="73" customWidth="1"/>
    <col min="13338" max="13338" width="25.7109375" style="73" customWidth="1"/>
    <col min="13339" max="13339" width="2.7109375" style="73" customWidth="1"/>
    <col min="13340" max="13340" width="25.7109375" style="73" customWidth="1"/>
    <col min="13341" max="13341" width="2.7109375" style="73" customWidth="1"/>
    <col min="13342" max="13342" width="25.7109375" style="73" customWidth="1"/>
    <col min="13343" max="13343" width="2.7109375" style="73" customWidth="1"/>
    <col min="13344" max="13344" width="25.7109375" style="73" customWidth="1"/>
    <col min="13345" max="13345" width="2.7109375" style="73" customWidth="1"/>
    <col min="13346" max="13346" width="25.7109375" style="73" customWidth="1"/>
    <col min="13347" max="13347" width="2.7109375" style="73" customWidth="1"/>
    <col min="13348" max="13348" width="25.7109375" style="73" customWidth="1"/>
    <col min="13349" max="13349" width="2.7109375" style="73" customWidth="1"/>
    <col min="13350" max="13350" width="25.7109375" style="73" customWidth="1"/>
    <col min="13351" max="13351" width="2.7109375" style="73" customWidth="1"/>
    <col min="13352" max="13352" width="25.7109375" style="73" customWidth="1"/>
    <col min="13353" max="13353" width="2.7109375" style="73" customWidth="1"/>
    <col min="13354" max="13368" width="25.7109375" style="73" customWidth="1"/>
    <col min="13369" max="13370" width="30.7109375" style="73" customWidth="1"/>
    <col min="13371" max="13371" width="42.7109375" style="73" customWidth="1"/>
    <col min="13372" max="13414" width="0" style="73" hidden="1" customWidth="1"/>
    <col min="13415" max="13568" width="9.140625" style="73"/>
    <col min="13569" max="13570" width="25.7109375" style="73" customWidth="1"/>
    <col min="13571" max="13571" width="2.7109375" style="73" customWidth="1"/>
    <col min="13572" max="13572" width="25.7109375" style="73" customWidth="1"/>
    <col min="13573" max="13573" width="2.7109375" style="73" customWidth="1"/>
    <col min="13574" max="13574" width="25.7109375" style="73" customWidth="1"/>
    <col min="13575" max="13575" width="2.7109375" style="73" customWidth="1"/>
    <col min="13576" max="13576" width="25.7109375" style="73" customWidth="1"/>
    <col min="13577" max="13577" width="2.7109375" style="73" customWidth="1"/>
    <col min="13578" max="13578" width="25.7109375" style="73" customWidth="1"/>
    <col min="13579" max="13579" width="2.7109375" style="73" customWidth="1"/>
    <col min="13580" max="13580" width="25.7109375" style="73" customWidth="1"/>
    <col min="13581" max="13581" width="2.7109375" style="73" customWidth="1"/>
    <col min="13582" max="13582" width="25.7109375" style="73" customWidth="1"/>
    <col min="13583" max="13583" width="2.7109375" style="73" customWidth="1"/>
    <col min="13584" max="13584" width="25.7109375" style="73" customWidth="1"/>
    <col min="13585" max="13585" width="2.7109375" style="73" customWidth="1"/>
    <col min="13586" max="13586" width="25.7109375" style="73" customWidth="1"/>
    <col min="13587" max="13587" width="2.7109375" style="73" customWidth="1"/>
    <col min="13588" max="13588" width="25.140625" style="73" customWidth="1"/>
    <col min="13589" max="13589" width="2.7109375" style="73" customWidth="1"/>
    <col min="13590" max="13590" width="25.7109375" style="73" customWidth="1"/>
    <col min="13591" max="13591" width="2.7109375" style="73" customWidth="1"/>
    <col min="13592" max="13592" width="25.7109375" style="73" customWidth="1"/>
    <col min="13593" max="13593" width="2.7109375" style="73" customWidth="1"/>
    <col min="13594" max="13594" width="25.7109375" style="73" customWidth="1"/>
    <col min="13595" max="13595" width="2.7109375" style="73" customWidth="1"/>
    <col min="13596" max="13596" width="25.7109375" style="73" customWidth="1"/>
    <col min="13597" max="13597" width="2.7109375" style="73" customWidth="1"/>
    <col min="13598" max="13598" width="25.7109375" style="73" customWidth="1"/>
    <col min="13599" max="13599" width="2.7109375" style="73" customWidth="1"/>
    <col min="13600" max="13600" width="25.7109375" style="73" customWidth="1"/>
    <col min="13601" max="13601" width="2.7109375" style="73" customWidth="1"/>
    <col min="13602" max="13602" width="25.7109375" style="73" customWidth="1"/>
    <col min="13603" max="13603" width="2.7109375" style="73" customWidth="1"/>
    <col min="13604" max="13604" width="25.7109375" style="73" customWidth="1"/>
    <col min="13605" max="13605" width="2.7109375" style="73" customWidth="1"/>
    <col min="13606" max="13606" width="25.7109375" style="73" customWidth="1"/>
    <col min="13607" max="13607" width="2.7109375" style="73" customWidth="1"/>
    <col min="13608" max="13608" width="25.7109375" style="73" customWidth="1"/>
    <col min="13609" max="13609" width="2.7109375" style="73" customWidth="1"/>
    <col min="13610" max="13624" width="25.7109375" style="73" customWidth="1"/>
    <col min="13625" max="13626" width="30.7109375" style="73" customWidth="1"/>
    <col min="13627" max="13627" width="42.7109375" style="73" customWidth="1"/>
    <col min="13628" max="13670" width="0" style="73" hidden="1" customWidth="1"/>
    <col min="13671" max="13824" width="9.140625" style="73"/>
    <col min="13825" max="13826" width="25.7109375" style="73" customWidth="1"/>
    <col min="13827" max="13827" width="2.7109375" style="73" customWidth="1"/>
    <col min="13828" max="13828" width="25.7109375" style="73" customWidth="1"/>
    <col min="13829" max="13829" width="2.7109375" style="73" customWidth="1"/>
    <col min="13830" max="13830" width="25.7109375" style="73" customWidth="1"/>
    <col min="13831" max="13831" width="2.7109375" style="73" customWidth="1"/>
    <col min="13832" max="13832" width="25.7109375" style="73" customWidth="1"/>
    <col min="13833" max="13833" width="2.7109375" style="73" customWidth="1"/>
    <col min="13834" max="13834" width="25.7109375" style="73" customWidth="1"/>
    <col min="13835" max="13835" width="2.7109375" style="73" customWidth="1"/>
    <col min="13836" max="13836" width="25.7109375" style="73" customWidth="1"/>
    <col min="13837" max="13837" width="2.7109375" style="73" customWidth="1"/>
    <col min="13838" max="13838" width="25.7109375" style="73" customWidth="1"/>
    <col min="13839" max="13839" width="2.7109375" style="73" customWidth="1"/>
    <col min="13840" max="13840" width="25.7109375" style="73" customWidth="1"/>
    <col min="13841" max="13841" width="2.7109375" style="73" customWidth="1"/>
    <col min="13842" max="13842" width="25.7109375" style="73" customWidth="1"/>
    <col min="13843" max="13843" width="2.7109375" style="73" customWidth="1"/>
    <col min="13844" max="13844" width="25.140625" style="73" customWidth="1"/>
    <col min="13845" max="13845" width="2.7109375" style="73" customWidth="1"/>
    <col min="13846" max="13846" width="25.7109375" style="73" customWidth="1"/>
    <col min="13847" max="13847" width="2.7109375" style="73" customWidth="1"/>
    <col min="13848" max="13848" width="25.7109375" style="73" customWidth="1"/>
    <col min="13849" max="13849" width="2.7109375" style="73" customWidth="1"/>
    <col min="13850" max="13850" width="25.7109375" style="73" customWidth="1"/>
    <col min="13851" max="13851" width="2.7109375" style="73" customWidth="1"/>
    <col min="13852" max="13852" width="25.7109375" style="73" customWidth="1"/>
    <col min="13853" max="13853" width="2.7109375" style="73" customWidth="1"/>
    <col min="13854" max="13854" width="25.7109375" style="73" customWidth="1"/>
    <col min="13855" max="13855" width="2.7109375" style="73" customWidth="1"/>
    <col min="13856" max="13856" width="25.7109375" style="73" customWidth="1"/>
    <col min="13857" max="13857" width="2.7109375" style="73" customWidth="1"/>
    <col min="13858" max="13858" width="25.7109375" style="73" customWidth="1"/>
    <col min="13859" max="13859" width="2.7109375" style="73" customWidth="1"/>
    <col min="13860" max="13860" width="25.7109375" style="73" customWidth="1"/>
    <col min="13861" max="13861" width="2.7109375" style="73" customWidth="1"/>
    <col min="13862" max="13862" width="25.7109375" style="73" customWidth="1"/>
    <col min="13863" max="13863" width="2.7109375" style="73" customWidth="1"/>
    <col min="13864" max="13864" width="25.7109375" style="73" customWidth="1"/>
    <col min="13865" max="13865" width="2.7109375" style="73" customWidth="1"/>
    <col min="13866" max="13880" width="25.7109375" style="73" customWidth="1"/>
    <col min="13881" max="13882" width="30.7109375" style="73" customWidth="1"/>
    <col min="13883" max="13883" width="42.7109375" style="73" customWidth="1"/>
    <col min="13884" max="13926" width="0" style="73" hidden="1" customWidth="1"/>
    <col min="13927" max="14080" width="9.140625" style="73"/>
    <col min="14081" max="14082" width="25.7109375" style="73" customWidth="1"/>
    <col min="14083" max="14083" width="2.7109375" style="73" customWidth="1"/>
    <col min="14084" max="14084" width="25.7109375" style="73" customWidth="1"/>
    <col min="14085" max="14085" width="2.7109375" style="73" customWidth="1"/>
    <col min="14086" max="14086" width="25.7109375" style="73" customWidth="1"/>
    <col min="14087" max="14087" width="2.7109375" style="73" customWidth="1"/>
    <col min="14088" max="14088" width="25.7109375" style="73" customWidth="1"/>
    <col min="14089" max="14089" width="2.7109375" style="73" customWidth="1"/>
    <col min="14090" max="14090" width="25.7109375" style="73" customWidth="1"/>
    <col min="14091" max="14091" width="2.7109375" style="73" customWidth="1"/>
    <col min="14092" max="14092" width="25.7109375" style="73" customWidth="1"/>
    <col min="14093" max="14093" width="2.7109375" style="73" customWidth="1"/>
    <col min="14094" max="14094" width="25.7109375" style="73" customWidth="1"/>
    <col min="14095" max="14095" width="2.7109375" style="73" customWidth="1"/>
    <col min="14096" max="14096" width="25.7109375" style="73" customWidth="1"/>
    <col min="14097" max="14097" width="2.7109375" style="73" customWidth="1"/>
    <col min="14098" max="14098" width="25.7109375" style="73" customWidth="1"/>
    <col min="14099" max="14099" width="2.7109375" style="73" customWidth="1"/>
    <col min="14100" max="14100" width="25.140625" style="73" customWidth="1"/>
    <col min="14101" max="14101" width="2.7109375" style="73" customWidth="1"/>
    <col min="14102" max="14102" width="25.7109375" style="73" customWidth="1"/>
    <col min="14103" max="14103" width="2.7109375" style="73" customWidth="1"/>
    <col min="14104" max="14104" width="25.7109375" style="73" customWidth="1"/>
    <col min="14105" max="14105" width="2.7109375" style="73" customWidth="1"/>
    <col min="14106" max="14106" width="25.7109375" style="73" customWidth="1"/>
    <col min="14107" max="14107" width="2.7109375" style="73" customWidth="1"/>
    <col min="14108" max="14108" width="25.7109375" style="73" customWidth="1"/>
    <col min="14109" max="14109" width="2.7109375" style="73" customWidth="1"/>
    <col min="14110" max="14110" width="25.7109375" style="73" customWidth="1"/>
    <col min="14111" max="14111" width="2.7109375" style="73" customWidth="1"/>
    <col min="14112" max="14112" width="25.7109375" style="73" customWidth="1"/>
    <col min="14113" max="14113" width="2.7109375" style="73" customWidth="1"/>
    <col min="14114" max="14114" width="25.7109375" style="73" customWidth="1"/>
    <col min="14115" max="14115" width="2.7109375" style="73" customWidth="1"/>
    <col min="14116" max="14116" width="25.7109375" style="73" customWidth="1"/>
    <col min="14117" max="14117" width="2.7109375" style="73" customWidth="1"/>
    <col min="14118" max="14118" width="25.7109375" style="73" customWidth="1"/>
    <col min="14119" max="14119" width="2.7109375" style="73" customWidth="1"/>
    <col min="14120" max="14120" width="25.7109375" style="73" customWidth="1"/>
    <col min="14121" max="14121" width="2.7109375" style="73" customWidth="1"/>
    <col min="14122" max="14136" width="25.7109375" style="73" customWidth="1"/>
    <col min="14137" max="14138" width="30.7109375" style="73" customWidth="1"/>
    <col min="14139" max="14139" width="42.7109375" style="73" customWidth="1"/>
    <col min="14140" max="14182" width="0" style="73" hidden="1" customWidth="1"/>
    <col min="14183" max="14336" width="9.140625" style="73"/>
    <col min="14337" max="14338" width="25.7109375" style="73" customWidth="1"/>
    <col min="14339" max="14339" width="2.7109375" style="73" customWidth="1"/>
    <col min="14340" max="14340" width="25.7109375" style="73" customWidth="1"/>
    <col min="14341" max="14341" width="2.7109375" style="73" customWidth="1"/>
    <col min="14342" max="14342" width="25.7109375" style="73" customWidth="1"/>
    <col min="14343" max="14343" width="2.7109375" style="73" customWidth="1"/>
    <col min="14344" max="14344" width="25.7109375" style="73" customWidth="1"/>
    <col min="14345" max="14345" width="2.7109375" style="73" customWidth="1"/>
    <col min="14346" max="14346" width="25.7109375" style="73" customWidth="1"/>
    <col min="14347" max="14347" width="2.7109375" style="73" customWidth="1"/>
    <col min="14348" max="14348" width="25.7109375" style="73" customWidth="1"/>
    <col min="14349" max="14349" width="2.7109375" style="73" customWidth="1"/>
    <col min="14350" max="14350" width="25.7109375" style="73" customWidth="1"/>
    <col min="14351" max="14351" width="2.7109375" style="73" customWidth="1"/>
    <col min="14352" max="14352" width="25.7109375" style="73" customWidth="1"/>
    <col min="14353" max="14353" width="2.7109375" style="73" customWidth="1"/>
    <col min="14354" max="14354" width="25.7109375" style="73" customWidth="1"/>
    <col min="14355" max="14355" width="2.7109375" style="73" customWidth="1"/>
    <col min="14356" max="14356" width="25.140625" style="73" customWidth="1"/>
    <col min="14357" max="14357" width="2.7109375" style="73" customWidth="1"/>
    <col min="14358" max="14358" width="25.7109375" style="73" customWidth="1"/>
    <col min="14359" max="14359" width="2.7109375" style="73" customWidth="1"/>
    <col min="14360" max="14360" width="25.7109375" style="73" customWidth="1"/>
    <col min="14361" max="14361" width="2.7109375" style="73" customWidth="1"/>
    <col min="14362" max="14362" width="25.7109375" style="73" customWidth="1"/>
    <col min="14363" max="14363" width="2.7109375" style="73" customWidth="1"/>
    <col min="14364" max="14364" width="25.7109375" style="73" customWidth="1"/>
    <col min="14365" max="14365" width="2.7109375" style="73" customWidth="1"/>
    <col min="14366" max="14366" width="25.7109375" style="73" customWidth="1"/>
    <col min="14367" max="14367" width="2.7109375" style="73" customWidth="1"/>
    <col min="14368" max="14368" width="25.7109375" style="73" customWidth="1"/>
    <col min="14369" max="14369" width="2.7109375" style="73" customWidth="1"/>
    <col min="14370" max="14370" width="25.7109375" style="73" customWidth="1"/>
    <col min="14371" max="14371" width="2.7109375" style="73" customWidth="1"/>
    <col min="14372" max="14372" width="25.7109375" style="73" customWidth="1"/>
    <col min="14373" max="14373" width="2.7109375" style="73" customWidth="1"/>
    <col min="14374" max="14374" width="25.7109375" style="73" customWidth="1"/>
    <col min="14375" max="14375" width="2.7109375" style="73" customWidth="1"/>
    <col min="14376" max="14376" width="25.7109375" style="73" customWidth="1"/>
    <col min="14377" max="14377" width="2.7109375" style="73" customWidth="1"/>
    <col min="14378" max="14392" width="25.7109375" style="73" customWidth="1"/>
    <col min="14393" max="14394" width="30.7109375" style="73" customWidth="1"/>
    <col min="14395" max="14395" width="42.7109375" style="73" customWidth="1"/>
    <col min="14396" max="14438" width="0" style="73" hidden="1" customWidth="1"/>
    <col min="14439" max="14592" width="9.140625" style="73"/>
    <col min="14593" max="14594" width="25.7109375" style="73" customWidth="1"/>
    <col min="14595" max="14595" width="2.7109375" style="73" customWidth="1"/>
    <col min="14596" max="14596" width="25.7109375" style="73" customWidth="1"/>
    <col min="14597" max="14597" width="2.7109375" style="73" customWidth="1"/>
    <col min="14598" max="14598" width="25.7109375" style="73" customWidth="1"/>
    <col min="14599" max="14599" width="2.7109375" style="73" customWidth="1"/>
    <col min="14600" max="14600" width="25.7109375" style="73" customWidth="1"/>
    <col min="14601" max="14601" width="2.7109375" style="73" customWidth="1"/>
    <col min="14602" max="14602" width="25.7109375" style="73" customWidth="1"/>
    <col min="14603" max="14603" width="2.7109375" style="73" customWidth="1"/>
    <col min="14604" max="14604" width="25.7109375" style="73" customWidth="1"/>
    <col min="14605" max="14605" width="2.7109375" style="73" customWidth="1"/>
    <col min="14606" max="14606" width="25.7109375" style="73" customWidth="1"/>
    <col min="14607" max="14607" width="2.7109375" style="73" customWidth="1"/>
    <col min="14608" max="14608" width="25.7109375" style="73" customWidth="1"/>
    <col min="14609" max="14609" width="2.7109375" style="73" customWidth="1"/>
    <col min="14610" max="14610" width="25.7109375" style="73" customWidth="1"/>
    <col min="14611" max="14611" width="2.7109375" style="73" customWidth="1"/>
    <col min="14612" max="14612" width="25.140625" style="73" customWidth="1"/>
    <col min="14613" max="14613" width="2.7109375" style="73" customWidth="1"/>
    <col min="14614" max="14614" width="25.7109375" style="73" customWidth="1"/>
    <col min="14615" max="14615" width="2.7109375" style="73" customWidth="1"/>
    <col min="14616" max="14616" width="25.7109375" style="73" customWidth="1"/>
    <col min="14617" max="14617" width="2.7109375" style="73" customWidth="1"/>
    <col min="14618" max="14618" width="25.7109375" style="73" customWidth="1"/>
    <col min="14619" max="14619" width="2.7109375" style="73" customWidth="1"/>
    <col min="14620" max="14620" width="25.7109375" style="73" customWidth="1"/>
    <col min="14621" max="14621" width="2.7109375" style="73" customWidth="1"/>
    <col min="14622" max="14622" width="25.7109375" style="73" customWidth="1"/>
    <col min="14623" max="14623" width="2.7109375" style="73" customWidth="1"/>
    <col min="14624" max="14624" width="25.7109375" style="73" customWidth="1"/>
    <col min="14625" max="14625" width="2.7109375" style="73" customWidth="1"/>
    <col min="14626" max="14626" width="25.7109375" style="73" customWidth="1"/>
    <col min="14627" max="14627" width="2.7109375" style="73" customWidth="1"/>
    <col min="14628" max="14628" width="25.7109375" style="73" customWidth="1"/>
    <col min="14629" max="14629" width="2.7109375" style="73" customWidth="1"/>
    <col min="14630" max="14630" width="25.7109375" style="73" customWidth="1"/>
    <col min="14631" max="14631" width="2.7109375" style="73" customWidth="1"/>
    <col min="14632" max="14632" width="25.7109375" style="73" customWidth="1"/>
    <col min="14633" max="14633" width="2.7109375" style="73" customWidth="1"/>
    <col min="14634" max="14648" width="25.7109375" style="73" customWidth="1"/>
    <col min="14649" max="14650" width="30.7109375" style="73" customWidth="1"/>
    <col min="14651" max="14651" width="42.7109375" style="73" customWidth="1"/>
    <col min="14652" max="14694" width="0" style="73" hidden="1" customWidth="1"/>
    <col min="14695" max="14848" width="9.140625" style="73"/>
    <col min="14849" max="14850" width="25.7109375" style="73" customWidth="1"/>
    <col min="14851" max="14851" width="2.7109375" style="73" customWidth="1"/>
    <col min="14852" max="14852" width="25.7109375" style="73" customWidth="1"/>
    <col min="14853" max="14853" width="2.7109375" style="73" customWidth="1"/>
    <col min="14854" max="14854" width="25.7109375" style="73" customWidth="1"/>
    <col min="14855" max="14855" width="2.7109375" style="73" customWidth="1"/>
    <col min="14856" max="14856" width="25.7109375" style="73" customWidth="1"/>
    <col min="14857" max="14857" width="2.7109375" style="73" customWidth="1"/>
    <col min="14858" max="14858" width="25.7109375" style="73" customWidth="1"/>
    <col min="14859" max="14859" width="2.7109375" style="73" customWidth="1"/>
    <col min="14860" max="14860" width="25.7109375" style="73" customWidth="1"/>
    <col min="14861" max="14861" width="2.7109375" style="73" customWidth="1"/>
    <col min="14862" max="14862" width="25.7109375" style="73" customWidth="1"/>
    <col min="14863" max="14863" width="2.7109375" style="73" customWidth="1"/>
    <col min="14864" max="14864" width="25.7109375" style="73" customWidth="1"/>
    <col min="14865" max="14865" width="2.7109375" style="73" customWidth="1"/>
    <col min="14866" max="14866" width="25.7109375" style="73" customWidth="1"/>
    <col min="14867" max="14867" width="2.7109375" style="73" customWidth="1"/>
    <col min="14868" max="14868" width="25.140625" style="73" customWidth="1"/>
    <col min="14869" max="14869" width="2.7109375" style="73" customWidth="1"/>
    <col min="14870" max="14870" width="25.7109375" style="73" customWidth="1"/>
    <col min="14871" max="14871" width="2.7109375" style="73" customWidth="1"/>
    <col min="14872" max="14872" width="25.7109375" style="73" customWidth="1"/>
    <col min="14873" max="14873" width="2.7109375" style="73" customWidth="1"/>
    <col min="14874" max="14874" width="25.7109375" style="73" customWidth="1"/>
    <col min="14875" max="14875" width="2.7109375" style="73" customWidth="1"/>
    <col min="14876" max="14876" width="25.7109375" style="73" customWidth="1"/>
    <col min="14877" max="14877" width="2.7109375" style="73" customWidth="1"/>
    <col min="14878" max="14878" width="25.7109375" style="73" customWidth="1"/>
    <col min="14879" max="14879" width="2.7109375" style="73" customWidth="1"/>
    <col min="14880" max="14880" width="25.7109375" style="73" customWidth="1"/>
    <col min="14881" max="14881" width="2.7109375" style="73" customWidth="1"/>
    <col min="14882" max="14882" width="25.7109375" style="73" customWidth="1"/>
    <col min="14883" max="14883" width="2.7109375" style="73" customWidth="1"/>
    <col min="14884" max="14884" width="25.7109375" style="73" customWidth="1"/>
    <col min="14885" max="14885" width="2.7109375" style="73" customWidth="1"/>
    <col min="14886" max="14886" width="25.7109375" style="73" customWidth="1"/>
    <col min="14887" max="14887" width="2.7109375" style="73" customWidth="1"/>
    <col min="14888" max="14888" width="25.7109375" style="73" customWidth="1"/>
    <col min="14889" max="14889" width="2.7109375" style="73" customWidth="1"/>
    <col min="14890" max="14904" width="25.7109375" style="73" customWidth="1"/>
    <col min="14905" max="14906" width="30.7109375" style="73" customWidth="1"/>
    <col min="14907" max="14907" width="42.7109375" style="73" customWidth="1"/>
    <col min="14908" max="14950" width="0" style="73" hidden="1" customWidth="1"/>
    <col min="14951" max="15104" width="9.140625" style="73"/>
    <col min="15105" max="15106" width="25.7109375" style="73" customWidth="1"/>
    <col min="15107" max="15107" width="2.7109375" style="73" customWidth="1"/>
    <col min="15108" max="15108" width="25.7109375" style="73" customWidth="1"/>
    <col min="15109" max="15109" width="2.7109375" style="73" customWidth="1"/>
    <col min="15110" max="15110" width="25.7109375" style="73" customWidth="1"/>
    <col min="15111" max="15111" width="2.7109375" style="73" customWidth="1"/>
    <col min="15112" max="15112" width="25.7109375" style="73" customWidth="1"/>
    <col min="15113" max="15113" width="2.7109375" style="73" customWidth="1"/>
    <col min="15114" max="15114" width="25.7109375" style="73" customWidth="1"/>
    <col min="15115" max="15115" width="2.7109375" style="73" customWidth="1"/>
    <col min="15116" max="15116" width="25.7109375" style="73" customWidth="1"/>
    <col min="15117" max="15117" width="2.7109375" style="73" customWidth="1"/>
    <col min="15118" max="15118" width="25.7109375" style="73" customWidth="1"/>
    <col min="15119" max="15119" width="2.7109375" style="73" customWidth="1"/>
    <col min="15120" max="15120" width="25.7109375" style="73" customWidth="1"/>
    <col min="15121" max="15121" width="2.7109375" style="73" customWidth="1"/>
    <col min="15122" max="15122" width="25.7109375" style="73" customWidth="1"/>
    <col min="15123" max="15123" width="2.7109375" style="73" customWidth="1"/>
    <col min="15124" max="15124" width="25.140625" style="73" customWidth="1"/>
    <col min="15125" max="15125" width="2.7109375" style="73" customWidth="1"/>
    <col min="15126" max="15126" width="25.7109375" style="73" customWidth="1"/>
    <col min="15127" max="15127" width="2.7109375" style="73" customWidth="1"/>
    <col min="15128" max="15128" width="25.7109375" style="73" customWidth="1"/>
    <col min="15129" max="15129" width="2.7109375" style="73" customWidth="1"/>
    <col min="15130" max="15130" width="25.7109375" style="73" customWidth="1"/>
    <col min="15131" max="15131" width="2.7109375" style="73" customWidth="1"/>
    <col min="15132" max="15132" width="25.7109375" style="73" customWidth="1"/>
    <col min="15133" max="15133" width="2.7109375" style="73" customWidth="1"/>
    <col min="15134" max="15134" width="25.7109375" style="73" customWidth="1"/>
    <col min="15135" max="15135" width="2.7109375" style="73" customWidth="1"/>
    <col min="15136" max="15136" width="25.7109375" style="73" customWidth="1"/>
    <col min="15137" max="15137" width="2.7109375" style="73" customWidth="1"/>
    <col min="15138" max="15138" width="25.7109375" style="73" customWidth="1"/>
    <col min="15139" max="15139" width="2.7109375" style="73" customWidth="1"/>
    <col min="15140" max="15140" width="25.7109375" style="73" customWidth="1"/>
    <col min="15141" max="15141" width="2.7109375" style="73" customWidth="1"/>
    <col min="15142" max="15142" width="25.7109375" style="73" customWidth="1"/>
    <col min="15143" max="15143" width="2.7109375" style="73" customWidth="1"/>
    <col min="15144" max="15144" width="25.7109375" style="73" customWidth="1"/>
    <col min="15145" max="15145" width="2.7109375" style="73" customWidth="1"/>
    <col min="15146" max="15160" width="25.7109375" style="73" customWidth="1"/>
    <col min="15161" max="15162" width="30.7109375" style="73" customWidth="1"/>
    <col min="15163" max="15163" width="42.7109375" style="73" customWidth="1"/>
    <col min="15164" max="15206" width="0" style="73" hidden="1" customWidth="1"/>
    <col min="15207" max="15360" width="9.140625" style="73"/>
    <col min="15361" max="15362" width="25.7109375" style="73" customWidth="1"/>
    <col min="15363" max="15363" width="2.7109375" style="73" customWidth="1"/>
    <col min="15364" max="15364" width="25.7109375" style="73" customWidth="1"/>
    <col min="15365" max="15365" width="2.7109375" style="73" customWidth="1"/>
    <col min="15366" max="15366" width="25.7109375" style="73" customWidth="1"/>
    <col min="15367" max="15367" width="2.7109375" style="73" customWidth="1"/>
    <col min="15368" max="15368" width="25.7109375" style="73" customWidth="1"/>
    <col min="15369" max="15369" width="2.7109375" style="73" customWidth="1"/>
    <col min="15370" max="15370" width="25.7109375" style="73" customWidth="1"/>
    <col min="15371" max="15371" width="2.7109375" style="73" customWidth="1"/>
    <col min="15372" max="15372" width="25.7109375" style="73" customWidth="1"/>
    <col min="15373" max="15373" width="2.7109375" style="73" customWidth="1"/>
    <col min="15374" max="15374" width="25.7109375" style="73" customWidth="1"/>
    <col min="15375" max="15375" width="2.7109375" style="73" customWidth="1"/>
    <col min="15376" max="15376" width="25.7109375" style="73" customWidth="1"/>
    <col min="15377" max="15377" width="2.7109375" style="73" customWidth="1"/>
    <col min="15378" max="15378" width="25.7109375" style="73" customWidth="1"/>
    <col min="15379" max="15379" width="2.7109375" style="73" customWidth="1"/>
    <col min="15380" max="15380" width="25.140625" style="73" customWidth="1"/>
    <col min="15381" max="15381" width="2.7109375" style="73" customWidth="1"/>
    <col min="15382" max="15382" width="25.7109375" style="73" customWidth="1"/>
    <col min="15383" max="15383" width="2.7109375" style="73" customWidth="1"/>
    <col min="15384" max="15384" width="25.7109375" style="73" customWidth="1"/>
    <col min="15385" max="15385" width="2.7109375" style="73" customWidth="1"/>
    <col min="15386" max="15386" width="25.7109375" style="73" customWidth="1"/>
    <col min="15387" max="15387" width="2.7109375" style="73" customWidth="1"/>
    <col min="15388" max="15388" width="25.7109375" style="73" customWidth="1"/>
    <col min="15389" max="15389" width="2.7109375" style="73" customWidth="1"/>
    <col min="15390" max="15390" width="25.7109375" style="73" customWidth="1"/>
    <col min="15391" max="15391" width="2.7109375" style="73" customWidth="1"/>
    <col min="15392" max="15392" width="25.7109375" style="73" customWidth="1"/>
    <col min="15393" max="15393" width="2.7109375" style="73" customWidth="1"/>
    <col min="15394" max="15394" width="25.7109375" style="73" customWidth="1"/>
    <col min="15395" max="15395" width="2.7109375" style="73" customWidth="1"/>
    <col min="15396" max="15396" width="25.7109375" style="73" customWidth="1"/>
    <col min="15397" max="15397" width="2.7109375" style="73" customWidth="1"/>
    <col min="15398" max="15398" width="25.7109375" style="73" customWidth="1"/>
    <col min="15399" max="15399" width="2.7109375" style="73" customWidth="1"/>
    <col min="15400" max="15400" width="25.7109375" style="73" customWidth="1"/>
    <col min="15401" max="15401" width="2.7109375" style="73" customWidth="1"/>
    <col min="15402" max="15416" width="25.7109375" style="73" customWidth="1"/>
    <col min="15417" max="15418" width="30.7109375" style="73" customWidth="1"/>
    <col min="15419" max="15419" width="42.7109375" style="73" customWidth="1"/>
    <col min="15420" max="15462" width="0" style="73" hidden="1" customWidth="1"/>
    <col min="15463" max="15616" width="9.140625" style="73"/>
    <col min="15617" max="15618" width="25.7109375" style="73" customWidth="1"/>
    <col min="15619" max="15619" width="2.7109375" style="73" customWidth="1"/>
    <col min="15620" max="15620" width="25.7109375" style="73" customWidth="1"/>
    <col min="15621" max="15621" width="2.7109375" style="73" customWidth="1"/>
    <col min="15622" max="15622" width="25.7109375" style="73" customWidth="1"/>
    <col min="15623" max="15623" width="2.7109375" style="73" customWidth="1"/>
    <col min="15624" max="15624" width="25.7109375" style="73" customWidth="1"/>
    <col min="15625" max="15625" width="2.7109375" style="73" customWidth="1"/>
    <col min="15626" max="15626" width="25.7109375" style="73" customWidth="1"/>
    <col min="15627" max="15627" width="2.7109375" style="73" customWidth="1"/>
    <col min="15628" max="15628" width="25.7109375" style="73" customWidth="1"/>
    <col min="15629" max="15629" width="2.7109375" style="73" customWidth="1"/>
    <col min="15630" max="15630" width="25.7109375" style="73" customWidth="1"/>
    <col min="15631" max="15631" width="2.7109375" style="73" customWidth="1"/>
    <col min="15632" max="15632" width="25.7109375" style="73" customWidth="1"/>
    <col min="15633" max="15633" width="2.7109375" style="73" customWidth="1"/>
    <col min="15634" max="15634" width="25.7109375" style="73" customWidth="1"/>
    <col min="15635" max="15635" width="2.7109375" style="73" customWidth="1"/>
    <col min="15636" max="15636" width="25.140625" style="73" customWidth="1"/>
    <col min="15637" max="15637" width="2.7109375" style="73" customWidth="1"/>
    <col min="15638" max="15638" width="25.7109375" style="73" customWidth="1"/>
    <col min="15639" max="15639" width="2.7109375" style="73" customWidth="1"/>
    <col min="15640" max="15640" width="25.7109375" style="73" customWidth="1"/>
    <col min="15641" max="15641" width="2.7109375" style="73" customWidth="1"/>
    <col min="15642" max="15642" width="25.7109375" style="73" customWidth="1"/>
    <col min="15643" max="15643" width="2.7109375" style="73" customWidth="1"/>
    <col min="15644" max="15644" width="25.7109375" style="73" customWidth="1"/>
    <col min="15645" max="15645" width="2.7109375" style="73" customWidth="1"/>
    <col min="15646" max="15646" width="25.7109375" style="73" customWidth="1"/>
    <col min="15647" max="15647" width="2.7109375" style="73" customWidth="1"/>
    <col min="15648" max="15648" width="25.7109375" style="73" customWidth="1"/>
    <col min="15649" max="15649" width="2.7109375" style="73" customWidth="1"/>
    <col min="15650" max="15650" width="25.7109375" style="73" customWidth="1"/>
    <col min="15651" max="15651" width="2.7109375" style="73" customWidth="1"/>
    <col min="15652" max="15652" width="25.7109375" style="73" customWidth="1"/>
    <col min="15653" max="15653" width="2.7109375" style="73" customWidth="1"/>
    <col min="15654" max="15654" width="25.7109375" style="73" customWidth="1"/>
    <col min="15655" max="15655" width="2.7109375" style="73" customWidth="1"/>
    <col min="15656" max="15656" width="25.7109375" style="73" customWidth="1"/>
    <col min="15657" max="15657" width="2.7109375" style="73" customWidth="1"/>
    <col min="15658" max="15672" width="25.7109375" style="73" customWidth="1"/>
    <col min="15673" max="15674" width="30.7109375" style="73" customWidth="1"/>
    <col min="15675" max="15675" width="42.7109375" style="73" customWidth="1"/>
    <col min="15676" max="15718" width="0" style="73" hidden="1" customWidth="1"/>
    <col min="15719" max="15872" width="9.140625" style="73"/>
    <col min="15873" max="15874" width="25.7109375" style="73" customWidth="1"/>
    <col min="15875" max="15875" width="2.7109375" style="73" customWidth="1"/>
    <col min="15876" max="15876" width="25.7109375" style="73" customWidth="1"/>
    <col min="15877" max="15877" width="2.7109375" style="73" customWidth="1"/>
    <col min="15878" max="15878" width="25.7109375" style="73" customWidth="1"/>
    <col min="15879" max="15879" width="2.7109375" style="73" customWidth="1"/>
    <col min="15880" max="15880" width="25.7109375" style="73" customWidth="1"/>
    <col min="15881" max="15881" width="2.7109375" style="73" customWidth="1"/>
    <col min="15882" max="15882" width="25.7109375" style="73" customWidth="1"/>
    <col min="15883" max="15883" width="2.7109375" style="73" customWidth="1"/>
    <col min="15884" max="15884" width="25.7109375" style="73" customWidth="1"/>
    <col min="15885" max="15885" width="2.7109375" style="73" customWidth="1"/>
    <col min="15886" max="15886" width="25.7109375" style="73" customWidth="1"/>
    <col min="15887" max="15887" width="2.7109375" style="73" customWidth="1"/>
    <col min="15888" max="15888" width="25.7109375" style="73" customWidth="1"/>
    <col min="15889" max="15889" width="2.7109375" style="73" customWidth="1"/>
    <col min="15890" max="15890" width="25.7109375" style="73" customWidth="1"/>
    <col min="15891" max="15891" width="2.7109375" style="73" customWidth="1"/>
    <col min="15892" max="15892" width="25.140625" style="73" customWidth="1"/>
    <col min="15893" max="15893" width="2.7109375" style="73" customWidth="1"/>
    <col min="15894" max="15894" width="25.7109375" style="73" customWidth="1"/>
    <col min="15895" max="15895" width="2.7109375" style="73" customWidth="1"/>
    <col min="15896" max="15896" width="25.7109375" style="73" customWidth="1"/>
    <col min="15897" max="15897" width="2.7109375" style="73" customWidth="1"/>
    <col min="15898" max="15898" width="25.7109375" style="73" customWidth="1"/>
    <col min="15899" max="15899" width="2.7109375" style="73" customWidth="1"/>
    <col min="15900" max="15900" width="25.7109375" style="73" customWidth="1"/>
    <col min="15901" max="15901" width="2.7109375" style="73" customWidth="1"/>
    <col min="15902" max="15902" width="25.7109375" style="73" customWidth="1"/>
    <col min="15903" max="15903" width="2.7109375" style="73" customWidth="1"/>
    <col min="15904" max="15904" width="25.7109375" style="73" customWidth="1"/>
    <col min="15905" max="15905" width="2.7109375" style="73" customWidth="1"/>
    <col min="15906" max="15906" width="25.7109375" style="73" customWidth="1"/>
    <col min="15907" max="15907" width="2.7109375" style="73" customWidth="1"/>
    <col min="15908" max="15908" width="25.7109375" style="73" customWidth="1"/>
    <col min="15909" max="15909" width="2.7109375" style="73" customWidth="1"/>
    <col min="15910" max="15910" width="25.7109375" style="73" customWidth="1"/>
    <col min="15911" max="15911" width="2.7109375" style="73" customWidth="1"/>
    <col min="15912" max="15912" width="25.7109375" style="73" customWidth="1"/>
    <col min="15913" max="15913" width="2.7109375" style="73" customWidth="1"/>
    <col min="15914" max="15928" width="25.7109375" style="73" customWidth="1"/>
    <col min="15929" max="15930" width="30.7109375" style="73" customWidth="1"/>
    <col min="15931" max="15931" width="42.7109375" style="73" customWidth="1"/>
    <col min="15932" max="15974" width="0" style="73" hidden="1" customWidth="1"/>
    <col min="15975" max="16128" width="9.140625" style="73"/>
    <col min="16129" max="16130" width="25.7109375" style="73" customWidth="1"/>
    <col min="16131" max="16131" width="2.7109375" style="73" customWidth="1"/>
    <col min="16132" max="16132" width="25.7109375" style="73" customWidth="1"/>
    <col min="16133" max="16133" width="2.7109375" style="73" customWidth="1"/>
    <col min="16134" max="16134" width="25.7109375" style="73" customWidth="1"/>
    <col min="16135" max="16135" width="2.7109375" style="73" customWidth="1"/>
    <col min="16136" max="16136" width="25.7109375" style="73" customWidth="1"/>
    <col min="16137" max="16137" width="2.7109375" style="73" customWidth="1"/>
    <col min="16138" max="16138" width="25.7109375" style="73" customWidth="1"/>
    <col min="16139" max="16139" width="2.7109375" style="73" customWidth="1"/>
    <col min="16140" max="16140" width="25.7109375" style="73" customWidth="1"/>
    <col min="16141" max="16141" width="2.7109375" style="73" customWidth="1"/>
    <col min="16142" max="16142" width="25.7109375" style="73" customWidth="1"/>
    <col min="16143" max="16143" width="2.7109375" style="73" customWidth="1"/>
    <col min="16144" max="16144" width="25.7109375" style="73" customWidth="1"/>
    <col min="16145" max="16145" width="2.7109375" style="73" customWidth="1"/>
    <col min="16146" max="16146" width="25.7109375" style="73" customWidth="1"/>
    <col min="16147" max="16147" width="2.7109375" style="73" customWidth="1"/>
    <col min="16148" max="16148" width="25.140625" style="73" customWidth="1"/>
    <col min="16149" max="16149" width="2.7109375" style="73" customWidth="1"/>
    <col min="16150" max="16150" width="25.7109375" style="73" customWidth="1"/>
    <col min="16151" max="16151" width="2.7109375" style="73" customWidth="1"/>
    <col min="16152" max="16152" width="25.7109375" style="73" customWidth="1"/>
    <col min="16153" max="16153" width="2.7109375" style="73" customWidth="1"/>
    <col min="16154" max="16154" width="25.7109375" style="73" customWidth="1"/>
    <col min="16155" max="16155" width="2.7109375" style="73" customWidth="1"/>
    <col min="16156" max="16156" width="25.7109375" style="73" customWidth="1"/>
    <col min="16157" max="16157" width="2.7109375" style="73" customWidth="1"/>
    <col min="16158" max="16158" width="25.7109375" style="73" customWidth="1"/>
    <col min="16159" max="16159" width="2.7109375" style="73" customWidth="1"/>
    <col min="16160" max="16160" width="25.7109375" style="73" customWidth="1"/>
    <col min="16161" max="16161" width="2.7109375" style="73" customWidth="1"/>
    <col min="16162" max="16162" width="25.7109375" style="73" customWidth="1"/>
    <col min="16163" max="16163" width="2.7109375" style="73" customWidth="1"/>
    <col min="16164" max="16164" width="25.7109375" style="73" customWidth="1"/>
    <col min="16165" max="16165" width="2.7109375" style="73" customWidth="1"/>
    <col min="16166" max="16166" width="25.7109375" style="73" customWidth="1"/>
    <col min="16167" max="16167" width="2.7109375" style="73" customWidth="1"/>
    <col min="16168" max="16168" width="25.7109375" style="73" customWidth="1"/>
    <col min="16169" max="16169" width="2.7109375" style="73" customWidth="1"/>
    <col min="16170" max="16184" width="25.7109375" style="73" customWidth="1"/>
    <col min="16185" max="16186" width="30.7109375" style="73" customWidth="1"/>
    <col min="16187" max="16187" width="42.7109375" style="73" customWidth="1"/>
    <col min="16188" max="16230" width="0" style="73" hidden="1" customWidth="1"/>
    <col min="16231" max="16384" width="9.140625" style="73"/>
  </cols>
  <sheetData>
    <row r="1" spans="1:103" s="58" customFormat="1" ht="29.25" customHeight="1" x14ac:dyDescent="0.2">
      <c r="A1" s="52"/>
      <c r="B1" s="52"/>
      <c r="C1" s="53" t="s">
        <v>50</v>
      </c>
      <c r="D1" s="53"/>
      <c r="E1" s="53"/>
      <c r="F1" s="53"/>
      <c r="G1" s="53"/>
      <c r="H1" s="53"/>
      <c r="I1" s="53"/>
      <c r="J1" s="53"/>
      <c r="K1" s="53"/>
      <c r="L1" s="53"/>
      <c r="M1" s="53"/>
      <c r="N1" s="53"/>
      <c r="O1" s="53"/>
      <c r="P1" s="53"/>
      <c r="Q1" s="53"/>
      <c r="R1" s="53"/>
      <c r="S1" s="53"/>
      <c r="T1" s="53"/>
      <c r="U1" s="53"/>
      <c r="V1" s="53"/>
      <c r="W1" s="53" t="s">
        <v>51</v>
      </c>
      <c r="X1" s="53"/>
      <c r="Y1" s="53"/>
      <c r="Z1" s="53"/>
      <c r="AA1" s="53"/>
      <c r="AB1" s="53"/>
      <c r="AC1" s="53"/>
      <c r="AD1" s="53"/>
      <c r="AE1" s="53"/>
      <c r="AF1" s="53"/>
      <c r="AG1" s="53"/>
      <c r="AH1" s="53"/>
      <c r="AI1" s="53"/>
      <c r="AJ1" s="53"/>
      <c r="AK1" s="53"/>
      <c r="AL1" s="53"/>
      <c r="AM1" s="53"/>
      <c r="AN1" s="53"/>
      <c r="AO1" s="53"/>
      <c r="AP1" s="53"/>
      <c r="AQ1" s="53" t="s">
        <v>52</v>
      </c>
      <c r="AR1" s="53"/>
      <c r="AS1" s="53"/>
      <c r="AT1" s="53"/>
      <c r="AU1" s="53"/>
      <c r="AV1" s="53"/>
      <c r="AW1" s="53"/>
      <c r="AX1" s="53"/>
      <c r="AY1" s="53"/>
      <c r="AZ1" s="53"/>
      <c r="BA1" s="53" t="s">
        <v>49</v>
      </c>
      <c r="BB1" s="53"/>
      <c r="BC1" s="53"/>
      <c r="BD1" s="53"/>
      <c r="BE1" s="53" t="s">
        <v>53</v>
      </c>
      <c r="BF1" s="53"/>
      <c r="BG1" s="54" t="s">
        <v>54</v>
      </c>
      <c r="BH1" s="55" t="s">
        <v>55</v>
      </c>
      <c r="BI1" s="56" t="str">
        <f>IF(COUNTA(A1:B1)&gt;0,"BEGIN:VCARD","no data")</f>
        <v>no data</v>
      </c>
      <c r="BJ1" s="56" t="s">
        <v>56</v>
      </c>
      <c r="BK1" s="56" t="str">
        <f>"N;CHARSET=ISO-8859-7:" &amp; B1 &amp; ";" &amp; A1</f>
        <v>N;CHARSET=ISO-8859-7:;</v>
      </c>
      <c r="BL1" s="56" t="str">
        <f>IF(D1="","no data",IF(C1="p","TEL;HOME;VOICE;CELL;PREF;1:" &amp; D1,"TEL;HOME;VOICE;CELL;1:" &amp; D1))</f>
        <v>no data</v>
      </c>
      <c r="BM1" s="56" t="str">
        <f>IF(F1="","no data",IF(E1="p","TEL;HOME;VOICE;CELL;PREF;2:" &amp; F1,"TEL;HOME;VOICE;CELL;2:" &amp; F1))</f>
        <v>no data</v>
      </c>
      <c r="BN1" s="56" t="str">
        <f>IF(H1="","no data",IF(G1="p","TEL;HOME;VOICE;CELL;PREF;3:" &amp; H1,"TEL;HOME;VOICE;CELL;3:" &amp; H1))</f>
        <v>no data</v>
      </c>
      <c r="BO1" s="56" t="str">
        <f>IF(J1="","no data",IF(I1="p","TEL;HOME;VOICE;CELL;PREF;4:" &amp; J1,"TEL;HOME;VOICE;CELL;4:" &amp; J1))</f>
        <v>no data</v>
      </c>
      <c r="BP1" s="56" t="str">
        <f>IF(L1="","no data",IF(K1="p","TEL;HOME;VOICE;CELL;PREF;5:" &amp; L1,"TEL;HOME;VOICE;CELL;5:" &amp; L1))</f>
        <v>no data</v>
      </c>
      <c r="BQ1" s="56" t="str">
        <f>IF(N1="","no data",IF(M1="p","TEL;WORK;VOICE;CELL;PREF;1:" &amp; N1,"TEL;WORK;VOICE;CELL;1:" &amp; N1))</f>
        <v>no data</v>
      </c>
      <c r="BR1" s="56" t="str">
        <f>IF(P1="","no data",IF(O1="p","TEL;WORK;VOICE;CELL;PREF;2:" &amp; P1,"TEL;WORK;VOICE;CELL;2:" &amp; P1))</f>
        <v>no data</v>
      </c>
      <c r="BS1" s="56" t="str">
        <f>IF(R1="","no data",IF(Q1="p","TEL;WORK;VOICE;CELL;PREF;3:" &amp; R1,"TEL;WORK;VOICE;CELL;3:" &amp; R1))</f>
        <v>no data</v>
      </c>
      <c r="BT1" s="56" t="str">
        <f>IF(T1="","no data",IF(S1="p","TEL;WORK;VOICE;CELL;PREF;4:" &amp; T1,"TEL;WORK;VOICE;CELL;4:" &amp; T1))</f>
        <v>no data</v>
      </c>
      <c r="BU1" s="56" t="str">
        <f>IF(V1="","no data",IF(U1="p","TEL;WORK;VOICE;CELL;PREF;5:" &amp; V1,"TEL;WORK;VOICE;CELL;5:" &amp; V1))</f>
        <v>no data</v>
      </c>
      <c r="BV1" s="56" t="str">
        <f>IF(X1="","no data",IF(W1="p","TEL;HOME;VOICE;PREF;1:" &amp; X1,"TEL;HOME;VOICE;1:" &amp; X1))</f>
        <v>no data</v>
      </c>
      <c r="BW1" s="56" t="str">
        <f>IF(Z1="","no data",IF(Y1="p","TEL;HOME;VOICE;PREF;2:" &amp; Z1,"TEL;HOME;VOICE;2:" &amp; Z1))</f>
        <v>no data</v>
      </c>
      <c r="BX1" s="56" t="str">
        <f>IF(AB1="","no data",IF(AA1="p","TEL;HOME;VOICE;PREF;3:" &amp; AB1,"TEL;HOME;VOICE;3:" &amp; AB1))</f>
        <v>no data</v>
      </c>
      <c r="BY1" s="56" t="str">
        <f>IF(AD1="","no data",IF(AC1="p","TEL;HOME;VOICE;PREF;4:" &amp; AD1,"TEL;HOME;VOICE;4:" &amp; AD1))</f>
        <v>no data</v>
      </c>
      <c r="BZ1" s="56" t="str">
        <f>IF(AF1="","no data",IF(AE1="p","TEL;HOME;VOICE;PREF;5:" &amp; AF1,"TEL;HOME;VOICE;5:" &amp; AF1))</f>
        <v>no data</v>
      </c>
      <c r="CA1" s="56" t="str">
        <f>IF(AH1="","no data",IF(AG1="p","TEL;WORK;VOICE;PREF;1:" &amp; AH1,"TEL;WORK;VOICE;1:" &amp; AH1))</f>
        <v>no data</v>
      </c>
      <c r="CB1" s="56" t="str">
        <f>IF(AJ1="","no data",IF(AI1="p","TEL;WORK;VOICE;PREF;2:" &amp; AJ1,"TEL;WORK;VOICE;2:" &amp; AJ1))</f>
        <v>no data</v>
      </c>
      <c r="CC1" s="56" t="str">
        <f>IF(AL1="","no data",IF(AK1="p","TEL;WORK;VOICE;PREF;3:" &amp; AL1,"TEL;WORK;VOICE;3:" &amp; AL1))</f>
        <v>no data</v>
      </c>
      <c r="CD1" s="56" t="str">
        <f>IF(AN1="","no data",IF(AM1="p","TEL;WORK;VOICE;PREF;4:" &amp; AN1,"TEL;WORK;VOICE;4:" &amp; AN1))</f>
        <v>no data</v>
      </c>
      <c r="CE1" s="56" t="str">
        <f>IF(AP1="","no data",IF(AO1="p","TEL;WORK;VOICE;PREF;5:" &amp; AP1,"TEL;WORK;VOICE;5:" &amp; AP1))</f>
        <v>no data</v>
      </c>
      <c r="CF1" s="56" t="str">
        <f>IF(AQ1="","no data","TEL;HOME;FAX;1:" &amp; AQ1)</f>
        <v>TEL;HOME;FAX;1:Fax</v>
      </c>
      <c r="CG1" s="56" t="str">
        <f>IF(AR1="","no data","TEL;HOME;FAX;2:" &amp; AR1)</f>
        <v>no data</v>
      </c>
      <c r="CH1" s="56" t="str">
        <f>IF(AS1="","no data","TEL;HOME;FAX;3:" &amp; AS1)</f>
        <v>no data</v>
      </c>
      <c r="CI1" s="56" t="str">
        <f>IF(AT1="","no data","TEL;HOME;FAX;4:" &amp; AT1)</f>
        <v>no data</v>
      </c>
      <c r="CJ1" s="56" t="str">
        <f>IF(AU1="","no data","TEL;HOME;FAX;5:" &amp; AU1)</f>
        <v>no data</v>
      </c>
      <c r="CK1" s="56" t="str">
        <f>IF(AV1="","no data","TEL;WORK;FAX;1:" &amp; AV1)</f>
        <v>no data</v>
      </c>
      <c r="CL1" s="56" t="str">
        <f>IF(AW1="","no data","TEL;WORK;FAX;2:" &amp; AW1)</f>
        <v>no data</v>
      </c>
      <c r="CM1" s="56" t="str">
        <f>IF(AX1="","no data","TEL;WORK;FAX;3:" &amp; AX1)</f>
        <v>no data</v>
      </c>
      <c r="CN1" s="56" t="str">
        <f>IF(AY1="","no data","TEL;WORK;FAX;4:" &amp; AY1)</f>
        <v>no data</v>
      </c>
      <c r="CO1" s="56" t="str">
        <f>IF(AZ1="","no data","TEL;WORK;FAX;5:" &amp; AZ1)</f>
        <v>no data</v>
      </c>
      <c r="CP1" s="56" t="str">
        <f>IF(BA1="","no data","EMAIL;HOME;1:" &amp; BA1)</f>
        <v>EMAIL;HOME;1:Email</v>
      </c>
      <c r="CQ1" s="56" t="str">
        <f>IF(BB1="","no data","EMAIL;HOME;2:" &amp; BB1)</f>
        <v>no data</v>
      </c>
      <c r="CR1" s="56" t="str">
        <f>IF(BC1="","no data","EMAIL;WORK;1:" &amp; BC1)</f>
        <v>no data</v>
      </c>
      <c r="CS1" s="56" t="str">
        <f>IF(BD1="","no data","EMAIL;WORK;2:" &amp; BD1)</f>
        <v>no data</v>
      </c>
      <c r="CT1" s="56" t="str">
        <f>IF(BE1="","no data","ADR;HOME;ENCODING=QUOTED-PRINTABLE;CHARSET=ISO-8859-7:;;" &amp; BE1)</f>
        <v>ADR;HOME;ENCODING=QUOTED-PRINTABLE;CHARSET=ISO-8859-7:;;Adress</v>
      </c>
      <c r="CU1" s="56" t="str">
        <f>IF(BF1="","no data","ADR;WORK;ENCODING=QUOTED-PRINTABLE;CHARSET=ISO-8859-7:;;" &amp; BF1)</f>
        <v>no data</v>
      </c>
      <c r="CV1" s="56" t="str">
        <f>IF(BG1="","no data","NOTE;ENCODING=QUOTED-PRINTABLE;CHARSET=ISO-8859-7:" &amp; BG1)</f>
        <v>NOTE;ENCODING=QUOTED-PRINTABLE;CHARSET=ISO-8859-7:Note</v>
      </c>
      <c r="CW1" s="56" t="str">
        <f>IF(COUNTA(A1:B1)&gt;0,"END:VCARD","no data")</f>
        <v>no data</v>
      </c>
      <c r="CX1" s="56"/>
      <c r="CY1" s="57"/>
    </row>
    <row r="2" spans="1:103" s="64" customFormat="1" ht="19.5" customHeight="1" x14ac:dyDescent="0.2">
      <c r="A2" s="59" t="s">
        <v>57</v>
      </c>
      <c r="B2" s="59" t="s">
        <v>58</v>
      </c>
      <c r="C2" s="59" t="s">
        <v>59</v>
      </c>
      <c r="D2" s="59" t="s">
        <v>60</v>
      </c>
      <c r="E2" s="59" t="s">
        <v>59</v>
      </c>
      <c r="F2" s="59" t="s">
        <v>61</v>
      </c>
      <c r="G2" s="59" t="s">
        <v>59</v>
      </c>
      <c r="H2" s="59" t="s">
        <v>62</v>
      </c>
      <c r="I2" s="59" t="s">
        <v>59</v>
      </c>
      <c r="J2" s="59" t="s">
        <v>63</v>
      </c>
      <c r="K2" s="59" t="s">
        <v>59</v>
      </c>
      <c r="L2" s="59" t="s">
        <v>64</v>
      </c>
      <c r="M2" s="59" t="s">
        <v>59</v>
      </c>
      <c r="N2" s="59" t="s">
        <v>65</v>
      </c>
      <c r="O2" s="59" t="s">
        <v>59</v>
      </c>
      <c r="P2" s="59" t="s">
        <v>66</v>
      </c>
      <c r="Q2" s="59" t="s">
        <v>59</v>
      </c>
      <c r="R2" s="59" t="s">
        <v>67</v>
      </c>
      <c r="S2" s="59" t="s">
        <v>59</v>
      </c>
      <c r="T2" s="59" t="s">
        <v>68</v>
      </c>
      <c r="U2" s="59" t="s">
        <v>59</v>
      </c>
      <c r="V2" s="59" t="s">
        <v>69</v>
      </c>
      <c r="W2" s="60" t="s">
        <v>59</v>
      </c>
      <c r="X2" s="59" t="s">
        <v>70</v>
      </c>
      <c r="Y2" s="59" t="s">
        <v>59</v>
      </c>
      <c r="Z2" s="59" t="s">
        <v>71</v>
      </c>
      <c r="AA2" s="59" t="s">
        <v>59</v>
      </c>
      <c r="AB2" s="59" t="s">
        <v>72</v>
      </c>
      <c r="AC2" s="59" t="s">
        <v>59</v>
      </c>
      <c r="AD2" s="59" t="s">
        <v>73</v>
      </c>
      <c r="AE2" s="59" t="s">
        <v>59</v>
      </c>
      <c r="AF2" s="59" t="s">
        <v>74</v>
      </c>
      <c r="AG2" s="59" t="s">
        <v>59</v>
      </c>
      <c r="AH2" s="59" t="s">
        <v>75</v>
      </c>
      <c r="AI2" s="59" t="s">
        <v>59</v>
      </c>
      <c r="AJ2" s="59" t="s">
        <v>76</v>
      </c>
      <c r="AK2" s="59" t="s">
        <v>59</v>
      </c>
      <c r="AL2" s="59" t="s">
        <v>77</v>
      </c>
      <c r="AM2" s="59" t="s">
        <v>59</v>
      </c>
      <c r="AN2" s="59" t="s">
        <v>78</v>
      </c>
      <c r="AO2" s="59" t="s">
        <v>59</v>
      </c>
      <c r="AP2" s="59" t="s">
        <v>79</v>
      </c>
      <c r="AQ2" s="60" t="s">
        <v>80</v>
      </c>
      <c r="AR2" s="59" t="s">
        <v>81</v>
      </c>
      <c r="AS2" s="59" t="s">
        <v>82</v>
      </c>
      <c r="AT2" s="59" t="s">
        <v>83</v>
      </c>
      <c r="AU2" s="59" t="s">
        <v>84</v>
      </c>
      <c r="AV2" s="59" t="s">
        <v>85</v>
      </c>
      <c r="AW2" s="59" t="s">
        <v>86</v>
      </c>
      <c r="AX2" s="59" t="s">
        <v>87</v>
      </c>
      <c r="AY2" s="59" t="s">
        <v>88</v>
      </c>
      <c r="AZ2" s="59" t="s">
        <v>89</v>
      </c>
      <c r="BA2" s="60" t="s">
        <v>90</v>
      </c>
      <c r="BB2" s="59" t="s">
        <v>91</v>
      </c>
      <c r="BC2" s="59" t="s">
        <v>92</v>
      </c>
      <c r="BD2" s="59" t="s">
        <v>93</v>
      </c>
      <c r="BE2" s="60" t="s">
        <v>94</v>
      </c>
      <c r="BF2" s="59" t="s">
        <v>95</v>
      </c>
      <c r="BG2" s="60" t="s">
        <v>54</v>
      </c>
      <c r="BH2" s="61"/>
      <c r="BI2" s="62"/>
      <c r="BJ2" s="62"/>
      <c r="BK2" s="62"/>
      <c r="BL2" s="62"/>
      <c r="BM2" s="62"/>
      <c r="BN2" s="62"/>
      <c r="BO2" s="62"/>
      <c r="BP2" s="62"/>
      <c r="BQ2" s="62"/>
      <c r="BR2" s="62"/>
      <c r="BS2" s="62"/>
      <c r="BT2" s="62"/>
      <c r="BU2" s="62"/>
      <c r="BV2" s="62"/>
      <c r="BW2" s="62"/>
      <c r="BX2" s="62"/>
      <c r="BY2" s="62"/>
      <c r="BZ2" s="62"/>
      <c r="CA2" s="62"/>
      <c r="CB2" s="62"/>
      <c r="CC2" s="62"/>
      <c r="CD2" s="62"/>
      <c r="CE2" s="62"/>
      <c r="CF2" s="62"/>
      <c r="CG2" s="62"/>
      <c r="CH2" s="62"/>
      <c r="CI2" s="62"/>
      <c r="CJ2" s="62"/>
      <c r="CK2" s="62"/>
      <c r="CL2" s="62"/>
      <c r="CM2" s="62"/>
      <c r="CN2" s="62"/>
      <c r="CO2" s="62"/>
      <c r="CP2" s="62"/>
      <c r="CQ2" s="62"/>
      <c r="CR2" s="62"/>
      <c r="CS2" s="62"/>
      <c r="CT2" s="62"/>
      <c r="CU2" s="62"/>
      <c r="CV2" s="62"/>
      <c r="CW2" s="62"/>
      <c r="CX2" s="62"/>
      <c r="CY2" s="63"/>
    </row>
    <row r="3" spans="1:103" x14ac:dyDescent="0.2">
      <c r="A3" s="65"/>
      <c r="B3" s="66"/>
      <c r="C3" s="67"/>
      <c r="D3" s="67"/>
      <c r="E3" s="67"/>
      <c r="F3" s="67"/>
      <c r="G3" s="67"/>
      <c r="H3" s="67"/>
      <c r="I3" s="67"/>
      <c r="J3" s="67"/>
      <c r="K3" s="67"/>
      <c r="L3" s="67"/>
      <c r="M3" s="67"/>
      <c r="N3" s="67"/>
      <c r="O3" s="67"/>
      <c r="P3" s="67"/>
      <c r="Q3" s="67"/>
      <c r="R3" s="67"/>
      <c r="S3" s="67"/>
      <c r="T3" s="67"/>
      <c r="U3" s="67"/>
      <c r="V3" s="68"/>
      <c r="W3" s="69"/>
      <c r="X3" s="67"/>
      <c r="Y3" s="67"/>
      <c r="Z3" s="67"/>
      <c r="AA3" s="67"/>
      <c r="AB3" s="67"/>
      <c r="AC3" s="67"/>
      <c r="AD3" s="67"/>
      <c r="AE3" s="67"/>
      <c r="AF3" s="67"/>
      <c r="AG3" s="67"/>
      <c r="AH3" s="67"/>
      <c r="AI3" s="67"/>
      <c r="AJ3" s="67"/>
      <c r="AK3" s="67"/>
      <c r="AL3" s="67"/>
      <c r="AM3" s="67"/>
      <c r="AN3" s="67"/>
      <c r="AO3" s="67"/>
      <c r="AP3" s="68"/>
      <c r="AQ3" s="69"/>
      <c r="AR3" s="67"/>
      <c r="AS3" s="67"/>
      <c r="AT3" s="67"/>
      <c r="AU3" s="67"/>
      <c r="AV3" s="67"/>
      <c r="AW3" s="67"/>
      <c r="AX3" s="67"/>
      <c r="AY3" s="67"/>
      <c r="AZ3" s="68"/>
      <c r="BA3" s="69"/>
      <c r="BB3" s="67"/>
      <c r="BC3" s="67"/>
      <c r="BD3" s="68"/>
      <c r="BE3" s="69"/>
      <c r="BF3" s="68"/>
      <c r="BG3" s="70"/>
    </row>
    <row r="4" spans="1:103" x14ac:dyDescent="0.2">
      <c r="A4" s="74"/>
    </row>
  </sheetData>
  <sheetProtection sheet="1" selectLockedCells="1"/>
  <mergeCells count="5">
    <mergeCell ref="C1:V1"/>
    <mergeCell ref="W1:AP1"/>
    <mergeCell ref="AQ1:AZ1"/>
    <mergeCell ref="BA1:BD1"/>
    <mergeCell ref="BE1:BF1"/>
  </mergeCells>
  <pageMargins left="0.75" right="0.75" top="1" bottom="1" header="0.5" footer="0.5"/>
  <pageSetup paperSize="9"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autoFill="0" autoPict="0" macro="[0]!Create_vCard">
                <anchor moveWithCells="1">
                  <from>
                    <xdr:col>0</xdr:col>
                    <xdr:colOff>123825</xdr:colOff>
                    <xdr:row>0</xdr:row>
                    <xdr:rowOff>47625</xdr:rowOff>
                  </from>
                  <to>
                    <xdr:col>1</xdr:col>
                    <xdr:colOff>1647825</xdr:colOff>
                    <xdr:row>0</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allowBlank="1" showInputMessage="1" showErrorMessage="1" promptTitle="Preferred number" prompt="Indicate with 'p' if this is the prefered number">
          <xm:sqref>Q2:Q65536 JM2:JM65536 TI2:TI65536 ADE2:ADE65536 ANA2:ANA65536 AWW2:AWW65536 BGS2:BGS65536 BQO2:BQO65536 CAK2:CAK65536 CKG2:CKG65536 CUC2:CUC65536 DDY2:DDY65536 DNU2:DNU65536 DXQ2:DXQ65536 EHM2:EHM65536 ERI2:ERI65536 FBE2:FBE65536 FLA2:FLA65536 FUW2:FUW65536 GES2:GES65536 GOO2:GOO65536 GYK2:GYK65536 HIG2:HIG65536 HSC2:HSC65536 IBY2:IBY65536 ILU2:ILU65536 IVQ2:IVQ65536 JFM2:JFM65536 JPI2:JPI65536 JZE2:JZE65536 KJA2:KJA65536 KSW2:KSW65536 LCS2:LCS65536 LMO2:LMO65536 LWK2:LWK65536 MGG2:MGG65536 MQC2:MQC65536 MZY2:MZY65536 NJU2:NJU65536 NTQ2:NTQ65536 ODM2:ODM65536 ONI2:ONI65536 OXE2:OXE65536 PHA2:PHA65536 PQW2:PQW65536 QAS2:QAS65536 QKO2:QKO65536 QUK2:QUK65536 REG2:REG65536 ROC2:ROC65536 RXY2:RXY65536 SHU2:SHU65536 SRQ2:SRQ65536 TBM2:TBM65536 TLI2:TLI65536 TVE2:TVE65536 UFA2:UFA65536 UOW2:UOW65536 UYS2:UYS65536 VIO2:VIO65536 VSK2:VSK65536 WCG2:WCG65536 WMC2:WMC65536 WVY2:WVY65536 Q65538:Q131072 JM65538:JM131072 TI65538:TI131072 ADE65538:ADE131072 ANA65538:ANA131072 AWW65538:AWW131072 BGS65538:BGS131072 BQO65538:BQO131072 CAK65538:CAK131072 CKG65538:CKG131072 CUC65538:CUC131072 DDY65538:DDY131072 DNU65538:DNU131072 DXQ65538:DXQ131072 EHM65538:EHM131072 ERI65538:ERI131072 FBE65538:FBE131072 FLA65538:FLA131072 FUW65538:FUW131072 GES65538:GES131072 GOO65538:GOO131072 GYK65538:GYK131072 HIG65538:HIG131072 HSC65538:HSC131072 IBY65538:IBY131072 ILU65538:ILU131072 IVQ65538:IVQ131072 JFM65538:JFM131072 JPI65538:JPI131072 JZE65538:JZE131072 KJA65538:KJA131072 KSW65538:KSW131072 LCS65538:LCS131072 LMO65538:LMO131072 LWK65538:LWK131072 MGG65538:MGG131072 MQC65538:MQC131072 MZY65538:MZY131072 NJU65538:NJU131072 NTQ65538:NTQ131072 ODM65538:ODM131072 ONI65538:ONI131072 OXE65538:OXE131072 PHA65538:PHA131072 PQW65538:PQW131072 QAS65538:QAS131072 QKO65538:QKO131072 QUK65538:QUK131072 REG65538:REG131072 ROC65538:ROC131072 RXY65538:RXY131072 SHU65538:SHU131072 SRQ65538:SRQ131072 TBM65538:TBM131072 TLI65538:TLI131072 TVE65538:TVE131072 UFA65538:UFA131072 UOW65538:UOW131072 UYS65538:UYS131072 VIO65538:VIO131072 VSK65538:VSK131072 WCG65538:WCG131072 WMC65538:WMC131072 WVY65538:WVY131072 Q131074:Q196608 JM131074:JM196608 TI131074:TI196608 ADE131074:ADE196608 ANA131074:ANA196608 AWW131074:AWW196608 BGS131074:BGS196608 BQO131074:BQO196608 CAK131074:CAK196608 CKG131074:CKG196608 CUC131074:CUC196608 DDY131074:DDY196608 DNU131074:DNU196608 DXQ131074:DXQ196608 EHM131074:EHM196608 ERI131074:ERI196608 FBE131074:FBE196608 FLA131074:FLA196608 FUW131074:FUW196608 GES131074:GES196608 GOO131074:GOO196608 GYK131074:GYK196608 HIG131074:HIG196608 HSC131074:HSC196608 IBY131074:IBY196608 ILU131074:ILU196608 IVQ131074:IVQ196608 JFM131074:JFM196608 JPI131074:JPI196608 JZE131074:JZE196608 KJA131074:KJA196608 KSW131074:KSW196608 LCS131074:LCS196608 LMO131074:LMO196608 LWK131074:LWK196608 MGG131074:MGG196608 MQC131074:MQC196608 MZY131074:MZY196608 NJU131074:NJU196608 NTQ131074:NTQ196608 ODM131074:ODM196608 ONI131074:ONI196608 OXE131074:OXE196608 PHA131074:PHA196608 PQW131074:PQW196608 QAS131074:QAS196608 QKO131074:QKO196608 QUK131074:QUK196608 REG131074:REG196608 ROC131074:ROC196608 RXY131074:RXY196608 SHU131074:SHU196608 SRQ131074:SRQ196608 TBM131074:TBM196608 TLI131074:TLI196608 TVE131074:TVE196608 UFA131074:UFA196608 UOW131074:UOW196608 UYS131074:UYS196608 VIO131074:VIO196608 VSK131074:VSK196608 WCG131074:WCG196608 WMC131074:WMC196608 WVY131074:WVY196608 Q196610:Q262144 JM196610:JM262144 TI196610:TI262144 ADE196610:ADE262144 ANA196610:ANA262144 AWW196610:AWW262144 BGS196610:BGS262144 BQO196610:BQO262144 CAK196610:CAK262144 CKG196610:CKG262144 CUC196610:CUC262144 DDY196610:DDY262144 DNU196610:DNU262144 DXQ196610:DXQ262144 EHM196610:EHM262144 ERI196610:ERI262144 FBE196610:FBE262144 FLA196610:FLA262144 FUW196610:FUW262144 GES196610:GES262144 GOO196610:GOO262144 GYK196610:GYK262144 HIG196610:HIG262144 HSC196610:HSC262144 IBY196610:IBY262144 ILU196610:ILU262144 IVQ196610:IVQ262144 JFM196610:JFM262144 JPI196610:JPI262144 JZE196610:JZE262144 KJA196610:KJA262144 KSW196610:KSW262144 LCS196610:LCS262144 LMO196610:LMO262144 LWK196610:LWK262144 MGG196610:MGG262144 MQC196610:MQC262144 MZY196610:MZY262144 NJU196610:NJU262144 NTQ196610:NTQ262144 ODM196610:ODM262144 ONI196610:ONI262144 OXE196610:OXE262144 PHA196610:PHA262144 PQW196610:PQW262144 QAS196610:QAS262144 QKO196610:QKO262144 QUK196610:QUK262144 REG196610:REG262144 ROC196610:ROC262144 RXY196610:RXY262144 SHU196610:SHU262144 SRQ196610:SRQ262144 TBM196610:TBM262144 TLI196610:TLI262144 TVE196610:TVE262144 UFA196610:UFA262144 UOW196610:UOW262144 UYS196610:UYS262144 VIO196610:VIO262144 VSK196610:VSK262144 WCG196610:WCG262144 WMC196610:WMC262144 WVY196610:WVY262144 Q262146:Q327680 JM262146:JM327680 TI262146:TI327680 ADE262146:ADE327680 ANA262146:ANA327680 AWW262146:AWW327680 BGS262146:BGS327680 BQO262146:BQO327680 CAK262146:CAK327680 CKG262146:CKG327680 CUC262146:CUC327680 DDY262146:DDY327680 DNU262146:DNU327680 DXQ262146:DXQ327680 EHM262146:EHM327680 ERI262146:ERI327680 FBE262146:FBE327680 FLA262146:FLA327680 FUW262146:FUW327680 GES262146:GES327680 GOO262146:GOO327680 GYK262146:GYK327680 HIG262146:HIG327680 HSC262146:HSC327680 IBY262146:IBY327680 ILU262146:ILU327680 IVQ262146:IVQ327680 JFM262146:JFM327680 JPI262146:JPI327680 JZE262146:JZE327680 KJA262146:KJA327680 KSW262146:KSW327680 LCS262146:LCS327680 LMO262146:LMO327680 LWK262146:LWK327680 MGG262146:MGG327680 MQC262146:MQC327680 MZY262146:MZY327680 NJU262146:NJU327680 NTQ262146:NTQ327680 ODM262146:ODM327680 ONI262146:ONI327680 OXE262146:OXE327680 PHA262146:PHA327680 PQW262146:PQW327680 QAS262146:QAS327680 QKO262146:QKO327680 QUK262146:QUK327680 REG262146:REG327680 ROC262146:ROC327680 RXY262146:RXY327680 SHU262146:SHU327680 SRQ262146:SRQ327680 TBM262146:TBM327680 TLI262146:TLI327680 TVE262146:TVE327680 UFA262146:UFA327680 UOW262146:UOW327680 UYS262146:UYS327680 VIO262146:VIO327680 VSK262146:VSK327680 WCG262146:WCG327680 WMC262146:WMC327680 WVY262146:WVY327680 Q327682:Q393216 JM327682:JM393216 TI327682:TI393216 ADE327682:ADE393216 ANA327682:ANA393216 AWW327682:AWW393216 BGS327682:BGS393216 BQO327682:BQO393216 CAK327682:CAK393216 CKG327682:CKG393216 CUC327682:CUC393216 DDY327682:DDY393216 DNU327682:DNU393216 DXQ327682:DXQ393216 EHM327682:EHM393216 ERI327682:ERI393216 FBE327682:FBE393216 FLA327682:FLA393216 FUW327682:FUW393216 GES327682:GES393216 GOO327682:GOO393216 GYK327682:GYK393216 HIG327682:HIG393216 HSC327682:HSC393216 IBY327682:IBY393216 ILU327682:ILU393216 IVQ327682:IVQ393216 JFM327682:JFM393216 JPI327682:JPI393216 JZE327682:JZE393216 KJA327682:KJA393216 KSW327682:KSW393216 LCS327682:LCS393216 LMO327682:LMO393216 LWK327682:LWK393216 MGG327682:MGG393216 MQC327682:MQC393216 MZY327682:MZY393216 NJU327682:NJU393216 NTQ327682:NTQ393216 ODM327682:ODM393216 ONI327682:ONI393216 OXE327682:OXE393216 PHA327682:PHA393216 PQW327682:PQW393216 QAS327682:QAS393216 QKO327682:QKO393216 QUK327682:QUK393216 REG327682:REG393216 ROC327682:ROC393216 RXY327682:RXY393216 SHU327682:SHU393216 SRQ327682:SRQ393216 TBM327682:TBM393216 TLI327682:TLI393216 TVE327682:TVE393216 UFA327682:UFA393216 UOW327682:UOW393216 UYS327682:UYS393216 VIO327682:VIO393216 VSK327682:VSK393216 WCG327682:WCG393216 WMC327682:WMC393216 WVY327682:WVY393216 Q393218:Q458752 JM393218:JM458752 TI393218:TI458752 ADE393218:ADE458752 ANA393218:ANA458752 AWW393218:AWW458752 BGS393218:BGS458752 BQO393218:BQO458752 CAK393218:CAK458752 CKG393218:CKG458752 CUC393218:CUC458752 DDY393218:DDY458752 DNU393218:DNU458752 DXQ393218:DXQ458752 EHM393218:EHM458752 ERI393218:ERI458752 FBE393218:FBE458752 FLA393218:FLA458752 FUW393218:FUW458752 GES393218:GES458752 GOO393218:GOO458752 GYK393218:GYK458752 HIG393218:HIG458752 HSC393218:HSC458752 IBY393218:IBY458752 ILU393218:ILU458752 IVQ393218:IVQ458752 JFM393218:JFM458752 JPI393218:JPI458752 JZE393218:JZE458752 KJA393218:KJA458752 KSW393218:KSW458752 LCS393218:LCS458752 LMO393218:LMO458752 LWK393218:LWK458752 MGG393218:MGG458752 MQC393218:MQC458752 MZY393218:MZY458752 NJU393218:NJU458752 NTQ393218:NTQ458752 ODM393218:ODM458752 ONI393218:ONI458752 OXE393218:OXE458752 PHA393218:PHA458752 PQW393218:PQW458752 QAS393218:QAS458752 QKO393218:QKO458752 QUK393218:QUK458752 REG393218:REG458752 ROC393218:ROC458752 RXY393218:RXY458752 SHU393218:SHU458752 SRQ393218:SRQ458752 TBM393218:TBM458752 TLI393218:TLI458752 TVE393218:TVE458752 UFA393218:UFA458752 UOW393218:UOW458752 UYS393218:UYS458752 VIO393218:VIO458752 VSK393218:VSK458752 WCG393218:WCG458752 WMC393218:WMC458752 WVY393218:WVY458752 Q458754:Q524288 JM458754:JM524288 TI458754:TI524288 ADE458754:ADE524288 ANA458754:ANA524288 AWW458754:AWW524288 BGS458754:BGS524288 BQO458754:BQO524288 CAK458754:CAK524288 CKG458754:CKG524288 CUC458754:CUC524288 DDY458754:DDY524288 DNU458754:DNU524288 DXQ458754:DXQ524288 EHM458754:EHM524288 ERI458754:ERI524288 FBE458754:FBE524288 FLA458754:FLA524288 FUW458754:FUW524288 GES458754:GES524288 GOO458754:GOO524288 GYK458754:GYK524288 HIG458754:HIG524288 HSC458754:HSC524288 IBY458754:IBY524288 ILU458754:ILU524288 IVQ458754:IVQ524288 JFM458754:JFM524288 JPI458754:JPI524288 JZE458754:JZE524288 KJA458754:KJA524288 KSW458754:KSW524288 LCS458754:LCS524288 LMO458754:LMO524288 LWK458754:LWK524288 MGG458754:MGG524288 MQC458754:MQC524288 MZY458754:MZY524288 NJU458754:NJU524288 NTQ458754:NTQ524288 ODM458754:ODM524288 ONI458754:ONI524288 OXE458754:OXE524288 PHA458754:PHA524288 PQW458754:PQW524288 QAS458754:QAS524288 QKO458754:QKO524288 QUK458754:QUK524288 REG458754:REG524288 ROC458754:ROC524288 RXY458754:RXY524288 SHU458754:SHU524288 SRQ458754:SRQ524288 TBM458754:TBM524288 TLI458754:TLI524288 TVE458754:TVE524288 UFA458754:UFA524288 UOW458754:UOW524288 UYS458754:UYS524288 VIO458754:VIO524288 VSK458754:VSK524288 WCG458754:WCG524288 WMC458754:WMC524288 WVY458754:WVY524288 Q524290:Q589824 JM524290:JM589824 TI524290:TI589824 ADE524290:ADE589824 ANA524290:ANA589824 AWW524290:AWW589824 BGS524290:BGS589824 BQO524290:BQO589824 CAK524290:CAK589824 CKG524290:CKG589824 CUC524290:CUC589824 DDY524290:DDY589824 DNU524290:DNU589824 DXQ524290:DXQ589824 EHM524290:EHM589824 ERI524290:ERI589824 FBE524290:FBE589824 FLA524290:FLA589824 FUW524290:FUW589824 GES524290:GES589824 GOO524290:GOO589824 GYK524290:GYK589824 HIG524290:HIG589824 HSC524290:HSC589824 IBY524290:IBY589824 ILU524290:ILU589824 IVQ524290:IVQ589824 JFM524290:JFM589824 JPI524290:JPI589824 JZE524290:JZE589824 KJA524290:KJA589824 KSW524290:KSW589824 LCS524290:LCS589824 LMO524290:LMO589824 LWK524290:LWK589824 MGG524290:MGG589824 MQC524290:MQC589824 MZY524290:MZY589824 NJU524290:NJU589824 NTQ524290:NTQ589824 ODM524290:ODM589824 ONI524290:ONI589824 OXE524290:OXE589824 PHA524290:PHA589824 PQW524290:PQW589824 QAS524290:QAS589824 QKO524290:QKO589824 QUK524290:QUK589824 REG524290:REG589824 ROC524290:ROC589824 RXY524290:RXY589824 SHU524290:SHU589824 SRQ524290:SRQ589824 TBM524290:TBM589824 TLI524290:TLI589824 TVE524290:TVE589824 UFA524290:UFA589824 UOW524290:UOW589824 UYS524290:UYS589824 VIO524290:VIO589824 VSK524290:VSK589824 WCG524290:WCG589824 WMC524290:WMC589824 WVY524290:WVY589824 Q589826:Q655360 JM589826:JM655360 TI589826:TI655360 ADE589826:ADE655360 ANA589826:ANA655360 AWW589826:AWW655360 BGS589826:BGS655360 BQO589826:BQO655360 CAK589826:CAK655360 CKG589826:CKG655360 CUC589826:CUC655360 DDY589826:DDY655360 DNU589826:DNU655360 DXQ589826:DXQ655360 EHM589826:EHM655360 ERI589826:ERI655360 FBE589826:FBE655360 FLA589826:FLA655360 FUW589826:FUW655360 GES589826:GES655360 GOO589826:GOO655360 GYK589826:GYK655360 HIG589826:HIG655360 HSC589826:HSC655360 IBY589826:IBY655360 ILU589826:ILU655360 IVQ589826:IVQ655360 JFM589826:JFM655360 JPI589826:JPI655360 JZE589826:JZE655360 KJA589826:KJA655360 KSW589826:KSW655360 LCS589826:LCS655360 LMO589826:LMO655360 LWK589826:LWK655360 MGG589826:MGG655360 MQC589826:MQC655360 MZY589826:MZY655360 NJU589826:NJU655360 NTQ589826:NTQ655360 ODM589826:ODM655360 ONI589826:ONI655360 OXE589826:OXE655360 PHA589826:PHA655360 PQW589826:PQW655360 QAS589826:QAS655360 QKO589826:QKO655360 QUK589826:QUK655360 REG589826:REG655360 ROC589826:ROC655360 RXY589826:RXY655360 SHU589826:SHU655360 SRQ589826:SRQ655360 TBM589826:TBM655360 TLI589826:TLI655360 TVE589826:TVE655360 UFA589826:UFA655360 UOW589826:UOW655360 UYS589826:UYS655360 VIO589826:VIO655360 VSK589826:VSK655360 WCG589826:WCG655360 WMC589826:WMC655360 WVY589826:WVY655360 Q655362:Q720896 JM655362:JM720896 TI655362:TI720896 ADE655362:ADE720896 ANA655362:ANA720896 AWW655362:AWW720896 BGS655362:BGS720896 BQO655362:BQO720896 CAK655362:CAK720896 CKG655362:CKG720896 CUC655362:CUC720896 DDY655362:DDY720896 DNU655362:DNU720896 DXQ655362:DXQ720896 EHM655362:EHM720896 ERI655362:ERI720896 FBE655362:FBE720896 FLA655362:FLA720896 FUW655362:FUW720896 GES655362:GES720896 GOO655362:GOO720896 GYK655362:GYK720896 HIG655362:HIG720896 HSC655362:HSC720896 IBY655362:IBY720896 ILU655362:ILU720896 IVQ655362:IVQ720896 JFM655362:JFM720896 JPI655362:JPI720896 JZE655362:JZE720896 KJA655362:KJA720896 KSW655362:KSW720896 LCS655362:LCS720896 LMO655362:LMO720896 LWK655362:LWK720896 MGG655362:MGG720896 MQC655362:MQC720896 MZY655362:MZY720896 NJU655362:NJU720896 NTQ655362:NTQ720896 ODM655362:ODM720896 ONI655362:ONI720896 OXE655362:OXE720896 PHA655362:PHA720896 PQW655362:PQW720896 QAS655362:QAS720896 QKO655362:QKO720896 QUK655362:QUK720896 REG655362:REG720896 ROC655362:ROC720896 RXY655362:RXY720896 SHU655362:SHU720896 SRQ655362:SRQ720896 TBM655362:TBM720896 TLI655362:TLI720896 TVE655362:TVE720896 UFA655362:UFA720896 UOW655362:UOW720896 UYS655362:UYS720896 VIO655362:VIO720896 VSK655362:VSK720896 WCG655362:WCG720896 WMC655362:WMC720896 WVY655362:WVY720896 Q720898:Q786432 JM720898:JM786432 TI720898:TI786432 ADE720898:ADE786432 ANA720898:ANA786432 AWW720898:AWW786432 BGS720898:BGS786432 BQO720898:BQO786432 CAK720898:CAK786432 CKG720898:CKG786432 CUC720898:CUC786432 DDY720898:DDY786432 DNU720898:DNU786432 DXQ720898:DXQ786432 EHM720898:EHM786432 ERI720898:ERI786432 FBE720898:FBE786432 FLA720898:FLA786432 FUW720898:FUW786432 GES720898:GES786432 GOO720898:GOO786432 GYK720898:GYK786432 HIG720898:HIG786432 HSC720898:HSC786432 IBY720898:IBY786432 ILU720898:ILU786432 IVQ720898:IVQ786432 JFM720898:JFM786432 JPI720898:JPI786432 JZE720898:JZE786432 KJA720898:KJA786432 KSW720898:KSW786432 LCS720898:LCS786432 LMO720898:LMO786432 LWK720898:LWK786432 MGG720898:MGG786432 MQC720898:MQC786432 MZY720898:MZY786432 NJU720898:NJU786432 NTQ720898:NTQ786432 ODM720898:ODM786432 ONI720898:ONI786432 OXE720898:OXE786432 PHA720898:PHA786432 PQW720898:PQW786432 QAS720898:QAS786432 QKO720898:QKO786432 QUK720898:QUK786432 REG720898:REG786432 ROC720898:ROC786432 RXY720898:RXY786432 SHU720898:SHU786432 SRQ720898:SRQ786432 TBM720898:TBM786432 TLI720898:TLI786432 TVE720898:TVE786432 UFA720898:UFA786432 UOW720898:UOW786432 UYS720898:UYS786432 VIO720898:VIO786432 VSK720898:VSK786432 WCG720898:WCG786432 WMC720898:WMC786432 WVY720898:WVY786432 Q786434:Q851968 JM786434:JM851968 TI786434:TI851968 ADE786434:ADE851968 ANA786434:ANA851968 AWW786434:AWW851968 BGS786434:BGS851968 BQO786434:BQO851968 CAK786434:CAK851968 CKG786434:CKG851968 CUC786434:CUC851968 DDY786434:DDY851968 DNU786434:DNU851968 DXQ786434:DXQ851968 EHM786434:EHM851968 ERI786434:ERI851968 FBE786434:FBE851968 FLA786434:FLA851968 FUW786434:FUW851968 GES786434:GES851968 GOO786434:GOO851968 GYK786434:GYK851968 HIG786434:HIG851968 HSC786434:HSC851968 IBY786434:IBY851968 ILU786434:ILU851968 IVQ786434:IVQ851968 JFM786434:JFM851968 JPI786434:JPI851968 JZE786434:JZE851968 KJA786434:KJA851968 KSW786434:KSW851968 LCS786434:LCS851968 LMO786434:LMO851968 LWK786434:LWK851968 MGG786434:MGG851968 MQC786434:MQC851968 MZY786434:MZY851968 NJU786434:NJU851968 NTQ786434:NTQ851968 ODM786434:ODM851968 ONI786434:ONI851968 OXE786434:OXE851968 PHA786434:PHA851968 PQW786434:PQW851968 QAS786434:QAS851968 QKO786434:QKO851968 QUK786434:QUK851968 REG786434:REG851968 ROC786434:ROC851968 RXY786434:RXY851968 SHU786434:SHU851968 SRQ786434:SRQ851968 TBM786434:TBM851968 TLI786434:TLI851968 TVE786434:TVE851968 UFA786434:UFA851968 UOW786434:UOW851968 UYS786434:UYS851968 VIO786434:VIO851968 VSK786434:VSK851968 WCG786434:WCG851968 WMC786434:WMC851968 WVY786434:WVY851968 Q851970:Q917504 JM851970:JM917504 TI851970:TI917504 ADE851970:ADE917504 ANA851970:ANA917504 AWW851970:AWW917504 BGS851970:BGS917504 BQO851970:BQO917504 CAK851970:CAK917504 CKG851970:CKG917504 CUC851970:CUC917504 DDY851970:DDY917504 DNU851970:DNU917504 DXQ851970:DXQ917504 EHM851970:EHM917504 ERI851970:ERI917504 FBE851970:FBE917504 FLA851970:FLA917504 FUW851970:FUW917504 GES851970:GES917504 GOO851970:GOO917504 GYK851970:GYK917504 HIG851970:HIG917504 HSC851970:HSC917504 IBY851970:IBY917504 ILU851970:ILU917504 IVQ851970:IVQ917504 JFM851970:JFM917504 JPI851970:JPI917504 JZE851970:JZE917504 KJA851970:KJA917504 KSW851970:KSW917504 LCS851970:LCS917504 LMO851970:LMO917504 LWK851970:LWK917504 MGG851970:MGG917504 MQC851970:MQC917504 MZY851970:MZY917504 NJU851970:NJU917504 NTQ851970:NTQ917504 ODM851970:ODM917504 ONI851970:ONI917504 OXE851970:OXE917504 PHA851970:PHA917504 PQW851970:PQW917504 QAS851970:QAS917504 QKO851970:QKO917504 QUK851970:QUK917504 REG851970:REG917504 ROC851970:ROC917504 RXY851970:RXY917504 SHU851970:SHU917504 SRQ851970:SRQ917504 TBM851970:TBM917504 TLI851970:TLI917504 TVE851970:TVE917504 UFA851970:UFA917504 UOW851970:UOW917504 UYS851970:UYS917504 VIO851970:VIO917504 VSK851970:VSK917504 WCG851970:WCG917504 WMC851970:WMC917504 WVY851970:WVY917504 Q917506:Q983040 JM917506:JM983040 TI917506:TI983040 ADE917506:ADE983040 ANA917506:ANA983040 AWW917506:AWW983040 BGS917506:BGS983040 BQO917506:BQO983040 CAK917506:CAK983040 CKG917506:CKG983040 CUC917506:CUC983040 DDY917506:DDY983040 DNU917506:DNU983040 DXQ917506:DXQ983040 EHM917506:EHM983040 ERI917506:ERI983040 FBE917506:FBE983040 FLA917506:FLA983040 FUW917506:FUW983040 GES917506:GES983040 GOO917506:GOO983040 GYK917506:GYK983040 HIG917506:HIG983040 HSC917506:HSC983040 IBY917506:IBY983040 ILU917506:ILU983040 IVQ917506:IVQ983040 JFM917506:JFM983040 JPI917506:JPI983040 JZE917506:JZE983040 KJA917506:KJA983040 KSW917506:KSW983040 LCS917506:LCS983040 LMO917506:LMO983040 LWK917506:LWK983040 MGG917506:MGG983040 MQC917506:MQC983040 MZY917506:MZY983040 NJU917506:NJU983040 NTQ917506:NTQ983040 ODM917506:ODM983040 ONI917506:ONI983040 OXE917506:OXE983040 PHA917506:PHA983040 PQW917506:PQW983040 QAS917506:QAS983040 QKO917506:QKO983040 QUK917506:QUK983040 REG917506:REG983040 ROC917506:ROC983040 RXY917506:RXY983040 SHU917506:SHU983040 SRQ917506:SRQ983040 TBM917506:TBM983040 TLI917506:TLI983040 TVE917506:TVE983040 UFA917506:UFA983040 UOW917506:UOW983040 UYS917506:UYS983040 VIO917506:VIO983040 VSK917506:VSK983040 WCG917506:WCG983040 WMC917506:WMC983040 WVY917506:WVY983040 Q983042:Q1048576 JM983042:JM1048576 TI983042:TI1048576 ADE983042:ADE1048576 ANA983042:ANA1048576 AWW983042:AWW1048576 BGS983042:BGS1048576 BQO983042:BQO1048576 CAK983042:CAK1048576 CKG983042:CKG1048576 CUC983042:CUC1048576 DDY983042:DDY1048576 DNU983042:DNU1048576 DXQ983042:DXQ1048576 EHM983042:EHM1048576 ERI983042:ERI1048576 FBE983042:FBE1048576 FLA983042:FLA1048576 FUW983042:FUW1048576 GES983042:GES1048576 GOO983042:GOO1048576 GYK983042:GYK1048576 HIG983042:HIG1048576 HSC983042:HSC1048576 IBY983042:IBY1048576 ILU983042:ILU1048576 IVQ983042:IVQ1048576 JFM983042:JFM1048576 JPI983042:JPI1048576 JZE983042:JZE1048576 KJA983042:KJA1048576 KSW983042:KSW1048576 LCS983042:LCS1048576 LMO983042:LMO1048576 LWK983042:LWK1048576 MGG983042:MGG1048576 MQC983042:MQC1048576 MZY983042:MZY1048576 NJU983042:NJU1048576 NTQ983042:NTQ1048576 ODM983042:ODM1048576 ONI983042:ONI1048576 OXE983042:OXE1048576 PHA983042:PHA1048576 PQW983042:PQW1048576 QAS983042:QAS1048576 QKO983042:QKO1048576 QUK983042:QUK1048576 REG983042:REG1048576 ROC983042:ROC1048576 RXY983042:RXY1048576 SHU983042:SHU1048576 SRQ983042:SRQ1048576 TBM983042:TBM1048576 TLI983042:TLI1048576 TVE983042:TVE1048576 UFA983042:UFA1048576 UOW983042:UOW1048576 UYS983042:UYS1048576 VIO983042:VIO1048576 VSK983042:VSK1048576 WCG983042:WCG1048576 WMC983042:WMC1048576 WVY983042:WVY1048576 I2:I65536 JE2:JE65536 TA2:TA65536 ACW2:ACW65536 AMS2:AMS65536 AWO2:AWO65536 BGK2:BGK65536 BQG2:BQG65536 CAC2:CAC65536 CJY2:CJY65536 CTU2:CTU65536 DDQ2:DDQ65536 DNM2:DNM65536 DXI2:DXI65536 EHE2:EHE65536 ERA2:ERA65536 FAW2:FAW65536 FKS2:FKS65536 FUO2:FUO65536 GEK2:GEK65536 GOG2:GOG65536 GYC2:GYC65536 HHY2:HHY65536 HRU2:HRU65536 IBQ2:IBQ65536 ILM2:ILM65536 IVI2:IVI65536 JFE2:JFE65536 JPA2:JPA65536 JYW2:JYW65536 KIS2:KIS65536 KSO2:KSO65536 LCK2:LCK65536 LMG2:LMG65536 LWC2:LWC65536 MFY2:MFY65536 MPU2:MPU65536 MZQ2:MZQ65536 NJM2:NJM65536 NTI2:NTI65536 ODE2:ODE65536 ONA2:ONA65536 OWW2:OWW65536 PGS2:PGS65536 PQO2:PQO65536 QAK2:QAK65536 QKG2:QKG65536 QUC2:QUC65536 RDY2:RDY65536 RNU2:RNU65536 RXQ2:RXQ65536 SHM2:SHM65536 SRI2:SRI65536 TBE2:TBE65536 TLA2:TLA65536 TUW2:TUW65536 UES2:UES65536 UOO2:UOO65536 UYK2:UYK65536 VIG2:VIG65536 VSC2:VSC65536 WBY2:WBY65536 WLU2:WLU65536 WVQ2:WVQ65536 I65538:I131072 JE65538:JE131072 TA65538:TA131072 ACW65538:ACW131072 AMS65538:AMS131072 AWO65538:AWO131072 BGK65538:BGK131072 BQG65538:BQG131072 CAC65538:CAC131072 CJY65538:CJY131072 CTU65538:CTU131072 DDQ65538:DDQ131072 DNM65538:DNM131072 DXI65538:DXI131072 EHE65538:EHE131072 ERA65538:ERA131072 FAW65538:FAW131072 FKS65538:FKS131072 FUO65538:FUO131072 GEK65538:GEK131072 GOG65538:GOG131072 GYC65538:GYC131072 HHY65538:HHY131072 HRU65538:HRU131072 IBQ65538:IBQ131072 ILM65538:ILM131072 IVI65538:IVI131072 JFE65538:JFE131072 JPA65538:JPA131072 JYW65538:JYW131072 KIS65538:KIS131072 KSO65538:KSO131072 LCK65538:LCK131072 LMG65538:LMG131072 LWC65538:LWC131072 MFY65538:MFY131072 MPU65538:MPU131072 MZQ65538:MZQ131072 NJM65538:NJM131072 NTI65538:NTI131072 ODE65538:ODE131072 ONA65538:ONA131072 OWW65538:OWW131072 PGS65538:PGS131072 PQO65538:PQO131072 QAK65538:QAK131072 QKG65538:QKG131072 QUC65538:QUC131072 RDY65538:RDY131072 RNU65538:RNU131072 RXQ65538:RXQ131072 SHM65538:SHM131072 SRI65538:SRI131072 TBE65538:TBE131072 TLA65538:TLA131072 TUW65538:TUW131072 UES65538:UES131072 UOO65538:UOO131072 UYK65538:UYK131072 VIG65538:VIG131072 VSC65538:VSC131072 WBY65538:WBY131072 WLU65538:WLU131072 WVQ65538:WVQ131072 I131074:I196608 JE131074:JE196608 TA131074:TA196608 ACW131074:ACW196608 AMS131074:AMS196608 AWO131074:AWO196608 BGK131074:BGK196608 BQG131074:BQG196608 CAC131074:CAC196608 CJY131074:CJY196608 CTU131074:CTU196608 DDQ131074:DDQ196608 DNM131074:DNM196608 DXI131074:DXI196608 EHE131074:EHE196608 ERA131074:ERA196608 FAW131074:FAW196608 FKS131074:FKS196608 FUO131074:FUO196608 GEK131074:GEK196608 GOG131074:GOG196608 GYC131074:GYC196608 HHY131074:HHY196608 HRU131074:HRU196608 IBQ131074:IBQ196608 ILM131074:ILM196608 IVI131074:IVI196608 JFE131074:JFE196608 JPA131074:JPA196608 JYW131074:JYW196608 KIS131074:KIS196608 KSO131074:KSO196608 LCK131074:LCK196608 LMG131074:LMG196608 LWC131074:LWC196608 MFY131074:MFY196608 MPU131074:MPU196608 MZQ131074:MZQ196608 NJM131074:NJM196608 NTI131074:NTI196608 ODE131074:ODE196608 ONA131074:ONA196608 OWW131074:OWW196608 PGS131074:PGS196608 PQO131074:PQO196608 QAK131074:QAK196608 QKG131074:QKG196608 QUC131074:QUC196608 RDY131074:RDY196608 RNU131074:RNU196608 RXQ131074:RXQ196608 SHM131074:SHM196608 SRI131074:SRI196608 TBE131074:TBE196608 TLA131074:TLA196608 TUW131074:TUW196608 UES131074:UES196608 UOO131074:UOO196608 UYK131074:UYK196608 VIG131074:VIG196608 VSC131074:VSC196608 WBY131074:WBY196608 WLU131074:WLU196608 WVQ131074:WVQ196608 I196610:I262144 JE196610:JE262144 TA196610:TA262144 ACW196610:ACW262144 AMS196610:AMS262144 AWO196610:AWO262144 BGK196610:BGK262144 BQG196610:BQG262144 CAC196610:CAC262144 CJY196610:CJY262144 CTU196610:CTU262144 DDQ196610:DDQ262144 DNM196610:DNM262144 DXI196610:DXI262144 EHE196610:EHE262144 ERA196610:ERA262144 FAW196610:FAW262144 FKS196610:FKS262144 FUO196610:FUO262144 GEK196610:GEK262144 GOG196610:GOG262144 GYC196610:GYC262144 HHY196610:HHY262144 HRU196610:HRU262144 IBQ196610:IBQ262144 ILM196610:ILM262144 IVI196610:IVI262144 JFE196610:JFE262144 JPA196610:JPA262144 JYW196610:JYW262144 KIS196610:KIS262144 KSO196610:KSO262144 LCK196610:LCK262144 LMG196610:LMG262144 LWC196610:LWC262144 MFY196610:MFY262144 MPU196610:MPU262144 MZQ196610:MZQ262144 NJM196610:NJM262144 NTI196610:NTI262144 ODE196610:ODE262144 ONA196610:ONA262144 OWW196610:OWW262144 PGS196610:PGS262144 PQO196610:PQO262144 QAK196610:QAK262144 QKG196610:QKG262144 QUC196610:QUC262144 RDY196610:RDY262144 RNU196610:RNU262144 RXQ196610:RXQ262144 SHM196610:SHM262144 SRI196610:SRI262144 TBE196610:TBE262144 TLA196610:TLA262144 TUW196610:TUW262144 UES196610:UES262144 UOO196610:UOO262144 UYK196610:UYK262144 VIG196610:VIG262144 VSC196610:VSC262144 WBY196610:WBY262144 WLU196610:WLU262144 WVQ196610:WVQ262144 I262146:I327680 JE262146:JE327680 TA262146:TA327680 ACW262146:ACW327680 AMS262146:AMS327680 AWO262146:AWO327680 BGK262146:BGK327680 BQG262146:BQG327680 CAC262146:CAC327680 CJY262146:CJY327680 CTU262146:CTU327680 DDQ262146:DDQ327680 DNM262146:DNM327680 DXI262146:DXI327680 EHE262146:EHE327680 ERA262146:ERA327680 FAW262146:FAW327680 FKS262146:FKS327680 FUO262146:FUO327680 GEK262146:GEK327680 GOG262146:GOG327680 GYC262146:GYC327680 HHY262146:HHY327680 HRU262146:HRU327680 IBQ262146:IBQ327680 ILM262146:ILM327680 IVI262146:IVI327680 JFE262146:JFE327680 JPA262146:JPA327680 JYW262146:JYW327680 KIS262146:KIS327680 KSO262146:KSO327680 LCK262146:LCK327680 LMG262146:LMG327680 LWC262146:LWC327680 MFY262146:MFY327680 MPU262146:MPU327680 MZQ262146:MZQ327680 NJM262146:NJM327680 NTI262146:NTI327680 ODE262146:ODE327680 ONA262146:ONA327680 OWW262146:OWW327680 PGS262146:PGS327680 PQO262146:PQO327680 QAK262146:QAK327680 QKG262146:QKG327680 QUC262146:QUC327680 RDY262146:RDY327680 RNU262146:RNU327680 RXQ262146:RXQ327680 SHM262146:SHM327680 SRI262146:SRI327680 TBE262146:TBE327680 TLA262146:TLA327680 TUW262146:TUW327680 UES262146:UES327680 UOO262146:UOO327680 UYK262146:UYK327680 VIG262146:VIG327680 VSC262146:VSC327680 WBY262146:WBY327680 WLU262146:WLU327680 WVQ262146:WVQ327680 I327682:I393216 JE327682:JE393216 TA327682:TA393216 ACW327682:ACW393216 AMS327682:AMS393216 AWO327682:AWO393216 BGK327682:BGK393216 BQG327682:BQG393216 CAC327682:CAC393216 CJY327682:CJY393216 CTU327682:CTU393216 DDQ327682:DDQ393216 DNM327682:DNM393216 DXI327682:DXI393216 EHE327682:EHE393216 ERA327682:ERA393216 FAW327682:FAW393216 FKS327682:FKS393216 FUO327682:FUO393216 GEK327682:GEK393216 GOG327682:GOG393216 GYC327682:GYC393216 HHY327682:HHY393216 HRU327682:HRU393216 IBQ327682:IBQ393216 ILM327682:ILM393216 IVI327682:IVI393216 JFE327682:JFE393216 JPA327682:JPA393216 JYW327682:JYW393216 KIS327682:KIS393216 KSO327682:KSO393216 LCK327682:LCK393216 LMG327682:LMG393216 LWC327682:LWC393216 MFY327682:MFY393216 MPU327682:MPU393216 MZQ327682:MZQ393216 NJM327682:NJM393216 NTI327682:NTI393216 ODE327682:ODE393216 ONA327682:ONA393216 OWW327682:OWW393216 PGS327682:PGS393216 PQO327682:PQO393216 QAK327682:QAK393216 QKG327682:QKG393216 QUC327682:QUC393216 RDY327682:RDY393216 RNU327682:RNU393216 RXQ327682:RXQ393216 SHM327682:SHM393216 SRI327682:SRI393216 TBE327682:TBE393216 TLA327682:TLA393216 TUW327682:TUW393216 UES327682:UES393216 UOO327682:UOO393216 UYK327682:UYK393216 VIG327682:VIG393216 VSC327682:VSC393216 WBY327682:WBY393216 WLU327682:WLU393216 WVQ327682:WVQ393216 I393218:I458752 JE393218:JE458752 TA393218:TA458752 ACW393218:ACW458752 AMS393218:AMS458752 AWO393218:AWO458752 BGK393218:BGK458752 BQG393218:BQG458752 CAC393218:CAC458752 CJY393218:CJY458752 CTU393218:CTU458752 DDQ393218:DDQ458752 DNM393218:DNM458752 DXI393218:DXI458752 EHE393218:EHE458752 ERA393218:ERA458752 FAW393218:FAW458752 FKS393218:FKS458752 FUO393218:FUO458752 GEK393218:GEK458752 GOG393218:GOG458752 GYC393218:GYC458752 HHY393218:HHY458752 HRU393218:HRU458752 IBQ393218:IBQ458752 ILM393218:ILM458752 IVI393218:IVI458752 JFE393218:JFE458752 JPA393218:JPA458752 JYW393218:JYW458752 KIS393218:KIS458752 KSO393218:KSO458752 LCK393218:LCK458752 LMG393218:LMG458752 LWC393218:LWC458752 MFY393218:MFY458752 MPU393218:MPU458752 MZQ393218:MZQ458752 NJM393218:NJM458752 NTI393218:NTI458752 ODE393218:ODE458752 ONA393218:ONA458752 OWW393218:OWW458752 PGS393218:PGS458752 PQO393218:PQO458752 QAK393218:QAK458752 QKG393218:QKG458752 QUC393218:QUC458752 RDY393218:RDY458752 RNU393218:RNU458752 RXQ393218:RXQ458752 SHM393218:SHM458752 SRI393218:SRI458752 TBE393218:TBE458752 TLA393218:TLA458752 TUW393218:TUW458752 UES393218:UES458752 UOO393218:UOO458752 UYK393218:UYK458752 VIG393218:VIG458752 VSC393218:VSC458752 WBY393218:WBY458752 WLU393218:WLU458752 WVQ393218:WVQ458752 I458754:I524288 JE458754:JE524288 TA458754:TA524288 ACW458754:ACW524288 AMS458754:AMS524288 AWO458754:AWO524288 BGK458754:BGK524288 BQG458754:BQG524288 CAC458754:CAC524288 CJY458754:CJY524288 CTU458754:CTU524288 DDQ458754:DDQ524288 DNM458754:DNM524288 DXI458754:DXI524288 EHE458754:EHE524288 ERA458754:ERA524288 FAW458754:FAW524288 FKS458754:FKS524288 FUO458754:FUO524288 GEK458754:GEK524288 GOG458754:GOG524288 GYC458754:GYC524288 HHY458754:HHY524288 HRU458754:HRU524288 IBQ458754:IBQ524288 ILM458754:ILM524288 IVI458754:IVI524288 JFE458754:JFE524288 JPA458754:JPA524288 JYW458754:JYW524288 KIS458754:KIS524288 KSO458754:KSO524288 LCK458754:LCK524288 LMG458754:LMG524288 LWC458754:LWC524288 MFY458754:MFY524288 MPU458754:MPU524288 MZQ458754:MZQ524288 NJM458754:NJM524288 NTI458754:NTI524288 ODE458754:ODE524288 ONA458754:ONA524288 OWW458754:OWW524288 PGS458754:PGS524288 PQO458754:PQO524288 QAK458754:QAK524288 QKG458754:QKG524288 QUC458754:QUC524288 RDY458754:RDY524288 RNU458754:RNU524288 RXQ458754:RXQ524288 SHM458754:SHM524288 SRI458754:SRI524288 TBE458754:TBE524288 TLA458754:TLA524288 TUW458754:TUW524288 UES458754:UES524288 UOO458754:UOO524288 UYK458754:UYK524288 VIG458754:VIG524288 VSC458754:VSC524288 WBY458754:WBY524288 WLU458754:WLU524288 WVQ458754:WVQ524288 I524290:I589824 JE524290:JE589824 TA524290:TA589824 ACW524290:ACW589824 AMS524290:AMS589824 AWO524290:AWO589824 BGK524290:BGK589824 BQG524290:BQG589824 CAC524290:CAC589824 CJY524290:CJY589824 CTU524290:CTU589824 DDQ524290:DDQ589824 DNM524290:DNM589824 DXI524290:DXI589824 EHE524290:EHE589824 ERA524290:ERA589824 FAW524290:FAW589824 FKS524290:FKS589824 FUO524290:FUO589824 GEK524290:GEK589824 GOG524290:GOG589824 GYC524290:GYC589824 HHY524290:HHY589824 HRU524290:HRU589824 IBQ524290:IBQ589824 ILM524290:ILM589824 IVI524290:IVI589824 JFE524290:JFE589824 JPA524290:JPA589824 JYW524290:JYW589824 KIS524290:KIS589824 KSO524290:KSO589824 LCK524290:LCK589824 LMG524290:LMG589824 LWC524290:LWC589824 MFY524290:MFY589824 MPU524290:MPU589824 MZQ524290:MZQ589824 NJM524290:NJM589824 NTI524290:NTI589824 ODE524290:ODE589824 ONA524290:ONA589824 OWW524290:OWW589824 PGS524290:PGS589824 PQO524290:PQO589824 QAK524290:QAK589824 QKG524290:QKG589824 QUC524290:QUC589824 RDY524290:RDY589824 RNU524290:RNU589824 RXQ524290:RXQ589824 SHM524290:SHM589824 SRI524290:SRI589824 TBE524290:TBE589824 TLA524290:TLA589824 TUW524290:TUW589824 UES524290:UES589824 UOO524290:UOO589824 UYK524290:UYK589824 VIG524290:VIG589824 VSC524290:VSC589824 WBY524290:WBY589824 WLU524290:WLU589824 WVQ524290:WVQ589824 I589826:I655360 JE589826:JE655360 TA589826:TA655360 ACW589826:ACW655360 AMS589826:AMS655360 AWO589826:AWO655360 BGK589826:BGK655360 BQG589826:BQG655360 CAC589826:CAC655360 CJY589826:CJY655360 CTU589826:CTU655360 DDQ589826:DDQ655360 DNM589826:DNM655360 DXI589826:DXI655360 EHE589826:EHE655360 ERA589826:ERA655360 FAW589826:FAW655360 FKS589826:FKS655360 FUO589826:FUO655360 GEK589826:GEK655360 GOG589826:GOG655360 GYC589826:GYC655360 HHY589826:HHY655360 HRU589826:HRU655360 IBQ589826:IBQ655360 ILM589826:ILM655360 IVI589826:IVI655360 JFE589826:JFE655360 JPA589826:JPA655360 JYW589826:JYW655360 KIS589826:KIS655360 KSO589826:KSO655360 LCK589826:LCK655360 LMG589826:LMG655360 LWC589826:LWC655360 MFY589826:MFY655360 MPU589826:MPU655360 MZQ589826:MZQ655360 NJM589826:NJM655360 NTI589826:NTI655360 ODE589826:ODE655360 ONA589826:ONA655360 OWW589826:OWW655360 PGS589826:PGS655360 PQO589826:PQO655360 QAK589826:QAK655360 QKG589826:QKG655360 QUC589826:QUC655360 RDY589826:RDY655360 RNU589826:RNU655360 RXQ589826:RXQ655360 SHM589826:SHM655360 SRI589826:SRI655360 TBE589826:TBE655360 TLA589826:TLA655360 TUW589826:TUW655360 UES589826:UES655360 UOO589826:UOO655360 UYK589826:UYK655360 VIG589826:VIG655360 VSC589826:VSC655360 WBY589826:WBY655360 WLU589826:WLU655360 WVQ589826:WVQ655360 I655362:I720896 JE655362:JE720896 TA655362:TA720896 ACW655362:ACW720896 AMS655362:AMS720896 AWO655362:AWO720896 BGK655362:BGK720896 BQG655362:BQG720896 CAC655362:CAC720896 CJY655362:CJY720896 CTU655362:CTU720896 DDQ655362:DDQ720896 DNM655362:DNM720896 DXI655362:DXI720896 EHE655362:EHE720896 ERA655362:ERA720896 FAW655362:FAW720896 FKS655362:FKS720896 FUO655362:FUO720896 GEK655362:GEK720896 GOG655362:GOG720896 GYC655362:GYC720896 HHY655362:HHY720896 HRU655362:HRU720896 IBQ655362:IBQ720896 ILM655362:ILM720896 IVI655362:IVI720896 JFE655362:JFE720896 JPA655362:JPA720896 JYW655362:JYW720896 KIS655362:KIS720896 KSO655362:KSO720896 LCK655362:LCK720896 LMG655362:LMG720896 LWC655362:LWC720896 MFY655362:MFY720896 MPU655362:MPU720896 MZQ655362:MZQ720896 NJM655362:NJM720896 NTI655362:NTI720896 ODE655362:ODE720896 ONA655362:ONA720896 OWW655362:OWW720896 PGS655362:PGS720896 PQO655362:PQO720896 QAK655362:QAK720896 QKG655362:QKG720896 QUC655362:QUC720896 RDY655362:RDY720896 RNU655362:RNU720896 RXQ655362:RXQ720896 SHM655362:SHM720896 SRI655362:SRI720896 TBE655362:TBE720896 TLA655362:TLA720896 TUW655362:TUW720896 UES655362:UES720896 UOO655362:UOO720896 UYK655362:UYK720896 VIG655362:VIG720896 VSC655362:VSC720896 WBY655362:WBY720896 WLU655362:WLU720896 WVQ655362:WVQ720896 I720898:I786432 JE720898:JE786432 TA720898:TA786432 ACW720898:ACW786432 AMS720898:AMS786432 AWO720898:AWO786432 BGK720898:BGK786432 BQG720898:BQG786432 CAC720898:CAC786432 CJY720898:CJY786432 CTU720898:CTU786432 DDQ720898:DDQ786432 DNM720898:DNM786432 DXI720898:DXI786432 EHE720898:EHE786432 ERA720898:ERA786432 FAW720898:FAW786432 FKS720898:FKS786432 FUO720898:FUO786432 GEK720898:GEK786432 GOG720898:GOG786432 GYC720898:GYC786432 HHY720898:HHY786432 HRU720898:HRU786432 IBQ720898:IBQ786432 ILM720898:ILM786432 IVI720898:IVI786432 JFE720898:JFE786432 JPA720898:JPA786432 JYW720898:JYW786432 KIS720898:KIS786432 KSO720898:KSO786432 LCK720898:LCK786432 LMG720898:LMG786432 LWC720898:LWC786432 MFY720898:MFY786432 MPU720898:MPU786432 MZQ720898:MZQ786432 NJM720898:NJM786432 NTI720898:NTI786432 ODE720898:ODE786432 ONA720898:ONA786432 OWW720898:OWW786432 PGS720898:PGS786432 PQO720898:PQO786432 QAK720898:QAK786432 QKG720898:QKG786432 QUC720898:QUC786432 RDY720898:RDY786432 RNU720898:RNU786432 RXQ720898:RXQ786432 SHM720898:SHM786432 SRI720898:SRI786432 TBE720898:TBE786432 TLA720898:TLA786432 TUW720898:TUW786432 UES720898:UES786432 UOO720898:UOO786432 UYK720898:UYK786432 VIG720898:VIG786432 VSC720898:VSC786432 WBY720898:WBY786432 WLU720898:WLU786432 WVQ720898:WVQ786432 I786434:I851968 JE786434:JE851968 TA786434:TA851968 ACW786434:ACW851968 AMS786434:AMS851968 AWO786434:AWO851968 BGK786434:BGK851968 BQG786434:BQG851968 CAC786434:CAC851968 CJY786434:CJY851968 CTU786434:CTU851968 DDQ786434:DDQ851968 DNM786434:DNM851968 DXI786434:DXI851968 EHE786434:EHE851968 ERA786434:ERA851968 FAW786434:FAW851968 FKS786434:FKS851968 FUO786434:FUO851968 GEK786434:GEK851968 GOG786434:GOG851968 GYC786434:GYC851968 HHY786434:HHY851968 HRU786434:HRU851968 IBQ786434:IBQ851968 ILM786434:ILM851968 IVI786434:IVI851968 JFE786434:JFE851968 JPA786434:JPA851968 JYW786434:JYW851968 KIS786434:KIS851968 KSO786434:KSO851968 LCK786434:LCK851968 LMG786434:LMG851968 LWC786434:LWC851968 MFY786434:MFY851968 MPU786434:MPU851968 MZQ786434:MZQ851968 NJM786434:NJM851968 NTI786434:NTI851968 ODE786434:ODE851968 ONA786434:ONA851968 OWW786434:OWW851968 PGS786434:PGS851968 PQO786434:PQO851968 QAK786434:QAK851968 QKG786434:QKG851968 QUC786434:QUC851968 RDY786434:RDY851968 RNU786434:RNU851968 RXQ786434:RXQ851968 SHM786434:SHM851968 SRI786434:SRI851968 TBE786434:TBE851968 TLA786434:TLA851968 TUW786434:TUW851968 UES786434:UES851968 UOO786434:UOO851968 UYK786434:UYK851968 VIG786434:VIG851968 VSC786434:VSC851968 WBY786434:WBY851968 WLU786434:WLU851968 WVQ786434:WVQ851968 I851970:I917504 JE851970:JE917504 TA851970:TA917504 ACW851970:ACW917504 AMS851970:AMS917504 AWO851970:AWO917504 BGK851970:BGK917504 BQG851970:BQG917504 CAC851970:CAC917504 CJY851970:CJY917504 CTU851970:CTU917504 DDQ851970:DDQ917504 DNM851970:DNM917504 DXI851970:DXI917504 EHE851970:EHE917504 ERA851970:ERA917504 FAW851970:FAW917504 FKS851970:FKS917504 FUO851970:FUO917504 GEK851970:GEK917504 GOG851970:GOG917504 GYC851970:GYC917504 HHY851970:HHY917504 HRU851970:HRU917504 IBQ851970:IBQ917504 ILM851970:ILM917504 IVI851970:IVI917504 JFE851970:JFE917504 JPA851970:JPA917504 JYW851970:JYW917504 KIS851970:KIS917504 KSO851970:KSO917504 LCK851970:LCK917504 LMG851970:LMG917504 LWC851970:LWC917504 MFY851970:MFY917504 MPU851970:MPU917504 MZQ851970:MZQ917504 NJM851970:NJM917504 NTI851970:NTI917504 ODE851970:ODE917504 ONA851970:ONA917504 OWW851970:OWW917504 PGS851970:PGS917504 PQO851970:PQO917504 QAK851970:QAK917504 QKG851970:QKG917504 QUC851970:QUC917504 RDY851970:RDY917504 RNU851970:RNU917504 RXQ851970:RXQ917504 SHM851970:SHM917504 SRI851970:SRI917504 TBE851970:TBE917504 TLA851970:TLA917504 TUW851970:TUW917504 UES851970:UES917504 UOO851970:UOO917504 UYK851970:UYK917504 VIG851970:VIG917504 VSC851970:VSC917504 WBY851970:WBY917504 WLU851970:WLU917504 WVQ851970:WVQ917504 I917506:I983040 JE917506:JE983040 TA917506:TA983040 ACW917506:ACW983040 AMS917506:AMS983040 AWO917506:AWO983040 BGK917506:BGK983040 BQG917506:BQG983040 CAC917506:CAC983040 CJY917506:CJY983040 CTU917506:CTU983040 DDQ917506:DDQ983040 DNM917506:DNM983040 DXI917506:DXI983040 EHE917506:EHE983040 ERA917506:ERA983040 FAW917506:FAW983040 FKS917506:FKS983040 FUO917506:FUO983040 GEK917506:GEK983040 GOG917506:GOG983040 GYC917506:GYC983040 HHY917506:HHY983040 HRU917506:HRU983040 IBQ917506:IBQ983040 ILM917506:ILM983040 IVI917506:IVI983040 JFE917506:JFE983040 JPA917506:JPA983040 JYW917506:JYW983040 KIS917506:KIS983040 KSO917506:KSO983040 LCK917506:LCK983040 LMG917506:LMG983040 LWC917506:LWC983040 MFY917506:MFY983040 MPU917506:MPU983040 MZQ917506:MZQ983040 NJM917506:NJM983040 NTI917506:NTI983040 ODE917506:ODE983040 ONA917506:ONA983040 OWW917506:OWW983040 PGS917506:PGS983040 PQO917506:PQO983040 QAK917506:QAK983040 QKG917506:QKG983040 QUC917506:QUC983040 RDY917506:RDY983040 RNU917506:RNU983040 RXQ917506:RXQ983040 SHM917506:SHM983040 SRI917506:SRI983040 TBE917506:TBE983040 TLA917506:TLA983040 TUW917506:TUW983040 UES917506:UES983040 UOO917506:UOO983040 UYK917506:UYK983040 VIG917506:VIG983040 VSC917506:VSC983040 WBY917506:WBY983040 WLU917506:WLU983040 WVQ917506:WVQ983040 I983042:I1048576 JE983042:JE1048576 TA983042:TA1048576 ACW983042:ACW1048576 AMS983042:AMS1048576 AWO983042:AWO1048576 BGK983042:BGK1048576 BQG983042:BQG1048576 CAC983042:CAC1048576 CJY983042:CJY1048576 CTU983042:CTU1048576 DDQ983042:DDQ1048576 DNM983042:DNM1048576 DXI983042:DXI1048576 EHE983042:EHE1048576 ERA983042:ERA1048576 FAW983042:FAW1048576 FKS983042:FKS1048576 FUO983042:FUO1048576 GEK983042:GEK1048576 GOG983042:GOG1048576 GYC983042:GYC1048576 HHY983042:HHY1048576 HRU983042:HRU1048576 IBQ983042:IBQ1048576 ILM983042:ILM1048576 IVI983042:IVI1048576 JFE983042:JFE1048576 JPA983042:JPA1048576 JYW983042:JYW1048576 KIS983042:KIS1048576 KSO983042:KSO1048576 LCK983042:LCK1048576 LMG983042:LMG1048576 LWC983042:LWC1048576 MFY983042:MFY1048576 MPU983042:MPU1048576 MZQ983042:MZQ1048576 NJM983042:NJM1048576 NTI983042:NTI1048576 ODE983042:ODE1048576 ONA983042:ONA1048576 OWW983042:OWW1048576 PGS983042:PGS1048576 PQO983042:PQO1048576 QAK983042:QAK1048576 QKG983042:QKG1048576 QUC983042:QUC1048576 RDY983042:RDY1048576 RNU983042:RNU1048576 RXQ983042:RXQ1048576 SHM983042:SHM1048576 SRI983042:SRI1048576 TBE983042:TBE1048576 TLA983042:TLA1048576 TUW983042:TUW1048576 UES983042:UES1048576 UOO983042:UOO1048576 UYK983042:UYK1048576 VIG983042:VIG1048576 VSC983042:VSC1048576 WBY983042:WBY1048576 WLU983042:WLU1048576 WVQ983042:WVQ1048576 K2:K65536 JG2:JG65536 TC2:TC65536 ACY2:ACY65536 AMU2:AMU65536 AWQ2:AWQ65536 BGM2:BGM65536 BQI2:BQI65536 CAE2:CAE65536 CKA2:CKA65536 CTW2:CTW65536 DDS2:DDS65536 DNO2:DNO65536 DXK2:DXK65536 EHG2:EHG65536 ERC2:ERC65536 FAY2:FAY65536 FKU2:FKU65536 FUQ2:FUQ65536 GEM2:GEM65536 GOI2:GOI65536 GYE2:GYE65536 HIA2:HIA65536 HRW2:HRW65536 IBS2:IBS65536 ILO2:ILO65536 IVK2:IVK65536 JFG2:JFG65536 JPC2:JPC65536 JYY2:JYY65536 KIU2:KIU65536 KSQ2:KSQ65536 LCM2:LCM65536 LMI2:LMI65536 LWE2:LWE65536 MGA2:MGA65536 MPW2:MPW65536 MZS2:MZS65536 NJO2:NJO65536 NTK2:NTK65536 ODG2:ODG65536 ONC2:ONC65536 OWY2:OWY65536 PGU2:PGU65536 PQQ2:PQQ65536 QAM2:QAM65536 QKI2:QKI65536 QUE2:QUE65536 REA2:REA65536 RNW2:RNW65536 RXS2:RXS65536 SHO2:SHO65536 SRK2:SRK65536 TBG2:TBG65536 TLC2:TLC65536 TUY2:TUY65536 UEU2:UEU65536 UOQ2:UOQ65536 UYM2:UYM65536 VII2:VII65536 VSE2:VSE65536 WCA2:WCA65536 WLW2:WLW65536 WVS2:WVS65536 K65538:K131072 JG65538:JG131072 TC65538:TC131072 ACY65538:ACY131072 AMU65538:AMU131072 AWQ65538:AWQ131072 BGM65538:BGM131072 BQI65538:BQI131072 CAE65538:CAE131072 CKA65538:CKA131072 CTW65538:CTW131072 DDS65538:DDS131072 DNO65538:DNO131072 DXK65538:DXK131072 EHG65538:EHG131072 ERC65538:ERC131072 FAY65538:FAY131072 FKU65538:FKU131072 FUQ65538:FUQ131072 GEM65538:GEM131072 GOI65538:GOI131072 GYE65538:GYE131072 HIA65538:HIA131072 HRW65538:HRW131072 IBS65538:IBS131072 ILO65538:ILO131072 IVK65538:IVK131072 JFG65538:JFG131072 JPC65538:JPC131072 JYY65538:JYY131072 KIU65538:KIU131072 KSQ65538:KSQ131072 LCM65538:LCM131072 LMI65538:LMI131072 LWE65538:LWE131072 MGA65538:MGA131072 MPW65538:MPW131072 MZS65538:MZS131072 NJO65538:NJO131072 NTK65538:NTK131072 ODG65538:ODG131072 ONC65538:ONC131072 OWY65538:OWY131072 PGU65538:PGU131072 PQQ65538:PQQ131072 QAM65538:QAM131072 QKI65538:QKI131072 QUE65538:QUE131072 REA65538:REA131072 RNW65538:RNW131072 RXS65538:RXS131072 SHO65538:SHO131072 SRK65538:SRK131072 TBG65538:TBG131072 TLC65538:TLC131072 TUY65538:TUY131072 UEU65538:UEU131072 UOQ65538:UOQ131072 UYM65538:UYM131072 VII65538:VII131072 VSE65538:VSE131072 WCA65538:WCA131072 WLW65538:WLW131072 WVS65538:WVS131072 K131074:K196608 JG131074:JG196608 TC131074:TC196608 ACY131074:ACY196608 AMU131074:AMU196608 AWQ131074:AWQ196608 BGM131074:BGM196608 BQI131074:BQI196608 CAE131074:CAE196608 CKA131074:CKA196608 CTW131074:CTW196608 DDS131074:DDS196608 DNO131074:DNO196608 DXK131074:DXK196608 EHG131074:EHG196608 ERC131074:ERC196608 FAY131074:FAY196608 FKU131074:FKU196608 FUQ131074:FUQ196608 GEM131074:GEM196608 GOI131074:GOI196608 GYE131074:GYE196608 HIA131074:HIA196608 HRW131074:HRW196608 IBS131074:IBS196608 ILO131074:ILO196608 IVK131074:IVK196608 JFG131074:JFG196608 JPC131074:JPC196608 JYY131074:JYY196608 KIU131074:KIU196608 KSQ131074:KSQ196608 LCM131074:LCM196608 LMI131074:LMI196608 LWE131074:LWE196608 MGA131074:MGA196608 MPW131074:MPW196608 MZS131074:MZS196608 NJO131074:NJO196608 NTK131074:NTK196608 ODG131074:ODG196608 ONC131074:ONC196608 OWY131074:OWY196608 PGU131074:PGU196608 PQQ131074:PQQ196608 QAM131074:QAM196608 QKI131074:QKI196608 QUE131074:QUE196608 REA131074:REA196608 RNW131074:RNW196608 RXS131074:RXS196608 SHO131074:SHO196608 SRK131074:SRK196608 TBG131074:TBG196608 TLC131074:TLC196608 TUY131074:TUY196608 UEU131074:UEU196608 UOQ131074:UOQ196608 UYM131074:UYM196608 VII131074:VII196608 VSE131074:VSE196608 WCA131074:WCA196608 WLW131074:WLW196608 WVS131074:WVS196608 K196610:K262144 JG196610:JG262144 TC196610:TC262144 ACY196610:ACY262144 AMU196610:AMU262144 AWQ196610:AWQ262144 BGM196610:BGM262144 BQI196610:BQI262144 CAE196610:CAE262144 CKA196610:CKA262144 CTW196610:CTW262144 DDS196610:DDS262144 DNO196610:DNO262144 DXK196610:DXK262144 EHG196610:EHG262144 ERC196610:ERC262144 FAY196610:FAY262144 FKU196610:FKU262144 FUQ196610:FUQ262144 GEM196610:GEM262144 GOI196610:GOI262144 GYE196610:GYE262144 HIA196610:HIA262144 HRW196610:HRW262144 IBS196610:IBS262144 ILO196610:ILO262144 IVK196610:IVK262144 JFG196610:JFG262144 JPC196610:JPC262144 JYY196610:JYY262144 KIU196610:KIU262144 KSQ196610:KSQ262144 LCM196610:LCM262144 LMI196610:LMI262144 LWE196610:LWE262144 MGA196610:MGA262144 MPW196610:MPW262144 MZS196610:MZS262144 NJO196610:NJO262144 NTK196610:NTK262144 ODG196610:ODG262144 ONC196610:ONC262144 OWY196610:OWY262144 PGU196610:PGU262144 PQQ196610:PQQ262144 QAM196610:QAM262144 QKI196610:QKI262144 QUE196610:QUE262144 REA196610:REA262144 RNW196610:RNW262144 RXS196610:RXS262144 SHO196610:SHO262144 SRK196610:SRK262144 TBG196610:TBG262144 TLC196610:TLC262144 TUY196610:TUY262144 UEU196610:UEU262144 UOQ196610:UOQ262144 UYM196610:UYM262144 VII196610:VII262144 VSE196610:VSE262144 WCA196610:WCA262144 WLW196610:WLW262144 WVS196610:WVS262144 K262146:K327680 JG262146:JG327680 TC262146:TC327680 ACY262146:ACY327680 AMU262146:AMU327680 AWQ262146:AWQ327680 BGM262146:BGM327680 BQI262146:BQI327680 CAE262146:CAE327680 CKA262146:CKA327680 CTW262146:CTW327680 DDS262146:DDS327680 DNO262146:DNO327680 DXK262146:DXK327680 EHG262146:EHG327680 ERC262146:ERC327680 FAY262146:FAY327680 FKU262146:FKU327680 FUQ262146:FUQ327680 GEM262146:GEM327680 GOI262146:GOI327680 GYE262146:GYE327680 HIA262146:HIA327680 HRW262146:HRW327680 IBS262146:IBS327680 ILO262146:ILO327680 IVK262146:IVK327680 JFG262146:JFG327680 JPC262146:JPC327680 JYY262146:JYY327680 KIU262146:KIU327680 KSQ262146:KSQ327680 LCM262146:LCM327680 LMI262146:LMI327680 LWE262146:LWE327680 MGA262146:MGA327680 MPW262146:MPW327680 MZS262146:MZS327680 NJO262146:NJO327680 NTK262146:NTK327680 ODG262146:ODG327680 ONC262146:ONC327680 OWY262146:OWY327680 PGU262146:PGU327680 PQQ262146:PQQ327680 QAM262146:QAM327680 QKI262146:QKI327680 QUE262146:QUE327680 REA262146:REA327680 RNW262146:RNW327680 RXS262146:RXS327680 SHO262146:SHO327680 SRK262146:SRK327680 TBG262146:TBG327680 TLC262146:TLC327680 TUY262146:TUY327680 UEU262146:UEU327680 UOQ262146:UOQ327680 UYM262146:UYM327680 VII262146:VII327680 VSE262146:VSE327680 WCA262146:WCA327680 WLW262146:WLW327680 WVS262146:WVS327680 K327682:K393216 JG327682:JG393216 TC327682:TC393216 ACY327682:ACY393216 AMU327682:AMU393216 AWQ327682:AWQ393216 BGM327682:BGM393216 BQI327682:BQI393216 CAE327682:CAE393216 CKA327682:CKA393216 CTW327682:CTW393216 DDS327682:DDS393216 DNO327682:DNO393216 DXK327682:DXK393216 EHG327682:EHG393216 ERC327682:ERC393216 FAY327682:FAY393216 FKU327682:FKU393216 FUQ327682:FUQ393216 GEM327682:GEM393216 GOI327682:GOI393216 GYE327682:GYE393216 HIA327682:HIA393216 HRW327682:HRW393216 IBS327682:IBS393216 ILO327682:ILO393216 IVK327682:IVK393216 JFG327682:JFG393216 JPC327682:JPC393216 JYY327682:JYY393216 KIU327682:KIU393216 KSQ327682:KSQ393216 LCM327682:LCM393216 LMI327682:LMI393216 LWE327682:LWE393216 MGA327682:MGA393216 MPW327682:MPW393216 MZS327682:MZS393216 NJO327682:NJO393216 NTK327682:NTK393216 ODG327682:ODG393216 ONC327682:ONC393216 OWY327682:OWY393216 PGU327682:PGU393216 PQQ327682:PQQ393216 QAM327682:QAM393216 QKI327682:QKI393216 QUE327682:QUE393216 REA327682:REA393216 RNW327682:RNW393216 RXS327682:RXS393216 SHO327682:SHO393216 SRK327682:SRK393216 TBG327682:TBG393216 TLC327682:TLC393216 TUY327682:TUY393216 UEU327682:UEU393216 UOQ327682:UOQ393216 UYM327682:UYM393216 VII327682:VII393216 VSE327682:VSE393216 WCA327682:WCA393216 WLW327682:WLW393216 WVS327682:WVS393216 K393218:K458752 JG393218:JG458752 TC393218:TC458752 ACY393218:ACY458752 AMU393218:AMU458752 AWQ393218:AWQ458752 BGM393218:BGM458752 BQI393218:BQI458752 CAE393218:CAE458752 CKA393218:CKA458752 CTW393218:CTW458752 DDS393218:DDS458752 DNO393218:DNO458752 DXK393218:DXK458752 EHG393218:EHG458752 ERC393218:ERC458752 FAY393218:FAY458752 FKU393218:FKU458752 FUQ393218:FUQ458752 GEM393218:GEM458752 GOI393218:GOI458752 GYE393218:GYE458752 HIA393218:HIA458752 HRW393218:HRW458752 IBS393218:IBS458752 ILO393218:ILO458752 IVK393218:IVK458752 JFG393218:JFG458752 JPC393218:JPC458752 JYY393218:JYY458752 KIU393218:KIU458752 KSQ393218:KSQ458752 LCM393218:LCM458752 LMI393218:LMI458752 LWE393218:LWE458752 MGA393218:MGA458752 MPW393218:MPW458752 MZS393218:MZS458752 NJO393218:NJO458752 NTK393218:NTK458752 ODG393218:ODG458752 ONC393218:ONC458752 OWY393218:OWY458752 PGU393218:PGU458752 PQQ393218:PQQ458752 QAM393218:QAM458752 QKI393218:QKI458752 QUE393218:QUE458752 REA393218:REA458752 RNW393218:RNW458752 RXS393218:RXS458752 SHO393218:SHO458752 SRK393218:SRK458752 TBG393218:TBG458752 TLC393218:TLC458752 TUY393218:TUY458752 UEU393218:UEU458752 UOQ393218:UOQ458752 UYM393218:UYM458752 VII393218:VII458752 VSE393218:VSE458752 WCA393218:WCA458752 WLW393218:WLW458752 WVS393218:WVS458752 K458754:K524288 JG458754:JG524288 TC458754:TC524288 ACY458754:ACY524288 AMU458754:AMU524288 AWQ458754:AWQ524288 BGM458754:BGM524288 BQI458754:BQI524288 CAE458754:CAE524288 CKA458754:CKA524288 CTW458754:CTW524288 DDS458754:DDS524288 DNO458754:DNO524288 DXK458754:DXK524288 EHG458754:EHG524288 ERC458754:ERC524288 FAY458754:FAY524288 FKU458754:FKU524288 FUQ458754:FUQ524288 GEM458754:GEM524288 GOI458754:GOI524288 GYE458754:GYE524288 HIA458754:HIA524288 HRW458754:HRW524288 IBS458754:IBS524288 ILO458754:ILO524288 IVK458754:IVK524288 JFG458754:JFG524288 JPC458754:JPC524288 JYY458754:JYY524288 KIU458754:KIU524288 KSQ458754:KSQ524288 LCM458754:LCM524288 LMI458754:LMI524288 LWE458754:LWE524288 MGA458754:MGA524288 MPW458754:MPW524288 MZS458754:MZS524288 NJO458754:NJO524288 NTK458754:NTK524288 ODG458754:ODG524288 ONC458754:ONC524288 OWY458754:OWY524288 PGU458754:PGU524288 PQQ458754:PQQ524288 QAM458754:QAM524288 QKI458754:QKI524288 QUE458754:QUE524288 REA458754:REA524288 RNW458754:RNW524288 RXS458754:RXS524288 SHO458754:SHO524288 SRK458754:SRK524288 TBG458754:TBG524288 TLC458754:TLC524288 TUY458754:TUY524288 UEU458754:UEU524288 UOQ458754:UOQ524288 UYM458754:UYM524288 VII458754:VII524288 VSE458754:VSE524288 WCA458754:WCA524288 WLW458754:WLW524288 WVS458754:WVS524288 K524290:K589824 JG524290:JG589824 TC524290:TC589824 ACY524290:ACY589824 AMU524290:AMU589824 AWQ524290:AWQ589824 BGM524290:BGM589824 BQI524290:BQI589824 CAE524290:CAE589824 CKA524290:CKA589824 CTW524290:CTW589824 DDS524290:DDS589824 DNO524290:DNO589824 DXK524290:DXK589824 EHG524290:EHG589824 ERC524290:ERC589824 FAY524290:FAY589824 FKU524290:FKU589824 FUQ524290:FUQ589824 GEM524290:GEM589824 GOI524290:GOI589824 GYE524290:GYE589824 HIA524290:HIA589824 HRW524290:HRW589824 IBS524290:IBS589824 ILO524290:ILO589824 IVK524290:IVK589824 JFG524290:JFG589824 JPC524290:JPC589824 JYY524290:JYY589824 KIU524290:KIU589824 KSQ524290:KSQ589824 LCM524290:LCM589824 LMI524290:LMI589824 LWE524290:LWE589824 MGA524290:MGA589824 MPW524290:MPW589824 MZS524290:MZS589824 NJO524290:NJO589824 NTK524290:NTK589824 ODG524290:ODG589824 ONC524290:ONC589824 OWY524290:OWY589824 PGU524290:PGU589824 PQQ524290:PQQ589824 QAM524290:QAM589824 QKI524290:QKI589824 QUE524290:QUE589824 REA524290:REA589824 RNW524290:RNW589824 RXS524290:RXS589824 SHO524290:SHO589824 SRK524290:SRK589824 TBG524290:TBG589824 TLC524290:TLC589824 TUY524290:TUY589824 UEU524290:UEU589824 UOQ524290:UOQ589824 UYM524290:UYM589824 VII524290:VII589824 VSE524290:VSE589824 WCA524290:WCA589824 WLW524290:WLW589824 WVS524290:WVS589824 K589826:K655360 JG589826:JG655360 TC589826:TC655360 ACY589826:ACY655360 AMU589826:AMU655360 AWQ589826:AWQ655360 BGM589826:BGM655360 BQI589826:BQI655360 CAE589826:CAE655360 CKA589826:CKA655360 CTW589826:CTW655360 DDS589826:DDS655360 DNO589826:DNO655360 DXK589826:DXK655360 EHG589826:EHG655360 ERC589826:ERC655360 FAY589826:FAY655360 FKU589826:FKU655360 FUQ589826:FUQ655360 GEM589826:GEM655360 GOI589826:GOI655360 GYE589826:GYE655360 HIA589826:HIA655360 HRW589826:HRW655360 IBS589826:IBS655360 ILO589826:ILO655360 IVK589826:IVK655360 JFG589826:JFG655360 JPC589826:JPC655360 JYY589826:JYY655360 KIU589826:KIU655360 KSQ589826:KSQ655360 LCM589826:LCM655360 LMI589826:LMI655360 LWE589826:LWE655360 MGA589826:MGA655360 MPW589826:MPW655360 MZS589826:MZS655360 NJO589826:NJO655360 NTK589826:NTK655360 ODG589826:ODG655360 ONC589826:ONC655360 OWY589826:OWY655360 PGU589826:PGU655360 PQQ589826:PQQ655360 QAM589826:QAM655360 QKI589826:QKI655360 QUE589826:QUE655360 REA589826:REA655360 RNW589826:RNW655360 RXS589826:RXS655360 SHO589826:SHO655360 SRK589826:SRK655360 TBG589826:TBG655360 TLC589826:TLC655360 TUY589826:TUY655360 UEU589826:UEU655360 UOQ589826:UOQ655360 UYM589826:UYM655360 VII589826:VII655360 VSE589826:VSE655360 WCA589826:WCA655360 WLW589826:WLW655360 WVS589826:WVS655360 K655362:K720896 JG655362:JG720896 TC655362:TC720896 ACY655362:ACY720896 AMU655362:AMU720896 AWQ655362:AWQ720896 BGM655362:BGM720896 BQI655362:BQI720896 CAE655362:CAE720896 CKA655362:CKA720896 CTW655362:CTW720896 DDS655362:DDS720896 DNO655362:DNO720896 DXK655362:DXK720896 EHG655362:EHG720896 ERC655362:ERC720896 FAY655362:FAY720896 FKU655362:FKU720896 FUQ655362:FUQ720896 GEM655362:GEM720896 GOI655362:GOI720896 GYE655362:GYE720896 HIA655362:HIA720896 HRW655362:HRW720896 IBS655362:IBS720896 ILO655362:ILO720896 IVK655362:IVK720896 JFG655362:JFG720896 JPC655362:JPC720896 JYY655362:JYY720896 KIU655362:KIU720896 KSQ655362:KSQ720896 LCM655362:LCM720896 LMI655362:LMI720896 LWE655362:LWE720896 MGA655362:MGA720896 MPW655362:MPW720896 MZS655362:MZS720896 NJO655362:NJO720896 NTK655362:NTK720896 ODG655362:ODG720896 ONC655362:ONC720896 OWY655362:OWY720896 PGU655362:PGU720896 PQQ655362:PQQ720896 QAM655362:QAM720896 QKI655362:QKI720896 QUE655362:QUE720896 REA655362:REA720896 RNW655362:RNW720896 RXS655362:RXS720896 SHO655362:SHO720896 SRK655362:SRK720896 TBG655362:TBG720896 TLC655362:TLC720896 TUY655362:TUY720896 UEU655362:UEU720896 UOQ655362:UOQ720896 UYM655362:UYM720896 VII655362:VII720896 VSE655362:VSE720896 WCA655362:WCA720896 WLW655362:WLW720896 WVS655362:WVS720896 K720898:K786432 JG720898:JG786432 TC720898:TC786432 ACY720898:ACY786432 AMU720898:AMU786432 AWQ720898:AWQ786432 BGM720898:BGM786432 BQI720898:BQI786432 CAE720898:CAE786432 CKA720898:CKA786432 CTW720898:CTW786432 DDS720898:DDS786432 DNO720898:DNO786432 DXK720898:DXK786432 EHG720898:EHG786432 ERC720898:ERC786432 FAY720898:FAY786432 FKU720898:FKU786432 FUQ720898:FUQ786432 GEM720898:GEM786432 GOI720898:GOI786432 GYE720898:GYE786432 HIA720898:HIA786432 HRW720898:HRW786432 IBS720898:IBS786432 ILO720898:ILO786432 IVK720898:IVK786432 JFG720898:JFG786432 JPC720898:JPC786432 JYY720898:JYY786432 KIU720898:KIU786432 KSQ720898:KSQ786432 LCM720898:LCM786432 LMI720898:LMI786432 LWE720898:LWE786432 MGA720898:MGA786432 MPW720898:MPW786432 MZS720898:MZS786432 NJO720898:NJO786432 NTK720898:NTK786432 ODG720898:ODG786432 ONC720898:ONC786432 OWY720898:OWY786432 PGU720898:PGU786432 PQQ720898:PQQ786432 QAM720898:QAM786432 QKI720898:QKI786432 QUE720898:QUE786432 REA720898:REA786432 RNW720898:RNW786432 RXS720898:RXS786432 SHO720898:SHO786432 SRK720898:SRK786432 TBG720898:TBG786432 TLC720898:TLC786432 TUY720898:TUY786432 UEU720898:UEU786432 UOQ720898:UOQ786432 UYM720898:UYM786432 VII720898:VII786432 VSE720898:VSE786432 WCA720898:WCA786432 WLW720898:WLW786432 WVS720898:WVS786432 K786434:K851968 JG786434:JG851968 TC786434:TC851968 ACY786434:ACY851968 AMU786434:AMU851968 AWQ786434:AWQ851968 BGM786434:BGM851968 BQI786434:BQI851968 CAE786434:CAE851968 CKA786434:CKA851968 CTW786434:CTW851968 DDS786434:DDS851968 DNO786434:DNO851968 DXK786434:DXK851968 EHG786434:EHG851968 ERC786434:ERC851968 FAY786434:FAY851968 FKU786434:FKU851968 FUQ786434:FUQ851968 GEM786434:GEM851968 GOI786434:GOI851968 GYE786434:GYE851968 HIA786434:HIA851968 HRW786434:HRW851968 IBS786434:IBS851968 ILO786434:ILO851968 IVK786434:IVK851968 JFG786434:JFG851968 JPC786434:JPC851968 JYY786434:JYY851968 KIU786434:KIU851968 KSQ786434:KSQ851968 LCM786434:LCM851968 LMI786434:LMI851968 LWE786434:LWE851968 MGA786434:MGA851968 MPW786434:MPW851968 MZS786434:MZS851968 NJO786434:NJO851968 NTK786434:NTK851968 ODG786434:ODG851968 ONC786434:ONC851968 OWY786434:OWY851968 PGU786434:PGU851968 PQQ786434:PQQ851968 QAM786434:QAM851968 QKI786434:QKI851968 QUE786434:QUE851968 REA786434:REA851968 RNW786434:RNW851968 RXS786434:RXS851968 SHO786434:SHO851968 SRK786434:SRK851968 TBG786434:TBG851968 TLC786434:TLC851968 TUY786434:TUY851968 UEU786434:UEU851968 UOQ786434:UOQ851968 UYM786434:UYM851968 VII786434:VII851968 VSE786434:VSE851968 WCA786434:WCA851968 WLW786434:WLW851968 WVS786434:WVS851968 K851970:K917504 JG851970:JG917504 TC851970:TC917504 ACY851970:ACY917504 AMU851970:AMU917504 AWQ851970:AWQ917504 BGM851970:BGM917504 BQI851970:BQI917504 CAE851970:CAE917504 CKA851970:CKA917504 CTW851970:CTW917504 DDS851970:DDS917504 DNO851970:DNO917504 DXK851970:DXK917504 EHG851970:EHG917504 ERC851970:ERC917504 FAY851970:FAY917504 FKU851970:FKU917504 FUQ851970:FUQ917504 GEM851970:GEM917504 GOI851970:GOI917504 GYE851970:GYE917504 HIA851970:HIA917504 HRW851970:HRW917504 IBS851970:IBS917504 ILO851970:ILO917504 IVK851970:IVK917504 JFG851970:JFG917504 JPC851970:JPC917504 JYY851970:JYY917504 KIU851970:KIU917504 KSQ851970:KSQ917504 LCM851970:LCM917504 LMI851970:LMI917504 LWE851970:LWE917504 MGA851970:MGA917504 MPW851970:MPW917504 MZS851970:MZS917504 NJO851970:NJO917504 NTK851970:NTK917504 ODG851970:ODG917504 ONC851970:ONC917504 OWY851970:OWY917504 PGU851970:PGU917504 PQQ851970:PQQ917504 QAM851970:QAM917504 QKI851970:QKI917504 QUE851970:QUE917504 REA851970:REA917504 RNW851970:RNW917504 RXS851970:RXS917504 SHO851970:SHO917504 SRK851970:SRK917504 TBG851970:TBG917504 TLC851970:TLC917504 TUY851970:TUY917504 UEU851970:UEU917504 UOQ851970:UOQ917504 UYM851970:UYM917504 VII851970:VII917504 VSE851970:VSE917504 WCA851970:WCA917504 WLW851970:WLW917504 WVS851970:WVS917504 K917506:K983040 JG917506:JG983040 TC917506:TC983040 ACY917506:ACY983040 AMU917506:AMU983040 AWQ917506:AWQ983040 BGM917506:BGM983040 BQI917506:BQI983040 CAE917506:CAE983040 CKA917506:CKA983040 CTW917506:CTW983040 DDS917506:DDS983040 DNO917506:DNO983040 DXK917506:DXK983040 EHG917506:EHG983040 ERC917506:ERC983040 FAY917506:FAY983040 FKU917506:FKU983040 FUQ917506:FUQ983040 GEM917506:GEM983040 GOI917506:GOI983040 GYE917506:GYE983040 HIA917506:HIA983040 HRW917506:HRW983040 IBS917506:IBS983040 ILO917506:ILO983040 IVK917506:IVK983040 JFG917506:JFG983040 JPC917506:JPC983040 JYY917506:JYY983040 KIU917506:KIU983040 KSQ917506:KSQ983040 LCM917506:LCM983040 LMI917506:LMI983040 LWE917506:LWE983040 MGA917506:MGA983040 MPW917506:MPW983040 MZS917506:MZS983040 NJO917506:NJO983040 NTK917506:NTK983040 ODG917506:ODG983040 ONC917506:ONC983040 OWY917506:OWY983040 PGU917506:PGU983040 PQQ917506:PQQ983040 QAM917506:QAM983040 QKI917506:QKI983040 QUE917506:QUE983040 REA917506:REA983040 RNW917506:RNW983040 RXS917506:RXS983040 SHO917506:SHO983040 SRK917506:SRK983040 TBG917506:TBG983040 TLC917506:TLC983040 TUY917506:TUY983040 UEU917506:UEU983040 UOQ917506:UOQ983040 UYM917506:UYM983040 VII917506:VII983040 VSE917506:VSE983040 WCA917506:WCA983040 WLW917506:WLW983040 WVS917506:WVS983040 K983042:K1048576 JG983042:JG1048576 TC983042:TC1048576 ACY983042:ACY1048576 AMU983042:AMU1048576 AWQ983042:AWQ1048576 BGM983042:BGM1048576 BQI983042:BQI1048576 CAE983042:CAE1048576 CKA983042:CKA1048576 CTW983042:CTW1048576 DDS983042:DDS1048576 DNO983042:DNO1048576 DXK983042:DXK1048576 EHG983042:EHG1048576 ERC983042:ERC1048576 FAY983042:FAY1048576 FKU983042:FKU1048576 FUQ983042:FUQ1048576 GEM983042:GEM1048576 GOI983042:GOI1048576 GYE983042:GYE1048576 HIA983042:HIA1048576 HRW983042:HRW1048576 IBS983042:IBS1048576 ILO983042:ILO1048576 IVK983042:IVK1048576 JFG983042:JFG1048576 JPC983042:JPC1048576 JYY983042:JYY1048576 KIU983042:KIU1048576 KSQ983042:KSQ1048576 LCM983042:LCM1048576 LMI983042:LMI1048576 LWE983042:LWE1048576 MGA983042:MGA1048576 MPW983042:MPW1048576 MZS983042:MZS1048576 NJO983042:NJO1048576 NTK983042:NTK1048576 ODG983042:ODG1048576 ONC983042:ONC1048576 OWY983042:OWY1048576 PGU983042:PGU1048576 PQQ983042:PQQ1048576 QAM983042:QAM1048576 QKI983042:QKI1048576 QUE983042:QUE1048576 REA983042:REA1048576 RNW983042:RNW1048576 RXS983042:RXS1048576 SHO983042:SHO1048576 SRK983042:SRK1048576 TBG983042:TBG1048576 TLC983042:TLC1048576 TUY983042:TUY1048576 UEU983042:UEU1048576 UOQ983042:UOQ1048576 UYM983042:UYM1048576 VII983042:VII1048576 VSE983042:VSE1048576 WCA983042:WCA1048576 WLW983042:WLW1048576 WVS983042:WVS1048576 M2:M65536 JI2:JI65536 TE2:TE65536 ADA2:ADA65536 AMW2:AMW65536 AWS2:AWS65536 BGO2:BGO65536 BQK2:BQK65536 CAG2:CAG65536 CKC2:CKC65536 CTY2:CTY65536 DDU2:DDU65536 DNQ2:DNQ65536 DXM2:DXM65536 EHI2:EHI65536 ERE2:ERE65536 FBA2:FBA65536 FKW2:FKW65536 FUS2:FUS65536 GEO2:GEO65536 GOK2:GOK65536 GYG2:GYG65536 HIC2:HIC65536 HRY2:HRY65536 IBU2:IBU65536 ILQ2:ILQ65536 IVM2:IVM65536 JFI2:JFI65536 JPE2:JPE65536 JZA2:JZA65536 KIW2:KIW65536 KSS2:KSS65536 LCO2:LCO65536 LMK2:LMK65536 LWG2:LWG65536 MGC2:MGC65536 MPY2:MPY65536 MZU2:MZU65536 NJQ2:NJQ65536 NTM2:NTM65536 ODI2:ODI65536 ONE2:ONE65536 OXA2:OXA65536 PGW2:PGW65536 PQS2:PQS65536 QAO2:QAO65536 QKK2:QKK65536 QUG2:QUG65536 REC2:REC65536 RNY2:RNY65536 RXU2:RXU65536 SHQ2:SHQ65536 SRM2:SRM65536 TBI2:TBI65536 TLE2:TLE65536 TVA2:TVA65536 UEW2:UEW65536 UOS2:UOS65536 UYO2:UYO65536 VIK2:VIK65536 VSG2:VSG65536 WCC2:WCC65536 WLY2:WLY65536 WVU2:WVU65536 M65538:M131072 JI65538:JI131072 TE65538:TE131072 ADA65538:ADA131072 AMW65538:AMW131072 AWS65538:AWS131072 BGO65538:BGO131072 BQK65538:BQK131072 CAG65538:CAG131072 CKC65538:CKC131072 CTY65538:CTY131072 DDU65538:DDU131072 DNQ65538:DNQ131072 DXM65538:DXM131072 EHI65538:EHI131072 ERE65538:ERE131072 FBA65538:FBA131072 FKW65538:FKW131072 FUS65538:FUS131072 GEO65538:GEO131072 GOK65538:GOK131072 GYG65538:GYG131072 HIC65538:HIC131072 HRY65538:HRY131072 IBU65538:IBU131072 ILQ65538:ILQ131072 IVM65538:IVM131072 JFI65538:JFI131072 JPE65538:JPE131072 JZA65538:JZA131072 KIW65538:KIW131072 KSS65538:KSS131072 LCO65538:LCO131072 LMK65538:LMK131072 LWG65538:LWG131072 MGC65538:MGC131072 MPY65538:MPY131072 MZU65538:MZU131072 NJQ65538:NJQ131072 NTM65538:NTM131072 ODI65538:ODI131072 ONE65538:ONE131072 OXA65538:OXA131072 PGW65538:PGW131072 PQS65538:PQS131072 QAO65538:QAO131072 QKK65538:QKK131072 QUG65538:QUG131072 REC65538:REC131072 RNY65538:RNY131072 RXU65538:RXU131072 SHQ65538:SHQ131072 SRM65538:SRM131072 TBI65538:TBI131072 TLE65538:TLE131072 TVA65538:TVA131072 UEW65538:UEW131072 UOS65538:UOS131072 UYO65538:UYO131072 VIK65538:VIK131072 VSG65538:VSG131072 WCC65538:WCC131072 WLY65538:WLY131072 WVU65538:WVU131072 M131074:M196608 JI131074:JI196608 TE131074:TE196608 ADA131074:ADA196608 AMW131074:AMW196608 AWS131074:AWS196608 BGO131074:BGO196608 BQK131074:BQK196608 CAG131074:CAG196608 CKC131074:CKC196608 CTY131074:CTY196608 DDU131074:DDU196608 DNQ131074:DNQ196608 DXM131074:DXM196608 EHI131074:EHI196608 ERE131074:ERE196608 FBA131074:FBA196608 FKW131074:FKW196608 FUS131074:FUS196608 GEO131074:GEO196608 GOK131074:GOK196608 GYG131074:GYG196608 HIC131074:HIC196608 HRY131074:HRY196608 IBU131074:IBU196608 ILQ131074:ILQ196608 IVM131074:IVM196608 JFI131074:JFI196608 JPE131074:JPE196608 JZA131074:JZA196608 KIW131074:KIW196608 KSS131074:KSS196608 LCO131074:LCO196608 LMK131074:LMK196608 LWG131074:LWG196608 MGC131074:MGC196608 MPY131074:MPY196608 MZU131074:MZU196608 NJQ131074:NJQ196608 NTM131074:NTM196608 ODI131074:ODI196608 ONE131074:ONE196608 OXA131074:OXA196608 PGW131074:PGW196608 PQS131074:PQS196608 QAO131074:QAO196608 QKK131074:QKK196608 QUG131074:QUG196608 REC131074:REC196608 RNY131074:RNY196608 RXU131074:RXU196608 SHQ131074:SHQ196608 SRM131074:SRM196608 TBI131074:TBI196608 TLE131074:TLE196608 TVA131074:TVA196608 UEW131074:UEW196608 UOS131074:UOS196608 UYO131074:UYO196608 VIK131074:VIK196608 VSG131074:VSG196608 WCC131074:WCC196608 WLY131074:WLY196608 WVU131074:WVU196608 M196610:M262144 JI196610:JI262144 TE196610:TE262144 ADA196610:ADA262144 AMW196610:AMW262144 AWS196610:AWS262144 BGO196610:BGO262144 BQK196610:BQK262144 CAG196610:CAG262144 CKC196610:CKC262144 CTY196610:CTY262144 DDU196610:DDU262144 DNQ196610:DNQ262144 DXM196610:DXM262144 EHI196610:EHI262144 ERE196610:ERE262144 FBA196610:FBA262144 FKW196610:FKW262144 FUS196610:FUS262144 GEO196610:GEO262144 GOK196610:GOK262144 GYG196610:GYG262144 HIC196610:HIC262144 HRY196610:HRY262144 IBU196610:IBU262144 ILQ196610:ILQ262144 IVM196610:IVM262144 JFI196610:JFI262144 JPE196610:JPE262144 JZA196610:JZA262144 KIW196610:KIW262144 KSS196610:KSS262144 LCO196610:LCO262144 LMK196610:LMK262144 LWG196610:LWG262144 MGC196610:MGC262144 MPY196610:MPY262144 MZU196610:MZU262144 NJQ196610:NJQ262144 NTM196610:NTM262144 ODI196610:ODI262144 ONE196610:ONE262144 OXA196610:OXA262144 PGW196610:PGW262144 PQS196610:PQS262144 QAO196610:QAO262144 QKK196610:QKK262144 QUG196610:QUG262144 REC196610:REC262144 RNY196610:RNY262144 RXU196610:RXU262144 SHQ196610:SHQ262144 SRM196610:SRM262144 TBI196610:TBI262144 TLE196610:TLE262144 TVA196610:TVA262144 UEW196610:UEW262144 UOS196610:UOS262144 UYO196610:UYO262144 VIK196610:VIK262144 VSG196610:VSG262144 WCC196610:WCC262144 WLY196610:WLY262144 WVU196610:WVU262144 M262146:M327680 JI262146:JI327680 TE262146:TE327680 ADA262146:ADA327680 AMW262146:AMW327680 AWS262146:AWS327680 BGO262146:BGO327680 BQK262146:BQK327680 CAG262146:CAG327680 CKC262146:CKC327680 CTY262146:CTY327680 DDU262146:DDU327680 DNQ262146:DNQ327680 DXM262146:DXM327680 EHI262146:EHI327680 ERE262146:ERE327680 FBA262146:FBA327680 FKW262146:FKW327680 FUS262146:FUS327680 GEO262146:GEO327680 GOK262146:GOK327680 GYG262146:GYG327680 HIC262146:HIC327680 HRY262146:HRY327680 IBU262146:IBU327680 ILQ262146:ILQ327680 IVM262146:IVM327680 JFI262146:JFI327680 JPE262146:JPE327680 JZA262146:JZA327680 KIW262146:KIW327680 KSS262146:KSS327680 LCO262146:LCO327680 LMK262146:LMK327680 LWG262146:LWG327680 MGC262146:MGC327680 MPY262146:MPY327680 MZU262146:MZU327680 NJQ262146:NJQ327680 NTM262146:NTM327680 ODI262146:ODI327680 ONE262146:ONE327680 OXA262146:OXA327680 PGW262146:PGW327680 PQS262146:PQS327680 QAO262146:QAO327680 QKK262146:QKK327680 QUG262146:QUG327680 REC262146:REC327680 RNY262146:RNY327680 RXU262146:RXU327680 SHQ262146:SHQ327680 SRM262146:SRM327680 TBI262146:TBI327680 TLE262146:TLE327680 TVA262146:TVA327680 UEW262146:UEW327680 UOS262146:UOS327680 UYO262146:UYO327680 VIK262146:VIK327680 VSG262146:VSG327680 WCC262146:WCC327680 WLY262146:WLY327680 WVU262146:WVU327680 M327682:M393216 JI327682:JI393216 TE327682:TE393216 ADA327682:ADA393216 AMW327682:AMW393216 AWS327682:AWS393216 BGO327682:BGO393216 BQK327682:BQK393216 CAG327682:CAG393216 CKC327682:CKC393216 CTY327682:CTY393216 DDU327682:DDU393216 DNQ327682:DNQ393216 DXM327682:DXM393216 EHI327682:EHI393216 ERE327682:ERE393216 FBA327682:FBA393216 FKW327682:FKW393216 FUS327682:FUS393216 GEO327682:GEO393216 GOK327682:GOK393216 GYG327682:GYG393216 HIC327682:HIC393216 HRY327682:HRY393216 IBU327682:IBU393216 ILQ327682:ILQ393216 IVM327682:IVM393216 JFI327682:JFI393216 JPE327682:JPE393216 JZA327682:JZA393216 KIW327682:KIW393216 KSS327682:KSS393216 LCO327682:LCO393216 LMK327682:LMK393216 LWG327682:LWG393216 MGC327682:MGC393216 MPY327682:MPY393216 MZU327682:MZU393216 NJQ327682:NJQ393216 NTM327682:NTM393216 ODI327682:ODI393216 ONE327682:ONE393216 OXA327682:OXA393216 PGW327682:PGW393216 PQS327682:PQS393216 QAO327682:QAO393216 QKK327682:QKK393216 QUG327682:QUG393216 REC327682:REC393216 RNY327682:RNY393216 RXU327682:RXU393216 SHQ327682:SHQ393216 SRM327682:SRM393216 TBI327682:TBI393216 TLE327682:TLE393216 TVA327682:TVA393216 UEW327682:UEW393216 UOS327682:UOS393216 UYO327682:UYO393216 VIK327682:VIK393216 VSG327682:VSG393216 WCC327682:WCC393216 WLY327682:WLY393216 WVU327682:WVU393216 M393218:M458752 JI393218:JI458752 TE393218:TE458752 ADA393218:ADA458752 AMW393218:AMW458752 AWS393218:AWS458752 BGO393218:BGO458752 BQK393218:BQK458752 CAG393218:CAG458752 CKC393218:CKC458752 CTY393218:CTY458752 DDU393218:DDU458752 DNQ393218:DNQ458752 DXM393218:DXM458752 EHI393218:EHI458752 ERE393218:ERE458752 FBA393218:FBA458752 FKW393218:FKW458752 FUS393218:FUS458752 GEO393218:GEO458752 GOK393218:GOK458752 GYG393218:GYG458752 HIC393218:HIC458752 HRY393218:HRY458752 IBU393218:IBU458752 ILQ393218:ILQ458752 IVM393218:IVM458752 JFI393218:JFI458752 JPE393218:JPE458752 JZA393218:JZA458752 KIW393218:KIW458752 KSS393218:KSS458752 LCO393218:LCO458752 LMK393218:LMK458752 LWG393218:LWG458752 MGC393218:MGC458752 MPY393218:MPY458752 MZU393218:MZU458752 NJQ393218:NJQ458752 NTM393218:NTM458752 ODI393218:ODI458752 ONE393218:ONE458752 OXA393218:OXA458752 PGW393218:PGW458752 PQS393218:PQS458752 QAO393218:QAO458752 QKK393218:QKK458752 QUG393218:QUG458752 REC393218:REC458752 RNY393218:RNY458752 RXU393218:RXU458752 SHQ393218:SHQ458752 SRM393218:SRM458752 TBI393218:TBI458752 TLE393218:TLE458752 TVA393218:TVA458752 UEW393218:UEW458752 UOS393218:UOS458752 UYO393218:UYO458752 VIK393218:VIK458752 VSG393218:VSG458752 WCC393218:WCC458752 WLY393218:WLY458752 WVU393218:WVU458752 M458754:M524288 JI458754:JI524288 TE458754:TE524288 ADA458754:ADA524288 AMW458754:AMW524288 AWS458754:AWS524288 BGO458754:BGO524288 BQK458754:BQK524288 CAG458754:CAG524288 CKC458754:CKC524288 CTY458754:CTY524288 DDU458754:DDU524288 DNQ458754:DNQ524288 DXM458754:DXM524288 EHI458754:EHI524288 ERE458754:ERE524288 FBA458754:FBA524288 FKW458754:FKW524288 FUS458754:FUS524288 GEO458754:GEO524288 GOK458754:GOK524288 GYG458754:GYG524288 HIC458754:HIC524288 HRY458754:HRY524288 IBU458754:IBU524288 ILQ458754:ILQ524288 IVM458754:IVM524288 JFI458754:JFI524288 JPE458754:JPE524288 JZA458754:JZA524288 KIW458754:KIW524288 KSS458754:KSS524288 LCO458754:LCO524288 LMK458754:LMK524288 LWG458754:LWG524288 MGC458754:MGC524288 MPY458754:MPY524288 MZU458754:MZU524288 NJQ458754:NJQ524288 NTM458754:NTM524288 ODI458754:ODI524288 ONE458754:ONE524288 OXA458754:OXA524288 PGW458754:PGW524288 PQS458754:PQS524288 QAO458754:QAO524288 QKK458754:QKK524288 QUG458754:QUG524288 REC458754:REC524288 RNY458754:RNY524288 RXU458754:RXU524288 SHQ458754:SHQ524288 SRM458754:SRM524288 TBI458754:TBI524288 TLE458754:TLE524288 TVA458754:TVA524288 UEW458754:UEW524288 UOS458754:UOS524288 UYO458754:UYO524288 VIK458754:VIK524288 VSG458754:VSG524288 WCC458754:WCC524288 WLY458754:WLY524288 WVU458754:WVU524288 M524290:M589824 JI524290:JI589824 TE524290:TE589824 ADA524290:ADA589824 AMW524290:AMW589824 AWS524290:AWS589824 BGO524290:BGO589824 BQK524290:BQK589824 CAG524290:CAG589824 CKC524290:CKC589824 CTY524290:CTY589824 DDU524290:DDU589824 DNQ524290:DNQ589824 DXM524290:DXM589824 EHI524290:EHI589824 ERE524290:ERE589824 FBA524290:FBA589824 FKW524290:FKW589824 FUS524290:FUS589824 GEO524290:GEO589824 GOK524290:GOK589824 GYG524290:GYG589824 HIC524290:HIC589824 HRY524290:HRY589824 IBU524290:IBU589824 ILQ524290:ILQ589824 IVM524290:IVM589824 JFI524290:JFI589824 JPE524290:JPE589824 JZA524290:JZA589824 KIW524290:KIW589824 KSS524290:KSS589824 LCO524290:LCO589824 LMK524290:LMK589824 LWG524290:LWG589824 MGC524290:MGC589824 MPY524290:MPY589824 MZU524290:MZU589824 NJQ524290:NJQ589824 NTM524290:NTM589824 ODI524290:ODI589824 ONE524290:ONE589824 OXA524290:OXA589824 PGW524290:PGW589824 PQS524290:PQS589824 QAO524290:QAO589824 QKK524290:QKK589824 QUG524290:QUG589824 REC524290:REC589824 RNY524290:RNY589824 RXU524290:RXU589824 SHQ524290:SHQ589824 SRM524290:SRM589824 TBI524290:TBI589824 TLE524290:TLE589824 TVA524290:TVA589824 UEW524290:UEW589824 UOS524290:UOS589824 UYO524290:UYO589824 VIK524290:VIK589824 VSG524290:VSG589824 WCC524290:WCC589824 WLY524290:WLY589824 WVU524290:WVU589824 M589826:M655360 JI589826:JI655360 TE589826:TE655360 ADA589826:ADA655360 AMW589826:AMW655360 AWS589826:AWS655360 BGO589826:BGO655360 BQK589826:BQK655360 CAG589826:CAG655360 CKC589826:CKC655360 CTY589826:CTY655360 DDU589826:DDU655360 DNQ589826:DNQ655360 DXM589826:DXM655360 EHI589826:EHI655360 ERE589826:ERE655360 FBA589826:FBA655360 FKW589826:FKW655360 FUS589826:FUS655360 GEO589826:GEO655360 GOK589826:GOK655360 GYG589826:GYG655360 HIC589826:HIC655360 HRY589826:HRY655360 IBU589826:IBU655360 ILQ589826:ILQ655360 IVM589826:IVM655360 JFI589826:JFI655360 JPE589826:JPE655360 JZA589826:JZA655360 KIW589826:KIW655360 KSS589826:KSS655360 LCO589826:LCO655360 LMK589826:LMK655360 LWG589826:LWG655360 MGC589826:MGC655360 MPY589826:MPY655360 MZU589826:MZU655360 NJQ589826:NJQ655360 NTM589826:NTM655360 ODI589826:ODI655360 ONE589826:ONE655360 OXA589826:OXA655360 PGW589826:PGW655360 PQS589826:PQS655360 QAO589826:QAO655360 QKK589826:QKK655360 QUG589826:QUG655360 REC589826:REC655360 RNY589826:RNY655360 RXU589826:RXU655360 SHQ589826:SHQ655360 SRM589826:SRM655360 TBI589826:TBI655360 TLE589826:TLE655360 TVA589826:TVA655360 UEW589826:UEW655360 UOS589826:UOS655360 UYO589826:UYO655360 VIK589826:VIK655360 VSG589826:VSG655360 WCC589826:WCC655360 WLY589826:WLY655360 WVU589826:WVU655360 M655362:M720896 JI655362:JI720896 TE655362:TE720896 ADA655362:ADA720896 AMW655362:AMW720896 AWS655362:AWS720896 BGO655362:BGO720896 BQK655362:BQK720896 CAG655362:CAG720896 CKC655362:CKC720896 CTY655362:CTY720896 DDU655362:DDU720896 DNQ655362:DNQ720896 DXM655362:DXM720896 EHI655362:EHI720896 ERE655362:ERE720896 FBA655362:FBA720896 FKW655362:FKW720896 FUS655362:FUS720896 GEO655362:GEO720896 GOK655362:GOK720896 GYG655362:GYG720896 HIC655362:HIC720896 HRY655362:HRY720896 IBU655362:IBU720896 ILQ655362:ILQ720896 IVM655362:IVM720896 JFI655362:JFI720896 JPE655362:JPE720896 JZA655362:JZA720896 KIW655362:KIW720896 KSS655362:KSS720896 LCO655362:LCO720896 LMK655362:LMK720896 LWG655362:LWG720896 MGC655362:MGC720896 MPY655362:MPY720896 MZU655362:MZU720896 NJQ655362:NJQ720896 NTM655362:NTM720896 ODI655362:ODI720896 ONE655362:ONE720896 OXA655362:OXA720896 PGW655362:PGW720896 PQS655362:PQS720896 QAO655362:QAO720896 QKK655362:QKK720896 QUG655362:QUG720896 REC655362:REC720896 RNY655362:RNY720896 RXU655362:RXU720896 SHQ655362:SHQ720896 SRM655362:SRM720896 TBI655362:TBI720896 TLE655362:TLE720896 TVA655362:TVA720896 UEW655362:UEW720896 UOS655362:UOS720896 UYO655362:UYO720896 VIK655362:VIK720896 VSG655362:VSG720896 WCC655362:WCC720896 WLY655362:WLY720896 WVU655362:WVU720896 M720898:M786432 JI720898:JI786432 TE720898:TE786432 ADA720898:ADA786432 AMW720898:AMW786432 AWS720898:AWS786432 BGO720898:BGO786432 BQK720898:BQK786432 CAG720898:CAG786432 CKC720898:CKC786432 CTY720898:CTY786432 DDU720898:DDU786432 DNQ720898:DNQ786432 DXM720898:DXM786432 EHI720898:EHI786432 ERE720898:ERE786432 FBA720898:FBA786432 FKW720898:FKW786432 FUS720898:FUS786432 GEO720898:GEO786432 GOK720898:GOK786432 GYG720898:GYG786432 HIC720898:HIC786432 HRY720898:HRY786432 IBU720898:IBU786432 ILQ720898:ILQ786432 IVM720898:IVM786432 JFI720898:JFI786432 JPE720898:JPE786432 JZA720898:JZA786432 KIW720898:KIW786432 KSS720898:KSS786432 LCO720898:LCO786432 LMK720898:LMK786432 LWG720898:LWG786432 MGC720898:MGC786432 MPY720898:MPY786432 MZU720898:MZU786432 NJQ720898:NJQ786432 NTM720898:NTM786432 ODI720898:ODI786432 ONE720898:ONE786432 OXA720898:OXA786432 PGW720898:PGW786432 PQS720898:PQS786432 QAO720898:QAO786432 QKK720898:QKK786432 QUG720898:QUG786432 REC720898:REC786432 RNY720898:RNY786432 RXU720898:RXU786432 SHQ720898:SHQ786432 SRM720898:SRM786432 TBI720898:TBI786432 TLE720898:TLE786432 TVA720898:TVA786432 UEW720898:UEW786432 UOS720898:UOS786432 UYO720898:UYO786432 VIK720898:VIK786432 VSG720898:VSG786432 WCC720898:WCC786432 WLY720898:WLY786432 WVU720898:WVU786432 M786434:M851968 JI786434:JI851968 TE786434:TE851968 ADA786434:ADA851968 AMW786434:AMW851968 AWS786434:AWS851968 BGO786434:BGO851968 BQK786434:BQK851968 CAG786434:CAG851968 CKC786434:CKC851968 CTY786434:CTY851968 DDU786434:DDU851968 DNQ786434:DNQ851968 DXM786434:DXM851968 EHI786434:EHI851968 ERE786434:ERE851968 FBA786434:FBA851968 FKW786434:FKW851968 FUS786434:FUS851968 GEO786434:GEO851968 GOK786434:GOK851968 GYG786434:GYG851968 HIC786434:HIC851968 HRY786434:HRY851968 IBU786434:IBU851968 ILQ786434:ILQ851968 IVM786434:IVM851968 JFI786434:JFI851968 JPE786434:JPE851968 JZA786434:JZA851968 KIW786434:KIW851968 KSS786434:KSS851968 LCO786434:LCO851968 LMK786434:LMK851968 LWG786434:LWG851968 MGC786434:MGC851968 MPY786434:MPY851968 MZU786434:MZU851968 NJQ786434:NJQ851968 NTM786434:NTM851968 ODI786434:ODI851968 ONE786434:ONE851968 OXA786434:OXA851968 PGW786434:PGW851968 PQS786434:PQS851968 QAO786434:QAO851968 QKK786434:QKK851968 QUG786434:QUG851968 REC786434:REC851968 RNY786434:RNY851968 RXU786434:RXU851968 SHQ786434:SHQ851968 SRM786434:SRM851968 TBI786434:TBI851968 TLE786434:TLE851968 TVA786434:TVA851968 UEW786434:UEW851968 UOS786434:UOS851968 UYO786434:UYO851968 VIK786434:VIK851968 VSG786434:VSG851968 WCC786434:WCC851968 WLY786434:WLY851968 WVU786434:WVU851968 M851970:M917504 JI851970:JI917504 TE851970:TE917504 ADA851970:ADA917504 AMW851970:AMW917504 AWS851970:AWS917504 BGO851970:BGO917504 BQK851970:BQK917504 CAG851970:CAG917504 CKC851970:CKC917504 CTY851970:CTY917504 DDU851970:DDU917504 DNQ851970:DNQ917504 DXM851970:DXM917504 EHI851970:EHI917504 ERE851970:ERE917504 FBA851970:FBA917504 FKW851970:FKW917504 FUS851970:FUS917504 GEO851970:GEO917504 GOK851970:GOK917504 GYG851970:GYG917504 HIC851970:HIC917504 HRY851970:HRY917504 IBU851970:IBU917504 ILQ851970:ILQ917504 IVM851970:IVM917504 JFI851970:JFI917504 JPE851970:JPE917504 JZA851970:JZA917504 KIW851970:KIW917504 KSS851970:KSS917504 LCO851970:LCO917504 LMK851970:LMK917504 LWG851970:LWG917504 MGC851970:MGC917504 MPY851970:MPY917504 MZU851970:MZU917504 NJQ851970:NJQ917504 NTM851970:NTM917504 ODI851970:ODI917504 ONE851970:ONE917504 OXA851970:OXA917504 PGW851970:PGW917504 PQS851970:PQS917504 QAO851970:QAO917504 QKK851970:QKK917504 QUG851970:QUG917504 REC851970:REC917504 RNY851970:RNY917504 RXU851970:RXU917504 SHQ851970:SHQ917504 SRM851970:SRM917504 TBI851970:TBI917504 TLE851970:TLE917504 TVA851970:TVA917504 UEW851970:UEW917504 UOS851970:UOS917504 UYO851970:UYO917504 VIK851970:VIK917504 VSG851970:VSG917504 WCC851970:WCC917504 WLY851970:WLY917504 WVU851970:WVU917504 M917506:M983040 JI917506:JI983040 TE917506:TE983040 ADA917506:ADA983040 AMW917506:AMW983040 AWS917506:AWS983040 BGO917506:BGO983040 BQK917506:BQK983040 CAG917506:CAG983040 CKC917506:CKC983040 CTY917506:CTY983040 DDU917506:DDU983040 DNQ917506:DNQ983040 DXM917506:DXM983040 EHI917506:EHI983040 ERE917506:ERE983040 FBA917506:FBA983040 FKW917506:FKW983040 FUS917506:FUS983040 GEO917506:GEO983040 GOK917506:GOK983040 GYG917506:GYG983040 HIC917506:HIC983040 HRY917506:HRY983040 IBU917506:IBU983040 ILQ917506:ILQ983040 IVM917506:IVM983040 JFI917506:JFI983040 JPE917506:JPE983040 JZA917506:JZA983040 KIW917506:KIW983040 KSS917506:KSS983040 LCO917506:LCO983040 LMK917506:LMK983040 LWG917506:LWG983040 MGC917506:MGC983040 MPY917506:MPY983040 MZU917506:MZU983040 NJQ917506:NJQ983040 NTM917506:NTM983040 ODI917506:ODI983040 ONE917506:ONE983040 OXA917506:OXA983040 PGW917506:PGW983040 PQS917506:PQS983040 QAO917506:QAO983040 QKK917506:QKK983040 QUG917506:QUG983040 REC917506:REC983040 RNY917506:RNY983040 RXU917506:RXU983040 SHQ917506:SHQ983040 SRM917506:SRM983040 TBI917506:TBI983040 TLE917506:TLE983040 TVA917506:TVA983040 UEW917506:UEW983040 UOS917506:UOS983040 UYO917506:UYO983040 VIK917506:VIK983040 VSG917506:VSG983040 WCC917506:WCC983040 WLY917506:WLY983040 WVU917506:WVU983040 M983042:M1048576 JI983042:JI1048576 TE983042:TE1048576 ADA983042:ADA1048576 AMW983042:AMW1048576 AWS983042:AWS1048576 BGO983042:BGO1048576 BQK983042:BQK1048576 CAG983042:CAG1048576 CKC983042:CKC1048576 CTY983042:CTY1048576 DDU983042:DDU1048576 DNQ983042:DNQ1048576 DXM983042:DXM1048576 EHI983042:EHI1048576 ERE983042:ERE1048576 FBA983042:FBA1048576 FKW983042:FKW1048576 FUS983042:FUS1048576 GEO983042:GEO1048576 GOK983042:GOK1048576 GYG983042:GYG1048576 HIC983042:HIC1048576 HRY983042:HRY1048576 IBU983042:IBU1048576 ILQ983042:ILQ1048576 IVM983042:IVM1048576 JFI983042:JFI1048576 JPE983042:JPE1048576 JZA983042:JZA1048576 KIW983042:KIW1048576 KSS983042:KSS1048576 LCO983042:LCO1048576 LMK983042:LMK1048576 LWG983042:LWG1048576 MGC983042:MGC1048576 MPY983042:MPY1048576 MZU983042:MZU1048576 NJQ983042:NJQ1048576 NTM983042:NTM1048576 ODI983042:ODI1048576 ONE983042:ONE1048576 OXA983042:OXA1048576 PGW983042:PGW1048576 PQS983042:PQS1048576 QAO983042:QAO1048576 QKK983042:QKK1048576 QUG983042:QUG1048576 REC983042:REC1048576 RNY983042:RNY1048576 RXU983042:RXU1048576 SHQ983042:SHQ1048576 SRM983042:SRM1048576 TBI983042:TBI1048576 TLE983042:TLE1048576 TVA983042:TVA1048576 UEW983042:UEW1048576 UOS983042:UOS1048576 UYO983042:UYO1048576 VIK983042:VIK1048576 VSG983042:VSG1048576 WCC983042:WCC1048576 WLY983042:WLY1048576 WVU983042:WVU1048576 O2:O65536 JK2:JK65536 TG2:TG65536 ADC2:ADC65536 AMY2:AMY65536 AWU2:AWU65536 BGQ2:BGQ65536 BQM2:BQM65536 CAI2:CAI65536 CKE2:CKE65536 CUA2:CUA65536 DDW2:DDW65536 DNS2:DNS65536 DXO2:DXO65536 EHK2:EHK65536 ERG2:ERG65536 FBC2:FBC65536 FKY2:FKY65536 FUU2:FUU65536 GEQ2:GEQ65536 GOM2:GOM65536 GYI2:GYI65536 HIE2:HIE65536 HSA2:HSA65536 IBW2:IBW65536 ILS2:ILS65536 IVO2:IVO65536 JFK2:JFK65536 JPG2:JPG65536 JZC2:JZC65536 KIY2:KIY65536 KSU2:KSU65536 LCQ2:LCQ65536 LMM2:LMM65536 LWI2:LWI65536 MGE2:MGE65536 MQA2:MQA65536 MZW2:MZW65536 NJS2:NJS65536 NTO2:NTO65536 ODK2:ODK65536 ONG2:ONG65536 OXC2:OXC65536 PGY2:PGY65536 PQU2:PQU65536 QAQ2:QAQ65536 QKM2:QKM65536 QUI2:QUI65536 REE2:REE65536 ROA2:ROA65536 RXW2:RXW65536 SHS2:SHS65536 SRO2:SRO65536 TBK2:TBK65536 TLG2:TLG65536 TVC2:TVC65536 UEY2:UEY65536 UOU2:UOU65536 UYQ2:UYQ65536 VIM2:VIM65536 VSI2:VSI65536 WCE2:WCE65536 WMA2:WMA65536 WVW2:WVW65536 O65538:O131072 JK65538:JK131072 TG65538:TG131072 ADC65538:ADC131072 AMY65538:AMY131072 AWU65538:AWU131072 BGQ65538:BGQ131072 BQM65538:BQM131072 CAI65538:CAI131072 CKE65538:CKE131072 CUA65538:CUA131072 DDW65538:DDW131072 DNS65538:DNS131072 DXO65538:DXO131072 EHK65538:EHK131072 ERG65538:ERG131072 FBC65538:FBC131072 FKY65538:FKY131072 FUU65538:FUU131072 GEQ65538:GEQ131072 GOM65538:GOM131072 GYI65538:GYI131072 HIE65538:HIE131072 HSA65538:HSA131072 IBW65538:IBW131072 ILS65538:ILS131072 IVO65538:IVO131072 JFK65538:JFK131072 JPG65538:JPG131072 JZC65538:JZC131072 KIY65538:KIY131072 KSU65538:KSU131072 LCQ65538:LCQ131072 LMM65538:LMM131072 LWI65538:LWI131072 MGE65538:MGE131072 MQA65538:MQA131072 MZW65538:MZW131072 NJS65538:NJS131072 NTO65538:NTO131072 ODK65538:ODK131072 ONG65538:ONG131072 OXC65538:OXC131072 PGY65538:PGY131072 PQU65538:PQU131072 QAQ65538:QAQ131072 QKM65538:QKM131072 QUI65538:QUI131072 REE65538:REE131072 ROA65538:ROA131072 RXW65538:RXW131072 SHS65538:SHS131072 SRO65538:SRO131072 TBK65538:TBK131072 TLG65538:TLG131072 TVC65538:TVC131072 UEY65538:UEY131072 UOU65538:UOU131072 UYQ65538:UYQ131072 VIM65538:VIM131072 VSI65538:VSI131072 WCE65538:WCE131072 WMA65538:WMA131072 WVW65538:WVW131072 O131074:O196608 JK131074:JK196608 TG131074:TG196608 ADC131074:ADC196608 AMY131074:AMY196608 AWU131074:AWU196608 BGQ131074:BGQ196608 BQM131074:BQM196608 CAI131074:CAI196608 CKE131074:CKE196608 CUA131074:CUA196608 DDW131074:DDW196608 DNS131074:DNS196608 DXO131074:DXO196608 EHK131074:EHK196608 ERG131074:ERG196608 FBC131074:FBC196608 FKY131074:FKY196608 FUU131074:FUU196608 GEQ131074:GEQ196608 GOM131074:GOM196608 GYI131074:GYI196608 HIE131074:HIE196608 HSA131074:HSA196608 IBW131074:IBW196608 ILS131074:ILS196608 IVO131074:IVO196608 JFK131074:JFK196608 JPG131074:JPG196608 JZC131074:JZC196608 KIY131074:KIY196608 KSU131074:KSU196608 LCQ131074:LCQ196608 LMM131074:LMM196608 LWI131074:LWI196608 MGE131074:MGE196608 MQA131074:MQA196608 MZW131074:MZW196608 NJS131074:NJS196608 NTO131074:NTO196608 ODK131074:ODK196608 ONG131074:ONG196608 OXC131074:OXC196608 PGY131074:PGY196608 PQU131074:PQU196608 QAQ131074:QAQ196608 QKM131074:QKM196608 QUI131074:QUI196608 REE131074:REE196608 ROA131074:ROA196608 RXW131074:RXW196608 SHS131074:SHS196608 SRO131074:SRO196608 TBK131074:TBK196608 TLG131074:TLG196608 TVC131074:TVC196608 UEY131074:UEY196608 UOU131074:UOU196608 UYQ131074:UYQ196608 VIM131074:VIM196608 VSI131074:VSI196608 WCE131074:WCE196608 WMA131074:WMA196608 WVW131074:WVW196608 O196610:O262144 JK196610:JK262144 TG196610:TG262144 ADC196610:ADC262144 AMY196610:AMY262144 AWU196610:AWU262144 BGQ196610:BGQ262144 BQM196610:BQM262144 CAI196610:CAI262144 CKE196610:CKE262144 CUA196610:CUA262144 DDW196610:DDW262144 DNS196610:DNS262144 DXO196610:DXO262144 EHK196610:EHK262144 ERG196610:ERG262144 FBC196610:FBC262144 FKY196610:FKY262144 FUU196610:FUU262144 GEQ196610:GEQ262144 GOM196610:GOM262144 GYI196610:GYI262144 HIE196610:HIE262144 HSA196610:HSA262144 IBW196610:IBW262144 ILS196610:ILS262144 IVO196610:IVO262144 JFK196610:JFK262144 JPG196610:JPG262144 JZC196610:JZC262144 KIY196610:KIY262144 KSU196610:KSU262144 LCQ196610:LCQ262144 LMM196610:LMM262144 LWI196610:LWI262144 MGE196610:MGE262144 MQA196610:MQA262144 MZW196610:MZW262144 NJS196610:NJS262144 NTO196610:NTO262144 ODK196610:ODK262144 ONG196610:ONG262144 OXC196610:OXC262144 PGY196610:PGY262144 PQU196610:PQU262144 QAQ196610:QAQ262144 QKM196610:QKM262144 QUI196610:QUI262144 REE196610:REE262144 ROA196610:ROA262144 RXW196610:RXW262144 SHS196610:SHS262144 SRO196610:SRO262144 TBK196610:TBK262144 TLG196610:TLG262144 TVC196610:TVC262144 UEY196610:UEY262144 UOU196610:UOU262144 UYQ196610:UYQ262144 VIM196610:VIM262144 VSI196610:VSI262144 WCE196610:WCE262144 WMA196610:WMA262144 WVW196610:WVW262144 O262146:O327680 JK262146:JK327680 TG262146:TG327680 ADC262146:ADC327680 AMY262146:AMY327680 AWU262146:AWU327680 BGQ262146:BGQ327680 BQM262146:BQM327680 CAI262146:CAI327680 CKE262146:CKE327680 CUA262146:CUA327680 DDW262146:DDW327680 DNS262146:DNS327680 DXO262146:DXO327680 EHK262146:EHK327680 ERG262146:ERG327680 FBC262146:FBC327680 FKY262146:FKY327680 FUU262146:FUU327680 GEQ262146:GEQ327680 GOM262146:GOM327680 GYI262146:GYI327680 HIE262146:HIE327680 HSA262146:HSA327680 IBW262146:IBW327680 ILS262146:ILS327680 IVO262146:IVO327680 JFK262146:JFK327680 JPG262146:JPG327680 JZC262146:JZC327680 KIY262146:KIY327680 KSU262146:KSU327680 LCQ262146:LCQ327680 LMM262146:LMM327680 LWI262146:LWI327680 MGE262146:MGE327680 MQA262146:MQA327680 MZW262146:MZW327680 NJS262146:NJS327680 NTO262146:NTO327680 ODK262146:ODK327680 ONG262146:ONG327680 OXC262146:OXC327680 PGY262146:PGY327680 PQU262146:PQU327680 QAQ262146:QAQ327680 QKM262146:QKM327680 QUI262146:QUI327680 REE262146:REE327680 ROA262146:ROA327680 RXW262146:RXW327680 SHS262146:SHS327680 SRO262146:SRO327680 TBK262146:TBK327680 TLG262146:TLG327680 TVC262146:TVC327680 UEY262146:UEY327680 UOU262146:UOU327680 UYQ262146:UYQ327680 VIM262146:VIM327680 VSI262146:VSI327680 WCE262146:WCE327680 WMA262146:WMA327680 WVW262146:WVW327680 O327682:O393216 JK327682:JK393216 TG327682:TG393216 ADC327682:ADC393216 AMY327682:AMY393216 AWU327682:AWU393216 BGQ327682:BGQ393216 BQM327682:BQM393216 CAI327682:CAI393216 CKE327682:CKE393216 CUA327682:CUA393216 DDW327682:DDW393216 DNS327682:DNS393216 DXO327682:DXO393216 EHK327682:EHK393216 ERG327682:ERG393216 FBC327682:FBC393216 FKY327682:FKY393216 FUU327682:FUU393216 GEQ327682:GEQ393216 GOM327682:GOM393216 GYI327682:GYI393216 HIE327682:HIE393216 HSA327682:HSA393216 IBW327682:IBW393216 ILS327682:ILS393216 IVO327682:IVO393216 JFK327682:JFK393216 JPG327682:JPG393216 JZC327682:JZC393216 KIY327682:KIY393216 KSU327682:KSU393216 LCQ327682:LCQ393216 LMM327682:LMM393216 LWI327682:LWI393216 MGE327682:MGE393216 MQA327682:MQA393216 MZW327682:MZW393216 NJS327682:NJS393216 NTO327682:NTO393216 ODK327682:ODK393216 ONG327682:ONG393216 OXC327682:OXC393216 PGY327682:PGY393216 PQU327682:PQU393216 QAQ327682:QAQ393216 QKM327682:QKM393216 QUI327682:QUI393216 REE327682:REE393216 ROA327682:ROA393216 RXW327682:RXW393216 SHS327682:SHS393216 SRO327682:SRO393216 TBK327682:TBK393216 TLG327682:TLG393216 TVC327682:TVC393216 UEY327682:UEY393216 UOU327682:UOU393216 UYQ327682:UYQ393216 VIM327682:VIM393216 VSI327682:VSI393216 WCE327682:WCE393216 WMA327682:WMA393216 WVW327682:WVW393216 O393218:O458752 JK393218:JK458752 TG393218:TG458752 ADC393218:ADC458752 AMY393218:AMY458752 AWU393218:AWU458752 BGQ393218:BGQ458752 BQM393218:BQM458752 CAI393218:CAI458752 CKE393218:CKE458752 CUA393218:CUA458752 DDW393218:DDW458752 DNS393218:DNS458752 DXO393218:DXO458752 EHK393218:EHK458752 ERG393218:ERG458752 FBC393218:FBC458752 FKY393218:FKY458752 FUU393218:FUU458752 GEQ393218:GEQ458752 GOM393218:GOM458752 GYI393218:GYI458752 HIE393218:HIE458752 HSA393218:HSA458752 IBW393218:IBW458752 ILS393218:ILS458752 IVO393218:IVO458752 JFK393218:JFK458752 JPG393218:JPG458752 JZC393218:JZC458752 KIY393218:KIY458752 KSU393218:KSU458752 LCQ393218:LCQ458752 LMM393218:LMM458752 LWI393218:LWI458752 MGE393218:MGE458752 MQA393218:MQA458752 MZW393218:MZW458752 NJS393218:NJS458752 NTO393218:NTO458752 ODK393218:ODK458752 ONG393218:ONG458752 OXC393218:OXC458752 PGY393218:PGY458752 PQU393218:PQU458752 QAQ393218:QAQ458752 QKM393218:QKM458752 QUI393218:QUI458752 REE393218:REE458752 ROA393218:ROA458752 RXW393218:RXW458752 SHS393218:SHS458752 SRO393218:SRO458752 TBK393218:TBK458752 TLG393218:TLG458752 TVC393218:TVC458752 UEY393218:UEY458752 UOU393218:UOU458752 UYQ393218:UYQ458752 VIM393218:VIM458752 VSI393218:VSI458752 WCE393218:WCE458752 WMA393218:WMA458752 WVW393218:WVW458752 O458754:O524288 JK458754:JK524288 TG458754:TG524288 ADC458754:ADC524288 AMY458754:AMY524288 AWU458754:AWU524288 BGQ458754:BGQ524288 BQM458754:BQM524288 CAI458754:CAI524288 CKE458754:CKE524288 CUA458754:CUA524288 DDW458754:DDW524288 DNS458754:DNS524288 DXO458754:DXO524288 EHK458754:EHK524288 ERG458754:ERG524288 FBC458754:FBC524288 FKY458754:FKY524288 FUU458754:FUU524288 GEQ458754:GEQ524288 GOM458754:GOM524288 GYI458754:GYI524288 HIE458754:HIE524288 HSA458754:HSA524288 IBW458754:IBW524288 ILS458754:ILS524288 IVO458754:IVO524288 JFK458754:JFK524288 JPG458754:JPG524288 JZC458754:JZC524288 KIY458754:KIY524288 KSU458754:KSU524288 LCQ458754:LCQ524288 LMM458754:LMM524288 LWI458754:LWI524288 MGE458754:MGE524288 MQA458754:MQA524288 MZW458754:MZW524288 NJS458754:NJS524288 NTO458754:NTO524288 ODK458754:ODK524288 ONG458754:ONG524288 OXC458754:OXC524288 PGY458754:PGY524288 PQU458754:PQU524288 QAQ458754:QAQ524288 QKM458754:QKM524288 QUI458754:QUI524288 REE458754:REE524288 ROA458754:ROA524288 RXW458754:RXW524288 SHS458754:SHS524288 SRO458754:SRO524288 TBK458754:TBK524288 TLG458754:TLG524288 TVC458754:TVC524288 UEY458754:UEY524288 UOU458754:UOU524288 UYQ458754:UYQ524288 VIM458754:VIM524288 VSI458754:VSI524288 WCE458754:WCE524288 WMA458754:WMA524288 WVW458754:WVW524288 O524290:O589824 JK524290:JK589824 TG524290:TG589824 ADC524290:ADC589824 AMY524290:AMY589824 AWU524290:AWU589824 BGQ524290:BGQ589824 BQM524290:BQM589824 CAI524290:CAI589824 CKE524290:CKE589824 CUA524290:CUA589824 DDW524290:DDW589824 DNS524290:DNS589824 DXO524290:DXO589824 EHK524290:EHK589824 ERG524290:ERG589824 FBC524290:FBC589824 FKY524290:FKY589824 FUU524290:FUU589824 GEQ524290:GEQ589824 GOM524290:GOM589824 GYI524290:GYI589824 HIE524290:HIE589824 HSA524290:HSA589824 IBW524290:IBW589824 ILS524290:ILS589824 IVO524290:IVO589824 JFK524290:JFK589824 JPG524290:JPG589824 JZC524290:JZC589824 KIY524290:KIY589824 KSU524290:KSU589824 LCQ524290:LCQ589824 LMM524290:LMM589824 LWI524290:LWI589824 MGE524290:MGE589824 MQA524290:MQA589824 MZW524290:MZW589824 NJS524290:NJS589824 NTO524290:NTO589824 ODK524290:ODK589824 ONG524290:ONG589824 OXC524290:OXC589824 PGY524290:PGY589824 PQU524290:PQU589824 QAQ524290:QAQ589824 QKM524290:QKM589824 QUI524290:QUI589824 REE524290:REE589824 ROA524290:ROA589824 RXW524290:RXW589824 SHS524290:SHS589824 SRO524290:SRO589824 TBK524290:TBK589824 TLG524290:TLG589824 TVC524290:TVC589824 UEY524290:UEY589824 UOU524290:UOU589824 UYQ524290:UYQ589824 VIM524290:VIM589824 VSI524290:VSI589824 WCE524290:WCE589824 WMA524290:WMA589824 WVW524290:WVW589824 O589826:O655360 JK589826:JK655360 TG589826:TG655360 ADC589826:ADC655360 AMY589826:AMY655360 AWU589826:AWU655360 BGQ589826:BGQ655360 BQM589826:BQM655360 CAI589826:CAI655360 CKE589826:CKE655360 CUA589826:CUA655360 DDW589826:DDW655360 DNS589826:DNS655360 DXO589826:DXO655360 EHK589826:EHK655360 ERG589826:ERG655360 FBC589826:FBC655360 FKY589826:FKY655360 FUU589826:FUU655360 GEQ589826:GEQ655360 GOM589826:GOM655360 GYI589826:GYI655360 HIE589826:HIE655360 HSA589826:HSA655360 IBW589826:IBW655360 ILS589826:ILS655360 IVO589826:IVO655360 JFK589826:JFK655360 JPG589826:JPG655360 JZC589826:JZC655360 KIY589826:KIY655360 KSU589826:KSU655360 LCQ589826:LCQ655360 LMM589826:LMM655360 LWI589826:LWI655360 MGE589826:MGE655360 MQA589826:MQA655360 MZW589826:MZW655360 NJS589826:NJS655360 NTO589826:NTO655360 ODK589826:ODK655360 ONG589826:ONG655360 OXC589826:OXC655360 PGY589826:PGY655360 PQU589826:PQU655360 QAQ589826:QAQ655360 QKM589826:QKM655360 QUI589826:QUI655360 REE589826:REE655360 ROA589826:ROA655360 RXW589826:RXW655360 SHS589826:SHS655360 SRO589826:SRO655360 TBK589826:TBK655360 TLG589826:TLG655360 TVC589826:TVC655360 UEY589826:UEY655360 UOU589826:UOU655360 UYQ589826:UYQ655360 VIM589826:VIM655360 VSI589826:VSI655360 WCE589826:WCE655360 WMA589826:WMA655360 WVW589826:WVW655360 O655362:O720896 JK655362:JK720896 TG655362:TG720896 ADC655362:ADC720896 AMY655362:AMY720896 AWU655362:AWU720896 BGQ655362:BGQ720896 BQM655362:BQM720896 CAI655362:CAI720896 CKE655362:CKE720896 CUA655362:CUA720896 DDW655362:DDW720896 DNS655362:DNS720896 DXO655362:DXO720896 EHK655362:EHK720896 ERG655362:ERG720896 FBC655362:FBC720896 FKY655362:FKY720896 FUU655362:FUU720896 GEQ655362:GEQ720896 GOM655362:GOM720896 GYI655362:GYI720896 HIE655362:HIE720896 HSA655362:HSA720896 IBW655362:IBW720896 ILS655362:ILS720896 IVO655362:IVO720896 JFK655362:JFK720896 JPG655362:JPG720896 JZC655362:JZC720896 KIY655362:KIY720896 KSU655362:KSU720896 LCQ655362:LCQ720896 LMM655362:LMM720896 LWI655362:LWI720896 MGE655362:MGE720896 MQA655362:MQA720896 MZW655362:MZW720896 NJS655362:NJS720896 NTO655362:NTO720896 ODK655362:ODK720896 ONG655362:ONG720896 OXC655362:OXC720896 PGY655362:PGY720896 PQU655362:PQU720896 QAQ655362:QAQ720896 QKM655362:QKM720896 QUI655362:QUI720896 REE655362:REE720896 ROA655362:ROA720896 RXW655362:RXW720896 SHS655362:SHS720896 SRO655362:SRO720896 TBK655362:TBK720896 TLG655362:TLG720896 TVC655362:TVC720896 UEY655362:UEY720896 UOU655362:UOU720896 UYQ655362:UYQ720896 VIM655362:VIM720896 VSI655362:VSI720896 WCE655362:WCE720896 WMA655362:WMA720896 WVW655362:WVW720896 O720898:O786432 JK720898:JK786432 TG720898:TG786432 ADC720898:ADC786432 AMY720898:AMY786432 AWU720898:AWU786432 BGQ720898:BGQ786432 BQM720898:BQM786432 CAI720898:CAI786432 CKE720898:CKE786432 CUA720898:CUA786432 DDW720898:DDW786432 DNS720898:DNS786432 DXO720898:DXO786432 EHK720898:EHK786432 ERG720898:ERG786432 FBC720898:FBC786432 FKY720898:FKY786432 FUU720898:FUU786432 GEQ720898:GEQ786432 GOM720898:GOM786432 GYI720898:GYI786432 HIE720898:HIE786432 HSA720898:HSA786432 IBW720898:IBW786432 ILS720898:ILS786432 IVO720898:IVO786432 JFK720898:JFK786432 JPG720898:JPG786432 JZC720898:JZC786432 KIY720898:KIY786432 KSU720898:KSU786432 LCQ720898:LCQ786432 LMM720898:LMM786432 LWI720898:LWI786432 MGE720898:MGE786432 MQA720898:MQA786432 MZW720898:MZW786432 NJS720898:NJS786432 NTO720898:NTO786432 ODK720898:ODK786432 ONG720898:ONG786432 OXC720898:OXC786432 PGY720898:PGY786432 PQU720898:PQU786432 QAQ720898:QAQ786432 QKM720898:QKM786432 QUI720898:QUI786432 REE720898:REE786432 ROA720898:ROA786432 RXW720898:RXW786432 SHS720898:SHS786432 SRO720898:SRO786432 TBK720898:TBK786432 TLG720898:TLG786432 TVC720898:TVC786432 UEY720898:UEY786432 UOU720898:UOU786432 UYQ720898:UYQ786432 VIM720898:VIM786432 VSI720898:VSI786432 WCE720898:WCE786432 WMA720898:WMA786432 WVW720898:WVW786432 O786434:O851968 JK786434:JK851968 TG786434:TG851968 ADC786434:ADC851968 AMY786434:AMY851968 AWU786434:AWU851968 BGQ786434:BGQ851968 BQM786434:BQM851968 CAI786434:CAI851968 CKE786434:CKE851968 CUA786434:CUA851968 DDW786434:DDW851968 DNS786434:DNS851968 DXO786434:DXO851968 EHK786434:EHK851968 ERG786434:ERG851968 FBC786434:FBC851968 FKY786434:FKY851968 FUU786434:FUU851968 GEQ786434:GEQ851968 GOM786434:GOM851968 GYI786434:GYI851968 HIE786434:HIE851968 HSA786434:HSA851968 IBW786434:IBW851968 ILS786434:ILS851968 IVO786434:IVO851968 JFK786434:JFK851968 JPG786434:JPG851968 JZC786434:JZC851968 KIY786434:KIY851968 KSU786434:KSU851968 LCQ786434:LCQ851968 LMM786434:LMM851968 LWI786434:LWI851968 MGE786434:MGE851968 MQA786434:MQA851968 MZW786434:MZW851968 NJS786434:NJS851968 NTO786434:NTO851968 ODK786434:ODK851968 ONG786434:ONG851968 OXC786434:OXC851968 PGY786434:PGY851968 PQU786434:PQU851968 QAQ786434:QAQ851968 QKM786434:QKM851968 QUI786434:QUI851968 REE786434:REE851968 ROA786434:ROA851968 RXW786434:RXW851968 SHS786434:SHS851968 SRO786434:SRO851968 TBK786434:TBK851968 TLG786434:TLG851968 TVC786434:TVC851968 UEY786434:UEY851968 UOU786434:UOU851968 UYQ786434:UYQ851968 VIM786434:VIM851968 VSI786434:VSI851968 WCE786434:WCE851968 WMA786434:WMA851968 WVW786434:WVW851968 O851970:O917504 JK851970:JK917504 TG851970:TG917504 ADC851970:ADC917504 AMY851970:AMY917504 AWU851970:AWU917504 BGQ851970:BGQ917504 BQM851970:BQM917504 CAI851970:CAI917504 CKE851970:CKE917504 CUA851970:CUA917504 DDW851970:DDW917504 DNS851970:DNS917504 DXO851970:DXO917504 EHK851970:EHK917504 ERG851970:ERG917504 FBC851970:FBC917504 FKY851970:FKY917504 FUU851970:FUU917504 GEQ851970:GEQ917504 GOM851970:GOM917504 GYI851970:GYI917504 HIE851970:HIE917504 HSA851970:HSA917504 IBW851970:IBW917504 ILS851970:ILS917504 IVO851970:IVO917504 JFK851970:JFK917504 JPG851970:JPG917504 JZC851970:JZC917504 KIY851970:KIY917504 KSU851970:KSU917504 LCQ851970:LCQ917504 LMM851970:LMM917504 LWI851970:LWI917504 MGE851970:MGE917504 MQA851970:MQA917504 MZW851970:MZW917504 NJS851970:NJS917504 NTO851970:NTO917504 ODK851970:ODK917504 ONG851970:ONG917504 OXC851970:OXC917504 PGY851970:PGY917504 PQU851970:PQU917504 QAQ851970:QAQ917504 QKM851970:QKM917504 QUI851970:QUI917504 REE851970:REE917504 ROA851970:ROA917504 RXW851970:RXW917504 SHS851970:SHS917504 SRO851970:SRO917504 TBK851970:TBK917504 TLG851970:TLG917504 TVC851970:TVC917504 UEY851970:UEY917504 UOU851970:UOU917504 UYQ851970:UYQ917504 VIM851970:VIM917504 VSI851970:VSI917504 WCE851970:WCE917504 WMA851970:WMA917504 WVW851970:WVW917504 O917506:O983040 JK917506:JK983040 TG917506:TG983040 ADC917506:ADC983040 AMY917506:AMY983040 AWU917506:AWU983040 BGQ917506:BGQ983040 BQM917506:BQM983040 CAI917506:CAI983040 CKE917506:CKE983040 CUA917506:CUA983040 DDW917506:DDW983040 DNS917506:DNS983040 DXO917506:DXO983040 EHK917506:EHK983040 ERG917506:ERG983040 FBC917506:FBC983040 FKY917506:FKY983040 FUU917506:FUU983040 GEQ917506:GEQ983040 GOM917506:GOM983040 GYI917506:GYI983040 HIE917506:HIE983040 HSA917506:HSA983040 IBW917506:IBW983040 ILS917506:ILS983040 IVO917506:IVO983040 JFK917506:JFK983040 JPG917506:JPG983040 JZC917506:JZC983040 KIY917506:KIY983040 KSU917506:KSU983040 LCQ917506:LCQ983040 LMM917506:LMM983040 LWI917506:LWI983040 MGE917506:MGE983040 MQA917506:MQA983040 MZW917506:MZW983040 NJS917506:NJS983040 NTO917506:NTO983040 ODK917506:ODK983040 ONG917506:ONG983040 OXC917506:OXC983040 PGY917506:PGY983040 PQU917506:PQU983040 QAQ917506:QAQ983040 QKM917506:QKM983040 QUI917506:QUI983040 REE917506:REE983040 ROA917506:ROA983040 RXW917506:RXW983040 SHS917506:SHS983040 SRO917506:SRO983040 TBK917506:TBK983040 TLG917506:TLG983040 TVC917506:TVC983040 UEY917506:UEY983040 UOU917506:UOU983040 UYQ917506:UYQ983040 VIM917506:VIM983040 VSI917506:VSI983040 WCE917506:WCE983040 WMA917506:WMA983040 WVW917506:WVW983040 O983042:O1048576 JK983042:JK1048576 TG983042:TG1048576 ADC983042:ADC1048576 AMY983042:AMY1048576 AWU983042:AWU1048576 BGQ983042:BGQ1048576 BQM983042:BQM1048576 CAI983042:CAI1048576 CKE983042:CKE1048576 CUA983042:CUA1048576 DDW983042:DDW1048576 DNS983042:DNS1048576 DXO983042:DXO1048576 EHK983042:EHK1048576 ERG983042:ERG1048576 FBC983042:FBC1048576 FKY983042:FKY1048576 FUU983042:FUU1048576 GEQ983042:GEQ1048576 GOM983042:GOM1048576 GYI983042:GYI1048576 HIE983042:HIE1048576 HSA983042:HSA1048576 IBW983042:IBW1048576 ILS983042:ILS1048576 IVO983042:IVO1048576 JFK983042:JFK1048576 JPG983042:JPG1048576 JZC983042:JZC1048576 KIY983042:KIY1048576 KSU983042:KSU1048576 LCQ983042:LCQ1048576 LMM983042:LMM1048576 LWI983042:LWI1048576 MGE983042:MGE1048576 MQA983042:MQA1048576 MZW983042:MZW1048576 NJS983042:NJS1048576 NTO983042:NTO1048576 ODK983042:ODK1048576 ONG983042:ONG1048576 OXC983042:OXC1048576 PGY983042:PGY1048576 PQU983042:PQU1048576 QAQ983042:QAQ1048576 QKM983042:QKM1048576 QUI983042:QUI1048576 REE983042:REE1048576 ROA983042:ROA1048576 RXW983042:RXW1048576 SHS983042:SHS1048576 SRO983042:SRO1048576 TBK983042:TBK1048576 TLG983042:TLG1048576 TVC983042:TVC1048576 UEY983042:UEY1048576 UOU983042:UOU1048576 UYQ983042:UYQ1048576 VIM983042:VIM1048576 VSI983042:VSI1048576 WCE983042:WCE1048576 WMA983042:WMA1048576 WVW983042:WVW1048576 E2:E65536 JA2:JA65536 SW2:SW65536 ACS2:ACS65536 AMO2:AMO65536 AWK2:AWK65536 BGG2:BGG65536 BQC2:BQC65536 BZY2:BZY65536 CJU2:CJU65536 CTQ2:CTQ65536 DDM2:DDM65536 DNI2:DNI65536 DXE2:DXE65536 EHA2:EHA65536 EQW2:EQW65536 FAS2:FAS65536 FKO2:FKO65536 FUK2:FUK65536 GEG2:GEG65536 GOC2:GOC65536 GXY2:GXY65536 HHU2:HHU65536 HRQ2:HRQ65536 IBM2:IBM65536 ILI2:ILI65536 IVE2:IVE65536 JFA2:JFA65536 JOW2:JOW65536 JYS2:JYS65536 KIO2:KIO65536 KSK2:KSK65536 LCG2:LCG65536 LMC2:LMC65536 LVY2:LVY65536 MFU2:MFU65536 MPQ2:MPQ65536 MZM2:MZM65536 NJI2:NJI65536 NTE2:NTE65536 ODA2:ODA65536 OMW2:OMW65536 OWS2:OWS65536 PGO2:PGO65536 PQK2:PQK65536 QAG2:QAG65536 QKC2:QKC65536 QTY2:QTY65536 RDU2:RDU65536 RNQ2:RNQ65536 RXM2:RXM65536 SHI2:SHI65536 SRE2:SRE65536 TBA2:TBA65536 TKW2:TKW65536 TUS2:TUS65536 UEO2:UEO65536 UOK2:UOK65536 UYG2:UYG65536 VIC2:VIC65536 VRY2:VRY65536 WBU2:WBU65536 WLQ2:WLQ65536 WVM2:WVM65536 E65538:E131072 JA65538:JA131072 SW65538:SW131072 ACS65538:ACS131072 AMO65538:AMO131072 AWK65538:AWK131072 BGG65538:BGG131072 BQC65538:BQC131072 BZY65538:BZY131072 CJU65538:CJU131072 CTQ65538:CTQ131072 DDM65538:DDM131072 DNI65538:DNI131072 DXE65538:DXE131072 EHA65538:EHA131072 EQW65538:EQW131072 FAS65538:FAS131072 FKO65538:FKO131072 FUK65538:FUK131072 GEG65538:GEG131072 GOC65538:GOC131072 GXY65538:GXY131072 HHU65538:HHU131072 HRQ65538:HRQ131072 IBM65538:IBM131072 ILI65538:ILI131072 IVE65538:IVE131072 JFA65538:JFA131072 JOW65538:JOW131072 JYS65538:JYS131072 KIO65538:KIO131072 KSK65538:KSK131072 LCG65538:LCG131072 LMC65538:LMC131072 LVY65538:LVY131072 MFU65538:MFU131072 MPQ65538:MPQ131072 MZM65538:MZM131072 NJI65538:NJI131072 NTE65538:NTE131072 ODA65538:ODA131072 OMW65538:OMW131072 OWS65538:OWS131072 PGO65538:PGO131072 PQK65538:PQK131072 QAG65538:QAG131072 QKC65538:QKC131072 QTY65538:QTY131072 RDU65538:RDU131072 RNQ65538:RNQ131072 RXM65538:RXM131072 SHI65538:SHI131072 SRE65538:SRE131072 TBA65538:TBA131072 TKW65538:TKW131072 TUS65538:TUS131072 UEO65538:UEO131072 UOK65538:UOK131072 UYG65538:UYG131072 VIC65538:VIC131072 VRY65538:VRY131072 WBU65538:WBU131072 WLQ65538:WLQ131072 WVM65538:WVM131072 E131074:E196608 JA131074:JA196608 SW131074:SW196608 ACS131074:ACS196608 AMO131074:AMO196608 AWK131074:AWK196608 BGG131074:BGG196608 BQC131074:BQC196608 BZY131074:BZY196608 CJU131074:CJU196608 CTQ131074:CTQ196608 DDM131074:DDM196608 DNI131074:DNI196608 DXE131074:DXE196608 EHA131074:EHA196608 EQW131074:EQW196608 FAS131074:FAS196608 FKO131074:FKO196608 FUK131074:FUK196608 GEG131074:GEG196608 GOC131074:GOC196608 GXY131074:GXY196608 HHU131074:HHU196608 HRQ131074:HRQ196608 IBM131074:IBM196608 ILI131074:ILI196608 IVE131074:IVE196608 JFA131074:JFA196608 JOW131074:JOW196608 JYS131074:JYS196608 KIO131074:KIO196608 KSK131074:KSK196608 LCG131074:LCG196608 LMC131074:LMC196608 LVY131074:LVY196608 MFU131074:MFU196608 MPQ131074:MPQ196608 MZM131074:MZM196608 NJI131074:NJI196608 NTE131074:NTE196608 ODA131074:ODA196608 OMW131074:OMW196608 OWS131074:OWS196608 PGO131074:PGO196608 PQK131074:PQK196608 QAG131074:QAG196608 QKC131074:QKC196608 QTY131074:QTY196608 RDU131074:RDU196608 RNQ131074:RNQ196608 RXM131074:RXM196608 SHI131074:SHI196608 SRE131074:SRE196608 TBA131074:TBA196608 TKW131074:TKW196608 TUS131074:TUS196608 UEO131074:UEO196608 UOK131074:UOK196608 UYG131074:UYG196608 VIC131074:VIC196608 VRY131074:VRY196608 WBU131074:WBU196608 WLQ131074:WLQ196608 WVM131074:WVM196608 E196610:E262144 JA196610:JA262144 SW196610:SW262144 ACS196610:ACS262144 AMO196610:AMO262144 AWK196610:AWK262144 BGG196610:BGG262144 BQC196610:BQC262144 BZY196610:BZY262144 CJU196610:CJU262144 CTQ196610:CTQ262144 DDM196610:DDM262144 DNI196610:DNI262144 DXE196610:DXE262144 EHA196610:EHA262144 EQW196610:EQW262144 FAS196610:FAS262144 FKO196610:FKO262144 FUK196610:FUK262144 GEG196610:GEG262144 GOC196610:GOC262144 GXY196610:GXY262144 HHU196610:HHU262144 HRQ196610:HRQ262144 IBM196610:IBM262144 ILI196610:ILI262144 IVE196610:IVE262144 JFA196610:JFA262144 JOW196610:JOW262144 JYS196610:JYS262144 KIO196610:KIO262144 KSK196610:KSK262144 LCG196610:LCG262144 LMC196610:LMC262144 LVY196610:LVY262144 MFU196610:MFU262144 MPQ196610:MPQ262144 MZM196610:MZM262144 NJI196610:NJI262144 NTE196610:NTE262144 ODA196610:ODA262144 OMW196610:OMW262144 OWS196610:OWS262144 PGO196610:PGO262144 PQK196610:PQK262144 QAG196610:QAG262144 QKC196610:QKC262144 QTY196610:QTY262144 RDU196610:RDU262144 RNQ196610:RNQ262144 RXM196610:RXM262144 SHI196610:SHI262144 SRE196610:SRE262144 TBA196610:TBA262144 TKW196610:TKW262144 TUS196610:TUS262144 UEO196610:UEO262144 UOK196610:UOK262144 UYG196610:UYG262144 VIC196610:VIC262144 VRY196610:VRY262144 WBU196610:WBU262144 WLQ196610:WLQ262144 WVM196610:WVM262144 E262146:E327680 JA262146:JA327680 SW262146:SW327680 ACS262146:ACS327680 AMO262146:AMO327680 AWK262146:AWK327680 BGG262146:BGG327680 BQC262146:BQC327680 BZY262146:BZY327680 CJU262146:CJU327680 CTQ262146:CTQ327680 DDM262146:DDM327680 DNI262146:DNI327680 DXE262146:DXE327680 EHA262146:EHA327680 EQW262146:EQW327680 FAS262146:FAS327680 FKO262146:FKO327680 FUK262146:FUK327680 GEG262146:GEG327680 GOC262146:GOC327680 GXY262146:GXY327680 HHU262146:HHU327680 HRQ262146:HRQ327680 IBM262146:IBM327680 ILI262146:ILI327680 IVE262146:IVE327680 JFA262146:JFA327680 JOW262146:JOW327680 JYS262146:JYS327680 KIO262146:KIO327680 KSK262146:KSK327680 LCG262146:LCG327680 LMC262146:LMC327680 LVY262146:LVY327680 MFU262146:MFU327680 MPQ262146:MPQ327680 MZM262146:MZM327680 NJI262146:NJI327680 NTE262146:NTE327680 ODA262146:ODA327680 OMW262146:OMW327680 OWS262146:OWS327680 PGO262146:PGO327680 PQK262146:PQK327680 QAG262146:QAG327680 QKC262146:QKC327680 QTY262146:QTY327680 RDU262146:RDU327680 RNQ262146:RNQ327680 RXM262146:RXM327680 SHI262146:SHI327680 SRE262146:SRE327680 TBA262146:TBA327680 TKW262146:TKW327680 TUS262146:TUS327680 UEO262146:UEO327680 UOK262146:UOK327680 UYG262146:UYG327680 VIC262146:VIC327680 VRY262146:VRY327680 WBU262146:WBU327680 WLQ262146:WLQ327680 WVM262146:WVM327680 E327682:E393216 JA327682:JA393216 SW327682:SW393216 ACS327682:ACS393216 AMO327682:AMO393216 AWK327682:AWK393216 BGG327682:BGG393216 BQC327682:BQC393216 BZY327682:BZY393216 CJU327682:CJU393216 CTQ327682:CTQ393216 DDM327682:DDM393216 DNI327682:DNI393216 DXE327682:DXE393216 EHA327682:EHA393216 EQW327682:EQW393216 FAS327682:FAS393216 FKO327682:FKO393216 FUK327682:FUK393216 GEG327682:GEG393216 GOC327682:GOC393216 GXY327682:GXY393216 HHU327682:HHU393216 HRQ327682:HRQ393216 IBM327682:IBM393216 ILI327682:ILI393216 IVE327682:IVE393216 JFA327682:JFA393216 JOW327682:JOW393216 JYS327682:JYS393216 KIO327682:KIO393216 KSK327682:KSK393216 LCG327682:LCG393216 LMC327682:LMC393216 LVY327682:LVY393216 MFU327682:MFU393216 MPQ327682:MPQ393216 MZM327682:MZM393216 NJI327682:NJI393216 NTE327682:NTE393216 ODA327682:ODA393216 OMW327682:OMW393216 OWS327682:OWS393216 PGO327682:PGO393216 PQK327682:PQK393216 QAG327682:QAG393216 QKC327682:QKC393216 QTY327682:QTY393216 RDU327682:RDU393216 RNQ327682:RNQ393216 RXM327682:RXM393216 SHI327682:SHI393216 SRE327682:SRE393216 TBA327682:TBA393216 TKW327682:TKW393216 TUS327682:TUS393216 UEO327682:UEO393216 UOK327682:UOK393216 UYG327682:UYG393216 VIC327682:VIC393216 VRY327682:VRY393216 WBU327682:WBU393216 WLQ327682:WLQ393216 WVM327682:WVM393216 E393218:E458752 JA393218:JA458752 SW393218:SW458752 ACS393218:ACS458752 AMO393218:AMO458752 AWK393218:AWK458752 BGG393218:BGG458752 BQC393218:BQC458752 BZY393218:BZY458752 CJU393218:CJU458752 CTQ393218:CTQ458752 DDM393218:DDM458752 DNI393218:DNI458752 DXE393218:DXE458752 EHA393218:EHA458752 EQW393218:EQW458752 FAS393218:FAS458752 FKO393218:FKO458752 FUK393218:FUK458752 GEG393218:GEG458752 GOC393218:GOC458752 GXY393218:GXY458752 HHU393218:HHU458752 HRQ393218:HRQ458752 IBM393218:IBM458752 ILI393218:ILI458752 IVE393218:IVE458752 JFA393218:JFA458752 JOW393218:JOW458752 JYS393218:JYS458752 KIO393218:KIO458752 KSK393218:KSK458752 LCG393218:LCG458752 LMC393218:LMC458752 LVY393218:LVY458752 MFU393218:MFU458752 MPQ393218:MPQ458752 MZM393218:MZM458752 NJI393218:NJI458752 NTE393218:NTE458752 ODA393218:ODA458752 OMW393218:OMW458752 OWS393218:OWS458752 PGO393218:PGO458752 PQK393218:PQK458752 QAG393218:QAG458752 QKC393218:QKC458752 QTY393218:QTY458752 RDU393218:RDU458752 RNQ393218:RNQ458752 RXM393218:RXM458752 SHI393218:SHI458752 SRE393218:SRE458752 TBA393218:TBA458752 TKW393218:TKW458752 TUS393218:TUS458752 UEO393218:UEO458752 UOK393218:UOK458752 UYG393218:UYG458752 VIC393218:VIC458752 VRY393218:VRY458752 WBU393218:WBU458752 WLQ393218:WLQ458752 WVM393218:WVM458752 E458754:E524288 JA458754:JA524288 SW458754:SW524288 ACS458754:ACS524288 AMO458754:AMO524288 AWK458754:AWK524288 BGG458754:BGG524288 BQC458754:BQC524288 BZY458754:BZY524288 CJU458754:CJU524288 CTQ458754:CTQ524288 DDM458754:DDM524288 DNI458754:DNI524288 DXE458754:DXE524288 EHA458754:EHA524288 EQW458754:EQW524288 FAS458754:FAS524288 FKO458754:FKO524288 FUK458754:FUK524288 GEG458754:GEG524288 GOC458754:GOC524288 GXY458754:GXY524288 HHU458754:HHU524288 HRQ458754:HRQ524288 IBM458754:IBM524288 ILI458754:ILI524288 IVE458754:IVE524288 JFA458754:JFA524288 JOW458754:JOW524288 JYS458754:JYS524288 KIO458754:KIO524288 KSK458754:KSK524288 LCG458754:LCG524288 LMC458754:LMC524288 LVY458754:LVY524288 MFU458754:MFU524288 MPQ458754:MPQ524288 MZM458754:MZM524288 NJI458754:NJI524288 NTE458754:NTE524288 ODA458754:ODA524288 OMW458754:OMW524288 OWS458754:OWS524288 PGO458754:PGO524288 PQK458754:PQK524288 QAG458754:QAG524288 QKC458754:QKC524288 QTY458754:QTY524288 RDU458754:RDU524288 RNQ458754:RNQ524288 RXM458754:RXM524288 SHI458754:SHI524288 SRE458754:SRE524288 TBA458754:TBA524288 TKW458754:TKW524288 TUS458754:TUS524288 UEO458754:UEO524288 UOK458754:UOK524288 UYG458754:UYG524288 VIC458754:VIC524288 VRY458754:VRY524288 WBU458754:WBU524288 WLQ458754:WLQ524288 WVM458754:WVM524288 E524290:E589824 JA524290:JA589824 SW524290:SW589824 ACS524290:ACS589824 AMO524290:AMO589824 AWK524290:AWK589824 BGG524290:BGG589824 BQC524290:BQC589824 BZY524290:BZY589824 CJU524290:CJU589824 CTQ524290:CTQ589824 DDM524290:DDM589824 DNI524290:DNI589824 DXE524290:DXE589824 EHA524290:EHA589824 EQW524290:EQW589824 FAS524290:FAS589824 FKO524290:FKO589824 FUK524290:FUK589824 GEG524290:GEG589824 GOC524290:GOC589824 GXY524290:GXY589824 HHU524290:HHU589824 HRQ524290:HRQ589824 IBM524290:IBM589824 ILI524290:ILI589824 IVE524290:IVE589824 JFA524290:JFA589824 JOW524290:JOW589824 JYS524290:JYS589824 KIO524290:KIO589824 KSK524290:KSK589824 LCG524290:LCG589824 LMC524290:LMC589824 LVY524290:LVY589824 MFU524290:MFU589824 MPQ524290:MPQ589824 MZM524290:MZM589824 NJI524290:NJI589824 NTE524290:NTE589824 ODA524290:ODA589824 OMW524290:OMW589824 OWS524290:OWS589824 PGO524290:PGO589824 PQK524290:PQK589824 QAG524290:QAG589824 QKC524290:QKC589824 QTY524290:QTY589824 RDU524290:RDU589824 RNQ524290:RNQ589824 RXM524290:RXM589824 SHI524290:SHI589824 SRE524290:SRE589824 TBA524290:TBA589824 TKW524290:TKW589824 TUS524290:TUS589824 UEO524290:UEO589824 UOK524290:UOK589824 UYG524290:UYG589824 VIC524290:VIC589824 VRY524290:VRY589824 WBU524290:WBU589824 WLQ524290:WLQ589824 WVM524290:WVM589824 E589826:E655360 JA589826:JA655360 SW589826:SW655360 ACS589826:ACS655360 AMO589826:AMO655360 AWK589826:AWK655360 BGG589826:BGG655360 BQC589826:BQC655360 BZY589826:BZY655360 CJU589826:CJU655360 CTQ589826:CTQ655360 DDM589826:DDM655360 DNI589826:DNI655360 DXE589826:DXE655360 EHA589826:EHA655360 EQW589826:EQW655360 FAS589826:FAS655360 FKO589826:FKO655360 FUK589826:FUK655360 GEG589826:GEG655360 GOC589826:GOC655360 GXY589826:GXY655360 HHU589826:HHU655360 HRQ589826:HRQ655360 IBM589826:IBM655360 ILI589826:ILI655360 IVE589826:IVE655360 JFA589826:JFA655360 JOW589826:JOW655360 JYS589826:JYS655360 KIO589826:KIO655360 KSK589826:KSK655360 LCG589826:LCG655360 LMC589826:LMC655360 LVY589826:LVY655360 MFU589826:MFU655360 MPQ589826:MPQ655360 MZM589826:MZM655360 NJI589826:NJI655360 NTE589826:NTE655360 ODA589826:ODA655360 OMW589826:OMW655360 OWS589826:OWS655360 PGO589826:PGO655360 PQK589826:PQK655360 QAG589826:QAG655360 QKC589826:QKC655360 QTY589826:QTY655360 RDU589826:RDU655360 RNQ589826:RNQ655360 RXM589826:RXM655360 SHI589826:SHI655360 SRE589826:SRE655360 TBA589826:TBA655360 TKW589826:TKW655360 TUS589826:TUS655360 UEO589826:UEO655360 UOK589826:UOK655360 UYG589826:UYG655360 VIC589826:VIC655360 VRY589826:VRY655360 WBU589826:WBU655360 WLQ589826:WLQ655360 WVM589826:WVM655360 E655362:E720896 JA655362:JA720896 SW655362:SW720896 ACS655362:ACS720896 AMO655362:AMO720896 AWK655362:AWK720896 BGG655362:BGG720896 BQC655362:BQC720896 BZY655362:BZY720896 CJU655362:CJU720896 CTQ655362:CTQ720896 DDM655362:DDM720896 DNI655362:DNI720896 DXE655362:DXE720896 EHA655362:EHA720896 EQW655362:EQW720896 FAS655362:FAS720896 FKO655362:FKO720896 FUK655362:FUK720896 GEG655362:GEG720896 GOC655362:GOC720896 GXY655362:GXY720896 HHU655362:HHU720896 HRQ655362:HRQ720896 IBM655362:IBM720896 ILI655362:ILI720896 IVE655362:IVE720896 JFA655362:JFA720896 JOW655362:JOW720896 JYS655362:JYS720896 KIO655362:KIO720896 KSK655362:KSK720896 LCG655362:LCG720896 LMC655362:LMC720896 LVY655362:LVY720896 MFU655362:MFU720896 MPQ655362:MPQ720896 MZM655362:MZM720896 NJI655362:NJI720896 NTE655362:NTE720896 ODA655362:ODA720896 OMW655362:OMW720896 OWS655362:OWS720896 PGO655362:PGO720896 PQK655362:PQK720896 QAG655362:QAG720896 QKC655362:QKC720896 QTY655362:QTY720896 RDU655362:RDU720896 RNQ655362:RNQ720896 RXM655362:RXM720896 SHI655362:SHI720896 SRE655362:SRE720896 TBA655362:TBA720896 TKW655362:TKW720896 TUS655362:TUS720896 UEO655362:UEO720896 UOK655362:UOK720896 UYG655362:UYG720896 VIC655362:VIC720896 VRY655362:VRY720896 WBU655362:WBU720896 WLQ655362:WLQ720896 WVM655362:WVM720896 E720898:E786432 JA720898:JA786432 SW720898:SW786432 ACS720898:ACS786432 AMO720898:AMO786432 AWK720898:AWK786432 BGG720898:BGG786432 BQC720898:BQC786432 BZY720898:BZY786432 CJU720898:CJU786432 CTQ720898:CTQ786432 DDM720898:DDM786432 DNI720898:DNI786432 DXE720898:DXE786432 EHA720898:EHA786432 EQW720898:EQW786432 FAS720898:FAS786432 FKO720898:FKO786432 FUK720898:FUK786432 GEG720898:GEG786432 GOC720898:GOC786432 GXY720898:GXY786432 HHU720898:HHU786432 HRQ720898:HRQ786432 IBM720898:IBM786432 ILI720898:ILI786432 IVE720898:IVE786432 JFA720898:JFA786432 JOW720898:JOW786432 JYS720898:JYS786432 KIO720898:KIO786432 KSK720898:KSK786432 LCG720898:LCG786432 LMC720898:LMC786432 LVY720898:LVY786432 MFU720898:MFU786432 MPQ720898:MPQ786432 MZM720898:MZM786432 NJI720898:NJI786432 NTE720898:NTE786432 ODA720898:ODA786432 OMW720898:OMW786432 OWS720898:OWS786432 PGO720898:PGO786432 PQK720898:PQK786432 QAG720898:QAG786432 QKC720898:QKC786432 QTY720898:QTY786432 RDU720898:RDU786432 RNQ720898:RNQ786432 RXM720898:RXM786432 SHI720898:SHI786432 SRE720898:SRE786432 TBA720898:TBA786432 TKW720898:TKW786432 TUS720898:TUS786432 UEO720898:UEO786432 UOK720898:UOK786432 UYG720898:UYG786432 VIC720898:VIC786432 VRY720898:VRY786432 WBU720898:WBU786432 WLQ720898:WLQ786432 WVM720898:WVM786432 E786434:E851968 JA786434:JA851968 SW786434:SW851968 ACS786434:ACS851968 AMO786434:AMO851968 AWK786434:AWK851968 BGG786434:BGG851968 BQC786434:BQC851968 BZY786434:BZY851968 CJU786434:CJU851968 CTQ786434:CTQ851968 DDM786434:DDM851968 DNI786434:DNI851968 DXE786434:DXE851968 EHA786434:EHA851968 EQW786434:EQW851968 FAS786434:FAS851968 FKO786434:FKO851968 FUK786434:FUK851968 GEG786434:GEG851968 GOC786434:GOC851968 GXY786434:GXY851968 HHU786434:HHU851968 HRQ786434:HRQ851968 IBM786434:IBM851968 ILI786434:ILI851968 IVE786434:IVE851968 JFA786434:JFA851968 JOW786434:JOW851968 JYS786434:JYS851968 KIO786434:KIO851968 KSK786434:KSK851968 LCG786434:LCG851968 LMC786434:LMC851968 LVY786434:LVY851968 MFU786434:MFU851968 MPQ786434:MPQ851968 MZM786434:MZM851968 NJI786434:NJI851968 NTE786434:NTE851968 ODA786434:ODA851968 OMW786434:OMW851968 OWS786434:OWS851968 PGO786434:PGO851968 PQK786434:PQK851968 QAG786434:QAG851968 QKC786434:QKC851968 QTY786434:QTY851968 RDU786434:RDU851968 RNQ786434:RNQ851968 RXM786434:RXM851968 SHI786434:SHI851968 SRE786434:SRE851968 TBA786434:TBA851968 TKW786434:TKW851968 TUS786434:TUS851968 UEO786434:UEO851968 UOK786434:UOK851968 UYG786434:UYG851968 VIC786434:VIC851968 VRY786434:VRY851968 WBU786434:WBU851968 WLQ786434:WLQ851968 WVM786434:WVM851968 E851970:E917504 JA851970:JA917504 SW851970:SW917504 ACS851970:ACS917504 AMO851970:AMO917504 AWK851970:AWK917504 BGG851970:BGG917504 BQC851970:BQC917504 BZY851970:BZY917504 CJU851970:CJU917504 CTQ851970:CTQ917504 DDM851970:DDM917504 DNI851970:DNI917504 DXE851970:DXE917504 EHA851970:EHA917504 EQW851970:EQW917504 FAS851970:FAS917504 FKO851970:FKO917504 FUK851970:FUK917504 GEG851970:GEG917504 GOC851970:GOC917504 GXY851970:GXY917504 HHU851970:HHU917504 HRQ851970:HRQ917504 IBM851970:IBM917504 ILI851970:ILI917504 IVE851970:IVE917504 JFA851970:JFA917504 JOW851970:JOW917504 JYS851970:JYS917504 KIO851970:KIO917504 KSK851970:KSK917504 LCG851970:LCG917504 LMC851970:LMC917504 LVY851970:LVY917504 MFU851970:MFU917504 MPQ851970:MPQ917504 MZM851970:MZM917504 NJI851970:NJI917504 NTE851970:NTE917504 ODA851970:ODA917504 OMW851970:OMW917504 OWS851970:OWS917504 PGO851970:PGO917504 PQK851970:PQK917504 QAG851970:QAG917504 QKC851970:QKC917504 QTY851970:QTY917504 RDU851970:RDU917504 RNQ851970:RNQ917504 RXM851970:RXM917504 SHI851970:SHI917504 SRE851970:SRE917504 TBA851970:TBA917504 TKW851970:TKW917504 TUS851970:TUS917504 UEO851970:UEO917504 UOK851970:UOK917504 UYG851970:UYG917504 VIC851970:VIC917504 VRY851970:VRY917504 WBU851970:WBU917504 WLQ851970:WLQ917504 WVM851970:WVM917504 E917506:E983040 JA917506:JA983040 SW917506:SW983040 ACS917506:ACS983040 AMO917506:AMO983040 AWK917506:AWK983040 BGG917506:BGG983040 BQC917506:BQC983040 BZY917506:BZY983040 CJU917506:CJU983040 CTQ917506:CTQ983040 DDM917506:DDM983040 DNI917506:DNI983040 DXE917506:DXE983040 EHA917506:EHA983040 EQW917506:EQW983040 FAS917506:FAS983040 FKO917506:FKO983040 FUK917506:FUK983040 GEG917506:GEG983040 GOC917506:GOC983040 GXY917506:GXY983040 HHU917506:HHU983040 HRQ917506:HRQ983040 IBM917506:IBM983040 ILI917506:ILI983040 IVE917506:IVE983040 JFA917506:JFA983040 JOW917506:JOW983040 JYS917506:JYS983040 KIO917506:KIO983040 KSK917506:KSK983040 LCG917506:LCG983040 LMC917506:LMC983040 LVY917506:LVY983040 MFU917506:MFU983040 MPQ917506:MPQ983040 MZM917506:MZM983040 NJI917506:NJI983040 NTE917506:NTE983040 ODA917506:ODA983040 OMW917506:OMW983040 OWS917506:OWS983040 PGO917506:PGO983040 PQK917506:PQK983040 QAG917506:QAG983040 QKC917506:QKC983040 QTY917506:QTY983040 RDU917506:RDU983040 RNQ917506:RNQ983040 RXM917506:RXM983040 SHI917506:SHI983040 SRE917506:SRE983040 TBA917506:TBA983040 TKW917506:TKW983040 TUS917506:TUS983040 UEO917506:UEO983040 UOK917506:UOK983040 UYG917506:UYG983040 VIC917506:VIC983040 VRY917506:VRY983040 WBU917506:WBU983040 WLQ917506:WLQ983040 WVM917506:WVM983040 E983042:E1048576 JA983042:JA1048576 SW983042:SW1048576 ACS983042:ACS1048576 AMO983042:AMO1048576 AWK983042:AWK1048576 BGG983042:BGG1048576 BQC983042:BQC1048576 BZY983042:BZY1048576 CJU983042:CJU1048576 CTQ983042:CTQ1048576 DDM983042:DDM1048576 DNI983042:DNI1048576 DXE983042:DXE1048576 EHA983042:EHA1048576 EQW983042:EQW1048576 FAS983042:FAS1048576 FKO983042:FKO1048576 FUK983042:FUK1048576 GEG983042:GEG1048576 GOC983042:GOC1048576 GXY983042:GXY1048576 HHU983042:HHU1048576 HRQ983042:HRQ1048576 IBM983042:IBM1048576 ILI983042:ILI1048576 IVE983042:IVE1048576 JFA983042:JFA1048576 JOW983042:JOW1048576 JYS983042:JYS1048576 KIO983042:KIO1048576 KSK983042:KSK1048576 LCG983042:LCG1048576 LMC983042:LMC1048576 LVY983042:LVY1048576 MFU983042:MFU1048576 MPQ983042:MPQ1048576 MZM983042:MZM1048576 NJI983042:NJI1048576 NTE983042:NTE1048576 ODA983042:ODA1048576 OMW983042:OMW1048576 OWS983042:OWS1048576 PGO983042:PGO1048576 PQK983042:PQK1048576 QAG983042:QAG1048576 QKC983042:QKC1048576 QTY983042:QTY1048576 RDU983042:RDU1048576 RNQ983042:RNQ1048576 RXM983042:RXM1048576 SHI983042:SHI1048576 SRE983042:SRE1048576 TBA983042:TBA1048576 TKW983042:TKW1048576 TUS983042:TUS1048576 UEO983042:UEO1048576 UOK983042:UOK1048576 UYG983042:UYG1048576 VIC983042:VIC1048576 VRY983042:VRY1048576 WBU983042:WBU1048576 WLQ983042:WLQ1048576 WVM983042:WVM1048576 S2:S65536 JO2:JO65536 TK2:TK65536 ADG2:ADG65536 ANC2:ANC65536 AWY2:AWY65536 BGU2:BGU65536 BQQ2:BQQ65536 CAM2:CAM65536 CKI2:CKI65536 CUE2:CUE65536 DEA2:DEA65536 DNW2:DNW65536 DXS2:DXS65536 EHO2:EHO65536 ERK2:ERK65536 FBG2:FBG65536 FLC2:FLC65536 FUY2:FUY65536 GEU2:GEU65536 GOQ2:GOQ65536 GYM2:GYM65536 HII2:HII65536 HSE2:HSE65536 ICA2:ICA65536 ILW2:ILW65536 IVS2:IVS65536 JFO2:JFO65536 JPK2:JPK65536 JZG2:JZG65536 KJC2:KJC65536 KSY2:KSY65536 LCU2:LCU65536 LMQ2:LMQ65536 LWM2:LWM65536 MGI2:MGI65536 MQE2:MQE65536 NAA2:NAA65536 NJW2:NJW65536 NTS2:NTS65536 ODO2:ODO65536 ONK2:ONK65536 OXG2:OXG65536 PHC2:PHC65536 PQY2:PQY65536 QAU2:QAU65536 QKQ2:QKQ65536 QUM2:QUM65536 REI2:REI65536 ROE2:ROE65536 RYA2:RYA65536 SHW2:SHW65536 SRS2:SRS65536 TBO2:TBO65536 TLK2:TLK65536 TVG2:TVG65536 UFC2:UFC65536 UOY2:UOY65536 UYU2:UYU65536 VIQ2:VIQ65536 VSM2:VSM65536 WCI2:WCI65536 WME2:WME65536 WWA2:WWA65536 S65538:S131072 JO65538:JO131072 TK65538:TK131072 ADG65538:ADG131072 ANC65538:ANC131072 AWY65538:AWY131072 BGU65538:BGU131072 BQQ65538:BQQ131072 CAM65538:CAM131072 CKI65538:CKI131072 CUE65538:CUE131072 DEA65538:DEA131072 DNW65538:DNW131072 DXS65538:DXS131072 EHO65538:EHO131072 ERK65538:ERK131072 FBG65538:FBG131072 FLC65538:FLC131072 FUY65538:FUY131072 GEU65538:GEU131072 GOQ65538:GOQ131072 GYM65538:GYM131072 HII65538:HII131072 HSE65538:HSE131072 ICA65538:ICA131072 ILW65538:ILW131072 IVS65538:IVS131072 JFO65538:JFO131072 JPK65538:JPK131072 JZG65538:JZG131072 KJC65538:KJC131072 KSY65538:KSY131072 LCU65538:LCU131072 LMQ65538:LMQ131072 LWM65538:LWM131072 MGI65538:MGI131072 MQE65538:MQE131072 NAA65538:NAA131072 NJW65538:NJW131072 NTS65538:NTS131072 ODO65538:ODO131072 ONK65538:ONK131072 OXG65538:OXG131072 PHC65538:PHC131072 PQY65538:PQY131072 QAU65538:QAU131072 QKQ65538:QKQ131072 QUM65538:QUM131072 REI65538:REI131072 ROE65538:ROE131072 RYA65538:RYA131072 SHW65538:SHW131072 SRS65538:SRS131072 TBO65538:TBO131072 TLK65538:TLK131072 TVG65538:TVG131072 UFC65538:UFC131072 UOY65538:UOY131072 UYU65538:UYU131072 VIQ65538:VIQ131072 VSM65538:VSM131072 WCI65538:WCI131072 WME65538:WME131072 WWA65538:WWA131072 S131074:S196608 JO131074:JO196608 TK131074:TK196608 ADG131074:ADG196608 ANC131074:ANC196608 AWY131074:AWY196608 BGU131074:BGU196608 BQQ131074:BQQ196608 CAM131074:CAM196608 CKI131074:CKI196608 CUE131074:CUE196608 DEA131074:DEA196608 DNW131074:DNW196608 DXS131074:DXS196608 EHO131074:EHO196608 ERK131074:ERK196608 FBG131074:FBG196608 FLC131074:FLC196608 FUY131074:FUY196608 GEU131074:GEU196608 GOQ131074:GOQ196608 GYM131074:GYM196608 HII131074:HII196608 HSE131074:HSE196608 ICA131074:ICA196608 ILW131074:ILW196608 IVS131074:IVS196608 JFO131074:JFO196608 JPK131074:JPK196608 JZG131074:JZG196608 KJC131074:KJC196608 KSY131074:KSY196608 LCU131074:LCU196608 LMQ131074:LMQ196608 LWM131074:LWM196608 MGI131074:MGI196608 MQE131074:MQE196608 NAA131074:NAA196608 NJW131074:NJW196608 NTS131074:NTS196608 ODO131074:ODO196608 ONK131074:ONK196608 OXG131074:OXG196608 PHC131074:PHC196608 PQY131074:PQY196608 QAU131074:QAU196608 QKQ131074:QKQ196608 QUM131074:QUM196608 REI131074:REI196608 ROE131074:ROE196608 RYA131074:RYA196608 SHW131074:SHW196608 SRS131074:SRS196608 TBO131074:TBO196608 TLK131074:TLK196608 TVG131074:TVG196608 UFC131074:UFC196608 UOY131074:UOY196608 UYU131074:UYU196608 VIQ131074:VIQ196608 VSM131074:VSM196608 WCI131074:WCI196608 WME131074:WME196608 WWA131074:WWA196608 S196610:S262144 JO196610:JO262144 TK196610:TK262144 ADG196610:ADG262144 ANC196610:ANC262144 AWY196610:AWY262144 BGU196610:BGU262144 BQQ196610:BQQ262144 CAM196610:CAM262144 CKI196610:CKI262144 CUE196610:CUE262144 DEA196610:DEA262144 DNW196610:DNW262144 DXS196610:DXS262144 EHO196610:EHO262144 ERK196610:ERK262144 FBG196610:FBG262144 FLC196610:FLC262144 FUY196610:FUY262144 GEU196610:GEU262144 GOQ196610:GOQ262144 GYM196610:GYM262144 HII196610:HII262144 HSE196610:HSE262144 ICA196610:ICA262144 ILW196610:ILW262144 IVS196610:IVS262144 JFO196610:JFO262144 JPK196610:JPK262144 JZG196610:JZG262144 KJC196610:KJC262144 KSY196610:KSY262144 LCU196610:LCU262144 LMQ196610:LMQ262144 LWM196610:LWM262144 MGI196610:MGI262144 MQE196610:MQE262144 NAA196610:NAA262144 NJW196610:NJW262144 NTS196610:NTS262144 ODO196610:ODO262144 ONK196610:ONK262144 OXG196610:OXG262144 PHC196610:PHC262144 PQY196610:PQY262144 QAU196610:QAU262144 QKQ196610:QKQ262144 QUM196610:QUM262144 REI196610:REI262144 ROE196610:ROE262144 RYA196610:RYA262144 SHW196610:SHW262144 SRS196610:SRS262144 TBO196610:TBO262144 TLK196610:TLK262144 TVG196610:TVG262144 UFC196610:UFC262144 UOY196610:UOY262144 UYU196610:UYU262144 VIQ196610:VIQ262144 VSM196610:VSM262144 WCI196610:WCI262144 WME196610:WME262144 WWA196610:WWA262144 S262146:S327680 JO262146:JO327680 TK262146:TK327680 ADG262146:ADG327680 ANC262146:ANC327680 AWY262146:AWY327680 BGU262146:BGU327680 BQQ262146:BQQ327680 CAM262146:CAM327680 CKI262146:CKI327680 CUE262146:CUE327680 DEA262146:DEA327680 DNW262146:DNW327680 DXS262146:DXS327680 EHO262146:EHO327680 ERK262146:ERK327680 FBG262146:FBG327680 FLC262146:FLC327680 FUY262146:FUY327680 GEU262146:GEU327680 GOQ262146:GOQ327680 GYM262146:GYM327680 HII262146:HII327680 HSE262146:HSE327680 ICA262146:ICA327680 ILW262146:ILW327680 IVS262146:IVS327680 JFO262146:JFO327680 JPK262146:JPK327680 JZG262146:JZG327680 KJC262146:KJC327680 KSY262146:KSY327680 LCU262146:LCU327680 LMQ262146:LMQ327680 LWM262146:LWM327680 MGI262146:MGI327680 MQE262146:MQE327680 NAA262146:NAA327680 NJW262146:NJW327680 NTS262146:NTS327680 ODO262146:ODO327680 ONK262146:ONK327680 OXG262146:OXG327680 PHC262146:PHC327680 PQY262146:PQY327680 QAU262146:QAU327680 QKQ262146:QKQ327680 QUM262146:QUM327680 REI262146:REI327680 ROE262146:ROE327680 RYA262146:RYA327680 SHW262146:SHW327680 SRS262146:SRS327680 TBO262146:TBO327680 TLK262146:TLK327680 TVG262146:TVG327680 UFC262146:UFC327680 UOY262146:UOY327680 UYU262146:UYU327680 VIQ262146:VIQ327680 VSM262146:VSM327680 WCI262146:WCI327680 WME262146:WME327680 WWA262146:WWA327680 S327682:S393216 JO327682:JO393216 TK327682:TK393216 ADG327682:ADG393216 ANC327682:ANC393216 AWY327682:AWY393216 BGU327682:BGU393216 BQQ327682:BQQ393216 CAM327682:CAM393216 CKI327682:CKI393216 CUE327682:CUE393216 DEA327682:DEA393216 DNW327682:DNW393216 DXS327682:DXS393216 EHO327682:EHO393216 ERK327682:ERK393216 FBG327682:FBG393216 FLC327682:FLC393216 FUY327682:FUY393216 GEU327682:GEU393216 GOQ327682:GOQ393216 GYM327682:GYM393216 HII327682:HII393216 HSE327682:HSE393216 ICA327682:ICA393216 ILW327682:ILW393216 IVS327682:IVS393216 JFO327682:JFO393216 JPK327682:JPK393216 JZG327682:JZG393216 KJC327682:KJC393216 KSY327682:KSY393216 LCU327682:LCU393216 LMQ327682:LMQ393216 LWM327682:LWM393216 MGI327682:MGI393216 MQE327682:MQE393216 NAA327682:NAA393216 NJW327682:NJW393216 NTS327682:NTS393216 ODO327682:ODO393216 ONK327682:ONK393216 OXG327682:OXG393216 PHC327682:PHC393216 PQY327682:PQY393216 QAU327682:QAU393216 QKQ327682:QKQ393216 QUM327682:QUM393216 REI327682:REI393216 ROE327682:ROE393216 RYA327682:RYA393216 SHW327682:SHW393216 SRS327682:SRS393216 TBO327682:TBO393216 TLK327682:TLK393216 TVG327682:TVG393216 UFC327682:UFC393216 UOY327682:UOY393216 UYU327682:UYU393216 VIQ327682:VIQ393216 VSM327682:VSM393216 WCI327682:WCI393216 WME327682:WME393216 WWA327682:WWA393216 S393218:S458752 JO393218:JO458752 TK393218:TK458752 ADG393218:ADG458752 ANC393218:ANC458752 AWY393218:AWY458752 BGU393218:BGU458752 BQQ393218:BQQ458752 CAM393218:CAM458752 CKI393218:CKI458752 CUE393218:CUE458752 DEA393218:DEA458752 DNW393218:DNW458752 DXS393218:DXS458752 EHO393218:EHO458752 ERK393218:ERK458752 FBG393218:FBG458752 FLC393218:FLC458752 FUY393218:FUY458752 GEU393218:GEU458752 GOQ393218:GOQ458752 GYM393218:GYM458752 HII393218:HII458752 HSE393218:HSE458752 ICA393218:ICA458752 ILW393218:ILW458752 IVS393218:IVS458752 JFO393218:JFO458752 JPK393218:JPK458752 JZG393218:JZG458752 KJC393218:KJC458752 KSY393218:KSY458752 LCU393218:LCU458752 LMQ393218:LMQ458752 LWM393218:LWM458752 MGI393218:MGI458752 MQE393218:MQE458752 NAA393218:NAA458752 NJW393218:NJW458752 NTS393218:NTS458752 ODO393218:ODO458752 ONK393218:ONK458752 OXG393218:OXG458752 PHC393218:PHC458752 PQY393218:PQY458752 QAU393218:QAU458752 QKQ393218:QKQ458752 QUM393218:QUM458752 REI393218:REI458752 ROE393218:ROE458752 RYA393218:RYA458752 SHW393218:SHW458752 SRS393218:SRS458752 TBO393218:TBO458752 TLK393218:TLK458752 TVG393218:TVG458752 UFC393218:UFC458752 UOY393218:UOY458752 UYU393218:UYU458752 VIQ393218:VIQ458752 VSM393218:VSM458752 WCI393218:WCI458752 WME393218:WME458752 WWA393218:WWA458752 S458754:S524288 JO458754:JO524288 TK458754:TK524288 ADG458754:ADG524288 ANC458754:ANC524288 AWY458754:AWY524288 BGU458754:BGU524288 BQQ458754:BQQ524288 CAM458754:CAM524288 CKI458754:CKI524288 CUE458754:CUE524288 DEA458754:DEA524288 DNW458754:DNW524288 DXS458754:DXS524288 EHO458754:EHO524288 ERK458754:ERK524288 FBG458754:FBG524288 FLC458754:FLC524288 FUY458754:FUY524288 GEU458754:GEU524288 GOQ458754:GOQ524288 GYM458754:GYM524288 HII458754:HII524288 HSE458754:HSE524288 ICA458754:ICA524288 ILW458754:ILW524288 IVS458754:IVS524288 JFO458754:JFO524288 JPK458754:JPK524288 JZG458754:JZG524288 KJC458754:KJC524288 KSY458754:KSY524288 LCU458754:LCU524288 LMQ458754:LMQ524288 LWM458754:LWM524288 MGI458754:MGI524288 MQE458754:MQE524288 NAA458754:NAA524288 NJW458754:NJW524288 NTS458754:NTS524288 ODO458754:ODO524288 ONK458754:ONK524288 OXG458754:OXG524288 PHC458754:PHC524288 PQY458754:PQY524288 QAU458754:QAU524288 QKQ458754:QKQ524288 QUM458754:QUM524288 REI458754:REI524288 ROE458754:ROE524288 RYA458754:RYA524288 SHW458754:SHW524288 SRS458754:SRS524288 TBO458754:TBO524288 TLK458754:TLK524288 TVG458754:TVG524288 UFC458754:UFC524288 UOY458754:UOY524288 UYU458754:UYU524288 VIQ458754:VIQ524288 VSM458754:VSM524288 WCI458754:WCI524288 WME458754:WME524288 WWA458754:WWA524288 S524290:S589824 JO524290:JO589824 TK524290:TK589824 ADG524290:ADG589824 ANC524290:ANC589824 AWY524290:AWY589824 BGU524290:BGU589824 BQQ524290:BQQ589824 CAM524290:CAM589824 CKI524290:CKI589824 CUE524290:CUE589824 DEA524290:DEA589824 DNW524290:DNW589824 DXS524290:DXS589824 EHO524290:EHO589824 ERK524290:ERK589824 FBG524290:FBG589824 FLC524290:FLC589824 FUY524290:FUY589824 GEU524290:GEU589824 GOQ524290:GOQ589824 GYM524290:GYM589824 HII524290:HII589824 HSE524290:HSE589824 ICA524290:ICA589824 ILW524290:ILW589824 IVS524290:IVS589824 JFO524290:JFO589824 JPK524290:JPK589824 JZG524290:JZG589824 KJC524290:KJC589824 KSY524290:KSY589824 LCU524290:LCU589824 LMQ524290:LMQ589824 LWM524290:LWM589824 MGI524290:MGI589824 MQE524290:MQE589824 NAA524290:NAA589824 NJW524290:NJW589824 NTS524290:NTS589824 ODO524290:ODO589824 ONK524290:ONK589824 OXG524290:OXG589824 PHC524290:PHC589824 PQY524290:PQY589824 QAU524290:QAU589824 QKQ524290:QKQ589824 QUM524290:QUM589824 REI524290:REI589824 ROE524290:ROE589824 RYA524290:RYA589824 SHW524290:SHW589824 SRS524290:SRS589824 TBO524290:TBO589824 TLK524290:TLK589824 TVG524290:TVG589824 UFC524290:UFC589824 UOY524290:UOY589824 UYU524290:UYU589824 VIQ524290:VIQ589824 VSM524290:VSM589824 WCI524290:WCI589824 WME524290:WME589824 WWA524290:WWA589824 S589826:S655360 JO589826:JO655360 TK589826:TK655360 ADG589826:ADG655360 ANC589826:ANC655360 AWY589826:AWY655360 BGU589826:BGU655360 BQQ589826:BQQ655360 CAM589826:CAM655360 CKI589826:CKI655360 CUE589826:CUE655360 DEA589826:DEA655360 DNW589826:DNW655360 DXS589826:DXS655360 EHO589826:EHO655360 ERK589826:ERK655360 FBG589826:FBG655360 FLC589826:FLC655360 FUY589826:FUY655360 GEU589826:GEU655360 GOQ589826:GOQ655360 GYM589826:GYM655360 HII589826:HII655360 HSE589826:HSE655360 ICA589826:ICA655360 ILW589826:ILW655360 IVS589826:IVS655360 JFO589826:JFO655360 JPK589826:JPK655360 JZG589826:JZG655360 KJC589826:KJC655360 KSY589826:KSY655360 LCU589826:LCU655360 LMQ589826:LMQ655360 LWM589826:LWM655360 MGI589826:MGI655360 MQE589826:MQE655360 NAA589826:NAA655360 NJW589826:NJW655360 NTS589826:NTS655360 ODO589826:ODO655360 ONK589826:ONK655360 OXG589826:OXG655360 PHC589826:PHC655360 PQY589826:PQY655360 QAU589826:QAU655360 QKQ589826:QKQ655360 QUM589826:QUM655360 REI589826:REI655360 ROE589826:ROE655360 RYA589826:RYA655360 SHW589826:SHW655360 SRS589826:SRS655360 TBO589826:TBO655360 TLK589826:TLK655360 TVG589826:TVG655360 UFC589826:UFC655360 UOY589826:UOY655360 UYU589826:UYU655360 VIQ589826:VIQ655360 VSM589826:VSM655360 WCI589826:WCI655360 WME589826:WME655360 WWA589826:WWA655360 S655362:S720896 JO655362:JO720896 TK655362:TK720896 ADG655362:ADG720896 ANC655362:ANC720896 AWY655362:AWY720896 BGU655362:BGU720896 BQQ655362:BQQ720896 CAM655362:CAM720896 CKI655362:CKI720896 CUE655362:CUE720896 DEA655362:DEA720896 DNW655362:DNW720896 DXS655362:DXS720896 EHO655362:EHO720896 ERK655362:ERK720896 FBG655362:FBG720896 FLC655362:FLC720896 FUY655362:FUY720896 GEU655362:GEU720896 GOQ655362:GOQ720896 GYM655362:GYM720896 HII655362:HII720896 HSE655362:HSE720896 ICA655362:ICA720896 ILW655362:ILW720896 IVS655362:IVS720896 JFO655362:JFO720896 JPK655362:JPK720896 JZG655362:JZG720896 KJC655362:KJC720896 KSY655362:KSY720896 LCU655362:LCU720896 LMQ655362:LMQ720896 LWM655362:LWM720896 MGI655362:MGI720896 MQE655362:MQE720896 NAA655362:NAA720896 NJW655362:NJW720896 NTS655362:NTS720896 ODO655362:ODO720896 ONK655362:ONK720896 OXG655362:OXG720896 PHC655362:PHC720896 PQY655362:PQY720896 QAU655362:QAU720896 QKQ655362:QKQ720896 QUM655362:QUM720896 REI655362:REI720896 ROE655362:ROE720896 RYA655362:RYA720896 SHW655362:SHW720896 SRS655362:SRS720896 TBO655362:TBO720896 TLK655362:TLK720896 TVG655362:TVG720896 UFC655362:UFC720896 UOY655362:UOY720896 UYU655362:UYU720896 VIQ655362:VIQ720896 VSM655362:VSM720896 WCI655362:WCI720896 WME655362:WME720896 WWA655362:WWA720896 S720898:S786432 JO720898:JO786432 TK720898:TK786432 ADG720898:ADG786432 ANC720898:ANC786432 AWY720898:AWY786432 BGU720898:BGU786432 BQQ720898:BQQ786432 CAM720898:CAM786432 CKI720898:CKI786432 CUE720898:CUE786432 DEA720898:DEA786432 DNW720898:DNW786432 DXS720898:DXS786432 EHO720898:EHO786432 ERK720898:ERK786432 FBG720898:FBG786432 FLC720898:FLC786432 FUY720898:FUY786432 GEU720898:GEU786432 GOQ720898:GOQ786432 GYM720898:GYM786432 HII720898:HII786432 HSE720898:HSE786432 ICA720898:ICA786432 ILW720898:ILW786432 IVS720898:IVS786432 JFO720898:JFO786432 JPK720898:JPK786432 JZG720898:JZG786432 KJC720898:KJC786432 KSY720898:KSY786432 LCU720898:LCU786432 LMQ720898:LMQ786432 LWM720898:LWM786432 MGI720898:MGI786432 MQE720898:MQE786432 NAA720898:NAA786432 NJW720898:NJW786432 NTS720898:NTS786432 ODO720898:ODO786432 ONK720898:ONK786432 OXG720898:OXG786432 PHC720898:PHC786432 PQY720898:PQY786432 QAU720898:QAU786432 QKQ720898:QKQ786432 QUM720898:QUM786432 REI720898:REI786432 ROE720898:ROE786432 RYA720898:RYA786432 SHW720898:SHW786432 SRS720898:SRS786432 TBO720898:TBO786432 TLK720898:TLK786432 TVG720898:TVG786432 UFC720898:UFC786432 UOY720898:UOY786432 UYU720898:UYU786432 VIQ720898:VIQ786432 VSM720898:VSM786432 WCI720898:WCI786432 WME720898:WME786432 WWA720898:WWA786432 S786434:S851968 JO786434:JO851968 TK786434:TK851968 ADG786434:ADG851968 ANC786434:ANC851968 AWY786434:AWY851968 BGU786434:BGU851968 BQQ786434:BQQ851968 CAM786434:CAM851968 CKI786434:CKI851968 CUE786434:CUE851968 DEA786434:DEA851968 DNW786434:DNW851968 DXS786434:DXS851968 EHO786434:EHO851968 ERK786434:ERK851968 FBG786434:FBG851968 FLC786434:FLC851968 FUY786434:FUY851968 GEU786434:GEU851968 GOQ786434:GOQ851968 GYM786434:GYM851968 HII786434:HII851968 HSE786434:HSE851968 ICA786434:ICA851968 ILW786434:ILW851968 IVS786434:IVS851968 JFO786434:JFO851968 JPK786434:JPK851968 JZG786434:JZG851968 KJC786434:KJC851968 KSY786434:KSY851968 LCU786434:LCU851968 LMQ786434:LMQ851968 LWM786434:LWM851968 MGI786434:MGI851968 MQE786434:MQE851968 NAA786434:NAA851968 NJW786434:NJW851968 NTS786434:NTS851968 ODO786434:ODO851968 ONK786434:ONK851968 OXG786434:OXG851968 PHC786434:PHC851968 PQY786434:PQY851968 QAU786434:QAU851968 QKQ786434:QKQ851968 QUM786434:QUM851968 REI786434:REI851968 ROE786434:ROE851968 RYA786434:RYA851968 SHW786434:SHW851968 SRS786434:SRS851968 TBO786434:TBO851968 TLK786434:TLK851968 TVG786434:TVG851968 UFC786434:UFC851968 UOY786434:UOY851968 UYU786434:UYU851968 VIQ786434:VIQ851968 VSM786434:VSM851968 WCI786434:WCI851968 WME786434:WME851968 WWA786434:WWA851968 S851970:S917504 JO851970:JO917504 TK851970:TK917504 ADG851970:ADG917504 ANC851970:ANC917504 AWY851970:AWY917504 BGU851970:BGU917504 BQQ851970:BQQ917504 CAM851970:CAM917504 CKI851970:CKI917504 CUE851970:CUE917504 DEA851970:DEA917504 DNW851970:DNW917504 DXS851970:DXS917504 EHO851970:EHO917504 ERK851970:ERK917504 FBG851970:FBG917504 FLC851970:FLC917504 FUY851970:FUY917504 GEU851970:GEU917504 GOQ851970:GOQ917504 GYM851970:GYM917504 HII851970:HII917504 HSE851970:HSE917504 ICA851970:ICA917504 ILW851970:ILW917504 IVS851970:IVS917504 JFO851970:JFO917504 JPK851970:JPK917504 JZG851970:JZG917504 KJC851970:KJC917504 KSY851970:KSY917504 LCU851970:LCU917504 LMQ851970:LMQ917504 LWM851970:LWM917504 MGI851970:MGI917504 MQE851970:MQE917504 NAA851970:NAA917504 NJW851970:NJW917504 NTS851970:NTS917504 ODO851970:ODO917504 ONK851970:ONK917504 OXG851970:OXG917504 PHC851970:PHC917504 PQY851970:PQY917504 QAU851970:QAU917504 QKQ851970:QKQ917504 QUM851970:QUM917504 REI851970:REI917504 ROE851970:ROE917504 RYA851970:RYA917504 SHW851970:SHW917504 SRS851970:SRS917504 TBO851970:TBO917504 TLK851970:TLK917504 TVG851970:TVG917504 UFC851970:UFC917504 UOY851970:UOY917504 UYU851970:UYU917504 VIQ851970:VIQ917504 VSM851970:VSM917504 WCI851970:WCI917504 WME851970:WME917504 WWA851970:WWA917504 S917506:S983040 JO917506:JO983040 TK917506:TK983040 ADG917506:ADG983040 ANC917506:ANC983040 AWY917506:AWY983040 BGU917506:BGU983040 BQQ917506:BQQ983040 CAM917506:CAM983040 CKI917506:CKI983040 CUE917506:CUE983040 DEA917506:DEA983040 DNW917506:DNW983040 DXS917506:DXS983040 EHO917506:EHO983040 ERK917506:ERK983040 FBG917506:FBG983040 FLC917506:FLC983040 FUY917506:FUY983040 GEU917506:GEU983040 GOQ917506:GOQ983040 GYM917506:GYM983040 HII917506:HII983040 HSE917506:HSE983040 ICA917506:ICA983040 ILW917506:ILW983040 IVS917506:IVS983040 JFO917506:JFO983040 JPK917506:JPK983040 JZG917506:JZG983040 KJC917506:KJC983040 KSY917506:KSY983040 LCU917506:LCU983040 LMQ917506:LMQ983040 LWM917506:LWM983040 MGI917506:MGI983040 MQE917506:MQE983040 NAA917506:NAA983040 NJW917506:NJW983040 NTS917506:NTS983040 ODO917506:ODO983040 ONK917506:ONK983040 OXG917506:OXG983040 PHC917506:PHC983040 PQY917506:PQY983040 QAU917506:QAU983040 QKQ917506:QKQ983040 QUM917506:QUM983040 REI917506:REI983040 ROE917506:ROE983040 RYA917506:RYA983040 SHW917506:SHW983040 SRS917506:SRS983040 TBO917506:TBO983040 TLK917506:TLK983040 TVG917506:TVG983040 UFC917506:UFC983040 UOY917506:UOY983040 UYU917506:UYU983040 VIQ917506:VIQ983040 VSM917506:VSM983040 WCI917506:WCI983040 WME917506:WME983040 WWA917506:WWA983040 S983042:S1048576 JO983042:JO1048576 TK983042:TK1048576 ADG983042:ADG1048576 ANC983042:ANC1048576 AWY983042:AWY1048576 BGU983042:BGU1048576 BQQ983042:BQQ1048576 CAM983042:CAM1048576 CKI983042:CKI1048576 CUE983042:CUE1048576 DEA983042:DEA1048576 DNW983042:DNW1048576 DXS983042:DXS1048576 EHO983042:EHO1048576 ERK983042:ERK1048576 FBG983042:FBG1048576 FLC983042:FLC1048576 FUY983042:FUY1048576 GEU983042:GEU1048576 GOQ983042:GOQ1048576 GYM983042:GYM1048576 HII983042:HII1048576 HSE983042:HSE1048576 ICA983042:ICA1048576 ILW983042:ILW1048576 IVS983042:IVS1048576 JFO983042:JFO1048576 JPK983042:JPK1048576 JZG983042:JZG1048576 KJC983042:KJC1048576 KSY983042:KSY1048576 LCU983042:LCU1048576 LMQ983042:LMQ1048576 LWM983042:LWM1048576 MGI983042:MGI1048576 MQE983042:MQE1048576 NAA983042:NAA1048576 NJW983042:NJW1048576 NTS983042:NTS1048576 ODO983042:ODO1048576 ONK983042:ONK1048576 OXG983042:OXG1048576 PHC983042:PHC1048576 PQY983042:PQY1048576 QAU983042:QAU1048576 QKQ983042:QKQ1048576 QUM983042:QUM1048576 REI983042:REI1048576 ROE983042:ROE1048576 RYA983042:RYA1048576 SHW983042:SHW1048576 SRS983042:SRS1048576 TBO983042:TBO1048576 TLK983042:TLK1048576 TVG983042:TVG1048576 UFC983042:UFC1048576 UOY983042:UOY1048576 UYU983042:UYU1048576 VIQ983042:VIQ1048576 VSM983042:VSM1048576 WCI983042:WCI1048576 WME983042:WME1048576 WWA983042:WWA1048576 W2:W65536 JS2:JS65536 TO2:TO65536 ADK2:ADK65536 ANG2:ANG65536 AXC2:AXC65536 BGY2:BGY65536 BQU2:BQU65536 CAQ2:CAQ65536 CKM2:CKM65536 CUI2:CUI65536 DEE2:DEE65536 DOA2:DOA65536 DXW2:DXW65536 EHS2:EHS65536 ERO2:ERO65536 FBK2:FBK65536 FLG2:FLG65536 FVC2:FVC65536 GEY2:GEY65536 GOU2:GOU65536 GYQ2:GYQ65536 HIM2:HIM65536 HSI2:HSI65536 ICE2:ICE65536 IMA2:IMA65536 IVW2:IVW65536 JFS2:JFS65536 JPO2:JPO65536 JZK2:JZK65536 KJG2:KJG65536 KTC2:KTC65536 LCY2:LCY65536 LMU2:LMU65536 LWQ2:LWQ65536 MGM2:MGM65536 MQI2:MQI65536 NAE2:NAE65536 NKA2:NKA65536 NTW2:NTW65536 ODS2:ODS65536 ONO2:ONO65536 OXK2:OXK65536 PHG2:PHG65536 PRC2:PRC65536 QAY2:QAY65536 QKU2:QKU65536 QUQ2:QUQ65536 REM2:REM65536 ROI2:ROI65536 RYE2:RYE65536 SIA2:SIA65536 SRW2:SRW65536 TBS2:TBS65536 TLO2:TLO65536 TVK2:TVK65536 UFG2:UFG65536 UPC2:UPC65536 UYY2:UYY65536 VIU2:VIU65536 VSQ2:VSQ65536 WCM2:WCM65536 WMI2:WMI65536 WWE2:WWE65536 W65538:W131072 JS65538:JS131072 TO65538:TO131072 ADK65538:ADK131072 ANG65538:ANG131072 AXC65538:AXC131072 BGY65538:BGY131072 BQU65538:BQU131072 CAQ65538:CAQ131072 CKM65538:CKM131072 CUI65538:CUI131072 DEE65538:DEE131072 DOA65538:DOA131072 DXW65538:DXW131072 EHS65538:EHS131072 ERO65538:ERO131072 FBK65538:FBK131072 FLG65538:FLG131072 FVC65538:FVC131072 GEY65538:GEY131072 GOU65538:GOU131072 GYQ65538:GYQ131072 HIM65538:HIM131072 HSI65538:HSI131072 ICE65538:ICE131072 IMA65538:IMA131072 IVW65538:IVW131072 JFS65538:JFS131072 JPO65538:JPO131072 JZK65538:JZK131072 KJG65538:KJG131072 KTC65538:KTC131072 LCY65538:LCY131072 LMU65538:LMU131072 LWQ65538:LWQ131072 MGM65538:MGM131072 MQI65538:MQI131072 NAE65538:NAE131072 NKA65538:NKA131072 NTW65538:NTW131072 ODS65538:ODS131072 ONO65538:ONO131072 OXK65538:OXK131072 PHG65538:PHG131072 PRC65538:PRC131072 QAY65538:QAY131072 QKU65538:QKU131072 QUQ65538:QUQ131072 REM65538:REM131072 ROI65538:ROI131072 RYE65538:RYE131072 SIA65538:SIA131072 SRW65538:SRW131072 TBS65538:TBS131072 TLO65538:TLO131072 TVK65538:TVK131072 UFG65538:UFG131072 UPC65538:UPC131072 UYY65538:UYY131072 VIU65538:VIU131072 VSQ65538:VSQ131072 WCM65538:WCM131072 WMI65538:WMI131072 WWE65538:WWE131072 W131074:W196608 JS131074:JS196608 TO131074:TO196608 ADK131074:ADK196608 ANG131074:ANG196608 AXC131074:AXC196608 BGY131074:BGY196608 BQU131074:BQU196608 CAQ131074:CAQ196608 CKM131074:CKM196608 CUI131074:CUI196608 DEE131074:DEE196608 DOA131074:DOA196608 DXW131074:DXW196608 EHS131074:EHS196608 ERO131074:ERO196608 FBK131074:FBK196608 FLG131074:FLG196608 FVC131074:FVC196608 GEY131074:GEY196608 GOU131074:GOU196608 GYQ131074:GYQ196608 HIM131074:HIM196608 HSI131074:HSI196608 ICE131074:ICE196608 IMA131074:IMA196608 IVW131074:IVW196608 JFS131074:JFS196608 JPO131074:JPO196608 JZK131074:JZK196608 KJG131074:KJG196608 KTC131074:KTC196608 LCY131074:LCY196608 LMU131074:LMU196608 LWQ131074:LWQ196608 MGM131074:MGM196608 MQI131074:MQI196608 NAE131074:NAE196608 NKA131074:NKA196608 NTW131074:NTW196608 ODS131074:ODS196608 ONO131074:ONO196608 OXK131074:OXK196608 PHG131074:PHG196608 PRC131074:PRC196608 QAY131074:QAY196608 QKU131074:QKU196608 QUQ131074:QUQ196608 REM131074:REM196608 ROI131074:ROI196608 RYE131074:RYE196608 SIA131074:SIA196608 SRW131074:SRW196608 TBS131074:TBS196608 TLO131074:TLO196608 TVK131074:TVK196608 UFG131074:UFG196608 UPC131074:UPC196608 UYY131074:UYY196608 VIU131074:VIU196608 VSQ131074:VSQ196608 WCM131074:WCM196608 WMI131074:WMI196608 WWE131074:WWE196608 W196610:W262144 JS196610:JS262144 TO196610:TO262144 ADK196610:ADK262144 ANG196610:ANG262144 AXC196610:AXC262144 BGY196610:BGY262144 BQU196610:BQU262144 CAQ196610:CAQ262144 CKM196610:CKM262144 CUI196610:CUI262144 DEE196610:DEE262144 DOA196610:DOA262144 DXW196610:DXW262144 EHS196610:EHS262144 ERO196610:ERO262144 FBK196610:FBK262144 FLG196610:FLG262144 FVC196610:FVC262144 GEY196610:GEY262144 GOU196610:GOU262144 GYQ196610:GYQ262144 HIM196610:HIM262144 HSI196610:HSI262144 ICE196610:ICE262144 IMA196610:IMA262144 IVW196610:IVW262144 JFS196610:JFS262144 JPO196610:JPO262144 JZK196610:JZK262144 KJG196610:KJG262144 KTC196610:KTC262144 LCY196610:LCY262144 LMU196610:LMU262144 LWQ196610:LWQ262144 MGM196610:MGM262144 MQI196610:MQI262144 NAE196610:NAE262144 NKA196610:NKA262144 NTW196610:NTW262144 ODS196610:ODS262144 ONO196610:ONO262144 OXK196610:OXK262144 PHG196610:PHG262144 PRC196610:PRC262144 QAY196610:QAY262144 QKU196610:QKU262144 QUQ196610:QUQ262144 REM196610:REM262144 ROI196610:ROI262144 RYE196610:RYE262144 SIA196610:SIA262144 SRW196610:SRW262144 TBS196610:TBS262144 TLO196610:TLO262144 TVK196610:TVK262144 UFG196610:UFG262144 UPC196610:UPC262144 UYY196610:UYY262144 VIU196610:VIU262144 VSQ196610:VSQ262144 WCM196610:WCM262144 WMI196610:WMI262144 WWE196610:WWE262144 W262146:W327680 JS262146:JS327680 TO262146:TO327680 ADK262146:ADK327680 ANG262146:ANG327680 AXC262146:AXC327680 BGY262146:BGY327680 BQU262146:BQU327680 CAQ262146:CAQ327680 CKM262146:CKM327680 CUI262146:CUI327680 DEE262146:DEE327680 DOA262146:DOA327680 DXW262146:DXW327680 EHS262146:EHS327680 ERO262146:ERO327680 FBK262146:FBK327680 FLG262146:FLG327680 FVC262146:FVC327680 GEY262146:GEY327680 GOU262146:GOU327680 GYQ262146:GYQ327680 HIM262146:HIM327680 HSI262146:HSI327680 ICE262146:ICE327680 IMA262146:IMA327680 IVW262146:IVW327680 JFS262146:JFS327680 JPO262146:JPO327680 JZK262146:JZK327680 KJG262146:KJG327680 KTC262146:KTC327680 LCY262146:LCY327680 LMU262146:LMU327680 LWQ262146:LWQ327680 MGM262146:MGM327680 MQI262146:MQI327680 NAE262146:NAE327680 NKA262146:NKA327680 NTW262146:NTW327680 ODS262146:ODS327680 ONO262146:ONO327680 OXK262146:OXK327680 PHG262146:PHG327680 PRC262146:PRC327680 QAY262146:QAY327680 QKU262146:QKU327680 QUQ262146:QUQ327680 REM262146:REM327680 ROI262146:ROI327680 RYE262146:RYE327680 SIA262146:SIA327680 SRW262146:SRW327680 TBS262146:TBS327680 TLO262146:TLO327680 TVK262146:TVK327680 UFG262146:UFG327680 UPC262146:UPC327680 UYY262146:UYY327680 VIU262146:VIU327680 VSQ262146:VSQ327680 WCM262146:WCM327680 WMI262146:WMI327680 WWE262146:WWE327680 W327682:W393216 JS327682:JS393216 TO327682:TO393216 ADK327682:ADK393216 ANG327682:ANG393216 AXC327682:AXC393216 BGY327682:BGY393216 BQU327682:BQU393216 CAQ327682:CAQ393216 CKM327682:CKM393216 CUI327682:CUI393216 DEE327682:DEE393216 DOA327682:DOA393216 DXW327682:DXW393216 EHS327682:EHS393216 ERO327682:ERO393216 FBK327682:FBK393216 FLG327682:FLG393216 FVC327682:FVC393216 GEY327682:GEY393216 GOU327682:GOU393216 GYQ327682:GYQ393216 HIM327682:HIM393216 HSI327682:HSI393216 ICE327682:ICE393216 IMA327682:IMA393216 IVW327682:IVW393216 JFS327682:JFS393216 JPO327682:JPO393216 JZK327682:JZK393216 KJG327682:KJG393216 KTC327682:KTC393216 LCY327682:LCY393216 LMU327682:LMU393216 LWQ327682:LWQ393216 MGM327682:MGM393216 MQI327682:MQI393216 NAE327682:NAE393216 NKA327682:NKA393216 NTW327682:NTW393216 ODS327682:ODS393216 ONO327682:ONO393216 OXK327682:OXK393216 PHG327682:PHG393216 PRC327682:PRC393216 QAY327682:QAY393216 QKU327682:QKU393216 QUQ327682:QUQ393216 REM327682:REM393216 ROI327682:ROI393216 RYE327682:RYE393216 SIA327682:SIA393216 SRW327682:SRW393216 TBS327682:TBS393216 TLO327682:TLO393216 TVK327682:TVK393216 UFG327682:UFG393216 UPC327682:UPC393216 UYY327682:UYY393216 VIU327682:VIU393216 VSQ327682:VSQ393216 WCM327682:WCM393216 WMI327682:WMI393216 WWE327682:WWE393216 W393218:W458752 JS393218:JS458752 TO393218:TO458752 ADK393218:ADK458752 ANG393218:ANG458752 AXC393218:AXC458752 BGY393218:BGY458752 BQU393218:BQU458752 CAQ393218:CAQ458752 CKM393218:CKM458752 CUI393218:CUI458752 DEE393218:DEE458752 DOA393218:DOA458752 DXW393218:DXW458752 EHS393218:EHS458752 ERO393218:ERO458752 FBK393218:FBK458752 FLG393218:FLG458752 FVC393218:FVC458752 GEY393218:GEY458752 GOU393218:GOU458752 GYQ393218:GYQ458752 HIM393218:HIM458752 HSI393218:HSI458752 ICE393218:ICE458752 IMA393218:IMA458752 IVW393218:IVW458752 JFS393218:JFS458752 JPO393218:JPO458752 JZK393218:JZK458752 KJG393218:KJG458752 KTC393218:KTC458752 LCY393218:LCY458752 LMU393218:LMU458752 LWQ393218:LWQ458752 MGM393218:MGM458752 MQI393218:MQI458752 NAE393218:NAE458752 NKA393218:NKA458752 NTW393218:NTW458752 ODS393218:ODS458752 ONO393218:ONO458752 OXK393218:OXK458752 PHG393218:PHG458752 PRC393218:PRC458752 QAY393218:QAY458752 QKU393218:QKU458752 QUQ393218:QUQ458752 REM393218:REM458752 ROI393218:ROI458752 RYE393218:RYE458752 SIA393218:SIA458752 SRW393218:SRW458752 TBS393218:TBS458752 TLO393218:TLO458752 TVK393218:TVK458752 UFG393218:UFG458752 UPC393218:UPC458752 UYY393218:UYY458752 VIU393218:VIU458752 VSQ393218:VSQ458752 WCM393218:WCM458752 WMI393218:WMI458752 WWE393218:WWE458752 W458754:W524288 JS458754:JS524288 TO458754:TO524288 ADK458754:ADK524288 ANG458754:ANG524288 AXC458754:AXC524288 BGY458754:BGY524288 BQU458754:BQU524288 CAQ458754:CAQ524288 CKM458754:CKM524288 CUI458754:CUI524288 DEE458754:DEE524288 DOA458754:DOA524288 DXW458754:DXW524288 EHS458754:EHS524288 ERO458754:ERO524288 FBK458754:FBK524288 FLG458754:FLG524288 FVC458754:FVC524288 GEY458754:GEY524288 GOU458754:GOU524288 GYQ458754:GYQ524288 HIM458754:HIM524288 HSI458754:HSI524288 ICE458754:ICE524288 IMA458754:IMA524288 IVW458754:IVW524288 JFS458754:JFS524288 JPO458754:JPO524288 JZK458754:JZK524288 KJG458754:KJG524288 KTC458754:KTC524288 LCY458754:LCY524288 LMU458754:LMU524288 LWQ458754:LWQ524288 MGM458754:MGM524288 MQI458754:MQI524288 NAE458754:NAE524288 NKA458754:NKA524288 NTW458754:NTW524288 ODS458754:ODS524288 ONO458754:ONO524288 OXK458754:OXK524288 PHG458754:PHG524288 PRC458754:PRC524288 QAY458754:QAY524288 QKU458754:QKU524288 QUQ458754:QUQ524288 REM458754:REM524288 ROI458754:ROI524288 RYE458754:RYE524288 SIA458754:SIA524288 SRW458754:SRW524288 TBS458754:TBS524288 TLO458754:TLO524288 TVK458754:TVK524288 UFG458754:UFG524288 UPC458754:UPC524288 UYY458754:UYY524288 VIU458754:VIU524288 VSQ458754:VSQ524288 WCM458754:WCM524288 WMI458754:WMI524288 WWE458754:WWE524288 W524290:W589824 JS524290:JS589824 TO524290:TO589824 ADK524290:ADK589824 ANG524290:ANG589824 AXC524290:AXC589824 BGY524290:BGY589824 BQU524290:BQU589824 CAQ524290:CAQ589824 CKM524290:CKM589824 CUI524290:CUI589824 DEE524290:DEE589824 DOA524290:DOA589824 DXW524290:DXW589824 EHS524290:EHS589824 ERO524290:ERO589824 FBK524290:FBK589824 FLG524290:FLG589824 FVC524290:FVC589824 GEY524290:GEY589824 GOU524290:GOU589824 GYQ524290:GYQ589824 HIM524290:HIM589824 HSI524290:HSI589824 ICE524290:ICE589824 IMA524290:IMA589824 IVW524290:IVW589824 JFS524290:JFS589824 JPO524290:JPO589824 JZK524290:JZK589824 KJG524290:KJG589824 KTC524290:KTC589824 LCY524290:LCY589824 LMU524290:LMU589824 LWQ524290:LWQ589824 MGM524290:MGM589824 MQI524290:MQI589824 NAE524290:NAE589824 NKA524290:NKA589824 NTW524290:NTW589824 ODS524290:ODS589824 ONO524290:ONO589824 OXK524290:OXK589824 PHG524290:PHG589824 PRC524290:PRC589824 QAY524290:QAY589824 QKU524290:QKU589824 QUQ524290:QUQ589824 REM524290:REM589824 ROI524290:ROI589824 RYE524290:RYE589824 SIA524290:SIA589824 SRW524290:SRW589824 TBS524290:TBS589824 TLO524290:TLO589824 TVK524290:TVK589824 UFG524290:UFG589824 UPC524290:UPC589824 UYY524290:UYY589824 VIU524290:VIU589824 VSQ524290:VSQ589824 WCM524290:WCM589824 WMI524290:WMI589824 WWE524290:WWE589824 W589826:W655360 JS589826:JS655360 TO589826:TO655360 ADK589826:ADK655360 ANG589826:ANG655360 AXC589826:AXC655360 BGY589826:BGY655360 BQU589826:BQU655360 CAQ589826:CAQ655360 CKM589826:CKM655360 CUI589826:CUI655360 DEE589826:DEE655360 DOA589826:DOA655360 DXW589826:DXW655360 EHS589826:EHS655360 ERO589826:ERO655360 FBK589826:FBK655360 FLG589826:FLG655360 FVC589826:FVC655360 GEY589826:GEY655360 GOU589826:GOU655360 GYQ589826:GYQ655360 HIM589826:HIM655360 HSI589826:HSI655360 ICE589826:ICE655360 IMA589826:IMA655360 IVW589826:IVW655360 JFS589826:JFS655360 JPO589826:JPO655360 JZK589826:JZK655360 KJG589826:KJG655360 KTC589826:KTC655360 LCY589826:LCY655360 LMU589826:LMU655360 LWQ589826:LWQ655360 MGM589826:MGM655360 MQI589826:MQI655360 NAE589826:NAE655360 NKA589826:NKA655360 NTW589826:NTW655360 ODS589826:ODS655360 ONO589826:ONO655360 OXK589826:OXK655360 PHG589826:PHG655360 PRC589826:PRC655360 QAY589826:QAY655360 QKU589826:QKU655360 QUQ589826:QUQ655360 REM589826:REM655360 ROI589826:ROI655360 RYE589826:RYE655360 SIA589826:SIA655360 SRW589826:SRW655360 TBS589826:TBS655360 TLO589826:TLO655360 TVK589826:TVK655360 UFG589826:UFG655360 UPC589826:UPC655360 UYY589826:UYY655360 VIU589826:VIU655360 VSQ589826:VSQ655360 WCM589826:WCM655360 WMI589826:WMI655360 WWE589826:WWE655360 W655362:W720896 JS655362:JS720896 TO655362:TO720896 ADK655362:ADK720896 ANG655362:ANG720896 AXC655362:AXC720896 BGY655362:BGY720896 BQU655362:BQU720896 CAQ655362:CAQ720896 CKM655362:CKM720896 CUI655362:CUI720896 DEE655362:DEE720896 DOA655362:DOA720896 DXW655362:DXW720896 EHS655362:EHS720896 ERO655362:ERO720896 FBK655362:FBK720896 FLG655362:FLG720896 FVC655362:FVC720896 GEY655362:GEY720896 GOU655362:GOU720896 GYQ655362:GYQ720896 HIM655362:HIM720896 HSI655362:HSI720896 ICE655362:ICE720896 IMA655362:IMA720896 IVW655362:IVW720896 JFS655362:JFS720896 JPO655362:JPO720896 JZK655362:JZK720896 KJG655362:KJG720896 KTC655362:KTC720896 LCY655362:LCY720896 LMU655362:LMU720896 LWQ655362:LWQ720896 MGM655362:MGM720896 MQI655362:MQI720896 NAE655362:NAE720896 NKA655362:NKA720896 NTW655362:NTW720896 ODS655362:ODS720896 ONO655362:ONO720896 OXK655362:OXK720896 PHG655362:PHG720896 PRC655362:PRC720896 QAY655362:QAY720896 QKU655362:QKU720896 QUQ655362:QUQ720896 REM655362:REM720896 ROI655362:ROI720896 RYE655362:RYE720896 SIA655362:SIA720896 SRW655362:SRW720896 TBS655362:TBS720896 TLO655362:TLO720896 TVK655362:TVK720896 UFG655362:UFG720896 UPC655362:UPC720896 UYY655362:UYY720896 VIU655362:VIU720896 VSQ655362:VSQ720896 WCM655362:WCM720896 WMI655362:WMI720896 WWE655362:WWE720896 W720898:W786432 JS720898:JS786432 TO720898:TO786432 ADK720898:ADK786432 ANG720898:ANG786432 AXC720898:AXC786432 BGY720898:BGY786432 BQU720898:BQU786432 CAQ720898:CAQ786432 CKM720898:CKM786432 CUI720898:CUI786432 DEE720898:DEE786432 DOA720898:DOA786432 DXW720898:DXW786432 EHS720898:EHS786432 ERO720898:ERO786432 FBK720898:FBK786432 FLG720898:FLG786432 FVC720898:FVC786432 GEY720898:GEY786432 GOU720898:GOU786432 GYQ720898:GYQ786432 HIM720898:HIM786432 HSI720898:HSI786432 ICE720898:ICE786432 IMA720898:IMA786432 IVW720898:IVW786432 JFS720898:JFS786432 JPO720898:JPO786432 JZK720898:JZK786432 KJG720898:KJG786432 KTC720898:KTC786432 LCY720898:LCY786432 LMU720898:LMU786432 LWQ720898:LWQ786432 MGM720898:MGM786432 MQI720898:MQI786432 NAE720898:NAE786432 NKA720898:NKA786432 NTW720898:NTW786432 ODS720898:ODS786432 ONO720898:ONO786432 OXK720898:OXK786432 PHG720898:PHG786432 PRC720898:PRC786432 QAY720898:QAY786432 QKU720898:QKU786432 QUQ720898:QUQ786432 REM720898:REM786432 ROI720898:ROI786432 RYE720898:RYE786432 SIA720898:SIA786432 SRW720898:SRW786432 TBS720898:TBS786432 TLO720898:TLO786432 TVK720898:TVK786432 UFG720898:UFG786432 UPC720898:UPC786432 UYY720898:UYY786432 VIU720898:VIU786432 VSQ720898:VSQ786432 WCM720898:WCM786432 WMI720898:WMI786432 WWE720898:WWE786432 W786434:W851968 JS786434:JS851968 TO786434:TO851968 ADK786434:ADK851968 ANG786434:ANG851968 AXC786434:AXC851968 BGY786434:BGY851968 BQU786434:BQU851968 CAQ786434:CAQ851968 CKM786434:CKM851968 CUI786434:CUI851968 DEE786434:DEE851968 DOA786434:DOA851968 DXW786434:DXW851968 EHS786434:EHS851968 ERO786434:ERO851968 FBK786434:FBK851968 FLG786434:FLG851968 FVC786434:FVC851968 GEY786434:GEY851968 GOU786434:GOU851968 GYQ786434:GYQ851968 HIM786434:HIM851968 HSI786434:HSI851968 ICE786434:ICE851968 IMA786434:IMA851968 IVW786434:IVW851968 JFS786434:JFS851968 JPO786434:JPO851968 JZK786434:JZK851968 KJG786434:KJG851968 KTC786434:KTC851968 LCY786434:LCY851968 LMU786434:LMU851968 LWQ786434:LWQ851968 MGM786434:MGM851968 MQI786434:MQI851968 NAE786434:NAE851968 NKA786434:NKA851968 NTW786434:NTW851968 ODS786434:ODS851968 ONO786434:ONO851968 OXK786434:OXK851968 PHG786434:PHG851968 PRC786434:PRC851968 QAY786434:QAY851968 QKU786434:QKU851968 QUQ786434:QUQ851968 REM786434:REM851968 ROI786434:ROI851968 RYE786434:RYE851968 SIA786434:SIA851968 SRW786434:SRW851968 TBS786434:TBS851968 TLO786434:TLO851968 TVK786434:TVK851968 UFG786434:UFG851968 UPC786434:UPC851968 UYY786434:UYY851968 VIU786434:VIU851968 VSQ786434:VSQ851968 WCM786434:WCM851968 WMI786434:WMI851968 WWE786434:WWE851968 W851970:W917504 JS851970:JS917504 TO851970:TO917504 ADK851970:ADK917504 ANG851970:ANG917504 AXC851970:AXC917504 BGY851970:BGY917504 BQU851970:BQU917504 CAQ851970:CAQ917504 CKM851970:CKM917504 CUI851970:CUI917504 DEE851970:DEE917504 DOA851970:DOA917504 DXW851970:DXW917504 EHS851970:EHS917504 ERO851970:ERO917504 FBK851970:FBK917504 FLG851970:FLG917504 FVC851970:FVC917504 GEY851970:GEY917504 GOU851970:GOU917504 GYQ851970:GYQ917504 HIM851970:HIM917504 HSI851970:HSI917504 ICE851970:ICE917504 IMA851970:IMA917504 IVW851970:IVW917504 JFS851970:JFS917504 JPO851970:JPO917504 JZK851970:JZK917504 KJG851970:KJG917504 KTC851970:KTC917504 LCY851970:LCY917504 LMU851970:LMU917504 LWQ851970:LWQ917504 MGM851970:MGM917504 MQI851970:MQI917504 NAE851970:NAE917504 NKA851970:NKA917504 NTW851970:NTW917504 ODS851970:ODS917504 ONO851970:ONO917504 OXK851970:OXK917504 PHG851970:PHG917504 PRC851970:PRC917504 QAY851970:QAY917504 QKU851970:QKU917504 QUQ851970:QUQ917504 REM851970:REM917504 ROI851970:ROI917504 RYE851970:RYE917504 SIA851970:SIA917504 SRW851970:SRW917504 TBS851970:TBS917504 TLO851970:TLO917504 TVK851970:TVK917504 UFG851970:UFG917504 UPC851970:UPC917504 UYY851970:UYY917504 VIU851970:VIU917504 VSQ851970:VSQ917504 WCM851970:WCM917504 WMI851970:WMI917504 WWE851970:WWE917504 W917506:W983040 JS917506:JS983040 TO917506:TO983040 ADK917506:ADK983040 ANG917506:ANG983040 AXC917506:AXC983040 BGY917506:BGY983040 BQU917506:BQU983040 CAQ917506:CAQ983040 CKM917506:CKM983040 CUI917506:CUI983040 DEE917506:DEE983040 DOA917506:DOA983040 DXW917506:DXW983040 EHS917506:EHS983040 ERO917506:ERO983040 FBK917506:FBK983040 FLG917506:FLG983040 FVC917506:FVC983040 GEY917506:GEY983040 GOU917506:GOU983040 GYQ917506:GYQ983040 HIM917506:HIM983040 HSI917506:HSI983040 ICE917506:ICE983040 IMA917506:IMA983040 IVW917506:IVW983040 JFS917506:JFS983040 JPO917506:JPO983040 JZK917506:JZK983040 KJG917506:KJG983040 KTC917506:KTC983040 LCY917506:LCY983040 LMU917506:LMU983040 LWQ917506:LWQ983040 MGM917506:MGM983040 MQI917506:MQI983040 NAE917506:NAE983040 NKA917506:NKA983040 NTW917506:NTW983040 ODS917506:ODS983040 ONO917506:ONO983040 OXK917506:OXK983040 PHG917506:PHG983040 PRC917506:PRC983040 QAY917506:QAY983040 QKU917506:QKU983040 QUQ917506:QUQ983040 REM917506:REM983040 ROI917506:ROI983040 RYE917506:RYE983040 SIA917506:SIA983040 SRW917506:SRW983040 TBS917506:TBS983040 TLO917506:TLO983040 TVK917506:TVK983040 UFG917506:UFG983040 UPC917506:UPC983040 UYY917506:UYY983040 VIU917506:VIU983040 VSQ917506:VSQ983040 WCM917506:WCM983040 WMI917506:WMI983040 WWE917506:WWE983040 W983042:W1048576 JS983042:JS1048576 TO983042:TO1048576 ADK983042:ADK1048576 ANG983042:ANG1048576 AXC983042:AXC1048576 BGY983042:BGY1048576 BQU983042:BQU1048576 CAQ983042:CAQ1048576 CKM983042:CKM1048576 CUI983042:CUI1048576 DEE983042:DEE1048576 DOA983042:DOA1048576 DXW983042:DXW1048576 EHS983042:EHS1048576 ERO983042:ERO1048576 FBK983042:FBK1048576 FLG983042:FLG1048576 FVC983042:FVC1048576 GEY983042:GEY1048576 GOU983042:GOU1048576 GYQ983042:GYQ1048576 HIM983042:HIM1048576 HSI983042:HSI1048576 ICE983042:ICE1048576 IMA983042:IMA1048576 IVW983042:IVW1048576 JFS983042:JFS1048576 JPO983042:JPO1048576 JZK983042:JZK1048576 KJG983042:KJG1048576 KTC983042:KTC1048576 LCY983042:LCY1048576 LMU983042:LMU1048576 LWQ983042:LWQ1048576 MGM983042:MGM1048576 MQI983042:MQI1048576 NAE983042:NAE1048576 NKA983042:NKA1048576 NTW983042:NTW1048576 ODS983042:ODS1048576 ONO983042:ONO1048576 OXK983042:OXK1048576 PHG983042:PHG1048576 PRC983042:PRC1048576 QAY983042:QAY1048576 QKU983042:QKU1048576 QUQ983042:QUQ1048576 REM983042:REM1048576 ROI983042:ROI1048576 RYE983042:RYE1048576 SIA983042:SIA1048576 SRW983042:SRW1048576 TBS983042:TBS1048576 TLO983042:TLO1048576 TVK983042:TVK1048576 UFG983042:UFG1048576 UPC983042:UPC1048576 UYY983042:UYY1048576 VIU983042:VIU1048576 VSQ983042:VSQ1048576 WCM983042:WCM1048576 WMI983042:WMI1048576 WWE983042:WWE1048576 Y2:Y65536 JU2:JU65536 TQ2:TQ65536 ADM2:ADM65536 ANI2:ANI65536 AXE2:AXE65536 BHA2:BHA65536 BQW2:BQW65536 CAS2:CAS65536 CKO2:CKO65536 CUK2:CUK65536 DEG2:DEG65536 DOC2:DOC65536 DXY2:DXY65536 EHU2:EHU65536 ERQ2:ERQ65536 FBM2:FBM65536 FLI2:FLI65536 FVE2:FVE65536 GFA2:GFA65536 GOW2:GOW65536 GYS2:GYS65536 HIO2:HIO65536 HSK2:HSK65536 ICG2:ICG65536 IMC2:IMC65536 IVY2:IVY65536 JFU2:JFU65536 JPQ2:JPQ65536 JZM2:JZM65536 KJI2:KJI65536 KTE2:KTE65536 LDA2:LDA65536 LMW2:LMW65536 LWS2:LWS65536 MGO2:MGO65536 MQK2:MQK65536 NAG2:NAG65536 NKC2:NKC65536 NTY2:NTY65536 ODU2:ODU65536 ONQ2:ONQ65536 OXM2:OXM65536 PHI2:PHI65536 PRE2:PRE65536 QBA2:QBA65536 QKW2:QKW65536 QUS2:QUS65536 REO2:REO65536 ROK2:ROK65536 RYG2:RYG65536 SIC2:SIC65536 SRY2:SRY65536 TBU2:TBU65536 TLQ2:TLQ65536 TVM2:TVM65536 UFI2:UFI65536 UPE2:UPE65536 UZA2:UZA65536 VIW2:VIW65536 VSS2:VSS65536 WCO2:WCO65536 WMK2:WMK65536 WWG2:WWG65536 Y65538:Y131072 JU65538:JU131072 TQ65538:TQ131072 ADM65538:ADM131072 ANI65538:ANI131072 AXE65538:AXE131072 BHA65538:BHA131072 BQW65538:BQW131072 CAS65538:CAS131072 CKO65538:CKO131072 CUK65538:CUK131072 DEG65538:DEG131072 DOC65538:DOC131072 DXY65538:DXY131072 EHU65538:EHU131072 ERQ65538:ERQ131072 FBM65538:FBM131072 FLI65538:FLI131072 FVE65538:FVE131072 GFA65538:GFA131072 GOW65538:GOW131072 GYS65538:GYS131072 HIO65538:HIO131072 HSK65538:HSK131072 ICG65538:ICG131072 IMC65538:IMC131072 IVY65538:IVY131072 JFU65538:JFU131072 JPQ65538:JPQ131072 JZM65538:JZM131072 KJI65538:KJI131072 KTE65538:KTE131072 LDA65538:LDA131072 LMW65538:LMW131072 LWS65538:LWS131072 MGO65538:MGO131072 MQK65538:MQK131072 NAG65538:NAG131072 NKC65538:NKC131072 NTY65538:NTY131072 ODU65538:ODU131072 ONQ65538:ONQ131072 OXM65538:OXM131072 PHI65538:PHI131072 PRE65538:PRE131072 QBA65538:QBA131072 QKW65538:QKW131072 QUS65538:QUS131072 REO65538:REO131072 ROK65538:ROK131072 RYG65538:RYG131072 SIC65538:SIC131072 SRY65538:SRY131072 TBU65538:TBU131072 TLQ65538:TLQ131072 TVM65538:TVM131072 UFI65538:UFI131072 UPE65538:UPE131072 UZA65538:UZA131072 VIW65538:VIW131072 VSS65538:VSS131072 WCO65538:WCO131072 WMK65538:WMK131072 WWG65538:WWG131072 Y131074:Y196608 JU131074:JU196608 TQ131074:TQ196608 ADM131074:ADM196608 ANI131074:ANI196608 AXE131074:AXE196608 BHA131074:BHA196608 BQW131074:BQW196608 CAS131074:CAS196608 CKO131074:CKO196608 CUK131074:CUK196608 DEG131074:DEG196608 DOC131074:DOC196608 DXY131074:DXY196608 EHU131074:EHU196608 ERQ131074:ERQ196608 FBM131074:FBM196608 FLI131074:FLI196608 FVE131074:FVE196608 GFA131074:GFA196608 GOW131074:GOW196608 GYS131074:GYS196608 HIO131074:HIO196608 HSK131074:HSK196608 ICG131074:ICG196608 IMC131074:IMC196608 IVY131074:IVY196608 JFU131074:JFU196608 JPQ131074:JPQ196608 JZM131074:JZM196608 KJI131074:KJI196608 KTE131074:KTE196608 LDA131074:LDA196608 LMW131074:LMW196608 LWS131074:LWS196608 MGO131074:MGO196608 MQK131074:MQK196608 NAG131074:NAG196608 NKC131074:NKC196608 NTY131074:NTY196608 ODU131074:ODU196608 ONQ131074:ONQ196608 OXM131074:OXM196608 PHI131074:PHI196608 PRE131074:PRE196608 QBA131074:QBA196608 QKW131074:QKW196608 QUS131074:QUS196608 REO131074:REO196608 ROK131074:ROK196608 RYG131074:RYG196608 SIC131074:SIC196608 SRY131074:SRY196608 TBU131074:TBU196608 TLQ131074:TLQ196608 TVM131074:TVM196608 UFI131074:UFI196608 UPE131074:UPE196608 UZA131074:UZA196608 VIW131074:VIW196608 VSS131074:VSS196608 WCO131074:WCO196608 WMK131074:WMK196608 WWG131074:WWG196608 Y196610:Y262144 JU196610:JU262144 TQ196610:TQ262144 ADM196610:ADM262144 ANI196610:ANI262144 AXE196610:AXE262144 BHA196610:BHA262144 BQW196610:BQW262144 CAS196610:CAS262144 CKO196610:CKO262144 CUK196610:CUK262144 DEG196610:DEG262144 DOC196610:DOC262144 DXY196610:DXY262144 EHU196610:EHU262144 ERQ196610:ERQ262144 FBM196610:FBM262144 FLI196610:FLI262144 FVE196610:FVE262144 GFA196610:GFA262144 GOW196610:GOW262144 GYS196610:GYS262144 HIO196610:HIO262144 HSK196610:HSK262144 ICG196610:ICG262144 IMC196610:IMC262144 IVY196610:IVY262144 JFU196610:JFU262144 JPQ196610:JPQ262144 JZM196610:JZM262144 KJI196610:KJI262144 KTE196610:KTE262144 LDA196610:LDA262144 LMW196610:LMW262144 LWS196610:LWS262144 MGO196610:MGO262144 MQK196610:MQK262144 NAG196610:NAG262144 NKC196610:NKC262144 NTY196610:NTY262144 ODU196610:ODU262144 ONQ196610:ONQ262144 OXM196610:OXM262144 PHI196610:PHI262144 PRE196610:PRE262144 QBA196610:QBA262144 QKW196610:QKW262144 QUS196610:QUS262144 REO196610:REO262144 ROK196610:ROK262144 RYG196610:RYG262144 SIC196610:SIC262144 SRY196610:SRY262144 TBU196610:TBU262144 TLQ196610:TLQ262144 TVM196610:TVM262144 UFI196610:UFI262144 UPE196610:UPE262144 UZA196610:UZA262144 VIW196610:VIW262144 VSS196610:VSS262144 WCO196610:WCO262144 WMK196610:WMK262144 WWG196610:WWG262144 Y262146:Y327680 JU262146:JU327680 TQ262146:TQ327680 ADM262146:ADM327680 ANI262146:ANI327680 AXE262146:AXE327680 BHA262146:BHA327680 BQW262146:BQW327680 CAS262146:CAS327680 CKO262146:CKO327680 CUK262146:CUK327680 DEG262146:DEG327680 DOC262146:DOC327680 DXY262146:DXY327680 EHU262146:EHU327680 ERQ262146:ERQ327680 FBM262146:FBM327680 FLI262146:FLI327680 FVE262146:FVE327680 GFA262146:GFA327680 GOW262146:GOW327680 GYS262146:GYS327680 HIO262146:HIO327680 HSK262146:HSK327680 ICG262146:ICG327680 IMC262146:IMC327680 IVY262146:IVY327680 JFU262146:JFU327680 JPQ262146:JPQ327680 JZM262146:JZM327680 KJI262146:KJI327680 KTE262146:KTE327680 LDA262146:LDA327680 LMW262146:LMW327680 LWS262146:LWS327680 MGO262146:MGO327680 MQK262146:MQK327680 NAG262146:NAG327680 NKC262146:NKC327680 NTY262146:NTY327680 ODU262146:ODU327680 ONQ262146:ONQ327680 OXM262146:OXM327680 PHI262146:PHI327680 PRE262146:PRE327680 QBA262146:QBA327680 QKW262146:QKW327680 QUS262146:QUS327680 REO262146:REO327680 ROK262146:ROK327680 RYG262146:RYG327680 SIC262146:SIC327680 SRY262146:SRY327680 TBU262146:TBU327680 TLQ262146:TLQ327680 TVM262146:TVM327680 UFI262146:UFI327680 UPE262146:UPE327680 UZA262146:UZA327680 VIW262146:VIW327680 VSS262146:VSS327680 WCO262146:WCO327680 WMK262146:WMK327680 WWG262146:WWG327680 Y327682:Y393216 JU327682:JU393216 TQ327682:TQ393216 ADM327682:ADM393216 ANI327682:ANI393216 AXE327682:AXE393216 BHA327682:BHA393216 BQW327682:BQW393216 CAS327682:CAS393216 CKO327682:CKO393216 CUK327682:CUK393216 DEG327682:DEG393216 DOC327682:DOC393216 DXY327682:DXY393216 EHU327682:EHU393216 ERQ327682:ERQ393216 FBM327682:FBM393216 FLI327682:FLI393216 FVE327682:FVE393216 GFA327682:GFA393216 GOW327682:GOW393216 GYS327682:GYS393216 HIO327682:HIO393216 HSK327682:HSK393216 ICG327682:ICG393216 IMC327682:IMC393216 IVY327682:IVY393216 JFU327682:JFU393216 JPQ327682:JPQ393216 JZM327682:JZM393216 KJI327682:KJI393216 KTE327682:KTE393216 LDA327682:LDA393216 LMW327682:LMW393216 LWS327682:LWS393216 MGO327682:MGO393216 MQK327682:MQK393216 NAG327682:NAG393216 NKC327682:NKC393216 NTY327682:NTY393216 ODU327682:ODU393216 ONQ327682:ONQ393216 OXM327682:OXM393216 PHI327682:PHI393216 PRE327682:PRE393216 QBA327682:QBA393216 QKW327682:QKW393216 QUS327682:QUS393216 REO327682:REO393216 ROK327682:ROK393216 RYG327682:RYG393216 SIC327682:SIC393216 SRY327682:SRY393216 TBU327682:TBU393216 TLQ327682:TLQ393216 TVM327682:TVM393216 UFI327682:UFI393216 UPE327682:UPE393216 UZA327682:UZA393216 VIW327682:VIW393216 VSS327682:VSS393216 WCO327682:WCO393216 WMK327682:WMK393216 WWG327682:WWG393216 Y393218:Y458752 JU393218:JU458752 TQ393218:TQ458752 ADM393218:ADM458752 ANI393218:ANI458752 AXE393218:AXE458752 BHA393218:BHA458752 BQW393218:BQW458752 CAS393218:CAS458752 CKO393218:CKO458752 CUK393218:CUK458752 DEG393218:DEG458752 DOC393218:DOC458752 DXY393218:DXY458752 EHU393218:EHU458752 ERQ393218:ERQ458752 FBM393218:FBM458752 FLI393218:FLI458752 FVE393218:FVE458752 GFA393218:GFA458752 GOW393218:GOW458752 GYS393218:GYS458752 HIO393218:HIO458752 HSK393218:HSK458752 ICG393218:ICG458752 IMC393218:IMC458752 IVY393218:IVY458752 JFU393218:JFU458752 JPQ393218:JPQ458752 JZM393218:JZM458752 KJI393218:KJI458752 KTE393218:KTE458752 LDA393218:LDA458752 LMW393218:LMW458752 LWS393218:LWS458752 MGO393218:MGO458752 MQK393218:MQK458752 NAG393218:NAG458752 NKC393218:NKC458752 NTY393218:NTY458752 ODU393218:ODU458752 ONQ393218:ONQ458752 OXM393218:OXM458752 PHI393218:PHI458752 PRE393218:PRE458752 QBA393218:QBA458752 QKW393218:QKW458752 QUS393218:QUS458752 REO393218:REO458752 ROK393218:ROK458752 RYG393218:RYG458752 SIC393218:SIC458752 SRY393218:SRY458752 TBU393218:TBU458752 TLQ393218:TLQ458752 TVM393218:TVM458752 UFI393218:UFI458752 UPE393218:UPE458752 UZA393218:UZA458752 VIW393218:VIW458752 VSS393218:VSS458752 WCO393218:WCO458752 WMK393218:WMK458752 WWG393218:WWG458752 Y458754:Y524288 JU458754:JU524288 TQ458754:TQ524288 ADM458754:ADM524288 ANI458754:ANI524288 AXE458754:AXE524288 BHA458754:BHA524288 BQW458754:BQW524288 CAS458754:CAS524288 CKO458754:CKO524288 CUK458754:CUK524288 DEG458754:DEG524288 DOC458754:DOC524288 DXY458754:DXY524288 EHU458754:EHU524288 ERQ458754:ERQ524288 FBM458754:FBM524288 FLI458754:FLI524288 FVE458754:FVE524288 GFA458754:GFA524288 GOW458754:GOW524288 GYS458754:GYS524288 HIO458754:HIO524288 HSK458754:HSK524288 ICG458754:ICG524288 IMC458754:IMC524288 IVY458754:IVY524288 JFU458754:JFU524288 JPQ458754:JPQ524288 JZM458754:JZM524288 KJI458754:KJI524288 KTE458754:KTE524288 LDA458754:LDA524288 LMW458754:LMW524288 LWS458754:LWS524288 MGO458754:MGO524288 MQK458754:MQK524288 NAG458754:NAG524288 NKC458754:NKC524288 NTY458754:NTY524288 ODU458754:ODU524288 ONQ458754:ONQ524288 OXM458754:OXM524288 PHI458754:PHI524288 PRE458754:PRE524288 QBA458754:QBA524288 QKW458754:QKW524288 QUS458754:QUS524288 REO458754:REO524288 ROK458754:ROK524288 RYG458754:RYG524288 SIC458754:SIC524288 SRY458754:SRY524288 TBU458754:TBU524288 TLQ458754:TLQ524288 TVM458754:TVM524288 UFI458754:UFI524288 UPE458754:UPE524288 UZA458754:UZA524288 VIW458754:VIW524288 VSS458754:VSS524288 WCO458754:WCO524288 WMK458754:WMK524288 WWG458754:WWG524288 Y524290:Y589824 JU524290:JU589824 TQ524290:TQ589824 ADM524290:ADM589824 ANI524290:ANI589824 AXE524290:AXE589824 BHA524290:BHA589824 BQW524290:BQW589824 CAS524290:CAS589824 CKO524290:CKO589824 CUK524290:CUK589824 DEG524290:DEG589824 DOC524290:DOC589824 DXY524290:DXY589824 EHU524290:EHU589824 ERQ524290:ERQ589824 FBM524290:FBM589824 FLI524290:FLI589824 FVE524290:FVE589824 GFA524290:GFA589824 GOW524290:GOW589824 GYS524290:GYS589824 HIO524290:HIO589824 HSK524290:HSK589824 ICG524290:ICG589824 IMC524290:IMC589824 IVY524290:IVY589824 JFU524290:JFU589824 JPQ524290:JPQ589824 JZM524290:JZM589824 KJI524290:KJI589824 KTE524290:KTE589824 LDA524290:LDA589824 LMW524290:LMW589824 LWS524290:LWS589824 MGO524290:MGO589824 MQK524290:MQK589824 NAG524290:NAG589824 NKC524290:NKC589824 NTY524290:NTY589824 ODU524290:ODU589824 ONQ524290:ONQ589824 OXM524290:OXM589824 PHI524290:PHI589824 PRE524290:PRE589824 QBA524290:QBA589824 QKW524290:QKW589824 QUS524290:QUS589824 REO524290:REO589824 ROK524290:ROK589824 RYG524290:RYG589824 SIC524290:SIC589824 SRY524290:SRY589824 TBU524290:TBU589824 TLQ524290:TLQ589824 TVM524290:TVM589824 UFI524290:UFI589824 UPE524290:UPE589824 UZA524290:UZA589824 VIW524290:VIW589824 VSS524290:VSS589824 WCO524290:WCO589824 WMK524290:WMK589824 WWG524290:WWG589824 Y589826:Y655360 JU589826:JU655360 TQ589826:TQ655360 ADM589826:ADM655360 ANI589826:ANI655360 AXE589826:AXE655360 BHA589826:BHA655360 BQW589826:BQW655360 CAS589826:CAS655360 CKO589826:CKO655360 CUK589826:CUK655360 DEG589826:DEG655360 DOC589826:DOC655360 DXY589826:DXY655360 EHU589826:EHU655360 ERQ589826:ERQ655360 FBM589826:FBM655360 FLI589826:FLI655360 FVE589826:FVE655360 GFA589826:GFA655360 GOW589826:GOW655360 GYS589826:GYS655360 HIO589826:HIO655360 HSK589826:HSK655360 ICG589826:ICG655360 IMC589826:IMC655360 IVY589826:IVY655360 JFU589826:JFU655360 JPQ589826:JPQ655360 JZM589826:JZM655360 KJI589826:KJI655360 KTE589826:KTE655360 LDA589826:LDA655360 LMW589826:LMW655360 LWS589826:LWS655360 MGO589826:MGO655360 MQK589826:MQK655360 NAG589826:NAG655360 NKC589826:NKC655360 NTY589826:NTY655360 ODU589826:ODU655360 ONQ589826:ONQ655360 OXM589826:OXM655360 PHI589826:PHI655360 PRE589826:PRE655360 QBA589826:QBA655360 QKW589826:QKW655360 QUS589826:QUS655360 REO589826:REO655360 ROK589826:ROK655360 RYG589826:RYG655360 SIC589826:SIC655360 SRY589826:SRY655360 TBU589826:TBU655360 TLQ589826:TLQ655360 TVM589826:TVM655360 UFI589826:UFI655360 UPE589826:UPE655360 UZA589826:UZA655360 VIW589826:VIW655360 VSS589826:VSS655360 WCO589826:WCO655360 WMK589826:WMK655360 WWG589826:WWG655360 Y655362:Y720896 JU655362:JU720896 TQ655362:TQ720896 ADM655362:ADM720896 ANI655362:ANI720896 AXE655362:AXE720896 BHA655362:BHA720896 BQW655362:BQW720896 CAS655362:CAS720896 CKO655362:CKO720896 CUK655362:CUK720896 DEG655362:DEG720896 DOC655362:DOC720896 DXY655362:DXY720896 EHU655362:EHU720896 ERQ655362:ERQ720896 FBM655362:FBM720896 FLI655362:FLI720896 FVE655362:FVE720896 GFA655362:GFA720896 GOW655362:GOW720896 GYS655362:GYS720896 HIO655362:HIO720896 HSK655362:HSK720896 ICG655362:ICG720896 IMC655362:IMC720896 IVY655362:IVY720896 JFU655362:JFU720896 JPQ655362:JPQ720896 JZM655362:JZM720896 KJI655362:KJI720896 KTE655362:KTE720896 LDA655362:LDA720896 LMW655362:LMW720896 LWS655362:LWS720896 MGO655362:MGO720896 MQK655362:MQK720896 NAG655362:NAG720896 NKC655362:NKC720896 NTY655362:NTY720896 ODU655362:ODU720896 ONQ655362:ONQ720896 OXM655362:OXM720896 PHI655362:PHI720896 PRE655362:PRE720896 QBA655362:QBA720896 QKW655362:QKW720896 QUS655362:QUS720896 REO655362:REO720896 ROK655362:ROK720896 RYG655362:RYG720896 SIC655362:SIC720896 SRY655362:SRY720896 TBU655362:TBU720896 TLQ655362:TLQ720896 TVM655362:TVM720896 UFI655362:UFI720896 UPE655362:UPE720896 UZA655362:UZA720896 VIW655362:VIW720896 VSS655362:VSS720896 WCO655362:WCO720896 WMK655362:WMK720896 WWG655362:WWG720896 Y720898:Y786432 JU720898:JU786432 TQ720898:TQ786432 ADM720898:ADM786432 ANI720898:ANI786432 AXE720898:AXE786432 BHA720898:BHA786432 BQW720898:BQW786432 CAS720898:CAS786432 CKO720898:CKO786432 CUK720898:CUK786432 DEG720898:DEG786432 DOC720898:DOC786432 DXY720898:DXY786432 EHU720898:EHU786432 ERQ720898:ERQ786432 FBM720898:FBM786432 FLI720898:FLI786432 FVE720898:FVE786432 GFA720898:GFA786432 GOW720898:GOW786432 GYS720898:GYS786432 HIO720898:HIO786432 HSK720898:HSK786432 ICG720898:ICG786432 IMC720898:IMC786432 IVY720898:IVY786432 JFU720898:JFU786432 JPQ720898:JPQ786432 JZM720898:JZM786432 KJI720898:KJI786432 KTE720898:KTE786432 LDA720898:LDA786432 LMW720898:LMW786432 LWS720898:LWS786432 MGO720898:MGO786432 MQK720898:MQK786432 NAG720898:NAG786432 NKC720898:NKC786432 NTY720898:NTY786432 ODU720898:ODU786432 ONQ720898:ONQ786432 OXM720898:OXM786432 PHI720898:PHI786432 PRE720898:PRE786432 QBA720898:QBA786432 QKW720898:QKW786432 QUS720898:QUS786432 REO720898:REO786432 ROK720898:ROK786432 RYG720898:RYG786432 SIC720898:SIC786432 SRY720898:SRY786432 TBU720898:TBU786432 TLQ720898:TLQ786432 TVM720898:TVM786432 UFI720898:UFI786432 UPE720898:UPE786432 UZA720898:UZA786432 VIW720898:VIW786432 VSS720898:VSS786432 WCO720898:WCO786432 WMK720898:WMK786432 WWG720898:WWG786432 Y786434:Y851968 JU786434:JU851968 TQ786434:TQ851968 ADM786434:ADM851968 ANI786434:ANI851968 AXE786434:AXE851968 BHA786434:BHA851968 BQW786434:BQW851968 CAS786434:CAS851968 CKO786434:CKO851968 CUK786434:CUK851968 DEG786434:DEG851968 DOC786434:DOC851968 DXY786434:DXY851968 EHU786434:EHU851968 ERQ786434:ERQ851968 FBM786434:FBM851968 FLI786434:FLI851968 FVE786434:FVE851968 GFA786434:GFA851968 GOW786434:GOW851968 GYS786434:GYS851968 HIO786434:HIO851968 HSK786434:HSK851968 ICG786434:ICG851968 IMC786434:IMC851968 IVY786434:IVY851968 JFU786434:JFU851968 JPQ786434:JPQ851968 JZM786434:JZM851968 KJI786434:KJI851968 KTE786434:KTE851968 LDA786434:LDA851968 LMW786434:LMW851968 LWS786434:LWS851968 MGO786434:MGO851968 MQK786434:MQK851968 NAG786434:NAG851968 NKC786434:NKC851968 NTY786434:NTY851968 ODU786434:ODU851968 ONQ786434:ONQ851968 OXM786434:OXM851968 PHI786434:PHI851968 PRE786434:PRE851968 QBA786434:QBA851968 QKW786434:QKW851968 QUS786434:QUS851968 REO786434:REO851968 ROK786434:ROK851968 RYG786434:RYG851968 SIC786434:SIC851968 SRY786434:SRY851968 TBU786434:TBU851968 TLQ786434:TLQ851968 TVM786434:TVM851968 UFI786434:UFI851968 UPE786434:UPE851968 UZA786434:UZA851968 VIW786434:VIW851968 VSS786434:VSS851968 WCO786434:WCO851968 WMK786434:WMK851968 WWG786434:WWG851968 Y851970:Y917504 JU851970:JU917504 TQ851970:TQ917504 ADM851970:ADM917504 ANI851970:ANI917504 AXE851970:AXE917504 BHA851970:BHA917504 BQW851970:BQW917504 CAS851970:CAS917504 CKO851970:CKO917504 CUK851970:CUK917504 DEG851970:DEG917504 DOC851970:DOC917504 DXY851970:DXY917504 EHU851970:EHU917504 ERQ851970:ERQ917504 FBM851970:FBM917504 FLI851970:FLI917504 FVE851970:FVE917504 GFA851970:GFA917504 GOW851970:GOW917504 GYS851970:GYS917504 HIO851970:HIO917504 HSK851970:HSK917504 ICG851970:ICG917504 IMC851970:IMC917504 IVY851970:IVY917504 JFU851970:JFU917504 JPQ851970:JPQ917504 JZM851970:JZM917504 KJI851970:KJI917504 KTE851970:KTE917504 LDA851970:LDA917504 LMW851970:LMW917504 LWS851970:LWS917504 MGO851970:MGO917504 MQK851970:MQK917504 NAG851970:NAG917504 NKC851970:NKC917504 NTY851970:NTY917504 ODU851970:ODU917504 ONQ851970:ONQ917504 OXM851970:OXM917504 PHI851970:PHI917504 PRE851970:PRE917504 QBA851970:QBA917504 QKW851970:QKW917504 QUS851970:QUS917504 REO851970:REO917504 ROK851970:ROK917504 RYG851970:RYG917504 SIC851970:SIC917504 SRY851970:SRY917504 TBU851970:TBU917504 TLQ851970:TLQ917504 TVM851970:TVM917504 UFI851970:UFI917504 UPE851970:UPE917504 UZA851970:UZA917504 VIW851970:VIW917504 VSS851970:VSS917504 WCO851970:WCO917504 WMK851970:WMK917504 WWG851970:WWG917504 Y917506:Y983040 JU917506:JU983040 TQ917506:TQ983040 ADM917506:ADM983040 ANI917506:ANI983040 AXE917506:AXE983040 BHA917506:BHA983040 BQW917506:BQW983040 CAS917506:CAS983040 CKO917506:CKO983040 CUK917506:CUK983040 DEG917506:DEG983040 DOC917506:DOC983040 DXY917506:DXY983040 EHU917506:EHU983040 ERQ917506:ERQ983040 FBM917506:FBM983040 FLI917506:FLI983040 FVE917506:FVE983040 GFA917506:GFA983040 GOW917506:GOW983040 GYS917506:GYS983040 HIO917506:HIO983040 HSK917506:HSK983040 ICG917506:ICG983040 IMC917506:IMC983040 IVY917506:IVY983040 JFU917506:JFU983040 JPQ917506:JPQ983040 JZM917506:JZM983040 KJI917506:KJI983040 KTE917506:KTE983040 LDA917506:LDA983040 LMW917506:LMW983040 LWS917506:LWS983040 MGO917506:MGO983040 MQK917506:MQK983040 NAG917506:NAG983040 NKC917506:NKC983040 NTY917506:NTY983040 ODU917506:ODU983040 ONQ917506:ONQ983040 OXM917506:OXM983040 PHI917506:PHI983040 PRE917506:PRE983040 QBA917506:QBA983040 QKW917506:QKW983040 QUS917506:QUS983040 REO917506:REO983040 ROK917506:ROK983040 RYG917506:RYG983040 SIC917506:SIC983040 SRY917506:SRY983040 TBU917506:TBU983040 TLQ917506:TLQ983040 TVM917506:TVM983040 UFI917506:UFI983040 UPE917506:UPE983040 UZA917506:UZA983040 VIW917506:VIW983040 VSS917506:VSS983040 WCO917506:WCO983040 WMK917506:WMK983040 WWG917506:WWG983040 Y983042:Y1048576 JU983042:JU1048576 TQ983042:TQ1048576 ADM983042:ADM1048576 ANI983042:ANI1048576 AXE983042:AXE1048576 BHA983042:BHA1048576 BQW983042:BQW1048576 CAS983042:CAS1048576 CKO983042:CKO1048576 CUK983042:CUK1048576 DEG983042:DEG1048576 DOC983042:DOC1048576 DXY983042:DXY1048576 EHU983042:EHU1048576 ERQ983042:ERQ1048576 FBM983042:FBM1048576 FLI983042:FLI1048576 FVE983042:FVE1048576 GFA983042:GFA1048576 GOW983042:GOW1048576 GYS983042:GYS1048576 HIO983042:HIO1048576 HSK983042:HSK1048576 ICG983042:ICG1048576 IMC983042:IMC1048576 IVY983042:IVY1048576 JFU983042:JFU1048576 JPQ983042:JPQ1048576 JZM983042:JZM1048576 KJI983042:KJI1048576 KTE983042:KTE1048576 LDA983042:LDA1048576 LMW983042:LMW1048576 LWS983042:LWS1048576 MGO983042:MGO1048576 MQK983042:MQK1048576 NAG983042:NAG1048576 NKC983042:NKC1048576 NTY983042:NTY1048576 ODU983042:ODU1048576 ONQ983042:ONQ1048576 OXM983042:OXM1048576 PHI983042:PHI1048576 PRE983042:PRE1048576 QBA983042:QBA1048576 QKW983042:QKW1048576 QUS983042:QUS1048576 REO983042:REO1048576 ROK983042:ROK1048576 RYG983042:RYG1048576 SIC983042:SIC1048576 SRY983042:SRY1048576 TBU983042:TBU1048576 TLQ983042:TLQ1048576 TVM983042:TVM1048576 UFI983042:UFI1048576 UPE983042:UPE1048576 UZA983042:UZA1048576 VIW983042:VIW1048576 VSS983042:VSS1048576 WCO983042:WCO1048576 WMK983042:WMK1048576 WWG983042:WWG1048576 AO2:AO65536 KK2:KK65536 UG2:UG65536 AEC2:AEC65536 ANY2:ANY65536 AXU2:AXU65536 BHQ2:BHQ65536 BRM2:BRM65536 CBI2:CBI65536 CLE2:CLE65536 CVA2:CVA65536 DEW2:DEW65536 DOS2:DOS65536 DYO2:DYO65536 EIK2:EIK65536 ESG2:ESG65536 FCC2:FCC65536 FLY2:FLY65536 FVU2:FVU65536 GFQ2:GFQ65536 GPM2:GPM65536 GZI2:GZI65536 HJE2:HJE65536 HTA2:HTA65536 ICW2:ICW65536 IMS2:IMS65536 IWO2:IWO65536 JGK2:JGK65536 JQG2:JQG65536 KAC2:KAC65536 KJY2:KJY65536 KTU2:KTU65536 LDQ2:LDQ65536 LNM2:LNM65536 LXI2:LXI65536 MHE2:MHE65536 MRA2:MRA65536 NAW2:NAW65536 NKS2:NKS65536 NUO2:NUO65536 OEK2:OEK65536 OOG2:OOG65536 OYC2:OYC65536 PHY2:PHY65536 PRU2:PRU65536 QBQ2:QBQ65536 QLM2:QLM65536 QVI2:QVI65536 RFE2:RFE65536 RPA2:RPA65536 RYW2:RYW65536 SIS2:SIS65536 SSO2:SSO65536 TCK2:TCK65536 TMG2:TMG65536 TWC2:TWC65536 UFY2:UFY65536 UPU2:UPU65536 UZQ2:UZQ65536 VJM2:VJM65536 VTI2:VTI65536 WDE2:WDE65536 WNA2:WNA65536 WWW2:WWW65536 AO65538:AO131072 KK65538:KK131072 UG65538:UG131072 AEC65538:AEC131072 ANY65538:ANY131072 AXU65538:AXU131072 BHQ65538:BHQ131072 BRM65538:BRM131072 CBI65538:CBI131072 CLE65538:CLE131072 CVA65538:CVA131072 DEW65538:DEW131072 DOS65538:DOS131072 DYO65538:DYO131072 EIK65538:EIK131072 ESG65538:ESG131072 FCC65538:FCC131072 FLY65538:FLY131072 FVU65538:FVU131072 GFQ65538:GFQ131072 GPM65538:GPM131072 GZI65538:GZI131072 HJE65538:HJE131072 HTA65538:HTA131072 ICW65538:ICW131072 IMS65538:IMS131072 IWO65538:IWO131072 JGK65538:JGK131072 JQG65538:JQG131072 KAC65538:KAC131072 KJY65538:KJY131072 KTU65538:KTU131072 LDQ65538:LDQ131072 LNM65538:LNM131072 LXI65538:LXI131072 MHE65538:MHE131072 MRA65538:MRA131072 NAW65538:NAW131072 NKS65538:NKS131072 NUO65538:NUO131072 OEK65538:OEK131072 OOG65538:OOG131072 OYC65538:OYC131072 PHY65538:PHY131072 PRU65538:PRU131072 QBQ65538:QBQ131072 QLM65538:QLM131072 QVI65538:QVI131072 RFE65538:RFE131072 RPA65538:RPA131072 RYW65538:RYW131072 SIS65538:SIS131072 SSO65538:SSO131072 TCK65538:TCK131072 TMG65538:TMG131072 TWC65538:TWC131072 UFY65538:UFY131072 UPU65538:UPU131072 UZQ65538:UZQ131072 VJM65538:VJM131072 VTI65538:VTI131072 WDE65538:WDE131072 WNA65538:WNA131072 WWW65538:WWW131072 AO131074:AO196608 KK131074:KK196608 UG131074:UG196608 AEC131074:AEC196608 ANY131074:ANY196608 AXU131074:AXU196608 BHQ131074:BHQ196608 BRM131074:BRM196608 CBI131074:CBI196608 CLE131074:CLE196608 CVA131074:CVA196608 DEW131074:DEW196608 DOS131074:DOS196608 DYO131074:DYO196608 EIK131074:EIK196608 ESG131074:ESG196608 FCC131074:FCC196608 FLY131074:FLY196608 FVU131074:FVU196608 GFQ131074:GFQ196608 GPM131074:GPM196608 GZI131074:GZI196608 HJE131074:HJE196608 HTA131074:HTA196608 ICW131074:ICW196608 IMS131074:IMS196608 IWO131074:IWO196608 JGK131074:JGK196608 JQG131074:JQG196608 KAC131074:KAC196608 KJY131074:KJY196608 KTU131074:KTU196608 LDQ131074:LDQ196608 LNM131074:LNM196608 LXI131074:LXI196608 MHE131074:MHE196608 MRA131074:MRA196608 NAW131074:NAW196608 NKS131074:NKS196608 NUO131074:NUO196608 OEK131074:OEK196608 OOG131074:OOG196608 OYC131074:OYC196608 PHY131074:PHY196608 PRU131074:PRU196608 QBQ131074:QBQ196608 QLM131074:QLM196608 QVI131074:QVI196608 RFE131074:RFE196608 RPA131074:RPA196608 RYW131074:RYW196608 SIS131074:SIS196608 SSO131074:SSO196608 TCK131074:TCK196608 TMG131074:TMG196608 TWC131074:TWC196608 UFY131074:UFY196608 UPU131074:UPU196608 UZQ131074:UZQ196608 VJM131074:VJM196608 VTI131074:VTI196608 WDE131074:WDE196608 WNA131074:WNA196608 WWW131074:WWW196608 AO196610:AO262144 KK196610:KK262144 UG196610:UG262144 AEC196610:AEC262144 ANY196610:ANY262144 AXU196610:AXU262144 BHQ196610:BHQ262144 BRM196610:BRM262144 CBI196610:CBI262144 CLE196610:CLE262144 CVA196610:CVA262144 DEW196610:DEW262144 DOS196610:DOS262144 DYO196610:DYO262144 EIK196610:EIK262144 ESG196610:ESG262144 FCC196610:FCC262144 FLY196610:FLY262144 FVU196610:FVU262144 GFQ196610:GFQ262144 GPM196610:GPM262144 GZI196610:GZI262144 HJE196610:HJE262144 HTA196610:HTA262144 ICW196610:ICW262144 IMS196610:IMS262144 IWO196610:IWO262144 JGK196610:JGK262144 JQG196610:JQG262144 KAC196610:KAC262144 KJY196610:KJY262144 KTU196610:KTU262144 LDQ196610:LDQ262144 LNM196610:LNM262144 LXI196610:LXI262144 MHE196610:MHE262144 MRA196610:MRA262144 NAW196610:NAW262144 NKS196610:NKS262144 NUO196610:NUO262144 OEK196610:OEK262144 OOG196610:OOG262144 OYC196610:OYC262144 PHY196610:PHY262144 PRU196610:PRU262144 QBQ196610:QBQ262144 QLM196610:QLM262144 QVI196610:QVI262144 RFE196610:RFE262144 RPA196610:RPA262144 RYW196610:RYW262144 SIS196610:SIS262144 SSO196610:SSO262144 TCK196610:TCK262144 TMG196610:TMG262144 TWC196610:TWC262144 UFY196610:UFY262144 UPU196610:UPU262144 UZQ196610:UZQ262144 VJM196610:VJM262144 VTI196610:VTI262144 WDE196610:WDE262144 WNA196610:WNA262144 WWW196610:WWW262144 AO262146:AO327680 KK262146:KK327680 UG262146:UG327680 AEC262146:AEC327680 ANY262146:ANY327680 AXU262146:AXU327680 BHQ262146:BHQ327680 BRM262146:BRM327680 CBI262146:CBI327680 CLE262146:CLE327680 CVA262146:CVA327680 DEW262146:DEW327680 DOS262146:DOS327680 DYO262146:DYO327680 EIK262146:EIK327680 ESG262146:ESG327680 FCC262146:FCC327680 FLY262146:FLY327680 FVU262146:FVU327680 GFQ262146:GFQ327680 GPM262146:GPM327680 GZI262146:GZI327680 HJE262146:HJE327680 HTA262146:HTA327680 ICW262146:ICW327680 IMS262146:IMS327680 IWO262146:IWO327680 JGK262146:JGK327680 JQG262146:JQG327680 KAC262146:KAC327680 KJY262146:KJY327680 KTU262146:KTU327680 LDQ262146:LDQ327680 LNM262146:LNM327680 LXI262146:LXI327680 MHE262146:MHE327680 MRA262146:MRA327680 NAW262146:NAW327680 NKS262146:NKS327680 NUO262146:NUO327680 OEK262146:OEK327680 OOG262146:OOG327680 OYC262146:OYC327680 PHY262146:PHY327680 PRU262146:PRU327680 QBQ262146:QBQ327680 QLM262146:QLM327680 QVI262146:QVI327680 RFE262146:RFE327680 RPA262146:RPA327680 RYW262146:RYW327680 SIS262146:SIS327680 SSO262146:SSO327680 TCK262146:TCK327680 TMG262146:TMG327680 TWC262146:TWC327680 UFY262146:UFY327680 UPU262146:UPU327680 UZQ262146:UZQ327680 VJM262146:VJM327680 VTI262146:VTI327680 WDE262146:WDE327680 WNA262146:WNA327680 WWW262146:WWW327680 AO327682:AO393216 KK327682:KK393216 UG327682:UG393216 AEC327682:AEC393216 ANY327682:ANY393216 AXU327682:AXU393216 BHQ327682:BHQ393216 BRM327682:BRM393216 CBI327682:CBI393216 CLE327682:CLE393216 CVA327682:CVA393216 DEW327682:DEW393216 DOS327682:DOS393216 DYO327682:DYO393216 EIK327682:EIK393216 ESG327682:ESG393216 FCC327682:FCC393216 FLY327682:FLY393216 FVU327682:FVU393216 GFQ327682:GFQ393216 GPM327682:GPM393216 GZI327682:GZI393216 HJE327682:HJE393216 HTA327682:HTA393216 ICW327682:ICW393216 IMS327682:IMS393216 IWO327682:IWO393216 JGK327682:JGK393216 JQG327682:JQG393216 KAC327682:KAC393216 KJY327682:KJY393216 KTU327682:KTU393216 LDQ327682:LDQ393216 LNM327682:LNM393216 LXI327682:LXI393216 MHE327682:MHE393216 MRA327682:MRA393216 NAW327682:NAW393216 NKS327682:NKS393216 NUO327682:NUO393216 OEK327682:OEK393216 OOG327682:OOG393216 OYC327682:OYC393216 PHY327682:PHY393216 PRU327682:PRU393216 QBQ327682:QBQ393216 QLM327682:QLM393216 QVI327682:QVI393216 RFE327682:RFE393216 RPA327682:RPA393216 RYW327682:RYW393216 SIS327682:SIS393216 SSO327682:SSO393216 TCK327682:TCK393216 TMG327682:TMG393216 TWC327682:TWC393216 UFY327682:UFY393216 UPU327682:UPU393216 UZQ327682:UZQ393216 VJM327682:VJM393216 VTI327682:VTI393216 WDE327682:WDE393216 WNA327682:WNA393216 WWW327682:WWW393216 AO393218:AO458752 KK393218:KK458752 UG393218:UG458752 AEC393218:AEC458752 ANY393218:ANY458752 AXU393218:AXU458752 BHQ393218:BHQ458752 BRM393218:BRM458752 CBI393218:CBI458752 CLE393218:CLE458752 CVA393218:CVA458752 DEW393218:DEW458752 DOS393218:DOS458752 DYO393218:DYO458752 EIK393218:EIK458752 ESG393218:ESG458752 FCC393218:FCC458752 FLY393218:FLY458752 FVU393218:FVU458752 GFQ393218:GFQ458752 GPM393218:GPM458752 GZI393218:GZI458752 HJE393218:HJE458752 HTA393218:HTA458752 ICW393218:ICW458752 IMS393218:IMS458752 IWO393218:IWO458752 JGK393218:JGK458752 JQG393218:JQG458752 KAC393218:KAC458752 KJY393218:KJY458752 KTU393218:KTU458752 LDQ393218:LDQ458752 LNM393218:LNM458752 LXI393218:LXI458752 MHE393218:MHE458752 MRA393218:MRA458752 NAW393218:NAW458752 NKS393218:NKS458752 NUO393218:NUO458752 OEK393218:OEK458752 OOG393218:OOG458752 OYC393218:OYC458752 PHY393218:PHY458752 PRU393218:PRU458752 QBQ393218:QBQ458752 QLM393218:QLM458752 QVI393218:QVI458752 RFE393218:RFE458752 RPA393218:RPA458752 RYW393218:RYW458752 SIS393218:SIS458752 SSO393218:SSO458752 TCK393218:TCK458752 TMG393218:TMG458752 TWC393218:TWC458752 UFY393218:UFY458752 UPU393218:UPU458752 UZQ393218:UZQ458752 VJM393218:VJM458752 VTI393218:VTI458752 WDE393218:WDE458752 WNA393218:WNA458752 WWW393218:WWW458752 AO458754:AO524288 KK458754:KK524288 UG458754:UG524288 AEC458754:AEC524288 ANY458754:ANY524288 AXU458754:AXU524288 BHQ458754:BHQ524288 BRM458754:BRM524288 CBI458754:CBI524288 CLE458754:CLE524288 CVA458754:CVA524288 DEW458754:DEW524288 DOS458754:DOS524288 DYO458754:DYO524288 EIK458754:EIK524288 ESG458754:ESG524288 FCC458754:FCC524288 FLY458754:FLY524288 FVU458754:FVU524288 GFQ458754:GFQ524288 GPM458754:GPM524288 GZI458754:GZI524288 HJE458754:HJE524288 HTA458754:HTA524288 ICW458754:ICW524288 IMS458754:IMS524288 IWO458754:IWO524288 JGK458754:JGK524288 JQG458754:JQG524288 KAC458754:KAC524288 KJY458754:KJY524288 KTU458754:KTU524288 LDQ458754:LDQ524288 LNM458754:LNM524288 LXI458754:LXI524288 MHE458754:MHE524288 MRA458754:MRA524288 NAW458754:NAW524288 NKS458754:NKS524288 NUO458754:NUO524288 OEK458754:OEK524288 OOG458754:OOG524288 OYC458754:OYC524288 PHY458754:PHY524288 PRU458754:PRU524288 QBQ458754:QBQ524288 QLM458754:QLM524288 QVI458754:QVI524288 RFE458754:RFE524288 RPA458754:RPA524288 RYW458754:RYW524288 SIS458754:SIS524288 SSO458754:SSO524288 TCK458754:TCK524288 TMG458754:TMG524288 TWC458754:TWC524288 UFY458754:UFY524288 UPU458754:UPU524288 UZQ458754:UZQ524288 VJM458754:VJM524288 VTI458754:VTI524288 WDE458754:WDE524288 WNA458754:WNA524288 WWW458754:WWW524288 AO524290:AO589824 KK524290:KK589824 UG524290:UG589824 AEC524290:AEC589824 ANY524290:ANY589824 AXU524290:AXU589824 BHQ524290:BHQ589824 BRM524290:BRM589824 CBI524290:CBI589824 CLE524290:CLE589824 CVA524290:CVA589824 DEW524290:DEW589824 DOS524290:DOS589824 DYO524290:DYO589824 EIK524290:EIK589824 ESG524290:ESG589824 FCC524290:FCC589824 FLY524290:FLY589824 FVU524290:FVU589824 GFQ524290:GFQ589824 GPM524290:GPM589824 GZI524290:GZI589824 HJE524290:HJE589824 HTA524290:HTA589824 ICW524290:ICW589824 IMS524290:IMS589824 IWO524290:IWO589824 JGK524290:JGK589824 JQG524290:JQG589824 KAC524290:KAC589824 KJY524290:KJY589824 KTU524290:KTU589824 LDQ524290:LDQ589824 LNM524290:LNM589824 LXI524290:LXI589824 MHE524290:MHE589824 MRA524290:MRA589824 NAW524290:NAW589824 NKS524290:NKS589824 NUO524290:NUO589824 OEK524290:OEK589824 OOG524290:OOG589824 OYC524290:OYC589824 PHY524290:PHY589824 PRU524290:PRU589824 QBQ524290:QBQ589824 QLM524290:QLM589824 QVI524290:QVI589824 RFE524290:RFE589824 RPA524290:RPA589824 RYW524290:RYW589824 SIS524290:SIS589824 SSO524290:SSO589824 TCK524290:TCK589824 TMG524290:TMG589824 TWC524290:TWC589824 UFY524290:UFY589824 UPU524290:UPU589824 UZQ524290:UZQ589824 VJM524290:VJM589824 VTI524290:VTI589824 WDE524290:WDE589824 WNA524290:WNA589824 WWW524290:WWW589824 AO589826:AO655360 KK589826:KK655360 UG589826:UG655360 AEC589826:AEC655360 ANY589826:ANY655360 AXU589826:AXU655360 BHQ589826:BHQ655360 BRM589826:BRM655360 CBI589826:CBI655360 CLE589826:CLE655360 CVA589826:CVA655360 DEW589826:DEW655360 DOS589826:DOS655360 DYO589826:DYO655360 EIK589826:EIK655360 ESG589826:ESG655360 FCC589826:FCC655360 FLY589826:FLY655360 FVU589826:FVU655360 GFQ589826:GFQ655360 GPM589826:GPM655360 GZI589826:GZI655360 HJE589826:HJE655360 HTA589826:HTA655360 ICW589826:ICW655360 IMS589826:IMS655360 IWO589826:IWO655360 JGK589826:JGK655360 JQG589826:JQG655360 KAC589826:KAC655360 KJY589826:KJY655360 KTU589826:KTU655360 LDQ589826:LDQ655360 LNM589826:LNM655360 LXI589826:LXI655360 MHE589826:MHE655360 MRA589826:MRA655360 NAW589826:NAW655360 NKS589826:NKS655360 NUO589826:NUO655360 OEK589826:OEK655360 OOG589826:OOG655360 OYC589826:OYC655360 PHY589826:PHY655360 PRU589826:PRU655360 QBQ589826:QBQ655360 QLM589826:QLM655360 QVI589826:QVI655360 RFE589826:RFE655360 RPA589826:RPA655360 RYW589826:RYW655360 SIS589826:SIS655360 SSO589826:SSO655360 TCK589826:TCK655360 TMG589826:TMG655360 TWC589826:TWC655360 UFY589826:UFY655360 UPU589826:UPU655360 UZQ589826:UZQ655360 VJM589826:VJM655360 VTI589826:VTI655360 WDE589826:WDE655360 WNA589826:WNA655360 WWW589826:WWW655360 AO655362:AO720896 KK655362:KK720896 UG655362:UG720896 AEC655362:AEC720896 ANY655362:ANY720896 AXU655362:AXU720896 BHQ655362:BHQ720896 BRM655362:BRM720896 CBI655362:CBI720896 CLE655362:CLE720896 CVA655362:CVA720896 DEW655362:DEW720896 DOS655362:DOS720896 DYO655362:DYO720896 EIK655362:EIK720896 ESG655362:ESG720896 FCC655362:FCC720896 FLY655362:FLY720896 FVU655362:FVU720896 GFQ655362:GFQ720896 GPM655362:GPM720896 GZI655362:GZI720896 HJE655362:HJE720896 HTA655362:HTA720896 ICW655362:ICW720896 IMS655362:IMS720896 IWO655362:IWO720896 JGK655362:JGK720896 JQG655362:JQG720896 KAC655362:KAC720896 KJY655362:KJY720896 KTU655362:KTU720896 LDQ655362:LDQ720896 LNM655362:LNM720896 LXI655362:LXI720896 MHE655362:MHE720896 MRA655362:MRA720896 NAW655362:NAW720896 NKS655362:NKS720896 NUO655362:NUO720896 OEK655362:OEK720896 OOG655362:OOG720896 OYC655362:OYC720896 PHY655362:PHY720896 PRU655362:PRU720896 QBQ655362:QBQ720896 QLM655362:QLM720896 QVI655362:QVI720896 RFE655362:RFE720896 RPA655362:RPA720896 RYW655362:RYW720896 SIS655362:SIS720896 SSO655362:SSO720896 TCK655362:TCK720896 TMG655362:TMG720896 TWC655362:TWC720896 UFY655362:UFY720896 UPU655362:UPU720896 UZQ655362:UZQ720896 VJM655362:VJM720896 VTI655362:VTI720896 WDE655362:WDE720896 WNA655362:WNA720896 WWW655362:WWW720896 AO720898:AO786432 KK720898:KK786432 UG720898:UG786432 AEC720898:AEC786432 ANY720898:ANY786432 AXU720898:AXU786432 BHQ720898:BHQ786432 BRM720898:BRM786432 CBI720898:CBI786432 CLE720898:CLE786432 CVA720898:CVA786432 DEW720898:DEW786432 DOS720898:DOS786432 DYO720898:DYO786432 EIK720898:EIK786432 ESG720898:ESG786432 FCC720898:FCC786432 FLY720898:FLY786432 FVU720898:FVU786432 GFQ720898:GFQ786432 GPM720898:GPM786432 GZI720898:GZI786432 HJE720898:HJE786432 HTA720898:HTA786432 ICW720898:ICW786432 IMS720898:IMS786432 IWO720898:IWO786432 JGK720898:JGK786432 JQG720898:JQG786432 KAC720898:KAC786432 KJY720898:KJY786432 KTU720898:KTU786432 LDQ720898:LDQ786432 LNM720898:LNM786432 LXI720898:LXI786432 MHE720898:MHE786432 MRA720898:MRA786432 NAW720898:NAW786432 NKS720898:NKS786432 NUO720898:NUO786432 OEK720898:OEK786432 OOG720898:OOG786432 OYC720898:OYC786432 PHY720898:PHY786432 PRU720898:PRU786432 QBQ720898:QBQ786432 QLM720898:QLM786432 QVI720898:QVI786432 RFE720898:RFE786432 RPA720898:RPA786432 RYW720898:RYW786432 SIS720898:SIS786432 SSO720898:SSO786432 TCK720898:TCK786432 TMG720898:TMG786432 TWC720898:TWC786432 UFY720898:UFY786432 UPU720898:UPU786432 UZQ720898:UZQ786432 VJM720898:VJM786432 VTI720898:VTI786432 WDE720898:WDE786432 WNA720898:WNA786432 WWW720898:WWW786432 AO786434:AO851968 KK786434:KK851968 UG786434:UG851968 AEC786434:AEC851968 ANY786434:ANY851968 AXU786434:AXU851968 BHQ786434:BHQ851968 BRM786434:BRM851968 CBI786434:CBI851968 CLE786434:CLE851968 CVA786434:CVA851968 DEW786434:DEW851968 DOS786434:DOS851968 DYO786434:DYO851968 EIK786434:EIK851968 ESG786434:ESG851968 FCC786434:FCC851968 FLY786434:FLY851968 FVU786434:FVU851968 GFQ786434:GFQ851968 GPM786434:GPM851968 GZI786434:GZI851968 HJE786434:HJE851968 HTA786434:HTA851968 ICW786434:ICW851968 IMS786434:IMS851968 IWO786434:IWO851968 JGK786434:JGK851968 JQG786434:JQG851968 KAC786434:KAC851968 KJY786434:KJY851968 KTU786434:KTU851968 LDQ786434:LDQ851968 LNM786434:LNM851968 LXI786434:LXI851968 MHE786434:MHE851968 MRA786434:MRA851968 NAW786434:NAW851968 NKS786434:NKS851968 NUO786434:NUO851968 OEK786434:OEK851968 OOG786434:OOG851968 OYC786434:OYC851968 PHY786434:PHY851968 PRU786434:PRU851968 QBQ786434:QBQ851968 QLM786434:QLM851968 QVI786434:QVI851968 RFE786434:RFE851968 RPA786434:RPA851968 RYW786434:RYW851968 SIS786434:SIS851968 SSO786434:SSO851968 TCK786434:TCK851968 TMG786434:TMG851968 TWC786434:TWC851968 UFY786434:UFY851968 UPU786434:UPU851968 UZQ786434:UZQ851968 VJM786434:VJM851968 VTI786434:VTI851968 WDE786434:WDE851968 WNA786434:WNA851968 WWW786434:WWW851968 AO851970:AO917504 KK851970:KK917504 UG851970:UG917504 AEC851970:AEC917504 ANY851970:ANY917504 AXU851970:AXU917504 BHQ851970:BHQ917504 BRM851970:BRM917504 CBI851970:CBI917504 CLE851970:CLE917504 CVA851970:CVA917504 DEW851970:DEW917504 DOS851970:DOS917504 DYO851970:DYO917504 EIK851970:EIK917504 ESG851970:ESG917504 FCC851970:FCC917504 FLY851970:FLY917504 FVU851970:FVU917504 GFQ851970:GFQ917504 GPM851970:GPM917504 GZI851970:GZI917504 HJE851970:HJE917504 HTA851970:HTA917504 ICW851970:ICW917504 IMS851970:IMS917504 IWO851970:IWO917504 JGK851970:JGK917504 JQG851970:JQG917504 KAC851970:KAC917504 KJY851970:KJY917504 KTU851970:KTU917504 LDQ851970:LDQ917504 LNM851970:LNM917504 LXI851970:LXI917504 MHE851970:MHE917504 MRA851970:MRA917504 NAW851970:NAW917504 NKS851970:NKS917504 NUO851970:NUO917504 OEK851970:OEK917504 OOG851970:OOG917504 OYC851970:OYC917504 PHY851970:PHY917504 PRU851970:PRU917504 QBQ851970:QBQ917504 QLM851970:QLM917504 QVI851970:QVI917504 RFE851970:RFE917504 RPA851970:RPA917504 RYW851970:RYW917504 SIS851970:SIS917504 SSO851970:SSO917504 TCK851970:TCK917504 TMG851970:TMG917504 TWC851970:TWC917504 UFY851970:UFY917504 UPU851970:UPU917504 UZQ851970:UZQ917504 VJM851970:VJM917504 VTI851970:VTI917504 WDE851970:WDE917504 WNA851970:WNA917504 WWW851970:WWW917504 AO917506:AO983040 KK917506:KK983040 UG917506:UG983040 AEC917506:AEC983040 ANY917506:ANY983040 AXU917506:AXU983040 BHQ917506:BHQ983040 BRM917506:BRM983040 CBI917506:CBI983040 CLE917506:CLE983040 CVA917506:CVA983040 DEW917506:DEW983040 DOS917506:DOS983040 DYO917506:DYO983040 EIK917506:EIK983040 ESG917506:ESG983040 FCC917506:FCC983040 FLY917506:FLY983040 FVU917506:FVU983040 GFQ917506:GFQ983040 GPM917506:GPM983040 GZI917506:GZI983040 HJE917506:HJE983040 HTA917506:HTA983040 ICW917506:ICW983040 IMS917506:IMS983040 IWO917506:IWO983040 JGK917506:JGK983040 JQG917506:JQG983040 KAC917506:KAC983040 KJY917506:KJY983040 KTU917506:KTU983040 LDQ917506:LDQ983040 LNM917506:LNM983040 LXI917506:LXI983040 MHE917506:MHE983040 MRA917506:MRA983040 NAW917506:NAW983040 NKS917506:NKS983040 NUO917506:NUO983040 OEK917506:OEK983040 OOG917506:OOG983040 OYC917506:OYC983040 PHY917506:PHY983040 PRU917506:PRU983040 QBQ917506:QBQ983040 QLM917506:QLM983040 QVI917506:QVI983040 RFE917506:RFE983040 RPA917506:RPA983040 RYW917506:RYW983040 SIS917506:SIS983040 SSO917506:SSO983040 TCK917506:TCK983040 TMG917506:TMG983040 TWC917506:TWC983040 UFY917506:UFY983040 UPU917506:UPU983040 UZQ917506:UZQ983040 VJM917506:VJM983040 VTI917506:VTI983040 WDE917506:WDE983040 WNA917506:WNA983040 WWW917506:WWW983040 AO983042:AO1048576 KK983042:KK1048576 UG983042:UG1048576 AEC983042:AEC1048576 ANY983042:ANY1048576 AXU983042:AXU1048576 BHQ983042:BHQ1048576 BRM983042:BRM1048576 CBI983042:CBI1048576 CLE983042:CLE1048576 CVA983042:CVA1048576 DEW983042:DEW1048576 DOS983042:DOS1048576 DYO983042:DYO1048576 EIK983042:EIK1048576 ESG983042:ESG1048576 FCC983042:FCC1048576 FLY983042:FLY1048576 FVU983042:FVU1048576 GFQ983042:GFQ1048576 GPM983042:GPM1048576 GZI983042:GZI1048576 HJE983042:HJE1048576 HTA983042:HTA1048576 ICW983042:ICW1048576 IMS983042:IMS1048576 IWO983042:IWO1048576 JGK983042:JGK1048576 JQG983042:JQG1048576 KAC983042:KAC1048576 KJY983042:KJY1048576 KTU983042:KTU1048576 LDQ983042:LDQ1048576 LNM983042:LNM1048576 LXI983042:LXI1048576 MHE983042:MHE1048576 MRA983042:MRA1048576 NAW983042:NAW1048576 NKS983042:NKS1048576 NUO983042:NUO1048576 OEK983042:OEK1048576 OOG983042:OOG1048576 OYC983042:OYC1048576 PHY983042:PHY1048576 PRU983042:PRU1048576 QBQ983042:QBQ1048576 QLM983042:QLM1048576 QVI983042:QVI1048576 RFE983042:RFE1048576 RPA983042:RPA1048576 RYW983042:RYW1048576 SIS983042:SIS1048576 SSO983042:SSO1048576 TCK983042:TCK1048576 TMG983042:TMG1048576 TWC983042:TWC1048576 UFY983042:UFY1048576 UPU983042:UPU1048576 UZQ983042:UZQ1048576 VJM983042:VJM1048576 VTI983042:VTI1048576 WDE983042:WDE1048576 WNA983042:WNA1048576 WWW983042:WWW1048576 AA2:AA65536 JW2:JW65536 TS2:TS65536 ADO2:ADO65536 ANK2:ANK65536 AXG2:AXG65536 BHC2:BHC65536 BQY2:BQY65536 CAU2:CAU65536 CKQ2:CKQ65536 CUM2:CUM65536 DEI2:DEI65536 DOE2:DOE65536 DYA2:DYA65536 EHW2:EHW65536 ERS2:ERS65536 FBO2:FBO65536 FLK2:FLK65536 FVG2:FVG65536 GFC2:GFC65536 GOY2:GOY65536 GYU2:GYU65536 HIQ2:HIQ65536 HSM2:HSM65536 ICI2:ICI65536 IME2:IME65536 IWA2:IWA65536 JFW2:JFW65536 JPS2:JPS65536 JZO2:JZO65536 KJK2:KJK65536 KTG2:KTG65536 LDC2:LDC65536 LMY2:LMY65536 LWU2:LWU65536 MGQ2:MGQ65536 MQM2:MQM65536 NAI2:NAI65536 NKE2:NKE65536 NUA2:NUA65536 ODW2:ODW65536 ONS2:ONS65536 OXO2:OXO65536 PHK2:PHK65536 PRG2:PRG65536 QBC2:QBC65536 QKY2:QKY65536 QUU2:QUU65536 REQ2:REQ65536 ROM2:ROM65536 RYI2:RYI65536 SIE2:SIE65536 SSA2:SSA65536 TBW2:TBW65536 TLS2:TLS65536 TVO2:TVO65536 UFK2:UFK65536 UPG2:UPG65536 UZC2:UZC65536 VIY2:VIY65536 VSU2:VSU65536 WCQ2:WCQ65536 WMM2:WMM65536 WWI2:WWI65536 AA65538:AA131072 JW65538:JW131072 TS65538:TS131072 ADO65538:ADO131072 ANK65538:ANK131072 AXG65538:AXG131072 BHC65538:BHC131072 BQY65538:BQY131072 CAU65538:CAU131072 CKQ65538:CKQ131072 CUM65538:CUM131072 DEI65538:DEI131072 DOE65538:DOE131072 DYA65538:DYA131072 EHW65538:EHW131072 ERS65538:ERS131072 FBO65538:FBO131072 FLK65538:FLK131072 FVG65538:FVG131072 GFC65538:GFC131072 GOY65538:GOY131072 GYU65538:GYU131072 HIQ65538:HIQ131072 HSM65538:HSM131072 ICI65538:ICI131072 IME65538:IME131072 IWA65538:IWA131072 JFW65538:JFW131072 JPS65538:JPS131072 JZO65538:JZO131072 KJK65538:KJK131072 KTG65538:KTG131072 LDC65538:LDC131072 LMY65538:LMY131072 LWU65538:LWU131072 MGQ65538:MGQ131072 MQM65538:MQM131072 NAI65538:NAI131072 NKE65538:NKE131072 NUA65538:NUA131072 ODW65538:ODW131072 ONS65538:ONS131072 OXO65538:OXO131072 PHK65538:PHK131072 PRG65538:PRG131072 QBC65538:QBC131072 QKY65538:QKY131072 QUU65538:QUU131072 REQ65538:REQ131072 ROM65538:ROM131072 RYI65538:RYI131072 SIE65538:SIE131072 SSA65538:SSA131072 TBW65538:TBW131072 TLS65538:TLS131072 TVO65538:TVO131072 UFK65538:UFK131072 UPG65538:UPG131072 UZC65538:UZC131072 VIY65538:VIY131072 VSU65538:VSU131072 WCQ65538:WCQ131072 WMM65538:WMM131072 WWI65538:WWI131072 AA131074:AA196608 JW131074:JW196608 TS131074:TS196608 ADO131074:ADO196608 ANK131074:ANK196608 AXG131074:AXG196608 BHC131074:BHC196608 BQY131074:BQY196608 CAU131074:CAU196608 CKQ131074:CKQ196608 CUM131074:CUM196608 DEI131074:DEI196608 DOE131074:DOE196608 DYA131074:DYA196608 EHW131074:EHW196608 ERS131074:ERS196608 FBO131074:FBO196608 FLK131074:FLK196608 FVG131074:FVG196608 GFC131074:GFC196608 GOY131074:GOY196608 GYU131074:GYU196608 HIQ131074:HIQ196608 HSM131074:HSM196608 ICI131074:ICI196608 IME131074:IME196608 IWA131074:IWA196608 JFW131074:JFW196608 JPS131074:JPS196608 JZO131074:JZO196608 KJK131074:KJK196608 KTG131074:KTG196608 LDC131074:LDC196608 LMY131074:LMY196608 LWU131074:LWU196608 MGQ131074:MGQ196608 MQM131074:MQM196608 NAI131074:NAI196608 NKE131074:NKE196608 NUA131074:NUA196608 ODW131074:ODW196608 ONS131074:ONS196608 OXO131074:OXO196608 PHK131074:PHK196608 PRG131074:PRG196608 QBC131074:QBC196608 QKY131074:QKY196608 QUU131074:QUU196608 REQ131074:REQ196608 ROM131074:ROM196608 RYI131074:RYI196608 SIE131074:SIE196608 SSA131074:SSA196608 TBW131074:TBW196608 TLS131074:TLS196608 TVO131074:TVO196608 UFK131074:UFK196608 UPG131074:UPG196608 UZC131074:UZC196608 VIY131074:VIY196608 VSU131074:VSU196608 WCQ131074:WCQ196608 WMM131074:WMM196608 WWI131074:WWI196608 AA196610:AA262144 JW196610:JW262144 TS196610:TS262144 ADO196610:ADO262144 ANK196610:ANK262144 AXG196610:AXG262144 BHC196610:BHC262144 BQY196610:BQY262144 CAU196610:CAU262144 CKQ196610:CKQ262144 CUM196610:CUM262144 DEI196610:DEI262144 DOE196610:DOE262144 DYA196610:DYA262144 EHW196610:EHW262144 ERS196610:ERS262144 FBO196610:FBO262144 FLK196610:FLK262144 FVG196610:FVG262144 GFC196610:GFC262144 GOY196610:GOY262144 GYU196610:GYU262144 HIQ196610:HIQ262144 HSM196610:HSM262144 ICI196610:ICI262144 IME196610:IME262144 IWA196610:IWA262144 JFW196610:JFW262144 JPS196610:JPS262144 JZO196610:JZO262144 KJK196610:KJK262144 KTG196610:KTG262144 LDC196610:LDC262144 LMY196610:LMY262144 LWU196610:LWU262144 MGQ196610:MGQ262144 MQM196610:MQM262144 NAI196610:NAI262144 NKE196610:NKE262144 NUA196610:NUA262144 ODW196610:ODW262144 ONS196610:ONS262144 OXO196610:OXO262144 PHK196610:PHK262144 PRG196610:PRG262144 QBC196610:QBC262144 QKY196610:QKY262144 QUU196610:QUU262144 REQ196610:REQ262144 ROM196610:ROM262144 RYI196610:RYI262144 SIE196610:SIE262144 SSA196610:SSA262144 TBW196610:TBW262144 TLS196610:TLS262144 TVO196610:TVO262144 UFK196610:UFK262144 UPG196610:UPG262144 UZC196610:UZC262144 VIY196610:VIY262144 VSU196610:VSU262144 WCQ196610:WCQ262144 WMM196610:WMM262144 WWI196610:WWI262144 AA262146:AA327680 JW262146:JW327680 TS262146:TS327680 ADO262146:ADO327680 ANK262146:ANK327680 AXG262146:AXG327680 BHC262146:BHC327680 BQY262146:BQY327680 CAU262146:CAU327680 CKQ262146:CKQ327680 CUM262146:CUM327680 DEI262146:DEI327680 DOE262146:DOE327680 DYA262146:DYA327680 EHW262146:EHW327680 ERS262146:ERS327680 FBO262146:FBO327680 FLK262146:FLK327680 FVG262146:FVG327680 GFC262146:GFC327680 GOY262146:GOY327680 GYU262146:GYU327680 HIQ262146:HIQ327680 HSM262146:HSM327680 ICI262146:ICI327680 IME262146:IME327680 IWA262146:IWA327680 JFW262146:JFW327680 JPS262146:JPS327680 JZO262146:JZO327680 KJK262146:KJK327680 KTG262146:KTG327680 LDC262146:LDC327680 LMY262146:LMY327680 LWU262146:LWU327680 MGQ262146:MGQ327680 MQM262146:MQM327680 NAI262146:NAI327680 NKE262146:NKE327680 NUA262146:NUA327680 ODW262146:ODW327680 ONS262146:ONS327680 OXO262146:OXO327680 PHK262146:PHK327680 PRG262146:PRG327680 QBC262146:QBC327680 QKY262146:QKY327680 QUU262146:QUU327680 REQ262146:REQ327680 ROM262146:ROM327680 RYI262146:RYI327680 SIE262146:SIE327680 SSA262146:SSA327680 TBW262146:TBW327680 TLS262146:TLS327680 TVO262146:TVO327680 UFK262146:UFK327680 UPG262146:UPG327680 UZC262146:UZC327680 VIY262146:VIY327680 VSU262146:VSU327680 WCQ262146:WCQ327680 WMM262146:WMM327680 WWI262146:WWI327680 AA327682:AA393216 JW327682:JW393216 TS327682:TS393216 ADO327682:ADO393216 ANK327682:ANK393216 AXG327682:AXG393216 BHC327682:BHC393216 BQY327682:BQY393216 CAU327682:CAU393216 CKQ327682:CKQ393216 CUM327682:CUM393216 DEI327682:DEI393216 DOE327682:DOE393216 DYA327682:DYA393216 EHW327682:EHW393216 ERS327682:ERS393216 FBO327682:FBO393216 FLK327682:FLK393216 FVG327682:FVG393216 GFC327682:GFC393216 GOY327682:GOY393216 GYU327682:GYU393216 HIQ327682:HIQ393216 HSM327682:HSM393216 ICI327682:ICI393216 IME327682:IME393216 IWA327682:IWA393216 JFW327682:JFW393216 JPS327682:JPS393216 JZO327682:JZO393216 KJK327682:KJK393216 KTG327682:KTG393216 LDC327682:LDC393216 LMY327682:LMY393216 LWU327682:LWU393216 MGQ327682:MGQ393216 MQM327682:MQM393216 NAI327682:NAI393216 NKE327682:NKE393216 NUA327682:NUA393216 ODW327682:ODW393216 ONS327682:ONS393216 OXO327682:OXO393216 PHK327682:PHK393216 PRG327682:PRG393216 QBC327682:QBC393216 QKY327682:QKY393216 QUU327682:QUU393216 REQ327682:REQ393216 ROM327682:ROM393216 RYI327682:RYI393216 SIE327682:SIE393216 SSA327682:SSA393216 TBW327682:TBW393216 TLS327682:TLS393216 TVO327682:TVO393216 UFK327682:UFK393216 UPG327682:UPG393216 UZC327682:UZC393216 VIY327682:VIY393216 VSU327682:VSU393216 WCQ327682:WCQ393216 WMM327682:WMM393216 WWI327682:WWI393216 AA393218:AA458752 JW393218:JW458752 TS393218:TS458752 ADO393218:ADO458752 ANK393218:ANK458752 AXG393218:AXG458752 BHC393218:BHC458752 BQY393218:BQY458752 CAU393218:CAU458752 CKQ393218:CKQ458752 CUM393218:CUM458752 DEI393218:DEI458752 DOE393218:DOE458752 DYA393218:DYA458752 EHW393218:EHW458752 ERS393218:ERS458752 FBO393218:FBO458752 FLK393218:FLK458752 FVG393218:FVG458752 GFC393218:GFC458752 GOY393218:GOY458752 GYU393218:GYU458752 HIQ393218:HIQ458752 HSM393218:HSM458752 ICI393218:ICI458752 IME393218:IME458752 IWA393218:IWA458752 JFW393218:JFW458752 JPS393218:JPS458752 JZO393218:JZO458752 KJK393218:KJK458752 KTG393218:KTG458752 LDC393218:LDC458752 LMY393218:LMY458752 LWU393218:LWU458752 MGQ393218:MGQ458752 MQM393218:MQM458752 NAI393218:NAI458752 NKE393218:NKE458752 NUA393218:NUA458752 ODW393218:ODW458752 ONS393218:ONS458752 OXO393218:OXO458752 PHK393218:PHK458752 PRG393218:PRG458752 QBC393218:QBC458752 QKY393218:QKY458752 QUU393218:QUU458752 REQ393218:REQ458752 ROM393218:ROM458752 RYI393218:RYI458752 SIE393218:SIE458752 SSA393218:SSA458752 TBW393218:TBW458752 TLS393218:TLS458752 TVO393218:TVO458752 UFK393218:UFK458752 UPG393218:UPG458752 UZC393218:UZC458752 VIY393218:VIY458752 VSU393218:VSU458752 WCQ393218:WCQ458752 WMM393218:WMM458752 WWI393218:WWI458752 AA458754:AA524288 JW458754:JW524288 TS458754:TS524288 ADO458754:ADO524288 ANK458754:ANK524288 AXG458754:AXG524288 BHC458754:BHC524288 BQY458754:BQY524288 CAU458754:CAU524288 CKQ458754:CKQ524288 CUM458754:CUM524288 DEI458754:DEI524288 DOE458754:DOE524288 DYA458754:DYA524288 EHW458754:EHW524288 ERS458754:ERS524288 FBO458754:FBO524288 FLK458754:FLK524288 FVG458754:FVG524288 GFC458754:GFC524288 GOY458754:GOY524288 GYU458754:GYU524288 HIQ458754:HIQ524288 HSM458754:HSM524288 ICI458754:ICI524288 IME458754:IME524288 IWA458754:IWA524288 JFW458754:JFW524288 JPS458754:JPS524288 JZO458754:JZO524288 KJK458754:KJK524288 KTG458754:KTG524288 LDC458754:LDC524288 LMY458754:LMY524288 LWU458754:LWU524288 MGQ458754:MGQ524288 MQM458754:MQM524288 NAI458754:NAI524288 NKE458754:NKE524288 NUA458754:NUA524288 ODW458754:ODW524288 ONS458754:ONS524288 OXO458754:OXO524288 PHK458754:PHK524288 PRG458754:PRG524288 QBC458754:QBC524288 QKY458754:QKY524288 QUU458754:QUU524288 REQ458754:REQ524288 ROM458754:ROM524288 RYI458754:RYI524288 SIE458754:SIE524288 SSA458754:SSA524288 TBW458754:TBW524288 TLS458754:TLS524288 TVO458754:TVO524288 UFK458754:UFK524288 UPG458754:UPG524288 UZC458754:UZC524288 VIY458754:VIY524288 VSU458754:VSU524288 WCQ458754:WCQ524288 WMM458754:WMM524288 WWI458754:WWI524288 AA524290:AA589824 JW524290:JW589824 TS524290:TS589824 ADO524290:ADO589824 ANK524290:ANK589824 AXG524290:AXG589824 BHC524290:BHC589824 BQY524290:BQY589824 CAU524290:CAU589824 CKQ524290:CKQ589824 CUM524290:CUM589824 DEI524290:DEI589824 DOE524290:DOE589824 DYA524290:DYA589824 EHW524290:EHW589824 ERS524290:ERS589824 FBO524290:FBO589824 FLK524290:FLK589824 FVG524290:FVG589824 GFC524290:GFC589824 GOY524290:GOY589824 GYU524290:GYU589824 HIQ524290:HIQ589824 HSM524290:HSM589824 ICI524290:ICI589824 IME524290:IME589824 IWA524290:IWA589824 JFW524290:JFW589824 JPS524290:JPS589824 JZO524290:JZO589824 KJK524290:KJK589824 KTG524290:KTG589824 LDC524290:LDC589824 LMY524290:LMY589824 LWU524290:LWU589824 MGQ524290:MGQ589824 MQM524290:MQM589824 NAI524290:NAI589824 NKE524290:NKE589824 NUA524290:NUA589824 ODW524290:ODW589824 ONS524290:ONS589824 OXO524290:OXO589824 PHK524290:PHK589824 PRG524290:PRG589824 QBC524290:QBC589824 QKY524290:QKY589824 QUU524290:QUU589824 REQ524290:REQ589824 ROM524290:ROM589824 RYI524290:RYI589824 SIE524290:SIE589824 SSA524290:SSA589824 TBW524290:TBW589824 TLS524290:TLS589824 TVO524290:TVO589824 UFK524290:UFK589824 UPG524290:UPG589824 UZC524290:UZC589824 VIY524290:VIY589824 VSU524290:VSU589824 WCQ524290:WCQ589824 WMM524290:WMM589824 WWI524290:WWI589824 AA589826:AA655360 JW589826:JW655360 TS589826:TS655360 ADO589826:ADO655360 ANK589826:ANK655360 AXG589826:AXG655360 BHC589826:BHC655360 BQY589826:BQY655360 CAU589826:CAU655360 CKQ589826:CKQ655360 CUM589826:CUM655360 DEI589826:DEI655360 DOE589826:DOE655360 DYA589826:DYA655360 EHW589826:EHW655360 ERS589826:ERS655360 FBO589826:FBO655360 FLK589826:FLK655360 FVG589826:FVG655360 GFC589826:GFC655360 GOY589826:GOY655360 GYU589826:GYU655360 HIQ589826:HIQ655360 HSM589826:HSM655360 ICI589826:ICI655360 IME589826:IME655360 IWA589826:IWA655360 JFW589826:JFW655360 JPS589826:JPS655360 JZO589826:JZO655360 KJK589826:KJK655360 KTG589826:KTG655360 LDC589826:LDC655360 LMY589826:LMY655360 LWU589826:LWU655360 MGQ589826:MGQ655360 MQM589826:MQM655360 NAI589826:NAI655360 NKE589826:NKE655360 NUA589826:NUA655360 ODW589826:ODW655360 ONS589826:ONS655360 OXO589826:OXO655360 PHK589826:PHK655360 PRG589826:PRG655360 QBC589826:QBC655360 QKY589826:QKY655360 QUU589826:QUU655360 REQ589826:REQ655360 ROM589826:ROM655360 RYI589826:RYI655360 SIE589826:SIE655360 SSA589826:SSA655360 TBW589826:TBW655360 TLS589826:TLS655360 TVO589826:TVO655360 UFK589826:UFK655360 UPG589826:UPG655360 UZC589826:UZC655360 VIY589826:VIY655360 VSU589826:VSU655360 WCQ589826:WCQ655360 WMM589826:WMM655360 WWI589826:WWI655360 AA655362:AA720896 JW655362:JW720896 TS655362:TS720896 ADO655362:ADO720896 ANK655362:ANK720896 AXG655362:AXG720896 BHC655362:BHC720896 BQY655362:BQY720896 CAU655362:CAU720896 CKQ655362:CKQ720896 CUM655362:CUM720896 DEI655362:DEI720896 DOE655362:DOE720896 DYA655362:DYA720896 EHW655362:EHW720896 ERS655362:ERS720896 FBO655362:FBO720896 FLK655362:FLK720896 FVG655362:FVG720896 GFC655362:GFC720896 GOY655362:GOY720896 GYU655362:GYU720896 HIQ655362:HIQ720896 HSM655362:HSM720896 ICI655362:ICI720896 IME655362:IME720896 IWA655362:IWA720896 JFW655362:JFW720896 JPS655362:JPS720896 JZO655362:JZO720896 KJK655362:KJK720896 KTG655362:KTG720896 LDC655362:LDC720896 LMY655362:LMY720896 LWU655362:LWU720896 MGQ655362:MGQ720896 MQM655362:MQM720896 NAI655362:NAI720896 NKE655362:NKE720896 NUA655362:NUA720896 ODW655362:ODW720896 ONS655362:ONS720896 OXO655362:OXO720896 PHK655362:PHK720896 PRG655362:PRG720896 QBC655362:QBC720896 QKY655362:QKY720896 QUU655362:QUU720896 REQ655362:REQ720896 ROM655362:ROM720896 RYI655362:RYI720896 SIE655362:SIE720896 SSA655362:SSA720896 TBW655362:TBW720896 TLS655362:TLS720896 TVO655362:TVO720896 UFK655362:UFK720896 UPG655362:UPG720896 UZC655362:UZC720896 VIY655362:VIY720896 VSU655362:VSU720896 WCQ655362:WCQ720896 WMM655362:WMM720896 WWI655362:WWI720896 AA720898:AA786432 JW720898:JW786432 TS720898:TS786432 ADO720898:ADO786432 ANK720898:ANK786432 AXG720898:AXG786432 BHC720898:BHC786432 BQY720898:BQY786432 CAU720898:CAU786432 CKQ720898:CKQ786432 CUM720898:CUM786432 DEI720898:DEI786432 DOE720898:DOE786432 DYA720898:DYA786432 EHW720898:EHW786432 ERS720898:ERS786432 FBO720898:FBO786432 FLK720898:FLK786432 FVG720898:FVG786432 GFC720898:GFC786432 GOY720898:GOY786432 GYU720898:GYU786432 HIQ720898:HIQ786432 HSM720898:HSM786432 ICI720898:ICI786432 IME720898:IME786432 IWA720898:IWA786432 JFW720898:JFW786432 JPS720898:JPS786432 JZO720898:JZO786432 KJK720898:KJK786432 KTG720898:KTG786432 LDC720898:LDC786432 LMY720898:LMY786432 LWU720898:LWU786432 MGQ720898:MGQ786432 MQM720898:MQM786432 NAI720898:NAI786432 NKE720898:NKE786432 NUA720898:NUA786432 ODW720898:ODW786432 ONS720898:ONS786432 OXO720898:OXO786432 PHK720898:PHK786432 PRG720898:PRG786432 QBC720898:QBC786432 QKY720898:QKY786432 QUU720898:QUU786432 REQ720898:REQ786432 ROM720898:ROM786432 RYI720898:RYI786432 SIE720898:SIE786432 SSA720898:SSA786432 TBW720898:TBW786432 TLS720898:TLS786432 TVO720898:TVO786432 UFK720898:UFK786432 UPG720898:UPG786432 UZC720898:UZC786432 VIY720898:VIY786432 VSU720898:VSU786432 WCQ720898:WCQ786432 WMM720898:WMM786432 WWI720898:WWI786432 AA786434:AA851968 JW786434:JW851968 TS786434:TS851968 ADO786434:ADO851968 ANK786434:ANK851968 AXG786434:AXG851968 BHC786434:BHC851968 BQY786434:BQY851968 CAU786434:CAU851968 CKQ786434:CKQ851968 CUM786434:CUM851968 DEI786434:DEI851968 DOE786434:DOE851968 DYA786434:DYA851968 EHW786434:EHW851968 ERS786434:ERS851968 FBO786434:FBO851968 FLK786434:FLK851968 FVG786434:FVG851968 GFC786434:GFC851968 GOY786434:GOY851968 GYU786434:GYU851968 HIQ786434:HIQ851968 HSM786434:HSM851968 ICI786434:ICI851968 IME786434:IME851968 IWA786434:IWA851968 JFW786434:JFW851968 JPS786434:JPS851968 JZO786434:JZO851968 KJK786434:KJK851968 KTG786434:KTG851968 LDC786434:LDC851968 LMY786434:LMY851968 LWU786434:LWU851968 MGQ786434:MGQ851968 MQM786434:MQM851968 NAI786434:NAI851968 NKE786434:NKE851968 NUA786434:NUA851968 ODW786434:ODW851968 ONS786434:ONS851968 OXO786434:OXO851968 PHK786434:PHK851968 PRG786434:PRG851968 QBC786434:QBC851968 QKY786434:QKY851968 QUU786434:QUU851968 REQ786434:REQ851968 ROM786434:ROM851968 RYI786434:RYI851968 SIE786434:SIE851968 SSA786434:SSA851968 TBW786434:TBW851968 TLS786434:TLS851968 TVO786434:TVO851968 UFK786434:UFK851968 UPG786434:UPG851968 UZC786434:UZC851968 VIY786434:VIY851968 VSU786434:VSU851968 WCQ786434:WCQ851968 WMM786434:WMM851968 WWI786434:WWI851968 AA851970:AA917504 JW851970:JW917504 TS851970:TS917504 ADO851970:ADO917504 ANK851970:ANK917504 AXG851970:AXG917504 BHC851970:BHC917504 BQY851970:BQY917504 CAU851970:CAU917504 CKQ851970:CKQ917504 CUM851970:CUM917504 DEI851970:DEI917504 DOE851970:DOE917504 DYA851970:DYA917504 EHW851970:EHW917504 ERS851970:ERS917504 FBO851970:FBO917504 FLK851970:FLK917504 FVG851970:FVG917504 GFC851970:GFC917504 GOY851970:GOY917504 GYU851970:GYU917504 HIQ851970:HIQ917504 HSM851970:HSM917504 ICI851970:ICI917504 IME851970:IME917504 IWA851970:IWA917504 JFW851970:JFW917504 JPS851970:JPS917504 JZO851970:JZO917504 KJK851970:KJK917504 KTG851970:KTG917504 LDC851970:LDC917504 LMY851970:LMY917504 LWU851970:LWU917504 MGQ851970:MGQ917504 MQM851970:MQM917504 NAI851970:NAI917504 NKE851970:NKE917504 NUA851970:NUA917504 ODW851970:ODW917504 ONS851970:ONS917504 OXO851970:OXO917504 PHK851970:PHK917504 PRG851970:PRG917504 QBC851970:QBC917504 QKY851970:QKY917504 QUU851970:QUU917504 REQ851970:REQ917504 ROM851970:ROM917504 RYI851970:RYI917504 SIE851970:SIE917504 SSA851970:SSA917504 TBW851970:TBW917504 TLS851970:TLS917504 TVO851970:TVO917504 UFK851970:UFK917504 UPG851970:UPG917504 UZC851970:UZC917504 VIY851970:VIY917504 VSU851970:VSU917504 WCQ851970:WCQ917504 WMM851970:WMM917504 WWI851970:WWI917504 AA917506:AA983040 JW917506:JW983040 TS917506:TS983040 ADO917506:ADO983040 ANK917506:ANK983040 AXG917506:AXG983040 BHC917506:BHC983040 BQY917506:BQY983040 CAU917506:CAU983040 CKQ917506:CKQ983040 CUM917506:CUM983040 DEI917506:DEI983040 DOE917506:DOE983040 DYA917506:DYA983040 EHW917506:EHW983040 ERS917506:ERS983040 FBO917506:FBO983040 FLK917506:FLK983040 FVG917506:FVG983040 GFC917506:GFC983040 GOY917506:GOY983040 GYU917506:GYU983040 HIQ917506:HIQ983040 HSM917506:HSM983040 ICI917506:ICI983040 IME917506:IME983040 IWA917506:IWA983040 JFW917506:JFW983040 JPS917506:JPS983040 JZO917506:JZO983040 KJK917506:KJK983040 KTG917506:KTG983040 LDC917506:LDC983040 LMY917506:LMY983040 LWU917506:LWU983040 MGQ917506:MGQ983040 MQM917506:MQM983040 NAI917506:NAI983040 NKE917506:NKE983040 NUA917506:NUA983040 ODW917506:ODW983040 ONS917506:ONS983040 OXO917506:OXO983040 PHK917506:PHK983040 PRG917506:PRG983040 QBC917506:QBC983040 QKY917506:QKY983040 QUU917506:QUU983040 REQ917506:REQ983040 ROM917506:ROM983040 RYI917506:RYI983040 SIE917506:SIE983040 SSA917506:SSA983040 TBW917506:TBW983040 TLS917506:TLS983040 TVO917506:TVO983040 UFK917506:UFK983040 UPG917506:UPG983040 UZC917506:UZC983040 VIY917506:VIY983040 VSU917506:VSU983040 WCQ917506:WCQ983040 WMM917506:WMM983040 WWI917506:WWI983040 AA983042:AA1048576 JW983042:JW1048576 TS983042:TS1048576 ADO983042:ADO1048576 ANK983042:ANK1048576 AXG983042:AXG1048576 BHC983042:BHC1048576 BQY983042:BQY1048576 CAU983042:CAU1048576 CKQ983042:CKQ1048576 CUM983042:CUM1048576 DEI983042:DEI1048576 DOE983042:DOE1048576 DYA983042:DYA1048576 EHW983042:EHW1048576 ERS983042:ERS1048576 FBO983042:FBO1048576 FLK983042:FLK1048576 FVG983042:FVG1048576 GFC983042:GFC1048576 GOY983042:GOY1048576 GYU983042:GYU1048576 HIQ983042:HIQ1048576 HSM983042:HSM1048576 ICI983042:ICI1048576 IME983042:IME1048576 IWA983042:IWA1048576 JFW983042:JFW1048576 JPS983042:JPS1048576 JZO983042:JZO1048576 KJK983042:KJK1048576 KTG983042:KTG1048576 LDC983042:LDC1048576 LMY983042:LMY1048576 LWU983042:LWU1048576 MGQ983042:MGQ1048576 MQM983042:MQM1048576 NAI983042:NAI1048576 NKE983042:NKE1048576 NUA983042:NUA1048576 ODW983042:ODW1048576 ONS983042:ONS1048576 OXO983042:OXO1048576 PHK983042:PHK1048576 PRG983042:PRG1048576 QBC983042:QBC1048576 QKY983042:QKY1048576 QUU983042:QUU1048576 REQ983042:REQ1048576 ROM983042:ROM1048576 RYI983042:RYI1048576 SIE983042:SIE1048576 SSA983042:SSA1048576 TBW983042:TBW1048576 TLS983042:TLS1048576 TVO983042:TVO1048576 UFK983042:UFK1048576 UPG983042:UPG1048576 UZC983042:UZC1048576 VIY983042:VIY1048576 VSU983042:VSU1048576 WCQ983042:WCQ1048576 WMM983042:WMM1048576 WWI983042:WWI1048576 AC2:AC65536 JY2:JY65536 TU2:TU65536 ADQ2:ADQ65536 ANM2:ANM65536 AXI2:AXI65536 BHE2:BHE65536 BRA2:BRA65536 CAW2:CAW65536 CKS2:CKS65536 CUO2:CUO65536 DEK2:DEK65536 DOG2:DOG65536 DYC2:DYC65536 EHY2:EHY65536 ERU2:ERU65536 FBQ2:FBQ65536 FLM2:FLM65536 FVI2:FVI65536 GFE2:GFE65536 GPA2:GPA65536 GYW2:GYW65536 HIS2:HIS65536 HSO2:HSO65536 ICK2:ICK65536 IMG2:IMG65536 IWC2:IWC65536 JFY2:JFY65536 JPU2:JPU65536 JZQ2:JZQ65536 KJM2:KJM65536 KTI2:KTI65536 LDE2:LDE65536 LNA2:LNA65536 LWW2:LWW65536 MGS2:MGS65536 MQO2:MQO65536 NAK2:NAK65536 NKG2:NKG65536 NUC2:NUC65536 ODY2:ODY65536 ONU2:ONU65536 OXQ2:OXQ65536 PHM2:PHM65536 PRI2:PRI65536 QBE2:QBE65536 QLA2:QLA65536 QUW2:QUW65536 RES2:RES65536 ROO2:ROO65536 RYK2:RYK65536 SIG2:SIG65536 SSC2:SSC65536 TBY2:TBY65536 TLU2:TLU65536 TVQ2:TVQ65536 UFM2:UFM65536 UPI2:UPI65536 UZE2:UZE65536 VJA2:VJA65536 VSW2:VSW65536 WCS2:WCS65536 WMO2:WMO65536 WWK2:WWK65536 AC65538:AC131072 JY65538:JY131072 TU65538:TU131072 ADQ65538:ADQ131072 ANM65538:ANM131072 AXI65538:AXI131072 BHE65538:BHE131072 BRA65538:BRA131072 CAW65538:CAW131072 CKS65538:CKS131072 CUO65538:CUO131072 DEK65538:DEK131072 DOG65538:DOG131072 DYC65538:DYC131072 EHY65538:EHY131072 ERU65538:ERU131072 FBQ65538:FBQ131072 FLM65538:FLM131072 FVI65538:FVI131072 GFE65538:GFE131072 GPA65538:GPA131072 GYW65538:GYW131072 HIS65538:HIS131072 HSO65538:HSO131072 ICK65538:ICK131072 IMG65538:IMG131072 IWC65538:IWC131072 JFY65538:JFY131072 JPU65538:JPU131072 JZQ65538:JZQ131072 KJM65538:KJM131072 KTI65538:KTI131072 LDE65538:LDE131072 LNA65538:LNA131072 LWW65538:LWW131072 MGS65538:MGS131072 MQO65538:MQO131072 NAK65538:NAK131072 NKG65538:NKG131072 NUC65538:NUC131072 ODY65538:ODY131072 ONU65538:ONU131072 OXQ65538:OXQ131072 PHM65538:PHM131072 PRI65538:PRI131072 QBE65538:QBE131072 QLA65538:QLA131072 QUW65538:QUW131072 RES65538:RES131072 ROO65538:ROO131072 RYK65538:RYK131072 SIG65538:SIG131072 SSC65538:SSC131072 TBY65538:TBY131072 TLU65538:TLU131072 TVQ65538:TVQ131072 UFM65538:UFM131072 UPI65538:UPI131072 UZE65538:UZE131072 VJA65538:VJA131072 VSW65538:VSW131072 WCS65538:WCS131072 WMO65538:WMO131072 WWK65538:WWK131072 AC131074:AC196608 JY131074:JY196608 TU131074:TU196608 ADQ131074:ADQ196608 ANM131074:ANM196608 AXI131074:AXI196608 BHE131074:BHE196608 BRA131074:BRA196608 CAW131074:CAW196608 CKS131074:CKS196608 CUO131074:CUO196608 DEK131074:DEK196608 DOG131074:DOG196608 DYC131074:DYC196608 EHY131074:EHY196608 ERU131074:ERU196608 FBQ131074:FBQ196608 FLM131074:FLM196608 FVI131074:FVI196608 GFE131074:GFE196608 GPA131074:GPA196608 GYW131074:GYW196608 HIS131074:HIS196608 HSO131074:HSO196608 ICK131074:ICK196608 IMG131074:IMG196608 IWC131074:IWC196608 JFY131074:JFY196608 JPU131074:JPU196608 JZQ131074:JZQ196608 KJM131074:KJM196608 KTI131074:KTI196608 LDE131074:LDE196608 LNA131074:LNA196608 LWW131074:LWW196608 MGS131074:MGS196608 MQO131074:MQO196608 NAK131074:NAK196608 NKG131074:NKG196608 NUC131074:NUC196608 ODY131074:ODY196608 ONU131074:ONU196608 OXQ131074:OXQ196608 PHM131074:PHM196608 PRI131074:PRI196608 QBE131074:QBE196608 QLA131074:QLA196608 QUW131074:QUW196608 RES131074:RES196608 ROO131074:ROO196608 RYK131074:RYK196608 SIG131074:SIG196608 SSC131074:SSC196608 TBY131074:TBY196608 TLU131074:TLU196608 TVQ131074:TVQ196608 UFM131074:UFM196608 UPI131074:UPI196608 UZE131074:UZE196608 VJA131074:VJA196608 VSW131074:VSW196608 WCS131074:WCS196608 WMO131074:WMO196608 WWK131074:WWK196608 AC196610:AC262144 JY196610:JY262144 TU196610:TU262144 ADQ196610:ADQ262144 ANM196610:ANM262144 AXI196610:AXI262144 BHE196610:BHE262144 BRA196610:BRA262144 CAW196610:CAW262144 CKS196610:CKS262144 CUO196610:CUO262144 DEK196610:DEK262144 DOG196610:DOG262144 DYC196610:DYC262144 EHY196610:EHY262144 ERU196610:ERU262144 FBQ196610:FBQ262144 FLM196610:FLM262144 FVI196610:FVI262144 GFE196610:GFE262144 GPA196610:GPA262144 GYW196610:GYW262144 HIS196610:HIS262144 HSO196610:HSO262144 ICK196610:ICK262144 IMG196610:IMG262144 IWC196610:IWC262144 JFY196610:JFY262144 JPU196610:JPU262144 JZQ196610:JZQ262144 KJM196610:KJM262144 KTI196610:KTI262144 LDE196610:LDE262144 LNA196610:LNA262144 LWW196610:LWW262144 MGS196610:MGS262144 MQO196610:MQO262144 NAK196610:NAK262144 NKG196610:NKG262144 NUC196610:NUC262144 ODY196610:ODY262144 ONU196610:ONU262144 OXQ196610:OXQ262144 PHM196610:PHM262144 PRI196610:PRI262144 QBE196610:QBE262144 QLA196610:QLA262144 QUW196610:QUW262144 RES196610:RES262144 ROO196610:ROO262144 RYK196610:RYK262144 SIG196610:SIG262144 SSC196610:SSC262144 TBY196610:TBY262144 TLU196610:TLU262144 TVQ196610:TVQ262144 UFM196610:UFM262144 UPI196610:UPI262144 UZE196610:UZE262144 VJA196610:VJA262144 VSW196610:VSW262144 WCS196610:WCS262144 WMO196610:WMO262144 WWK196610:WWK262144 AC262146:AC327680 JY262146:JY327680 TU262146:TU327680 ADQ262146:ADQ327680 ANM262146:ANM327680 AXI262146:AXI327680 BHE262146:BHE327680 BRA262146:BRA327680 CAW262146:CAW327680 CKS262146:CKS327680 CUO262146:CUO327680 DEK262146:DEK327680 DOG262146:DOG327680 DYC262146:DYC327680 EHY262146:EHY327680 ERU262146:ERU327680 FBQ262146:FBQ327680 FLM262146:FLM327680 FVI262146:FVI327680 GFE262146:GFE327680 GPA262146:GPA327680 GYW262146:GYW327680 HIS262146:HIS327680 HSO262146:HSO327680 ICK262146:ICK327680 IMG262146:IMG327680 IWC262146:IWC327680 JFY262146:JFY327680 JPU262146:JPU327680 JZQ262146:JZQ327680 KJM262146:KJM327680 KTI262146:KTI327680 LDE262146:LDE327680 LNA262146:LNA327680 LWW262146:LWW327680 MGS262146:MGS327680 MQO262146:MQO327680 NAK262146:NAK327680 NKG262146:NKG327680 NUC262146:NUC327680 ODY262146:ODY327680 ONU262146:ONU327680 OXQ262146:OXQ327680 PHM262146:PHM327680 PRI262146:PRI327680 QBE262146:QBE327680 QLA262146:QLA327680 QUW262146:QUW327680 RES262146:RES327680 ROO262146:ROO327680 RYK262146:RYK327680 SIG262146:SIG327680 SSC262146:SSC327680 TBY262146:TBY327680 TLU262146:TLU327680 TVQ262146:TVQ327680 UFM262146:UFM327680 UPI262146:UPI327680 UZE262146:UZE327680 VJA262146:VJA327680 VSW262146:VSW327680 WCS262146:WCS327680 WMO262146:WMO327680 WWK262146:WWK327680 AC327682:AC393216 JY327682:JY393216 TU327682:TU393216 ADQ327682:ADQ393216 ANM327682:ANM393216 AXI327682:AXI393216 BHE327682:BHE393216 BRA327682:BRA393216 CAW327682:CAW393216 CKS327682:CKS393216 CUO327682:CUO393216 DEK327682:DEK393216 DOG327682:DOG393216 DYC327682:DYC393216 EHY327682:EHY393216 ERU327682:ERU393216 FBQ327682:FBQ393216 FLM327682:FLM393216 FVI327682:FVI393216 GFE327682:GFE393216 GPA327682:GPA393216 GYW327682:GYW393216 HIS327682:HIS393216 HSO327682:HSO393216 ICK327682:ICK393216 IMG327682:IMG393216 IWC327682:IWC393216 JFY327682:JFY393216 JPU327682:JPU393216 JZQ327682:JZQ393216 KJM327682:KJM393216 KTI327682:KTI393216 LDE327682:LDE393216 LNA327682:LNA393216 LWW327682:LWW393216 MGS327682:MGS393216 MQO327682:MQO393216 NAK327682:NAK393216 NKG327682:NKG393216 NUC327682:NUC393216 ODY327682:ODY393216 ONU327682:ONU393216 OXQ327682:OXQ393216 PHM327682:PHM393216 PRI327682:PRI393216 QBE327682:QBE393216 QLA327682:QLA393216 QUW327682:QUW393216 RES327682:RES393216 ROO327682:ROO393216 RYK327682:RYK393216 SIG327682:SIG393216 SSC327682:SSC393216 TBY327682:TBY393216 TLU327682:TLU393216 TVQ327682:TVQ393216 UFM327682:UFM393216 UPI327682:UPI393216 UZE327682:UZE393216 VJA327682:VJA393216 VSW327682:VSW393216 WCS327682:WCS393216 WMO327682:WMO393216 WWK327682:WWK393216 AC393218:AC458752 JY393218:JY458752 TU393218:TU458752 ADQ393218:ADQ458752 ANM393218:ANM458752 AXI393218:AXI458752 BHE393218:BHE458752 BRA393218:BRA458752 CAW393218:CAW458752 CKS393218:CKS458752 CUO393218:CUO458752 DEK393218:DEK458752 DOG393218:DOG458752 DYC393218:DYC458752 EHY393218:EHY458752 ERU393218:ERU458752 FBQ393218:FBQ458752 FLM393218:FLM458752 FVI393218:FVI458752 GFE393218:GFE458752 GPA393218:GPA458752 GYW393218:GYW458752 HIS393218:HIS458752 HSO393218:HSO458752 ICK393218:ICK458752 IMG393218:IMG458752 IWC393218:IWC458752 JFY393218:JFY458752 JPU393218:JPU458752 JZQ393218:JZQ458752 KJM393218:KJM458752 KTI393218:KTI458752 LDE393218:LDE458752 LNA393218:LNA458752 LWW393218:LWW458752 MGS393218:MGS458752 MQO393218:MQO458752 NAK393218:NAK458752 NKG393218:NKG458752 NUC393218:NUC458752 ODY393218:ODY458752 ONU393218:ONU458752 OXQ393218:OXQ458752 PHM393218:PHM458752 PRI393218:PRI458752 QBE393218:QBE458752 QLA393218:QLA458752 QUW393218:QUW458752 RES393218:RES458752 ROO393218:ROO458752 RYK393218:RYK458752 SIG393218:SIG458752 SSC393218:SSC458752 TBY393218:TBY458752 TLU393218:TLU458752 TVQ393218:TVQ458752 UFM393218:UFM458752 UPI393218:UPI458752 UZE393218:UZE458752 VJA393218:VJA458752 VSW393218:VSW458752 WCS393218:WCS458752 WMO393218:WMO458752 WWK393218:WWK458752 AC458754:AC524288 JY458754:JY524288 TU458754:TU524288 ADQ458754:ADQ524288 ANM458754:ANM524288 AXI458754:AXI524288 BHE458754:BHE524288 BRA458754:BRA524288 CAW458754:CAW524288 CKS458754:CKS524288 CUO458754:CUO524288 DEK458754:DEK524288 DOG458754:DOG524288 DYC458754:DYC524288 EHY458754:EHY524288 ERU458754:ERU524288 FBQ458754:FBQ524288 FLM458754:FLM524288 FVI458754:FVI524288 GFE458754:GFE524288 GPA458754:GPA524288 GYW458754:GYW524288 HIS458754:HIS524288 HSO458754:HSO524288 ICK458754:ICK524288 IMG458754:IMG524288 IWC458754:IWC524288 JFY458754:JFY524288 JPU458754:JPU524288 JZQ458754:JZQ524288 KJM458754:KJM524288 KTI458754:KTI524288 LDE458754:LDE524288 LNA458754:LNA524288 LWW458754:LWW524288 MGS458754:MGS524288 MQO458754:MQO524288 NAK458754:NAK524288 NKG458754:NKG524288 NUC458754:NUC524288 ODY458754:ODY524288 ONU458754:ONU524288 OXQ458754:OXQ524288 PHM458754:PHM524288 PRI458754:PRI524288 QBE458754:QBE524288 QLA458754:QLA524288 QUW458754:QUW524288 RES458754:RES524288 ROO458754:ROO524288 RYK458754:RYK524288 SIG458754:SIG524288 SSC458754:SSC524288 TBY458754:TBY524288 TLU458754:TLU524288 TVQ458754:TVQ524288 UFM458754:UFM524288 UPI458754:UPI524288 UZE458754:UZE524288 VJA458754:VJA524288 VSW458754:VSW524288 WCS458754:WCS524288 WMO458754:WMO524288 WWK458754:WWK524288 AC524290:AC589824 JY524290:JY589824 TU524290:TU589824 ADQ524290:ADQ589824 ANM524290:ANM589824 AXI524290:AXI589824 BHE524290:BHE589824 BRA524290:BRA589824 CAW524290:CAW589824 CKS524290:CKS589824 CUO524290:CUO589824 DEK524290:DEK589824 DOG524290:DOG589824 DYC524290:DYC589824 EHY524290:EHY589824 ERU524290:ERU589824 FBQ524290:FBQ589824 FLM524290:FLM589824 FVI524290:FVI589824 GFE524290:GFE589824 GPA524290:GPA589824 GYW524290:GYW589824 HIS524290:HIS589824 HSO524290:HSO589824 ICK524290:ICK589824 IMG524290:IMG589824 IWC524290:IWC589824 JFY524290:JFY589824 JPU524290:JPU589824 JZQ524290:JZQ589824 KJM524290:KJM589824 KTI524290:KTI589824 LDE524290:LDE589824 LNA524290:LNA589824 LWW524290:LWW589824 MGS524290:MGS589824 MQO524290:MQO589824 NAK524290:NAK589824 NKG524290:NKG589824 NUC524290:NUC589824 ODY524290:ODY589824 ONU524290:ONU589824 OXQ524290:OXQ589824 PHM524290:PHM589824 PRI524290:PRI589824 QBE524290:QBE589824 QLA524290:QLA589824 QUW524290:QUW589824 RES524290:RES589824 ROO524290:ROO589824 RYK524290:RYK589824 SIG524290:SIG589824 SSC524290:SSC589824 TBY524290:TBY589824 TLU524290:TLU589824 TVQ524290:TVQ589824 UFM524290:UFM589824 UPI524290:UPI589824 UZE524290:UZE589824 VJA524290:VJA589824 VSW524290:VSW589824 WCS524290:WCS589824 WMO524290:WMO589824 WWK524290:WWK589824 AC589826:AC655360 JY589826:JY655360 TU589826:TU655360 ADQ589826:ADQ655360 ANM589826:ANM655360 AXI589826:AXI655360 BHE589826:BHE655360 BRA589826:BRA655360 CAW589826:CAW655360 CKS589826:CKS655360 CUO589826:CUO655360 DEK589826:DEK655360 DOG589826:DOG655360 DYC589826:DYC655360 EHY589826:EHY655360 ERU589826:ERU655360 FBQ589826:FBQ655360 FLM589826:FLM655360 FVI589826:FVI655360 GFE589826:GFE655360 GPA589826:GPA655360 GYW589826:GYW655360 HIS589826:HIS655360 HSO589826:HSO655360 ICK589826:ICK655360 IMG589826:IMG655360 IWC589826:IWC655360 JFY589826:JFY655360 JPU589826:JPU655360 JZQ589826:JZQ655360 KJM589826:KJM655360 KTI589826:KTI655360 LDE589826:LDE655360 LNA589826:LNA655360 LWW589826:LWW655360 MGS589826:MGS655360 MQO589826:MQO655360 NAK589826:NAK655360 NKG589826:NKG655360 NUC589826:NUC655360 ODY589826:ODY655360 ONU589826:ONU655360 OXQ589826:OXQ655360 PHM589826:PHM655360 PRI589826:PRI655360 QBE589826:QBE655360 QLA589826:QLA655360 QUW589826:QUW655360 RES589826:RES655360 ROO589826:ROO655360 RYK589826:RYK655360 SIG589826:SIG655360 SSC589826:SSC655360 TBY589826:TBY655360 TLU589826:TLU655360 TVQ589826:TVQ655360 UFM589826:UFM655360 UPI589826:UPI655360 UZE589826:UZE655360 VJA589826:VJA655360 VSW589826:VSW655360 WCS589826:WCS655360 WMO589826:WMO655360 WWK589826:WWK655360 AC655362:AC720896 JY655362:JY720896 TU655362:TU720896 ADQ655362:ADQ720896 ANM655362:ANM720896 AXI655362:AXI720896 BHE655362:BHE720896 BRA655362:BRA720896 CAW655362:CAW720896 CKS655362:CKS720896 CUO655362:CUO720896 DEK655362:DEK720896 DOG655362:DOG720896 DYC655362:DYC720896 EHY655362:EHY720896 ERU655362:ERU720896 FBQ655362:FBQ720896 FLM655362:FLM720896 FVI655362:FVI720896 GFE655362:GFE720896 GPA655362:GPA720896 GYW655362:GYW720896 HIS655362:HIS720896 HSO655362:HSO720896 ICK655362:ICK720896 IMG655362:IMG720896 IWC655362:IWC720896 JFY655362:JFY720896 JPU655362:JPU720896 JZQ655362:JZQ720896 KJM655362:KJM720896 KTI655362:KTI720896 LDE655362:LDE720896 LNA655362:LNA720896 LWW655362:LWW720896 MGS655362:MGS720896 MQO655362:MQO720896 NAK655362:NAK720896 NKG655362:NKG720896 NUC655362:NUC720896 ODY655362:ODY720896 ONU655362:ONU720896 OXQ655362:OXQ720896 PHM655362:PHM720896 PRI655362:PRI720896 QBE655362:QBE720896 QLA655362:QLA720896 QUW655362:QUW720896 RES655362:RES720896 ROO655362:ROO720896 RYK655362:RYK720896 SIG655362:SIG720896 SSC655362:SSC720896 TBY655362:TBY720896 TLU655362:TLU720896 TVQ655362:TVQ720896 UFM655362:UFM720896 UPI655362:UPI720896 UZE655362:UZE720896 VJA655362:VJA720896 VSW655362:VSW720896 WCS655362:WCS720896 WMO655362:WMO720896 WWK655362:WWK720896 AC720898:AC786432 JY720898:JY786432 TU720898:TU786432 ADQ720898:ADQ786432 ANM720898:ANM786432 AXI720898:AXI786432 BHE720898:BHE786432 BRA720898:BRA786432 CAW720898:CAW786432 CKS720898:CKS786432 CUO720898:CUO786432 DEK720898:DEK786432 DOG720898:DOG786432 DYC720898:DYC786432 EHY720898:EHY786432 ERU720898:ERU786432 FBQ720898:FBQ786432 FLM720898:FLM786432 FVI720898:FVI786432 GFE720898:GFE786432 GPA720898:GPA786432 GYW720898:GYW786432 HIS720898:HIS786432 HSO720898:HSO786432 ICK720898:ICK786432 IMG720898:IMG786432 IWC720898:IWC786432 JFY720898:JFY786432 JPU720898:JPU786432 JZQ720898:JZQ786432 KJM720898:KJM786432 KTI720898:KTI786432 LDE720898:LDE786432 LNA720898:LNA786432 LWW720898:LWW786432 MGS720898:MGS786432 MQO720898:MQO786432 NAK720898:NAK786432 NKG720898:NKG786432 NUC720898:NUC786432 ODY720898:ODY786432 ONU720898:ONU786432 OXQ720898:OXQ786432 PHM720898:PHM786432 PRI720898:PRI786432 QBE720898:QBE786432 QLA720898:QLA786432 QUW720898:QUW786432 RES720898:RES786432 ROO720898:ROO786432 RYK720898:RYK786432 SIG720898:SIG786432 SSC720898:SSC786432 TBY720898:TBY786432 TLU720898:TLU786432 TVQ720898:TVQ786432 UFM720898:UFM786432 UPI720898:UPI786432 UZE720898:UZE786432 VJA720898:VJA786432 VSW720898:VSW786432 WCS720898:WCS786432 WMO720898:WMO786432 WWK720898:WWK786432 AC786434:AC851968 JY786434:JY851968 TU786434:TU851968 ADQ786434:ADQ851968 ANM786434:ANM851968 AXI786434:AXI851968 BHE786434:BHE851968 BRA786434:BRA851968 CAW786434:CAW851968 CKS786434:CKS851968 CUO786434:CUO851968 DEK786434:DEK851968 DOG786434:DOG851968 DYC786434:DYC851968 EHY786434:EHY851968 ERU786434:ERU851968 FBQ786434:FBQ851968 FLM786434:FLM851968 FVI786434:FVI851968 GFE786434:GFE851968 GPA786434:GPA851968 GYW786434:GYW851968 HIS786434:HIS851968 HSO786434:HSO851968 ICK786434:ICK851968 IMG786434:IMG851968 IWC786434:IWC851968 JFY786434:JFY851968 JPU786434:JPU851968 JZQ786434:JZQ851968 KJM786434:KJM851968 KTI786434:KTI851968 LDE786434:LDE851968 LNA786434:LNA851968 LWW786434:LWW851968 MGS786434:MGS851968 MQO786434:MQO851968 NAK786434:NAK851968 NKG786434:NKG851968 NUC786434:NUC851968 ODY786434:ODY851968 ONU786434:ONU851968 OXQ786434:OXQ851968 PHM786434:PHM851968 PRI786434:PRI851968 QBE786434:QBE851968 QLA786434:QLA851968 QUW786434:QUW851968 RES786434:RES851968 ROO786434:ROO851968 RYK786434:RYK851968 SIG786434:SIG851968 SSC786434:SSC851968 TBY786434:TBY851968 TLU786434:TLU851968 TVQ786434:TVQ851968 UFM786434:UFM851968 UPI786434:UPI851968 UZE786434:UZE851968 VJA786434:VJA851968 VSW786434:VSW851968 WCS786434:WCS851968 WMO786434:WMO851968 WWK786434:WWK851968 AC851970:AC917504 JY851970:JY917504 TU851970:TU917504 ADQ851970:ADQ917504 ANM851970:ANM917504 AXI851970:AXI917504 BHE851970:BHE917504 BRA851970:BRA917504 CAW851970:CAW917504 CKS851970:CKS917504 CUO851970:CUO917504 DEK851970:DEK917504 DOG851970:DOG917504 DYC851970:DYC917504 EHY851970:EHY917504 ERU851970:ERU917504 FBQ851970:FBQ917504 FLM851970:FLM917504 FVI851970:FVI917504 GFE851970:GFE917504 GPA851970:GPA917504 GYW851970:GYW917504 HIS851970:HIS917504 HSO851970:HSO917504 ICK851970:ICK917504 IMG851970:IMG917504 IWC851970:IWC917504 JFY851970:JFY917504 JPU851970:JPU917504 JZQ851970:JZQ917504 KJM851970:KJM917504 KTI851970:KTI917504 LDE851970:LDE917504 LNA851970:LNA917504 LWW851970:LWW917504 MGS851970:MGS917504 MQO851970:MQO917504 NAK851970:NAK917504 NKG851970:NKG917504 NUC851970:NUC917504 ODY851970:ODY917504 ONU851970:ONU917504 OXQ851970:OXQ917504 PHM851970:PHM917504 PRI851970:PRI917504 QBE851970:QBE917504 QLA851970:QLA917504 QUW851970:QUW917504 RES851970:RES917504 ROO851970:ROO917504 RYK851970:RYK917504 SIG851970:SIG917504 SSC851970:SSC917504 TBY851970:TBY917504 TLU851970:TLU917504 TVQ851970:TVQ917504 UFM851970:UFM917504 UPI851970:UPI917504 UZE851970:UZE917504 VJA851970:VJA917504 VSW851970:VSW917504 WCS851970:WCS917504 WMO851970:WMO917504 WWK851970:WWK917504 AC917506:AC983040 JY917506:JY983040 TU917506:TU983040 ADQ917506:ADQ983040 ANM917506:ANM983040 AXI917506:AXI983040 BHE917506:BHE983040 BRA917506:BRA983040 CAW917506:CAW983040 CKS917506:CKS983040 CUO917506:CUO983040 DEK917506:DEK983040 DOG917506:DOG983040 DYC917506:DYC983040 EHY917506:EHY983040 ERU917506:ERU983040 FBQ917506:FBQ983040 FLM917506:FLM983040 FVI917506:FVI983040 GFE917506:GFE983040 GPA917506:GPA983040 GYW917506:GYW983040 HIS917506:HIS983040 HSO917506:HSO983040 ICK917506:ICK983040 IMG917506:IMG983040 IWC917506:IWC983040 JFY917506:JFY983040 JPU917506:JPU983040 JZQ917506:JZQ983040 KJM917506:KJM983040 KTI917506:KTI983040 LDE917506:LDE983040 LNA917506:LNA983040 LWW917506:LWW983040 MGS917506:MGS983040 MQO917506:MQO983040 NAK917506:NAK983040 NKG917506:NKG983040 NUC917506:NUC983040 ODY917506:ODY983040 ONU917506:ONU983040 OXQ917506:OXQ983040 PHM917506:PHM983040 PRI917506:PRI983040 QBE917506:QBE983040 QLA917506:QLA983040 QUW917506:QUW983040 RES917506:RES983040 ROO917506:ROO983040 RYK917506:RYK983040 SIG917506:SIG983040 SSC917506:SSC983040 TBY917506:TBY983040 TLU917506:TLU983040 TVQ917506:TVQ983040 UFM917506:UFM983040 UPI917506:UPI983040 UZE917506:UZE983040 VJA917506:VJA983040 VSW917506:VSW983040 WCS917506:WCS983040 WMO917506:WMO983040 WWK917506:WWK983040 AC983042:AC1048576 JY983042:JY1048576 TU983042:TU1048576 ADQ983042:ADQ1048576 ANM983042:ANM1048576 AXI983042:AXI1048576 BHE983042:BHE1048576 BRA983042:BRA1048576 CAW983042:CAW1048576 CKS983042:CKS1048576 CUO983042:CUO1048576 DEK983042:DEK1048576 DOG983042:DOG1048576 DYC983042:DYC1048576 EHY983042:EHY1048576 ERU983042:ERU1048576 FBQ983042:FBQ1048576 FLM983042:FLM1048576 FVI983042:FVI1048576 GFE983042:GFE1048576 GPA983042:GPA1048576 GYW983042:GYW1048576 HIS983042:HIS1048576 HSO983042:HSO1048576 ICK983042:ICK1048576 IMG983042:IMG1048576 IWC983042:IWC1048576 JFY983042:JFY1048576 JPU983042:JPU1048576 JZQ983042:JZQ1048576 KJM983042:KJM1048576 KTI983042:KTI1048576 LDE983042:LDE1048576 LNA983042:LNA1048576 LWW983042:LWW1048576 MGS983042:MGS1048576 MQO983042:MQO1048576 NAK983042:NAK1048576 NKG983042:NKG1048576 NUC983042:NUC1048576 ODY983042:ODY1048576 ONU983042:ONU1048576 OXQ983042:OXQ1048576 PHM983042:PHM1048576 PRI983042:PRI1048576 QBE983042:QBE1048576 QLA983042:QLA1048576 QUW983042:QUW1048576 RES983042:RES1048576 ROO983042:ROO1048576 RYK983042:RYK1048576 SIG983042:SIG1048576 SSC983042:SSC1048576 TBY983042:TBY1048576 TLU983042:TLU1048576 TVQ983042:TVQ1048576 UFM983042:UFM1048576 UPI983042:UPI1048576 UZE983042:UZE1048576 VJA983042:VJA1048576 VSW983042:VSW1048576 WCS983042:WCS1048576 WMO983042:WMO1048576 WWK983042:WWK1048576 AE2:AE65536 KA2:KA65536 TW2:TW65536 ADS2:ADS65536 ANO2:ANO65536 AXK2:AXK65536 BHG2:BHG65536 BRC2:BRC65536 CAY2:CAY65536 CKU2:CKU65536 CUQ2:CUQ65536 DEM2:DEM65536 DOI2:DOI65536 DYE2:DYE65536 EIA2:EIA65536 ERW2:ERW65536 FBS2:FBS65536 FLO2:FLO65536 FVK2:FVK65536 GFG2:GFG65536 GPC2:GPC65536 GYY2:GYY65536 HIU2:HIU65536 HSQ2:HSQ65536 ICM2:ICM65536 IMI2:IMI65536 IWE2:IWE65536 JGA2:JGA65536 JPW2:JPW65536 JZS2:JZS65536 KJO2:KJO65536 KTK2:KTK65536 LDG2:LDG65536 LNC2:LNC65536 LWY2:LWY65536 MGU2:MGU65536 MQQ2:MQQ65536 NAM2:NAM65536 NKI2:NKI65536 NUE2:NUE65536 OEA2:OEA65536 ONW2:ONW65536 OXS2:OXS65536 PHO2:PHO65536 PRK2:PRK65536 QBG2:QBG65536 QLC2:QLC65536 QUY2:QUY65536 REU2:REU65536 ROQ2:ROQ65536 RYM2:RYM65536 SII2:SII65536 SSE2:SSE65536 TCA2:TCA65536 TLW2:TLW65536 TVS2:TVS65536 UFO2:UFO65536 UPK2:UPK65536 UZG2:UZG65536 VJC2:VJC65536 VSY2:VSY65536 WCU2:WCU65536 WMQ2:WMQ65536 WWM2:WWM65536 AE65538:AE131072 KA65538:KA131072 TW65538:TW131072 ADS65538:ADS131072 ANO65538:ANO131072 AXK65538:AXK131072 BHG65538:BHG131072 BRC65538:BRC131072 CAY65538:CAY131072 CKU65538:CKU131072 CUQ65538:CUQ131072 DEM65538:DEM131072 DOI65538:DOI131072 DYE65538:DYE131072 EIA65538:EIA131072 ERW65538:ERW131072 FBS65538:FBS131072 FLO65538:FLO131072 FVK65538:FVK131072 GFG65538:GFG131072 GPC65538:GPC131072 GYY65538:GYY131072 HIU65538:HIU131072 HSQ65538:HSQ131072 ICM65538:ICM131072 IMI65538:IMI131072 IWE65538:IWE131072 JGA65538:JGA131072 JPW65538:JPW131072 JZS65538:JZS131072 KJO65538:KJO131072 KTK65538:KTK131072 LDG65538:LDG131072 LNC65538:LNC131072 LWY65538:LWY131072 MGU65538:MGU131072 MQQ65538:MQQ131072 NAM65538:NAM131072 NKI65538:NKI131072 NUE65538:NUE131072 OEA65538:OEA131072 ONW65538:ONW131072 OXS65538:OXS131072 PHO65538:PHO131072 PRK65538:PRK131072 QBG65538:QBG131072 QLC65538:QLC131072 QUY65538:QUY131072 REU65538:REU131072 ROQ65538:ROQ131072 RYM65538:RYM131072 SII65538:SII131072 SSE65538:SSE131072 TCA65538:TCA131072 TLW65538:TLW131072 TVS65538:TVS131072 UFO65538:UFO131072 UPK65538:UPK131072 UZG65538:UZG131072 VJC65538:VJC131072 VSY65538:VSY131072 WCU65538:WCU131072 WMQ65538:WMQ131072 WWM65538:WWM131072 AE131074:AE196608 KA131074:KA196608 TW131074:TW196608 ADS131074:ADS196608 ANO131074:ANO196608 AXK131074:AXK196608 BHG131074:BHG196608 BRC131074:BRC196608 CAY131074:CAY196608 CKU131074:CKU196608 CUQ131074:CUQ196608 DEM131074:DEM196608 DOI131074:DOI196608 DYE131074:DYE196608 EIA131074:EIA196608 ERW131074:ERW196608 FBS131074:FBS196608 FLO131074:FLO196608 FVK131074:FVK196608 GFG131074:GFG196608 GPC131074:GPC196608 GYY131074:GYY196608 HIU131074:HIU196608 HSQ131074:HSQ196608 ICM131074:ICM196608 IMI131074:IMI196608 IWE131074:IWE196608 JGA131074:JGA196608 JPW131074:JPW196608 JZS131074:JZS196608 KJO131074:KJO196608 KTK131074:KTK196608 LDG131074:LDG196608 LNC131074:LNC196608 LWY131074:LWY196608 MGU131074:MGU196608 MQQ131074:MQQ196608 NAM131074:NAM196608 NKI131074:NKI196608 NUE131074:NUE196608 OEA131074:OEA196608 ONW131074:ONW196608 OXS131074:OXS196608 PHO131074:PHO196608 PRK131074:PRK196608 QBG131074:QBG196608 QLC131074:QLC196608 QUY131074:QUY196608 REU131074:REU196608 ROQ131074:ROQ196608 RYM131074:RYM196608 SII131074:SII196608 SSE131074:SSE196608 TCA131074:TCA196608 TLW131074:TLW196608 TVS131074:TVS196608 UFO131074:UFO196608 UPK131074:UPK196608 UZG131074:UZG196608 VJC131074:VJC196608 VSY131074:VSY196608 WCU131074:WCU196608 WMQ131074:WMQ196608 WWM131074:WWM196608 AE196610:AE262144 KA196610:KA262144 TW196610:TW262144 ADS196610:ADS262144 ANO196610:ANO262144 AXK196610:AXK262144 BHG196610:BHG262144 BRC196610:BRC262144 CAY196610:CAY262144 CKU196610:CKU262144 CUQ196610:CUQ262144 DEM196610:DEM262144 DOI196610:DOI262144 DYE196610:DYE262144 EIA196610:EIA262144 ERW196610:ERW262144 FBS196610:FBS262144 FLO196610:FLO262144 FVK196610:FVK262144 GFG196610:GFG262144 GPC196610:GPC262144 GYY196610:GYY262144 HIU196610:HIU262144 HSQ196610:HSQ262144 ICM196610:ICM262144 IMI196610:IMI262144 IWE196610:IWE262144 JGA196610:JGA262144 JPW196610:JPW262144 JZS196610:JZS262144 KJO196610:KJO262144 KTK196610:KTK262144 LDG196610:LDG262144 LNC196610:LNC262144 LWY196610:LWY262144 MGU196610:MGU262144 MQQ196610:MQQ262144 NAM196610:NAM262144 NKI196610:NKI262144 NUE196610:NUE262144 OEA196610:OEA262144 ONW196610:ONW262144 OXS196610:OXS262144 PHO196610:PHO262144 PRK196610:PRK262144 QBG196610:QBG262144 QLC196610:QLC262144 QUY196610:QUY262144 REU196610:REU262144 ROQ196610:ROQ262144 RYM196610:RYM262144 SII196610:SII262144 SSE196610:SSE262144 TCA196610:TCA262144 TLW196610:TLW262144 TVS196610:TVS262144 UFO196610:UFO262144 UPK196610:UPK262144 UZG196610:UZG262144 VJC196610:VJC262144 VSY196610:VSY262144 WCU196610:WCU262144 WMQ196610:WMQ262144 WWM196610:WWM262144 AE262146:AE327680 KA262146:KA327680 TW262146:TW327680 ADS262146:ADS327680 ANO262146:ANO327680 AXK262146:AXK327680 BHG262146:BHG327680 BRC262146:BRC327680 CAY262146:CAY327680 CKU262146:CKU327680 CUQ262146:CUQ327680 DEM262146:DEM327680 DOI262146:DOI327680 DYE262146:DYE327680 EIA262146:EIA327680 ERW262146:ERW327680 FBS262146:FBS327680 FLO262146:FLO327680 FVK262146:FVK327680 GFG262146:GFG327680 GPC262146:GPC327680 GYY262146:GYY327680 HIU262146:HIU327680 HSQ262146:HSQ327680 ICM262146:ICM327680 IMI262146:IMI327680 IWE262146:IWE327680 JGA262146:JGA327680 JPW262146:JPW327680 JZS262146:JZS327680 KJO262146:KJO327680 KTK262146:KTK327680 LDG262146:LDG327680 LNC262146:LNC327680 LWY262146:LWY327680 MGU262146:MGU327680 MQQ262146:MQQ327680 NAM262146:NAM327680 NKI262146:NKI327680 NUE262146:NUE327680 OEA262146:OEA327680 ONW262146:ONW327680 OXS262146:OXS327680 PHO262146:PHO327680 PRK262146:PRK327680 QBG262146:QBG327680 QLC262146:QLC327680 QUY262146:QUY327680 REU262146:REU327680 ROQ262146:ROQ327680 RYM262146:RYM327680 SII262146:SII327680 SSE262146:SSE327680 TCA262146:TCA327680 TLW262146:TLW327680 TVS262146:TVS327680 UFO262146:UFO327680 UPK262146:UPK327680 UZG262146:UZG327680 VJC262146:VJC327680 VSY262146:VSY327680 WCU262146:WCU327680 WMQ262146:WMQ327680 WWM262146:WWM327680 AE327682:AE393216 KA327682:KA393216 TW327682:TW393216 ADS327682:ADS393216 ANO327682:ANO393216 AXK327682:AXK393216 BHG327682:BHG393216 BRC327682:BRC393216 CAY327682:CAY393216 CKU327682:CKU393216 CUQ327682:CUQ393216 DEM327682:DEM393216 DOI327682:DOI393216 DYE327682:DYE393216 EIA327682:EIA393216 ERW327682:ERW393216 FBS327682:FBS393216 FLO327682:FLO393216 FVK327682:FVK393216 GFG327682:GFG393216 GPC327682:GPC393216 GYY327682:GYY393216 HIU327682:HIU393216 HSQ327682:HSQ393216 ICM327682:ICM393216 IMI327682:IMI393216 IWE327682:IWE393216 JGA327682:JGA393216 JPW327682:JPW393216 JZS327682:JZS393216 KJO327682:KJO393216 KTK327682:KTK393216 LDG327682:LDG393216 LNC327682:LNC393216 LWY327682:LWY393216 MGU327682:MGU393216 MQQ327682:MQQ393216 NAM327682:NAM393216 NKI327682:NKI393216 NUE327682:NUE393216 OEA327682:OEA393216 ONW327682:ONW393216 OXS327682:OXS393216 PHO327682:PHO393216 PRK327682:PRK393216 QBG327682:QBG393216 QLC327682:QLC393216 QUY327682:QUY393216 REU327682:REU393216 ROQ327682:ROQ393216 RYM327682:RYM393216 SII327682:SII393216 SSE327682:SSE393216 TCA327682:TCA393216 TLW327682:TLW393216 TVS327682:TVS393216 UFO327682:UFO393216 UPK327682:UPK393216 UZG327682:UZG393216 VJC327682:VJC393216 VSY327682:VSY393216 WCU327682:WCU393216 WMQ327682:WMQ393216 WWM327682:WWM393216 AE393218:AE458752 KA393218:KA458752 TW393218:TW458752 ADS393218:ADS458752 ANO393218:ANO458752 AXK393218:AXK458752 BHG393218:BHG458752 BRC393218:BRC458752 CAY393218:CAY458752 CKU393218:CKU458752 CUQ393218:CUQ458752 DEM393218:DEM458752 DOI393218:DOI458752 DYE393218:DYE458752 EIA393218:EIA458752 ERW393218:ERW458752 FBS393218:FBS458752 FLO393218:FLO458752 FVK393218:FVK458752 GFG393218:GFG458752 GPC393218:GPC458752 GYY393218:GYY458752 HIU393218:HIU458752 HSQ393218:HSQ458752 ICM393218:ICM458752 IMI393218:IMI458752 IWE393218:IWE458752 JGA393218:JGA458752 JPW393218:JPW458752 JZS393218:JZS458752 KJO393218:KJO458752 KTK393218:KTK458752 LDG393218:LDG458752 LNC393218:LNC458752 LWY393218:LWY458752 MGU393218:MGU458752 MQQ393218:MQQ458752 NAM393218:NAM458752 NKI393218:NKI458752 NUE393218:NUE458752 OEA393218:OEA458752 ONW393218:ONW458752 OXS393218:OXS458752 PHO393218:PHO458752 PRK393218:PRK458752 QBG393218:QBG458752 QLC393218:QLC458752 QUY393218:QUY458752 REU393218:REU458752 ROQ393218:ROQ458752 RYM393218:RYM458752 SII393218:SII458752 SSE393218:SSE458752 TCA393218:TCA458752 TLW393218:TLW458752 TVS393218:TVS458752 UFO393218:UFO458752 UPK393218:UPK458752 UZG393218:UZG458752 VJC393218:VJC458752 VSY393218:VSY458752 WCU393218:WCU458752 WMQ393218:WMQ458752 WWM393218:WWM458752 AE458754:AE524288 KA458754:KA524288 TW458754:TW524288 ADS458754:ADS524288 ANO458754:ANO524288 AXK458754:AXK524288 BHG458754:BHG524288 BRC458754:BRC524288 CAY458754:CAY524288 CKU458754:CKU524288 CUQ458754:CUQ524288 DEM458754:DEM524288 DOI458754:DOI524288 DYE458754:DYE524288 EIA458754:EIA524288 ERW458754:ERW524288 FBS458754:FBS524288 FLO458754:FLO524288 FVK458754:FVK524288 GFG458754:GFG524288 GPC458754:GPC524288 GYY458754:GYY524288 HIU458754:HIU524288 HSQ458754:HSQ524288 ICM458754:ICM524288 IMI458754:IMI524288 IWE458754:IWE524288 JGA458754:JGA524288 JPW458754:JPW524288 JZS458754:JZS524288 KJO458754:KJO524288 KTK458754:KTK524288 LDG458754:LDG524288 LNC458754:LNC524288 LWY458754:LWY524288 MGU458754:MGU524288 MQQ458754:MQQ524288 NAM458754:NAM524288 NKI458754:NKI524288 NUE458754:NUE524288 OEA458754:OEA524288 ONW458754:ONW524288 OXS458754:OXS524288 PHO458754:PHO524288 PRK458754:PRK524288 QBG458754:QBG524288 QLC458754:QLC524288 QUY458754:QUY524288 REU458754:REU524288 ROQ458754:ROQ524288 RYM458754:RYM524288 SII458754:SII524288 SSE458754:SSE524288 TCA458754:TCA524288 TLW458754:TLW524288 TVS458754:TVS524288 UFO458754:UFO524288 UPK458754:UPK524288 UZG458754:UZG524288 VJC458754:VJC524288 VSY458754:VSY524288 WCU458754:WCU524288 WMQ458754:WMQ524288 WWM458754:WWM524288 AE524290:AE589824 KA524290:KA589824 TW524290:TW589824 ADS524290:ADS589824 ANO524290:ANO589824 AXK524290:AXK589824 BHG524290:BHG589824 BRC524290:BRC589824 CAY524290:CAY589824 CKU524290:CKU589824 CUQ524290:CUQ589824 DEM524290:DEM589824 DOI524290:DOI589824 DYE524290:DYE589824 EIA524290:EIA589824 ERW524290:ERW589824 FBS524290:FBS589824 FLO524290:FLO589824 FVK524290:FVK589824 GFG524290:GFG589824 GPC524290:GPC589824 GYY524290:GYY589824 HIU524290:HIU589824 HSQ524290:HSQ589824 ICM524290:ICM589824 IMI524290:IMI589824 IWE524290:IWE589824 JGA524290:JGA589824 JPW524290:JPW589824 JZS524290:JZS589824 KJO524290:KJO589824 KTK524290:KTK589824 LDG524290:LDG589824 LNC524290:LNC589824 LWY524290:LWY589824 MGU524290:MGU589824 MQQ524290:MQQ589824 NAM524290:NAM589824 NKI524290:NKI589824 NUE524290:NUE589824 OEA524290:OEA589824 ONW524290:ONW589824 OXS524290:OXS589824 PHO524290:PHO589824 PRK524290:PRK589824 QBG524290:QBG589824 QLC524290:QLC589824 QUY524290:QUY589824 REU524290:REU589824 ROQ524290:ROQ589824 RYM524290:RYM589824 SII524290:SII589824 SSE524290:SSE589824 TCA524290:TCA589824 TLW524290:TLW589824 TVS524290:TVS589824 UFO524290:UFO589824 UPK524290:UPK589824 UZG524290:UZG589824 VJC524290:VJC589824 VSY524290:VSY589824 WCU524290:WCU589824 WMQ524290:WMQ589824 WWM524290:WWM589824 AE589826:AE655360 KA589826:KA655360 TW589826:TW655360 ADS589826:ADS655360 ANO589826:ANO655360 AXK589826:AXK655360 BHG589826:BHG655360 BRC589826:BRC655360 CAY589826:CAY655360 CKU589826:CKU655360 CUQ589826:CUQ655360 DEM589826:DEM655360 DOI589826:DOI655360 DYE589826:DYE655360 EIA589826:EIA655360 ERW589826:ERW655360 FBS589826:FBS655360 FLO589826:FLO655360 FVK589826:FVK655360 GFG589826:GFG655360 GPC589826:GPC655360 GYY589826:GYY655360 HIU589826:HIU655360 HSQ589826:HSQ655360 ICM589826:ICM655360 IMI589826:IMI655360 IWE589826:IWE655360 JGA589826:JGA655360 JPW589826:JPW655360 JZS589826:JZS655360 KJO589826:KJO655360 KTK589826:KTK655360 LDG589826:LDG655360 LNC589826:LNC655360 LWY589826:LWY655360 MGU589826:MGU655360 MQQ589826:MQQ655360 NAM589826:NAM655360 NKI589826:NKI655360 NUE589826:NUE655360 OEA589826:OEA655360 ONW589826:ONW655360 OXS589826:OXS655360 PHO589826:PHO655360 PRK589826:PRK655360 QBG589826:QBG655360 QLC589826:QLC655360 QUY589826:QUY655360 REU589826:REU655360 ROQ589826:ROQ655360 RYM589826:RYM655360 SII589826:SII655360 SSE589826:SSE655360 TCA589826:TCA655360 TLW589826:TLW655360 TVS589826:TVS655360 UFO589826:UFO655360 UPK589826:UPK655360 UZG589826:UZG655360 VJC589826:VJC655360 VSY589826:VSY655360 WCU589826:WCU655360 WMQ589826:WMQ655360 WWM589826:WWM655360 AE655362:AE720896 KA655362:KA720896 TW655362:TW720896 ADS655362:ADS720896 ANO655362:ANO720896 AXK655362:AXK720896 BHG655362:BHG720896 BRC655362:BRC720896 CAY655362:CAY720896 CKU655362:CKU720896 CUQ655362:CUQ720896 DEM655362:DEM720896 DOI655362:DOI720896 DYE655362:DYE720896 EIA655362:EIA720896 ERW655362:ERW720896 FBS655362:FBS720896 FLO655362:FLO720896 FVK655362:FVK720896 GFG655362:GFG720896 GPC655362:GPC720896 GYY655362:GYY720896 HIU655362:HIU720896 HSQ655362:HSQ720896 ICM655362:ICM720896 IMI655362:IMI720896 IWE655362:IWE720896 JGA655362:JGA720896 JPW655362:JPW720896 JZS655362:JZS720896 KJO655362:KJO720896 KTK655362:KTK720896 LDG655362:LDG720896 LNC655362:LNC720896 LWY655362:LWY720896 MGU655362:MGU720896 MQQ655362:MQQ720896 NAM655362:NAM720896 NKI655362:NKI720896 NUE655362:NUE720896 OEA655362:OEA720896 ONW655362:ONW720896 OXS655362:OXS720896 PHO655362:PHO720896 PRK655362:PRK720896 QBG655362:QBG720896 QLC655362:QLC720896 QUY655362:QUY720896 REU655362:REU720896 ROQ655362:ROQ720896 RYM655362:RYM720896 SII655362:SII720896 SSE655362:SSE720896 TCA655362:TCA720896 TLW655362:TLW720896 TVS655362:TVS720896 UFO655362:UFO720896 UPK655362:UPK720896 UZG655362:UZG720896 VJC655362:VJC720896 VSY655362:VSY720896 WCU655362:WCU720896 WMQ655362:WMQ720896 WWM655362:WWM720896 AE720898:AE786432 KA720898:KA786432 TW720898:TW786432 ADS720898:ADS786432 ANO720898:ANO786432 AXK720898:AXK786432 BHG720898:BHG786432 BRC720898:BRC786432 CAY720898:CAY786432 CKU720898:CKU786432 CUQ720898:CUQ786432 DEM720898:DEM786432 DOI720898:DOI786432 DYE720898:DYE786432 EIA720898:EIA786432 ERW720898:ERW786432 FBS720898:FBS786432 FLO720898:FLO786432 FVK720898:FVK786432 GFG720898:GFG786432 GPC720898:GPC786432 GYY720898:GYY786432 HIU720898:HIU786432 HSQ720898:HSQ786432 ICM720898:ICM786432 IMI720898:IMI786432 IWE720898:IWE786432 JGA720898:JGA786432 JPW720898:JPW786432 JZS720898:JZS786432 KJO720898:KJO786432 KTK720898:KTK786432 LDG720898:LDG786432 LNC720898:LNC786432 LWY720898:LWY786432 MGU720898:MGU786432 MQQ720898:MQQ786432 NAM720898:NAM786432 NKI720898:NKI786432 NUE720898:NUE786432 OEA720898:OEA786432 ONW720898:ONW786432 OXS720898:OXS786432 PHO720898:PHO786432 PRK720898:PRK786432 QBG720898:QBG786432 QLC720898:QLC786432 QUY720898:QUY786432 REU720898:REU786432 ROQ720898:ROQ786432 RYM720898:RYM786432 SII720898:SII786432 SSE720898:SSE786432 TCA720898:TCA786432 TLW720898:TLW786432 TVS720898:TVS786432 UFO720898:UFO786432 UPK720898:UPK786432 UZG720898:UZG786432 VJC720898:VJC786432 VSY720898:VSY786432 WCU720898:WCU786432 WMQ720898:WMQ786432 WWM720898:WWM786432 AE786434:AE851968 KA786434:KA851968 TW786434:TW851968 ADS786434:ADS851968 ANO786434:ANO851968 AXK786434:AXK851968 BHG786434:BHG851968 BRC786434:BRC851968 CAY786434:CAY851968 CKU786434:CKU851968 CUQ786434:CUQ851968 DEM786434:DEM851968 DOI786434:DOI851968 DYE786434:DYE851968 EIA786434:EIA851968 ERW786434:ERW851968 FBS786434:FBS851968 FLO786434:FLO851968 FVK786434:FVK851968 GFG786434:GFG851968 GPC786434:GPC851968 GYY786434:GYY851968 HIU786434:HIU851968 HSQ786434:HSQ851968 ICM786434:ICM851968 IMI786434:IMI851968 IWE786434:IWE851968 JGA786434:JGA851968 JPW786434:JPW851968 JZS786434:JZS851968 KJO786434:KJO851968 KTK786434:KTK851968 LDG786434:LDG851968 LNC786434:LNC851968 LWY786434:LWY851968 MGU786434:MGU851968 MQQ786434:MQQ851968 NAM786434:NAM851968 NKI786434:NKI851968 NUE786434:NUE851968 OEA786434:OEA851968 ONW786434:ONW851968 OXS786434:OXS851968 PHO786434:PHO851968 PRK786434:PRK851968 QBG786434:QBG851968 QLC786434:QLC851968 QUY786434:QUY851968 REU786434:REU851968 ROQ786434:ROQ851968 RYM786434:RYM851968 SII786434:SII851968 SSE786434:SSE851968 TCA786434:TCA851968 TLW786434:TLW851968 TVS786434:TVS851968 UFO786434:UFO851968 UPK786434:UPK851968 UZG786434:UZG851968 VJC786434:VJC851968 VSY786434:VSY851968 WCU786434:WCU851968 WMQ786434:WMQ851968 WWM786434:WWM851968 AE851970:AE917504 KA851970:KA917504 TW851970:TW917504 ADS851970:ADS917504 ANO851970:ANO917504 AXK851970:AXK917504 BHG851970:BHG917504 BRC851970:BRC917504 CAY851970:CAY917504 CKU851970:CKU917504 CUQ851970:CUQ917504 DEM851970:DEM917504 DOI851970:DOI917504 DYE851970:DYE917504 EIA851970:EIA917504 ERW851970:ERW917504 FBS851970:FBS917504 FLO851970:FLO917504 FVK851970:FVK917504 GFG851970:GFG917504 GPC851970:GPC917504 GYY851970:GYY917504 HIU851970:HIU917504 HSQ851970:HSQ917504 ICM851970:ICM917504 IMI851970:IMI917504 IWE851970:IWE917504 JGA851970:JGA917504 JPW851970:JPW917504 JZS851970:JZS917504 KJO851970:KJO917504 KTK851970:KTK917504 LDG851970:LDG917504 LNC851970:LNC917504 LWY851970:LWY917504 MGU851970:MGU917504 MQQ851970:MQQ917504 NAM851970:NAM917504 NKI851970:NKI917504 NUE851970:NUE917504 OEA851970:OEA917504 ONW851970:ONW917504 OXS851970:OXS917504 PHO851970:PHO917504 PRK851970:PRK917504 QBG851970:QBG917504 QLC851970:QLC917504 QUY851970:QUY917504 REU851970:REU917504 ROQ851970:ROQ917504 RYM851970:RYM917504 SII851970:SII917504 SSE851970:SSE917504 TCA851970:TCA917504 TLW851970:TLW917504 TVS851970:TVS917504 UFO851970:UFO917504 UPK851970:UPK917504 UZG851970:UZG917504 VJC851970:VJC917504 VSY851970:VSY917504 WCU851970:WCU917504 WMQ851970:WMQ917504 WWM851970:WWM917504 AE917506:AE983040 KA917506:KA983040 TW917506:TW983040 ADS917506:ADS983040 ANO917506:ANO983040 AXK917506:AXK983040 BHG917506:BHG983040 BRC917506:BRC983040 CAY917506:CAY983040 CKU917506:CKU983040 CUQ917506:CUQ983040 DEM917506:DEM983040 DOI917506:DOI983040 DYE917506:DYE983040 EIA917506:EIA983040 ERW917506:ERW983040 FBS917506:FBS983040 FLO917506:FLO983040 FVK917506:FVK983040 GFG917506:GFG983040 GPC917506:GPC983040 GYY917506:GYY983040 HIU917506:HIU983040 HSQ917506:HSQ983040 ICM917506:ICM983040 IMI917506:IMI983040 IWE917506:IWE983040 JGA917506:JGA983040 JPW917506:JPW983040 JZS917506:JZS983040 KJO917506:KJO983040 KTK917506:KTK983040 LDG917506:LDG983040 LNC917506:LNC983040 LWY917506:LWY983040 MGU917506:MGU983040 MQQ917506:MQQ983040 NAM917506:NAM983040 NKI917506:NKI983040 NUE917506:NUE983040 OEA917506:OEA983040 ONW917506:ONW983040 OXS917506:OXS983040 PHO917506:PHO983040 PRK917506:PRK983040 QBG917506:QBG983040 QLC917506:QLC983040 QUY917506:QUY983040 REU917506:REU983040 ROQ917506:ROQ983040 RYM917506:RYM983040 SII917506:SII983040 SSE917506:SSE983040 TCA917506:TCA983040 TLW917506:TLW983040 TVS917506:TVS983040 UFO917506:UFO983040 UPK917506:UPK983040 UZG917506:UZG983040 VJC917506:VJC983040 VSY917506:VSY983040 WCU917506:WCU983040 WMQ917506:WMQ983040 WWM917506:WWM983040 AE983042:AE1048576 KA983042:KA1048576 TW983042:TW1048576 ADS983042:ADS1048576 ANO983042:ANO1048576 AXK983042:AXK1048576 BHG983042:BHG1048576 BRC983042:BRC1048576 CAY983042:CAY1048576 CKU983042:CKU1048576 CUQ983042:CUQ1048576 DEM983042:DEM1048576 DOI983042:DOI1048576 DYE983042:DYE1048576 EIA983042:EIA1048576 ERW983042:ERW1048576 FBS983042:FBS1048576 FLO983042:FLO1048576 FVK983042:FVK1048576 GFG983042:GFG1048576 GPC983042:GPC1048576 GYY983042:GYY1048576 HIU983042:HIU1048576 HSQ983042:HSQ1048576 ICM983042:ICM1048576 IMI983042:IMI1048576 IWE983042:IWE1048576 JGA983042:JGA1048576 JPW983042:JPW1048576 JZS983042:JZS1048576 KJO983042:KJO1048576 KTK983042:KTK1048576 LDG983042:LDG1048576 LNC983042:LNC1048576 LWY983042:LWY1048576 MGU983042:MGU1048576 MQQ983042:MQQ1048576 NAM983042:NAM1048576 NKI983042:NKI1048576 NUE983042:NUE1048576 OEA983042:OEA1048576 ONW983042:ONW1048576 OXS983042:OXS1048576 PHO983042:PHO1048576 PRK983042:PRK1048576 QBG983042:QBG1048576 QLC983042:QLC1048576 QUY983042:QUY1048576 REU983042:REU1048576 ROQ983042:ROQ1048576 RYM983042:RYM1048576 SII983042:SII1048576 SSE983042:SSE1048576 TCA983042:TCA1048576 TLW983042:TLW1048576 TVS983042:TVS1048576 UFO983042:UFO1048576 UPK983042:UPK1048576 UZG983042:UZG1048576 VJC983042:VJC1048576 VSY983042:VSY1048576 WCU983042:WCU1048576 WMQ983042:WMQ1048576 WWM983042:WWM1048576 AG2:AG65536 KC2:KC65536 TY2:TY65536 ADU2:ADU65536 ANQ2:ANQ65536 AXM2:AXM65536 BHI2:BHI65536 BRE2:BRE65536 CBA2:CBA65536 CKW2:CKW65536 CUS2:CUS65536 DEO2:DEO65536 DOK2:DOK65536 DYG2:DYG65536 EIC2:EIC65536 ERY2:ERY65536 FBU2:FBU65536 FLQ2:FLQ65536 FVM2:FVM65536 GFI2:GFI65536 GPE2:GPE65536 GZA2:GZA65536 HIW2:HIW65536 HSS2:HSS65536 ICO2:ICO65536 IMK2:IMK65536 IWG2:IWG65536 JGC2:JGC65536 JPY2:JPY65536 JZU2:JZU65536 KJQ2:KJQ65536 KTM2:KTM65536 LDI2:LDI65536 LNE2:LNE65536 LXA2:LXA65536 MGW2:MGW65536 MQS2:MQS65536 NAO2:NAO65536 NKK2:NKK65536 NUG2:NUG65536 OEC2:OEC65536 ONY2:ONY65536 OXU2:OXU65536 PHQ2:PHQ65536 PRM2:PRM65536 QBI2:QBI65536 QLE2:QLE65536 QVA2:QVA65536 REW2:REW65536 ROS2:ROS65536 RYO2:RYO65536 SIK2:SIK65536 SSG2:SSG65536 TCC2:TCC65536 TLY2:TLY65536 TVU2:TVU65536 UFQ2:UFQ65536 UPM2:UPM65536 UZI2:UZI65536 VJE2:VJE65536 VTA2:VTA65536 WCW2:WCW65536 WMS2:WMS65536 WWO2:WWO65536 AG65538:AG131072 KC65538:KC131072 TY65538:TY131072 ADU65538:ADU131072 ANQ65538:ANQ131072 AXM65538:AXM131072 BHI65538:BHI131072 BRE65538:BRE131072 CBA65538:CBA131072 CKW65538:CKW131072 CUS65538:CUS131072 DEO65538:DEO131072 DOK65538:DOK131072 DYG65538:DYG131072 EIC65538:EIC131072 ERY65538:ERY131072 FBU65538:FBU131072 FLQ65538:FLQ131072 FVM65538:FVM131072 GFI65538:GFI131072 GPE65538:GPE131072 GZA65538:GZA131072 HIW65538:HIW131072 HSS65538:HSS131072 ICO65538:ICO131072 IMK65538:IMK131072 IWG65538:IWG131072 JGC65538:JGC131072 JPY65538:JPY131072 JZU65538:JZU131072 KJQ65538:KJQ131072 KTM65538:KTM131072 LDI65538:LDI131072 LNE65538:LNE131072 LXA65538:LXA131072 MGW65538:MGW131072 MQS65538:MQS131072 NAO65538:NAO131072 NKK65538:NKK131072 NUG65538:NUG131072 OEC65538:OEC131072 ONY65538:ONY131072 OXU65538:OXU131072 PHQ65538:PHQ131072 PRM65538:PRM131072 QBI65538:QBI131072 QLE65538:QLE131072 QVA65538:QVA131072 REW65538:REW131072 ROS65538:ROS131072 RYO65538:RYO131072 SIK65538:SIK131072 SSG65538:SSG131072 TCC65538:TCC131072 TLY65538:TLY131072 TVU65538:TVU131072 UFQ65538:UFQ131072 UPM65538:UPM131072 UZI65538:UZI131072 VJE65538:VJE131072 VTA65538:VTA131072 WCW65538:WCW131072 WMS65538:WMS131072 WWO65538:WWO131072 AG131074:AG196608 KC131074:KC196608 TY131074:TY196608 ADU131074:ADU196608 ANQ131074:ANQ196608 AXM131074:AXM196608 BHI131074:BHI196608 BRE131074:BRE196608 CBA131074:CBA196608 CKW131074:CKW196608 CUS131074:CUS196608 DEO131074:DEO196608 DOK131074:DOK196608 DYG131074:DYG196608 EIC131074:EIC196608 ERY131074:ERY196608 FBU131074:FBU196608 FLQ131074:FLQ196608 FVM131074:FVM196608 GFI131074:GFI196608 GPE131074:GPE196608 GZA131074:GZA196608 HIW131074:HIW196608 HSS131074:HSS196608 ICO131074:ICO196608 IMK131074:IMK196608 IWG131074:IWG196608 JGC131074:JGC196608 JPY131074:JPY196608 JZU131074:JZU196608 KJQ131074:KJQ196608 KTM131074:KTM196608 LDI131074:LDI196608 LNE131074:LNE196608 LXA131074:LXA196608 MGW131074:MGW196608 MQS131074:MQS196608 NAO131074:NAO196608 NKK131074:NKK196608 NUG131074:NUG196608 OEC131074:OEC196608 ONY131074:ONY196608 OXU131074:OXU196608 PHQ131074:PHQ196608 PRM131074:PRM196608 QBI131074:QBI196608 QLE131074:QLE196608 QVA131074:QVA196608 REW131074:REW196608 ROS131074:ROS196608 RYO131074:RYO196608 SIK131074:SIK196608 SSG131074:SSG196608 TCC131074:TCC196608 TLY131074:TLY196608 TVU131074:TVU196608 UFQ131074:UFQ196608 UPM131074:UPM196608 UZI131074:UZI196608 VJE131074:VJE196608 VTA131074:VTA196608 WCW131074:WCW196608 WMS131074:WMS196608 WWO131074:WWO196608 AG196610:AG262144 KC196610:KC262144 TY196610:TY262144 ADU196610:ADU262144 ANQ196610:ANQ262144 AXM196610:AXM262144 BHI196610:BHI262144 BRE196610:BRE262144 CBA196610:CBA262144 CKW196610:CKW262144 CUS196610:CUS262144 DEO196610:DEO262144 DOK196610:DOK262144 DYG196610:DYG262144 EIC196610:EIC262144 ERY196610:ERY262144 FBU196610:FBU262144 FLQ196610:FLQ262144 FVM196610:FVM262144 GFI196610:GFI262144 GPE196610:GPE262144 GZA196610:GZA262144 HIW196610:HIW262144 HSS196610:HSS262144 ICO196610:ICO262144 IMK196610:IMK262144 IWG196610:IWG262144 JGC196610:JGC262144 JPY196610:JPY262144 JZU196610:JZU262144 KJQ196610:KJQ262144 KTM196610:KTM262144 LDI196610:LDI262144 LNE196610:LNE262144 LXA196610:LXA262144 MGW196610:MGW262144 MQS196610:MQS262144 NAO196610:NAO262144 NKK196610:NKK262144 NUG196610:NUG262144 OEC196610:OEC262144 ONY196610:ONY262144 OXU196610:OXU262144 PHQ196610:PHQ262144 PRM196610:PRM262144 QBI196610:QBI262144 QLE196610:QLE262144 QVA196610:QVA262144 REW196610:REW262144 ROS196610:ROS262144 RYO196610:RYO262144 SIK196610:SIK262144 SSG196610:SSG262144 TCC196610:TCC262144 TLY196610:TLY262144 TVU196610:TVU262144 UFQ196610:UFQ262144 UPM196610:UPM262144 UZI196610:UZI262144 VJE196610:VJE262144 VTA196610:VTA262144 WCW196610:WCW262144 WMS196610:WMS262144 WWO196610:WWO262144 AG262146:AG327680 KC262146:KC327680 TY262146:TY327680 ADU262146:ADU327680 ANQ262146:ANQ327680 AXM262146:AXM327680 BHI262146:BHI327680 BRE262146:BRE327680 CBA262146:CBA327680 CKW262146:CKW327680 CUS262146:CUS327680 DEO262146:DEO327680 DOK262146:DOK327680 DYG262146:DYG327680 EIC262146:EIC327680 ERY262146:ERY327680 FBU262146:FBU327680 FLQ262146:FLQ327680 FVM262146:FVM327680 GFI262146:GFI327680 GPE262146:GPE327680 GZA262146:GZA327680 HIW262146:HIW327680 HSS262146:HSS327680 ICO262146:ICO327680 IMK262146:IMK327680 IWG262146:IWG327680 JGC262146:JGC327680 JPY262146:JPY327680 JZU262146:JZU327680 KJQ262146:KJQ327680 KTM262146:KTM327680 LDI262146:LDI327680 LNE262146:LNE327680 LXA262146:LXA327680 MGW262146:MGW327680 MQS262146:MQS327680 NAO262146:NAO327680 NKK262146:NKK327680 NUG262146:NUG327680 OEC262146:OEC327680 ONY262146:ONY327680 OXU262146:OXU327680 PHQ262146:PHQ327680 PRM262146:PRM327680 QBI262146:QBI327680 QLE262146:QLE327680 QVA262146:QVA327680 REW262146:REW327680 ROS262146:ROS327680 RYO262146:RYO327680 SIK262146:SIK327680 SSG262146:SSG327680 TCC262146:TCC327680 TLY262146:TLY327680 TVU262146:TVU327680 UFQ262146:UFQ327680 UPM262146:UPM327680 UZI262146:UZI327680 VJE262146:VJE327680 VTA262146:VTA327680 WCW262146:WCW327680 WMS262146:WMS327680 WWO262146:WWO327680 AG327682:AG393216 KC327682:KC393216 TY327682:TY393216 ADU327682:ADU393216 ANQ327682:ANQ393216 AXM327682:AXM393216 BHI327682:BHI393216 BRE327682:BRE393216 CBA327682:CBA393216 CKW327682:CKW393216 CUS327682:CUS393216 DEO327682:DEO393216 DOK327682:DOK393216 DYG327682:DYG393216 EIC327682:EIC393216 ERY327682:ERY393216 FBU327682:FBU393216 FLQ327682:FLQ393216 FVM327682:FVM393216 GFI327682:GFI393216 GPE327682:GPE393216 GZA327682:GZA393216 HIW327682:HIW393216 HSS327682:HSS393216 ICO327682:ICO393216 IMK327682:IMK393216 IWG327682:IWG393216 JGC327682:JGC393216 JPY327682:JPY393216 JZU327682:JZU393216 KJQ327682:KJQ393216 KTM327682:KTM393216 LDI327682:LDI393216 LNE327682:LNE393216 LXA327682:LXA393216 MGW327682:MGW393216 MQS327682:MQS393216 NAO327682:NAO393216 NKK327682:NKK393216 NUG327682:NUG393216 OEC327682:OEC393216 ONY327682:ONY393216 OXU327682:OXU393216 PHQ327682:PHQ393216 PRM327682:PRM393216 QBI327682:QBI393216 QLE327682:QLE393216 QVA327682:QVA393216 REW327682:REW393216 ROS327682:ROS393216 RYO327682:RYO393216 SIK327682:SIK393216 SSG327682:SSG393216 TCC327682:TCC393216 TLY327682:TLY393216 TVU327682:TVU393216 UFQ327682:UFQ393216 UPM327682:UPM393216 UZI327682:UZI393216 VJE327682:VJE393216 VTA327682:VTA393216 WCW327682:WCW393216 WMS327682:WMS393216 WWO327682:WWO393216 AG393218:AG458752 KC393218:KC458752 TY393218:TY458752 ADU393218:ADU458752 ANQ393218:ANQ458752 AXM393218:AXM458752 BHI393218:BHI458752 BRE393218:BRE458752 CBA393218:CBA458752 CKW393218:CKW458752 CUS393218:CUS458752 DEO393218:DEO458752 DOK393218:DOK458752 DYG393218:DYG458752 EIC393218:EIC458752 ERY393218:ERY458752 FBU393218:FBU458752 FLQ393218:FLQ458752 FVM393218:FVM458752 GFI393218:GFI458752 GPE393218:GPE458752 GZA393218:GZA458752 HIW393218:HIW458752 HSS393218:HSS458752 ICO393218:ICO458752 IMK393218:IMK458752 IWG393218:IWG458752 JGC393218:JGC458752 JPY393218:JPY458752 JZU393218:JZU458752 KJQ393218:KJQ458752 KTM393218:KTM458752 LDI393218:LDI458752 LNE393218:LNE458752 LXA393218:LXA458752 MGW393218:MGW458752 MQS393218:MQS458752 NAO393218:NAO458752 NKK393218:NKK458752 NUG393218:NUG458752 OEC393218:OEC458752 ONY393218:ONY458752 OXU393218:OXU458752 PHQ393218:PHQ458752 PRM393218:PRM458752 QBI393218:QBI458752 QLE393218:QLE458752 QVA393218:QVA458752 REW393218:REW458752 ROS393218:ROS458752 RYO393218:RYO458752 SIK393218:SIK458752 SSG393218:SSG458752 TCC393218:TCC458752 TLY393218:TLY458752 TVU393218:TVU458752 UFQ393218:UFQ458752 UPM393218:UPM458752 UZI393218:UZI458752 VJE393218:VJE458752 VTA393218:VTA458752 WCW393218:WCW458752 WMS393218:WMS458752 WWO393218:WWO458752 AG458754:AG524288 KC458754:KC524288 TY458754:TY524288 ADU458754:ADU524288 ANQ458754:ANQ524288 AXM458754:AXM524288 BHI458754:BHI524288 BRE458754:BRE524288 CBA458754:CBA524288 CKW458754:CKW524288 CUS458754:CUS524288 DEO458754:DEO524288 DOK458754:DOK524288 DYG458754:DYG524288 EIC458754:EIC524288 ERY458754:ERY524288 FBU458754:FBU524288 FLQ458754:FLQ524288 FVM458754:FVM524288 GFI458754:GFI524288 GPE458754:GPE524288 GZA458754:GZA524288 HIW458754:HIW524288 HSS458754:HSS524288 ICO458754:ICO524288 IMK458754:IMK524288 IWG458754:IWG524288 JGC458754:JGC524288 JPY458754:JPY524288 JZU458754:JZU524288 KJQ458754:KJQ524288 KTM458754:KTM524288 LDI458754:LDI524288 LNE458754:LNE524288 LXA458754:LXA524288 MGW458754:MGW524288 MQS458754:MQS524288 NAO458754:NAO524288 NKK458754:NKK524288 NUG458754:NUG524288 OEC458754:OEC524288 ONY458754:ONY524288 OXU458754:OXU524288 PHQ458754:PHQ524288 PRM458754:PRM524288 QBI458754:QBI524288 QLE458754:QLE524288 QVA458754:QVA524288 REW458754:REW524288 ROS458754:ROS524288 RYO458754:RYO524288 SIK458754:SIK524288 SSG458754:SSG524288 TCC458754:TCC524288 TLY458754:TLY524288 TVU458754:TVU524288 UFQ458754:UFQ524288 UPM458754:UPM524288 UZI458754:UZI524288 VJE458754:VJE524288 VTA458754:VTA524288 WCW458754:WCW524288 WMS458754:WMS524288 WWO458754:WWO524288 AG524290:AG589824 KC524290:KC589824 TY524290:TY589824 ADU524290:ADU589824 ANQ524290:ANQ589824 AXM524290:AXM589824 BHI524290:BHI589824 BRE524290:BRE589824 CBA524290:CBA589824 CKW524290:CKW589824 CUS524290:CUS589824 DEO524290:DEO589824 DOK524290:DOK589824 DYG524290:DYG589824 EIC524290:EIC589824 ERY524290:ERY589824 FBU524290:FBU589824 FLQ524290:FLQ589824 FVM524290:FVM589824 GFI524290:GFI589824 GPE524290:GPE589824 GZA524290:GZA589824 HIW524290:HIW589824 HSS524290:HSS589824 ICO524290:ICO589824 IMK524290:IMK589824 IWG524290:IWG589824 JGC524290:JGC589824 JPY524290:JPY589824 JZU524290:JZU589824 KJQ524290:KJQ589824 KTM524290:KTM589824 LDI524290:LDI589824 LNE524290:LNE589824 LXA524290:LXA589824 MGW524290:MGW589824 MQS524290:MQS589824 NAO524290:NAO589824 NKK524290:NKK589824 NUG524290:NUG589824 OEC524290:OEC589824 ONY524290:ONY589824 OXU524290:OXU589824 PHQ524290:PHQ589824 PRM524290:PRM589824 QBI524290:QBI589824 QLE524290:QLE589824 QVA524290:QVA589824 REW524290:REW589824 ROS524290:ROS589824 RYO524290:RYO589824 SIK524290:SIK589824 SSG524290:SSG589824 TCC524290:TCC589824 TLY524290:TLY589824 TVU524290:TVU589824 UFQ524290:UFQ589824 UPM524290:UPM589824 UZI524290:UZI589824 VJE524290:VJE589824 VTA524290:VTA589824 WCW524290:WCW589824 WMS524290:WMS589824 WWO524290:WWO589824 AG589826:AG655360 KC589826:KC655360 TY589826:TY655360 ADU589826:ADU655360 ANQ589826:ANQ655360 AXM589826:AXM655360 BHI589826:BHI655360 BRE589826:BRE655360 CBA589826:CBA655360 CKW589826:CKW655360 CUS589826:CUS655360 DEO589826:DEO655360 DOK589826:DOK655360 DYG589826:DYG655360 EIC589826:EIC655360 ERY589826:ERY655360 FBU589826:FBU655360 FLQ589826:FLQ655360 FVM589826:FVM655360 GFI589826:GFI655360 GPE589826:GPE655360 GZA589826:GZA655360 HIW589826:HIW655360 HSS589826:HSS655360 ICO589826:ICO655360 IMK589826:IMK655360 IWG589826:IWG655360 JGC589826:JGC655360 JPY589826:JPY655360 JZU589826:JZU655360 KJQ589826:KJQ655360 KTM589826:KTM655360 LDI589826:LDI655360 LNE589826:LNE655360 LXA589826:LXA655360 MGW589826:MGW655360 MQS589826:MQS655360 NAO589826:NAO655360 NKK589826:NKK655360 NUG589826:NUG655360 OEC589826:OEC655360 ONY589826:ONY655360 OXU589826:OXU655360 PHQ589826:PHQ655360 PRM589826:PRM655360 QBI589826:QBI655360 QLE589826:QLE655360 QVA589826:QVA655360 REW589826:REW655360 ROS589826:ROS655360 RYO589826:RYO655360 SIK589826:SIK655360 SSG589826:SSG655360 TCC589826:TCC655360 TLY589826:TLY655360 TVU589826:TVU655360 UFQ589826:UFQ655360 UPM589826:UPM655360 UZI589826:UZI655360 VJE589826:VJE655360 VTA589826:VTA655360 WCW589826:WCW655360 WMS589826:WMS655360 WWO589826:WWO655360 AG655362:AG720896 KC655362:KC720896 TY655362:TY720896 ADU655362:ADU720896 ANQ655362:ANQ720896 AXM655362:AXM720896 BHI655362:BHI720896 BRE655362:BRE720896 CBA655362:CBA720896 CKW655362:CKW720896 CUS655362:CUS720896 DEO655362:DEO720896 DOK655362:DOK720896 DYG655362:DYG720896 EIC655362:EIC720896 ERY655362:ERY720896 FBU655362:FBU720896 FLQ655362:FLQ720896 FVM655362:FVM720896 GFI655362:GFI720896 GPE655362:GPE720896 GZA655362:GZA720896 HIW655362:HIW720896 HSS655362:HSS720896 ICO655362:ICO720896 IMK655362:IMK720896 IWG655362:IWG720896 JGC655362:JGC720896 JPY655362:JPY720896 JZU655362:JZU720896 KJQ655362:KJQ720896 KTM655362:KTM720896 LDI655362:LDI720896 LNE655362:LNE720896 LXA655362:LXA720896 MGW655362:MGW720896 MQS655362:MQS720896 NAO655362:NAO720896 NKK655362:NKK720896 NUG655362:NUG720896 OEC655362:OEC720896 ONY655362:ONY720896 OXU655362:OXU720896 PHQ655362:PHQ720896 PRM655362:PRM720896 QBI655362:QBI720896 QLE655362:QLE720896 QVA655362:QVA720896 REW655362:REW720896 ROS655362:ROS720896 RYO655362:RYO720896 SIK655362:SIK720896 SSG655362:SSG720896 TCC655362:TCC720896 TLY655362:TLY720896 TVU655362:TVU720896 UFQ655362:UFQ720896 UPM655362:UPM720896 UZI655362:UZI720896 VJE655362:VJE720896 VTA655362:VTA720896 WCW655362:WCW720896 WMS655362:WMS720896 WWO655362:WWO720896 AG720898:AG786432 KC720898:KC786432 TY720898:TY786432 ADU720898:ADU786432 ANQ720898:ANQ786432 AXM720898:AXM786432 BHI720898:BHI786432 BRE720898:BRE786432 CBA720898:CBA786432 CKW720898:CKW786432 CUS720898:CUS786432 DEO720898:DEO786432 DOK720898:DOK786432 DYG720898:DYG786432 EIC720898:EIC786432 ERY720898:ERY786432 FBU720898:FBU786432 FLQ720898:FLQ786432 FVM720898:FVM786432 GFI720898:GFI786432 GPE720898:GPE786432 GZA720898:GZA786432 HIW720898:HIW786432 HSS720898:HSS786432 ICO720898:ICO786432 IMK720898:IMK786432 IWG720898:IWG786432 JGC720898:JGC786432 JPY720898:JPY786432 JZU720898:JZU786432 KJQ720898:KJQ786432 KTM720898:KTM786432 LDI720898:LDI786432 LNE720898:LNE786432 LXA720898:LXA786432 MGW720898:MGW786432 MQS720898:MQS786432 NAO720898:NAO786432 NKK720898:NKK786432 NUG720898:NUG786432 OEC720898:OEC786432 ONY720898:ONY786432 OXU720898:OXU786432 PHQ720898:PHQ786432 PRM720898:PRM786432 QBI720898:QBI786432 QLE720898:QLE786432 QVA720898:QVA786432 REW720898:REW786432 ROS720898:ROS786432 RYO720898:RYO786432 SIK720898:SIK786432 SSG720898:SSG786432 TCC720898:TCC786432 TLY720898:TLY786432 TVU720898:TVU786432 UFQ720898:UFQ786432 UPM720898:UPM786432 UZI720898:UZI786432 VJE720898:VJE786432 VTA720898:VTA786432 WCW720898:WCW786432 WMS720898:WMS786432 WWO720898:WWO786432 AG786434:AG851968 KC786434:KC851968 TY786434:TY851968 ADU786434:ADU851968 ANQ786434:ANQ851968 AXM786434:AXM851968 BHI786434:BHI851968 BRE786434:BRE851968 CBA786434:CBA851968 CKW786434:CKW851968 CUS786434:CUS851968 DEO786434:DEO851968 DOK786434:DOK851968 DYG786434:DYG851968 EIC786434:EIC851968 ERY786434:ERY851968 FBU786434:FBU851968 FLQ786434:FLQ851968 FVM786434:FVM851968 GFI786434:GFI851968 GPE786434:GPE851968 GZA786434:GZA851968 HIW786434:HIW851968 HSS786434:HSS851968 ICO786434:ICO851968 IMK786434:IMK851968 IWG786434:IWG851968 JGC786434:JGC851968 JPY786434:JPY851968 JZU786434:JZU851968 KJQ786434:KJQ851968 KTM786434:KTM851968 LDI786434:LDI851968 LNE786434:LNE851968 LXA786434:LXA851968 MGW786434:MGW851968 MQS786434:MQS851968 NAO786434:NAO851968 NKK786434:NKK851968 NUG786434:NUG851968 OEC786434:OEC851968 ONY786434:ONY851968 OXU786434:OXU851968 PHQ786434:PHQ851968 PRM786434:PRM851968 QBI786434:QBI851968 QLE786434:QLE851968 QVA786434:QVA851968 REW786434:REW851968 ROS786434:ROS851968 RYO786434:RYO851968 SIK786434:SIK851968 SSG786434:SSG851968 TCC786434:TCC851968 TLY786434:TLY851968 TVU786434:TVU851968 UFQ786434:UFQ851968 UPM786434:UPM851968 UZI786434:UZI851968 VJE786434:VJE851968 VTA786434:VTA851968 WCW786434:WCW851968 WMS786434:WMS851968 WWO786434:WWO851968 AG851970:AG917504 KC851970:KC917504 TY851970:TY917504 ADU851970:ADU917504 ANQ851970:ANQ917504 AXM851970:AXM917504 BHI851970:BHI917504 BRE851970:BRE917504 CBA851970:CBA917504 CKW851970:CKW917504 CUS851970:CUS917504 DEO851970:DEO917504 DOK851970:DOK917504 DYG851970:DYG917504 EIC851970:EIC917504 ERY851970:ERY917504 FBU851970:FBU917504 FLQ851970:FLQ917504 FVM851970:FVM917504 GFI851970:GFI917504 GPE851970:GPE917504 GZA851970:GZA917504 HIW851970:HIW917504 HSS851970:HSS917504 ICO851970:ICO917504 IMK851970:IMK917504 IWG851970:IWG917504 JGC851970:JGC917504 JPY851970:JPY917504 JZU851970:JZU917504 KJQ851970:KJQ917504 KTM851970:KTM917504 LDI851970:LDI917504 LNE851970:LNE917504 LXA851970:LXA917504 MGW851970:MGW917504 MQS851970:MQS917504 NAO851970:NAO917504 NKK851970:NKK917504 NUG851970:NUG917504 OEC851970:OEC917504 ONY851970:ONY917504 OXU851970:OXU917504 PHQ851970:PHQ917504 PRM851970:PRM917504 QBI851970:QBI917504 QLE851970:QLE917504 QVA851970:QVA917504 REW851970:REW917504 ROS851970:ROS917504 RYO851970:RYO917504 SIK851970:SIK917504 SSG851970:SSG917504 TCC851970:TCC917504 TLY851970:TLY917504 TVU851970:TVU917504 UFQ851970:UFQ917504 UPM851970:UPM917504 UZI851970:UZI917504 VJE851970:VJE917504 VTA851970:VTA917504 WCW851970:WCW917504 WMS851970:WMS917504 WWO851970:WWO917504 AG917506:AG983040 KC917506:KC983040 TY917506:TY983040 ADU917506:ADU983040 ANQ917506:ANQ983040 AXM917506:AXM983040 BHI917506:BHI983040 BRE917506:BRE983040 CBA917506:CBA983040 CKW917506:CKW983040 CUS917506:CUS983040 DEO917506:DEO983040 DOK917506:DOK983040 DYG917506:DYG983040 EIC917506:EIC983040 ERY917506:ERY983040 FBU917506:FBU983040 FLQ917506:FLQ983040 FVM917506:FVM983040 GFI917506:GFI983040 GPE917506:GPE983040 GZA917506:GZA983040 HIW917506:HIW983040 HSS917506:HSS983040 ICO917506:ICO983040 IMK917506:IMK983040 IWG917506:IWG983040 JGC917506:JGC983040 JPY917506:JPY983040 JZU917506:JZU983040 KJQ917506:KJQ983040 KTM917506:KTM983040 LDI917506:LDI983040 LNE917506:LNE983040 LXA917506:LXA983040 MGW917506:MGW983040 MQS917506:MQS983040 NAO917506:NAO983040 NKK917506:NKK983040 NUG917506:NUG983040 OEC917506:OEC983040 ONY917506:ONY983040 OXU917506:OXU983040 PHQ917506:PHQ983040 PRM917506:PRM983040 QBI917506:QBI983040 QLE917506:QLE983040 QVA917506:QVA983040 REW917506:REW983040 ROS917506:ROS983040 RYO917506:RYO983040 SIK917506:SIK983040 SSG917506:SSG983040 TCC917506:TCC983040 TLY917506:TLY983040 TVU917506:TVU983040 UFQ917506:UFQ983040 UPM917506:UPM983040 UZI917506:UZI983040 VJE917506:VJE983040 VTA917506:VTA983040 WCW917506:WCW983040 WMS917506:WMS983040 WWO917506:WWO983040 AG983042:AG1048576 KC983042:KC1048576 TY983042:TY1048576 ADU983042:ADU1048576 ANQ983042:ANQ1048576 AXM983042:AXM1048576 BHI983042:BHI1048576 BRE983042:BRE1048576 CBA983042:CBA1048576 CKW983042:CKW1048576 CUS983042:CUS1048576 DEO983042:DEO1048576 DOK983042:DOK1048576 DYG983042:DYG1048576 EIC983042:EIC1048576 ERY983042:ERY1048576 FBU983042:FBU1048576 FLQ983042:FLQ1048576 FVM983042:FVM1048576 GFI983042:GFI1048576 GPE983042:GPE1048576 GZA983042:GZA1048576 HIW983042:HIW1048576 HSS983042:HSS1048576 ICO983042:ICO1048576 IMK983042:IMK1048576 IWG983042:IWG1048576 JGC983042:JGC1048576 JPY983042:JPY1048576 JZU983042:JZU1048576 KJQ983042:KJQ1048576 KTM983042:KTM1048576 LDI983042:LDI1048576 LNE983042:LNE1048576 LXA983042:LXA1048576 MGW983042:MGW1048576 MQS983042:MQS1048576 NAO983042:NAO1048576 NKK983042:NKK1048576 NUG983042:NUG1048576 OEC983042:OEC1048576 ONY983042:ONY1048576 OXU983042:OXU1048576 PHQ983042:PHQ1048576 PRM983042:PRM1048576 QBI983042:QBI1048576 QLE983042:QLE1048576 QVA983042:QVA1048576 REW983042:REW1048576 ROS983042:ROS1048576 RYO983042:RYO1048576 SIK983042:SIK1048576 SSG983042:SSG1048576 TCC983042:TCC1048576 TLY983042:TLY1048576 TVU983042:TVU1048576 UFQ983042:UFQ1048576 UPM983042:UPM1048576 UZI983042:UZI1048576 VJE983042:VJE1048576 VTA983042:VTA1048576 WCW983042:WCW1048576 WMS983042:WMS1048576 WWO983042:WWO1048576 AI2:AI65536 KE2:KE65536 UA2:UA65536 ADW2:ADW65536 ANS2:ANS65536 AXO2:AXO65536 BHK2:BHK65536 BRG2:BRG65536 CBC2:CBC65536 CKY2:CKY65536 CUU2:CUU65536 DEQ2:DEQ65536 DOM2:DOM65536 DYI2:DYI65536 EIE2:EIE65536 ESA2:ESA65536 FBW2:FBW65536 FLS2:FLS65536 FVO2:FVO65536 GFK2:GFK65536 GPG2:GPG65536 GZC2:GZC65536 HIY2:HIY65536 HSU2:HSU65536 ICQ2:ICQ65536 IMM2:IMM65536 IWI2:IWI65536 JGE2:JGE65536 JQA2:JQA65536 JZW2:JZW65536 KJS2:KJS65536 KTO2:KTO65536 LDK2:LDK65536 LNG2:LNG65536 LXC2:LXC65536 MGY2:MGY65536 MQU2:MQU65536 NAQ2:NAQ65536 NKM2:NKM65536 NUI2:NUI65536 OEE2:OEE65536 OOA2:OOA65536 OXW2:OXW65536 PHS2:PHS65536 PRO2:PRO65536 QBK2:QBK65536 QLG2:QLG65536 QVC2:QVC65536 REY2:REY65536 ROU2:ROU65536 RYQ2:RYQ65536 SIM2:SIM65536 SSI2:SSI65536 TCE2:TCE65536 TMA2:TMA65536 TVW2:TVW65536 UFS2:UFS65536 UPO2:UPO65536 UZK2:UZK65536 VJG2:VJG65536 VTC2:VTC65536 WCY2:WCY65536 WMU2:WMU65536 WWQ2:WWQ65536 AI65538:AI131072 KE65538:KE131072 UA65538:UA131072 ADW65538:ADW131072 ANS65538:ANS131072 AXO65538:AXO131072 BHK65538:BHK131072 BRG65538:BRG131072 CBC65538:CBC131072 CKY65538:CKY131072 CUU65538:CUU131072 DEQ65538:DEQ131072 DOM65538:DOM131072 DYI65538:DYI131072 EIE65538:EIE131072 ESA65538:ESA131072 FBW65538:FBW131072 FLS65538:FLS131072 FVO65538:FVO131072 GFK65538:GFK131072 GPG65538:GPG131072 GZC65538:GZC131072 HIY65538:HIY131072 HSU65538:HSU131072 ICQ65538:ICQ131072 IMM65538:IMM131072 IWI65538:IWI131072 JGE65538:JGE131072 JQA65538:JQA131072 JZW65538:JZW131072 KJS65538:KJS131072 KTO65538:KTO131072 LDK65538:LDK131072 LNG65538:LNG131072 LXC65538:LXC131072 MGY65538:MGY131072 MQU65538:MQU131072 NAQ65538:NAQ131072 NKM65538:NKM131072 NUI65538:NUI131072 OEE65538:OEE131072 OOA65538:OOA131072 OXW65538:OXW131072 PHS65538:PHS131072 PRO65538:PRO131072 QBK65538:QBK131072 QLG65538:QLG131072 QVC65538:QVC131072 REY65538:REY131072 ROU65538:ROU131072 RYQ65538:RYQ131072 SIM65538:SIM131072 SSI65538:SSI131072 TCE65538:TCE131072 TMA65538:TMA131072 TVW65538:TVW131072 UFS65538:UFS131072 UPO65538:UPO131072 UZK65538:UZK131072 VJG65538:VJG131072 VTC65538:VTC131072 WCY65538:WCY131072 WMU65538:WMU131072 WWQ65538:WWQ131072 AI131074:AI196608 KE131074:KE196608 UA131074:UA196608 ADW131074:ADW196608 ANS131074:ANS196608 AXO131074:AXO196608 BHK131074:BHK196608 BRG131074:BRG196608 CBC131074:CBC196608 CKY131074:CKY196608 CUU131074:CUU196608 DEQ131074:DEQ196608 DOM131074:DOM196608 DYI131074:DYI196608 EIE131074:EIE196608 ESA131074:ESA196608 FBW131074:FBW196608 FLS131074:FLS196608 FVO131074:FVO196608 GFK131074:GFK196608 GPG131074:GPG196608 GZC131074:GZC196608 HIY131074:HIY196608 HSU131074:HSU196608 ICQ131074:ICQ196608 IMM131074:IMM196608 IWI131074:IWI196608 JGE131074:JGE196608 JQA131074:JQA196608 JZW131074:JZW196608 KJS131074:KJS196608 KTO131074:KTO196608 LDK131074:LDK196608 LNG131074:LNG196608 LXC131074:LXC196608 MGY131074:MGY196608 MQU131074:MQU196608 NAQ131074:NAQ196608 NKM131074:NKM196608 NUI131074:NUI196608 OEE131074:OEE196608 OOA131074:OOA196608 OXW131074:OXW196608 PHS131074:PHS196608 PRO131074:PRO196608 QBK131074:QBK196608 QLG131074:QLG196608 QVC131074:QVC196608 REY131074:REY196608 ROU131074:ROU196608 RYQ131074:RYQ196608 SIM131074:SIM196608 SSI131074:SSI196608 TCE131074:TCE196608 TMA131074:TMA196608 TVW131074:TVW196608 UFS131074:UFS196608 UPO131074:UPO196608 UZK131074:UZK196608 VJG131074:VJG196608 VTC131074:VTC196608 WCY131074:WCY196608 WMU131074:WMU196608 WWQ131074:WWQ196608 AI196610:AI262144 KE196610:KE262144 UA196610:UA262144 ADW196610:ADW262144 ANS196610:ANS262144 AXO196610:AXO262144 BHK196610:BHK262144 BRG196610:BRG262144 CBC196610:CBC262144 CKY196610:CKY262144 CUU196610:CUU262144 DEQ196610:DEQ262144 DOM196610:DOM262144 DYI196610:DYI262144 EIE196610:EIE262144 ESA196610:ESA262144 FBW196610:FBW262144 FLS196610:FLS262144 FVO196610:FVO262144 GFK196610:GFK262144 GPG196610:GPG262144 GZC196610:GZC262144 HIY196610:HIY262144 HSU196610:HSU262144 ICQ196610:ICQ262144 IMM196610:IMM262144 IWI196610:IWI262144 JGE196610:JGE262144 JQA196610:JQA262144 JZW196610:JZW262144 KJS196610:KJS262144 KTO196610:KTO262144 LDK196610:LDK262144 LNG196610:LNG262144 LXC196610:LXC262144 MGY196610:MGY262144 MQU196610:MQU262144 NAQ196610:NAQ262144 NKM196610:NKM262144 NUI196610:NUI262144 OEE196610:OEE262144 OOA196610:OOA262144 OXW196610:OXW262144 PHS196610:PHS262144 PRO196610:PRO262144 QBK196610:QBK262144 QLG196610:QLG262144 QVC196610:QVC262144 REY196610:REY262144 ROU196610:ROU262144 RYQ196610:RYQ262144 SIM196610:SIM262144 SSI196610:SSI262144 TCE196610:TCE262144 TMA196610:TMA262144 TVW196610:TVW262144 UFS196610:UFS262144 UPO196610:UPO262144 UZK196610:UZK262144 VJG196610:VJG262144 VTC196610:VTC262144 WCY196610:WCY262144 WMU196610:WMU262144 WWQ196610:WWQ262144 AI262146:AI327680 KE262146:KE327680 UA262146:UA327680 ADW262146:ADW327680 ANS262146:ANS327680 AXO262146:AXO327680 BHK262146:BHK327680 BRG262146:BRG327680 CBC262146:CBC327680 CKY262146:CKY327680 CUU262146:CUU327680 DEQ262146:DEQ327680 DOM262146:DOM327680 DYI262146:DYI327680 EIE262146:EIE327680 ESA262146:ESA327680 FBW262146:FBW327680 FLS262146:FLS327680 FVO262146:FVO327680 GFK262146:GFK327680 GPG262146:GPG327680 GZC262146:GZC327680 HIY262146:HIY327680 HSU262146:HSU327680 ICQ262146:ICQ327680 IMM262146:IMM327680 IWI262146:IWI327680 JGE262146:JGE327680 JQA262146:JQA327680 JZW262146:JZW327680 KJS262146:KJS327680 KTO262146:KTO327680 LDK262146:LDK327680 LNG262146:LNG327680 LXC262146:LXC327680 MGY262146:MGY327680 MQU262146:MQU327680 NAQ262146:NAQ327680 NKM262146:NKM327680 NUI262146:NUI327680 OEE262146:OEE327680 OOA262146:OOA327680 OXW262146:OXW327680 PHS262146:PHS327680 PRO262146:PRO327680 QBK262146:QBK327680 QLG262146:QLG327680 QVC262146:QVC327680 REY262146:REY327680 ROU262146:ROU327680 RYQ262146:RYQ327680 SIM262146:SIM327680 SSI262146:SSI327680 TCE262146:TCE327680 TMA262146:TMA327680 TVW262146:TVW327680 UFS262146:UFS327680 UPO262146:UPO327680 UZK262146:UZK327680 VJG262146:VJG327680 VTC262146:VTC327680 WCY262146:WCY327680 WMU262146:WMU327680 WWQ262146:WWQ327680 AI327682:AI393216 KE327682:KE393216 UA327682:UA393216 ADW327682:ADW393216 ANS327682:ANS393216 AXO327682:AXO393216 BHK327682:BHK393216 BRG327682:BRG393216 CBC327682:CBC393216 CKY327682:CKY393216 CUU327682:CUU393216 DEQ327682:DEQ393216 DOM327682:DOM393216 DYI327682:DYI393216 EIE327682:EIE393216 ESA327682:ESA393216 FBW327682:FBW393216 FLS327682:FLS393216 FVO327682:FVO393216 GFK327682:GFK393216 GPG327682:GPG393216 GZC327682:GZC393216 HIY327682:HIY393216 HSU327682:HSU393216 ICQ327682:ICQ393216 IMM327682:IMM393216 IWI327682:IWI393216 JGE327682:JGE393216 JQA327682:JQA393216 JZW327682:JZW393216 KJS327682:KJS393216 KTO327682:KTO393216 LDK327682:LDK393216 LNG327682:LNG393216 LXC327682:LXC393216 MGY327682:MGY393216 MQU327682:MQU393216 NAQ327682:NAQ393216 NKM327682:NKM393216 NUI327682:NUI393216 OEE327682:OEE393216 OOA327682:OOA393216 OXW327682:OXW393216 PHS327682:PHS393216 PRO327682:PRO393216 QBK327682:QBK393216 QLG327682:QLG393216 QVC327682:QVC393216 REY327682:REY393216 ROU327682:ROU393216 RYQ327682:RYQ393216 SIM327682:SIM393216 SSI327682:SSI393216 TCE327682:TCE393216 TMA327682:TMA393216 TVW327682:TVW393216 UFS327682:UFS393216 UPO327682:UPO393216 UZK327682:UZK393216 VJG327682:VJG393216 VTC327682:VTC393216 WCY327682:WCY393216 WMU327682:WMU393216 WWQ327682:WWQ393216 AI393218:AI458752 KE393218:KE458752 UA393218:UA458752 ADW393218:ADW458752 ANS393218:ANS458752 AXO393218:AXO458752 BHK393218:BHK458752 BRG393218:BRG458752 CBC393218:CBC458752 CKY393218:CKY458752 CUU393218:CUU458752 DEQ393218:DEQ458752 DOM393218:DOM458752 DYI393218:DYI458752 EIE393218:EIE458752 ESA393218:ESA458752 FBW393218:FBW458752 FLS393218:FLS458752 FVO393218:FVO458752 GFK393218:GFK458752 GPG393218:GPG458752 GZC393218:GZC458752 HIY393218:HIY458752 HSU393218:HSU458752 ICQ393218:ICQ458752 IMM393218:IMM458752 IWI393218:IWI458752 JGE393218:JGE458752 JQA393218:JQA458752 JZW393218:JZW458752 KJS393218:KJS458752 KTO393218:KTO458752 LDK393218:LDK458752 LNG393218:LNG458752 LXC393218:LXC458752 MGY393218:MGY458752 MQU393218:MQU458752 NAQ393218:NAQ458752 NKM393218:NKM458752 NUI393218:NUI458752 OEE393218:OEE458752 OOA393218:OOA458752 OXW393218:OXW458752 PHS393218:PHS458752 PRO393218:PRO458752 QBK393218:QBK458752 QLG393218:QLG458752 QVC393218:QVC458752 REY393218:REY458752 ROU393218:ROU458752 RYQ393218:RYQ458752 SIM393218:SIM458752 SSI393218:SSI458752 TCE393218:TCE458752 TMA393218:TMA458752 TVW393218:TVW458752 UFS393218:UFS458752 UPO393218:UPO458752 UZK393218:UZK458752 VJG393218:VJG458752 VTC393218:VTC458752 WCY393218:WCY458752 WMU393218:WMU458752 WWQ393218:WWQ458752 AI458754:AI524288 KE458754:KE524288 UA458754:UA524288 ADW458754:ADW524288 ANS458754:ANS524288 AXO458754:AXO524288 BHK458754:BHK524288 BRG458754:BRG524288 CBC458754:CBC524288 CKY458754:CKY524288 CUU458754:CUU524288 DEQ458754:DEQ524288 DOM458754:DOM524288 DYI458754:DYI524288 EIE458754:EIE524288 ESA458754:ESA524288 FBW458754:FBW524288 FLS458754:FLS524288 FVO458754:FVO524288 GFK458754:GFK524288 GPG458754:GPG524288 GZC458754:GZC524288 HIY458754:HIY524288 HSU458754:HSU524288 ICQ458754:ICQ524288 IMM458754:IMM524288 IWI458754:IWI524288 JGE458754:JGE524288 JQA458754:JQA524288 JZW458754:JZW524288 KJS458754:KJS524288 KTO458754:KTO524288 LDK458754:LDK524288 LNG458754:LNG524288 LXC458754:LXC524288 MGY458754:MGY524288 MQU458754:MQU524288 NAQ458754:NAQ524288 NKM458754:NKM524288 NUI458754:NUI524288 OEE458754:OEE524288 OOA458754:OOA524288 OXW458754:OXW524288 PHS458754:PHS524288 PRO458754:PRO524288 QBK458754:QBK524288 QLG458754:QLG524288 QVC458754:QVC524288 REY458754:REY524288 ROU458754:ROU524288 RYQ458754:RYQ524288 SIM458754:SIM524288 SSI458754:SSI524288 TCE458754:TCE524288 TMA458754:TMA524288 TVW458754:TVW524288 UFS458754:UFS524288 UPO458754:UPO524288 UZK458754:UZK524288 VJG458754:VJG524288 VTC458754:VTC524288 WCY458754:WCY524288 WMU458754:WMU524288 WWQ458754:WWQ524288 AI524290:AI589824 KE524290:KE589824 UA524290:UA589824 ADW524290:ADW589824 ANS524290:ANS589824 AXO524290:AXO589824 BHK524290:BHK589824 BRG524290:BRG589824 CBC524290:CBC589824 CKY524290:CKY589824 CUU524290:CUU589824 DEQ524290:DEQ589824 DOM524290:DOM589824 DYI524290:DYI589824 EIE524290:EIE589824 ESA524290:ESA589824 FBW524290:FBW589824 FLS524290:FLS589824 FVO524290:FVO589824 GFK524290:GFK589824 GPG524290:GPG589824 GZC524290:GZC589824 HIY524290:HIY589824 HSU524290:HSU589824 ICQ524290:ICQ589824 IMM524290:IMM589824 IWI524290:IWI589824 JGE524290:JGE589824 JQA524290:JQA589824 JZW524290:JZW589824 KJS524290:KJS589824 KTO524290:KTO589824 LDK524290:LDK589824 LNG524290:LNG589824 LXC524290:LXC589824 MGY524290:MGY589824 MQU524290:MQU589824 NAQ524290:NAQ589824 NKM524290:NKM589824 NUI524290:NUI589824 OEE524290:OEE589824 OOA524290:OOA589824 OXW524290:OXW589824 PHS524290:PHS589824 PRO524290:PRO589824 QBK524290:QBK589824 QLG524290:QLG589824 QVC524290:QVC589824 REY524290:REY589824 ROU524290:ROU589824 RYQ524290:RYQ589824 SIM524290:SIM589824 SSI524290:SSI589824 TCE524290:TCE589824 TMA524290:TMA589824 TVW524290:TVW589824 UFS524290:UFS589824 UPO524290:UPO589824 UZK524290:UZK589824 VJG524290:VJG589824 VTC524290:VTC589824 WCY524290:WCY589824 WMU524290:WMU589824 WWQ524290:WWQ589824 AI589826:AI655360 KE589826:KE655360 UA589826:UA655360 ADW589826:ADW655360 ANS589826:ANS655360 AXO589826:AXO655360 BHK589826:BHK655360 BRG589826:BRG655360 CBC589826:CBC655360 CKY589826:CKY655360 CUU589826:CUU655360 DEQ589826:DEQ655360 DOM589826:DOM655360 DYI589826:DYI655360 EIE589826:EIE655360 ESA589826:ESA655360 FBW589826:FBW655360 FLS589826:FLS655360 FVO589826:FVO655360 GFK589826:GFK655360 GPG589826:GPG655360 GZC589826:GZC655360 HIY589826:HIY655360 HSU589826:HSU655360 ICQ589826:ICQ655360 IMM589826:IMM655360 IWI589826:IWI655360 JGE589826:JGE655360 JQA589826:JQA655360 JZW589826:JZW655360 KJS589826:KJS655360 KTO589826:KTO655360 LDK589826:LDK655360 LNG589826:LNG655360 LXC589826:LXC655360 MGY589826:MGY655360 MQU589826:MQU655360 NAQ589826:NAQ655360 NKM589826:NKM655360 NUI589826:NUI655360 OEE589826:OEE655360 OOA589826:OOA655360 OXW589826:OXW655360 PHS589826:PHS655360 PRO589826:PRO655360 QBK589826:QBK655360 QLG589826:QLG655360 QVC589826:QVC655360 REY589826:REY655360 ROU589826:ROU655360 RYQ589826:RYQ655360 SIM589826:SIM655360 SSI589826:SSI655360 TCE589826:TCE655360 TMA589826:TMA655360 TVW589826:TVW655360 UFS589826:UFS655360 UPO589826:UPO655360 UZK589826:UZK655360 VJG589826:VJG655360 VTC589826:VTC655360 WCY589826:WCY655360 WMU589826:WMU655360 WWQ589826:WWQ655360 AI655362:AI720896 KE655362:KE720896 UA655362:UA720896 ADW655362:ADW720896 ANS655362:ANS720896 AXO655362:AXO720896 BHK655362:BHK720896 BRG655362:BRG720896 CBC655362:CBC720896 CKY655362:CKY720896 CUU655362:CUU720896 DEQ655362:DEQ720896 DOM655362:DOM720896 DYI655362:DYI720896 EIE655362:EIE720896 ESA655362:ESA720896 FBW655362:FBW720896 FLS655362:FLS720896 FVO655362:FVO720896 GFK655362:GFK720896 GPG655362:GPG720896 GZC655362:GZC720896 HIY655362:HIY720896 HSU655362:HSU720896 ICQ655362:ICQ720896 IMM655362:IMM720896 IWI655362:IWI720896 JGE655362:JGE720896 JQA655362:JQA720896 JZW655362:JZW720896 KJS655362:KJS720896 KTO655362:KTO720896 LDK655362:LDK720896 LNG655362:LNG720896 LXC655362:LXC720896 MGY655362:MGY720896 MQU655362:MQU720896 NAQ655362:NAQ720896 NKM655362:NKM720896 NUI655362:NUI720896 OEE655362:OEE720896 OOA655362:OOA720896 OXW655362:OXW720896 PHS655362:PHS720896 PRO655362:PRO720896 QBK655362:QBK720896 QLG655362:QLG720896 QVC655362:QVC720896 REY655362:REY720896 ROU655362:ROU720896 RYQ655362:RYQ720896 SIM655362:SIM720896 SSI655362:SSI720896 TCE655362:TCE720896 TMA655362:TMA720896 TVW655362:TVW720896 UFS655362:UFS720896 UPO655362:UPO720896 UZK655362:UZK720896 VJG655362:VJG720896 VTC655362:VTC720896 WCY655362:WCY720896 WMU655362:WMU720896 WWQ655362:WWQ720896 AI720898:AI786432 KE720898:KE786432 UA720898:UA786432 ADW720898:ADW786432 ANS720898:ANS786432 AXO720898:AXO786432 BHK720898:BHK786432 BRG720898:BRG786432 CBC720898:CBC786432 CKY720898:CKY786432 CUU720898:CUU786432 DEQ720898:DEQ786432 DOM720898:DOM786432 DYI720898:DYI786432 EIE720898:EIE786432 ESA720898:ESA786432 FBW720898:FBW786432 FLS720898:FLS786432 FVO720898:FVO786432 GFK720898:GFK786432 GPG720898:GPG786432 GZC720898:GZC786432 HIY720898:HIY786432 HSU720898:HSU786432 ICQ720898:ICQ786432 IMM720898:IMM786432 IWI720898:IWI786432 JGE720898:JGE786432 JQA720898:JQA786432 JZW720898:JZW786432 KJS720898:KJS786432 KTO720898:KTO786432 LDK720898:LDK786432 LNG720898:LNG786432 LXC720898:LXC786432 MGY720898:MGY786432 MQU720898:MQU786432 NAQ720898:NAQ786432 NKM720898:NKM786432 NUI720898:NUI786432 OEE720898:OEE786432 OOA720898:OOA786432 OXW720898:OXW786432 PHS720898:PHS786432 PRO720898:PRO786432 QBK720898:QBK786432 QLG720898:QLG786432 QVC720898:QVC786432 REY720898:REY786432 ROU720898:ROU786432 RYQ720898:RYQ786432 SIM720898:SIM786432 SSI720898:SSI786432 TCE720898:TCE786432 TMA720898:TMA786432 TVW720898:TVW786432 UFS720898:UFS786432 UPO720898:UPO786432 UZK720898:UZK786432 VJG720898:VJG786432 VTC720898:VTC786432 WCY720898:WCY786432 WMU720898:WMU786432 WWQ720898:WWQ786432 AI786434:AI851968 KE786434:KE851968 UA786434:UA851968 ADW786434:ADW851968 ANS786434:ANS851968 AXO786434:AXO851968 BHK786434:BHK851968 BRG786434:BRG851968 CBC786434:CBC851968 CKY786434:CKY851968 CUU786434:CUU851968 DEQ786434:DEQ851968 DOM786434:DOM851968 DYI786434:DYI851968 EIE786434:EIE851968 ESA786434:ESA851968 FBW786434:FBW851968 FLS786434:FLS851968 FVO786434:FVO851968 GFK786434:GFK851968 GPG786434:GPG851968 GZC786434:GZC851968 HIY786434:HIY851968 HSU786434:HSU851968 ICQ786434:ICQ851968 IMM786434:IMM851968 IWI786434:IWI851968 JGE786434:JGE851968 JQA786434:JQA851968 JZW786434:JZW851968 KJS786434:KJS851968 KTO786434:KTO851968 LDK786434:LDK851968 LNG786434:LNG851968 LXC786434:LXC851968 MGY786434:MGY851968 MQU786434:MQU851968 NAQ786434:NAQ851968 NKM786434:NKM851968 NUI786434:NUI851968 OEE786434:OEE851968 OOA786434:OOA851968 OXW786434:OXW851968 PHS786434:PHS851968 PRO786434:PRO851968 QBK786434:QBK851968 QLG786434:QLG851968 QVC786434:QVC851968 REY786434:REY851968 ROU786434:ROU851968 RYQ786434:RYQ851968 SIM786434:SIM851968 SSI786434:SSI851968 TCE786434:TCE851968 TMA786434:TMA851968 TVW786434:TVW851968 UFS786434:UFS851968 UPO786434:UPO851968 UZK786434:UZK851968 VJG786434:VJG851968 VTC786434:VTC851968 WCY786434:WCY851968 WMU786434:WMU851968 WWQ786434:WWQ851968 AI851970:AI917504 KE851970:KE917504 UA851970:UA917504 ADW851970:ADW917504 ANS851970:ANS917504 AXO851970:AXO917504 BHK851970:BHK917504 BRG851970:BRG917504 CBC851970:CBC917504 CKY851970:CKY917504 CUU851970:CUU917504 DEQ851970:DEQ917504 DOM851970:DOM917504 DYI851970:DYI917504 EIE851970:EIE917504 ESA851970:ESA917504 FBW851970:FBW917504 FLS851970:FLS917504 FVO851970:FVO917504 GFK851970:GFK917504 GPG851970:GPG917504 GZC851970:GZC917504 HIY851970:HIY917504 HSU851970:HSU917504 ICQ851970:ICQ917504 IMM851970:IMM917504 IWI851970:IWI917504 JGE851970:JGE917504 JQA851970:JQA917504 JZW851970:JZW917504 KJS851970:KJS917504 KTO851970:KTO917504 LDK851970:LDK917504 LNG851970:LNG917504 LXC851970:LXC917504 MGY851970:MGY917504 MQU851970:MQU917504 NAQ851970:NAQ917504 NKM851970:NKM917504 NUI851970:NUI917504 OEE851970:OEE917504 OOA851970:OOA917504 OXW851970:OXW917504 PHS851970:PHS917504 PRO851970:PRO917504 QBK851970:QBK917504 QLG851970:QLG917504 QVC851970:QVC917504 REY851970:REY917504 ROU851970:ROU917504 RYQ851970:RYQ917504 SIM851970:SIM917504 SSI851970:SSI917504 TCE851970:TCE917504 TMA851970:TMA917504 TVW851970:TVW917504 UFS851970:UFS917504 UPO851970:UPO917504 UZK851970:UZK917504 VJG851970:VJG917504 VTC851970:VTC917504 WCY851970:WCY917504 WMU851970:WMU917504 WWQ851970:WWQ917504 AI917506:AI983040 KE917506:KE983040 UA917506:UA983040 ADW917506:ADW983040 ANS917506:ANS983040 AXO917506:AXO983040 BHK917506:BHK983040 BRG917506:BRG983040 CBC917506:CBC983040 CKY917506:CKY983040 CUU917506:CUU983040 DEQ917506:DEQ983040 DOM917506:DOM983040 DYI917506:DYI983040 EIE917506:EIE983040 ESA917506:ESA983040 FBW917506:FBW983040 FLS917506:FLS983040 FVO917506:FVO983040 GFK917506:GFK983040 GPG917506:GPG983040 GZC917506:GZC983040 HIY917506:HIY983040 HSU917506:HSU983040 ICQ917506:ICQ983040 IMM917506:IMM983040 IWI917506:IWI983040 JGE917506:JGE983040 JQA917506:JQA983040 JZW917506:JZW983040 KJS917506:KJS983040 KTO917506:KTO983040 LDK917506:LDK983040 LNG917506:LNG983040 LXC917506:LXC983040 MGY917506:MGY983040 MQU917506:MQU983040 NAQ917506:NAQ983040 NKM917506:NKM983040 NUI917506:NUI983040 OEE917506:OEE983040 OOA917506:OOA983040 OXW917506:OXW983040 PHS917506:PHS983040 PRO917506:PRO983040 QBK917506:QBK983040 QLG917506:QLG983040 QVC917506:QVC983040 REY917506:REY983040 ROU917506:ROU983040 RYQ917506:RYQ983040 SIM917506:SIM983040 SSI917506:SSI983040 TCE917506:TCE983040 TMA917506:TMA983040 TVW917506:TVW983040 UFS917506:UFS983040 UPO917506:UPO983040 UZK917506:UZK983040 VJG917506:VJG983040 VTC917506:VTC983040 WCY917506:WCY983040 WMU917506:WMU983040 WWQ917506:WWQ983040 AI983042:AI1048576 KE983042:KE1048576 UA983042:UA1048576 ADW983042:ADW1048576 ANS983042:ANS1048576 AXO983042:AXO1048576 BHK983042:BHK1048576 BRG983042:BRG1048576 CBC983042:CBC1048576 CKY983042:CKY1048576 CUU983042:CUU1048576 DEQ983042:DEQ1048576 DOM983042:DOM1048576 DYI983042:DYI1048576 EIE983042:EIE1048576 ESA983042:ESA1048576 FBW983042:FBW1048576 FLS983042:FLS1048576 FVO983042:FVO1048576 GFK983042:GFK1048576 GPG983042:GPG1048576 GZC983042:GZC1048576 HIY983042:HIY1048576 HSU983042:HSU1048576 ICQ983042:ICQ1048576 IMM983042:IMM1048576 IWI983042:IWI1048576 JGE983042:JGE1048576 JQA983042:JQA1048576 JZW983042:JZW1048576 KJS983042:KJS1048576 KTO983042:KTO1048576 LDK983042:LDK1048576 LNG983042:LNG1048576 LXC983042:LXC1048576 MGY983042:MGY1048576 MQU983042:MQU1048576 NAQ983042:NAQ1048576 NKM983042:NKM1048576 NUI983042:NUI1048576 OEE983042:OEE1048576 OOA983042:OOA1048576 OXW983042:OXW1048576 PHS983042:PHS1048576 PRO983042:PRO1048576 QBK983042:QBK1048576 QLG983042:QLG1048576 QVC983042:QVC1048576 REY983042:REY1048576 ROU983042:ROU1048576 RYQ983042:RYQ1048576 SIM983042:SIM1048576 SSI983042:SSI1048576 TCE983042:TCE1048576 TMA983042:TMA1048576 TVW983042:TVW1048576 UFS983042:UFS1048576 UPO983042:UPO1048576 UZK983042:UZK1048576 VJG983042:VJG1048576 VTC983042:VTC1048576 WCY983042:WCY1048576 WMU983042:WMU1048576 WWQ983042:WWQ1048576 AK2:AK65536 KG2:KG65536 UC2:UC65536 ADY2:ADY65536 ANU2:ANU65536 AXQ2:AXQ65536 BHM2:BHM65536 BRI2:BRI65536 CBE2:CBE65536 CLA2:CLA65536 CUW2:CUW65536 DES2:DES65536 DOO2:DOO65536 DYK2:DYK65536 EIG2:EIG65536 ESC2:ESC65536 FBY2:FBY65536 FLU2:FLU65536 FVQ2:FVQ65536 GFM2:GFM65536 GPI2:GPI65536 GZE2:GZE65536 HJA2:HJA65536 HSW2:HSW65536 ICS2:ICS65536 IMO2:IMO65536 IWK2:IWK65536 JGG2:JGG65536 JQC2:JQC65536 JZY2:JZY65536 KJU2:KJU65536 KTQ2:KTQ65536 LDM2:LDM65536 LNI2:LNI65536 LXE2:LXE65536 MHA2:MHA65536 MQW2:MQW65536 NAS2:NAS65536 NKO2:NKO65536 NUK2:NUK65536 OEG2:OEG65536 OOC2:OOC65536 OXY2:OXY65536 PHU2:PHU65536 PRQ2:PRQ65536 QBM2:QBM65536 QLI2:QLI65536 QVE2:QVE65536 RFA2:RFA65536 ROW2:ROW65536 RYS2:RYS65536 SIO2:SIO65536 SSK2:SSK65536 TCG2:TCG65536 TMC2:TMC65536 TVY2:TVY65536 UFU2:UFU65536 UPQ2:UPQ65536 UZM2:UZM65536 VJI2:VJI65536 VTE2:VTE65536 WDA2:WDA65536 WMW2:WMW65536 WWS2:WWS65536 AK65538:AK131072 KG65538:KG131072 UC65538:UC131072 ADY65538:ADY131072 ANU65538:ANU131072 AXQ65538:AXQ131072 BHM65538:BHM131072 BRI65538:BRI131072 CBE65538:CBE131072 CLA65538:CLA131072 CUW65538:CUW131072 DES65538:DES131072 DOO65538:DOO131072 DYK65538:DYK131072 EIG65538:EIG131072 ESC65538:ESC131072 FBY65538:FBY131072 FLU65538:FLU131072 FVQ65538:FVQ131072 GFM65538:GFM131072 GPI65538:GPI131072 GZE65538:GZE131072 HJA65538:HJA131072 HSW65538:HSW131072 ICS65538:ICS131072 IMO65538:IMO131072 IWK65538:IWK131072 JGG65538:JGG131072 JQC65538:JQC131072 JZY65538:JZY131072 KJU65538:KJU131072 KTQ65538:KTQ131072 LDM65538:LDM131072 LNI65538:LNI131072 LXE65538:LXE131072 MHA65538:MHA131072 MQW65538:MQW131072 NAS65538:NAS131072 NKO65538:NKO131072 NUK65538:NUK131072 OEG65538:OEG131072 OOC65538:OOC131072 OXY65538:OXY131072 PHU65538:PHU131072 PRQ65538:PRQ131072 QBM65538:QBM131072 QLI65538:QLI131072 QVE65538:QVE131072 RFA65538:RFA131072 ROW65538:ROW131072 RYS65538:RYS131072 SIO65538:SIO131072 SSK65538:SSK131072 TCG65538:TCG131072 TMC65538:TMC131072 TVY65538:TVY131072 UFU65538:UFU131072 UPQ65538:UPQ131072 UZM65538:UZM131072 VJI65538:VJI131072 VTE65538:VTE131072 WDA65538:WDA131072 WMW65538:WMW131072 WWS65538:WWS131072 AK131074:AK196608 KG131074:KG196608 UC131074:UC196608 ADY131074:ADY196608 ANU131074:ANU196608 AXQ131074:AXQ196608 BHM131074:BHM196608 BRI131074:BRI196608 CBE131074:CBE196608 CLA131074:CLA196608 CUW131074:CUW196608 DES131074:DES196608 DOO131074:DOO196608 DYK131074:DYK196608 EIG131074:EIG196608 ESC131074:ESC196608 FBY131074:FBY196608 FLU131074:FLU196608 FVQ131074:FVQ196608 GFM131074:GFM196608 GPI131074:GPI196608 GZE131074:GZE196608 HJA131074:HJA196608 HSW131074:HSW196608 ICS131074:ICS196608 IMO131074:IMO196608 IWK131074:IWK196608 JGG131074:JGG196608 JQC131074:JQC196608 JZY131074:JZY196608 KJU131074:KJU196608 KTQ131074:KTQ196608 LDM131074:LDM196608 LNI131074:LNI196608 LXE131074:LXE196608 MHA131074:MHA196608 MQW131074:MQW196608 NAS131074:NAS196608 NKO131074:NKO196608 NUK131074:NUK196608 OEG131074:OEG196608 OOC131074:OOC196608 OXY131074:OXY196608 PHU131074:PHU196608 PRQ131074:PRQ196608 QBM131074:QBM196608 QLI131074:QLI196608 QVE131074:QVE196608 RFA131074:RFA196608 ROW131074:ROW196608 RYS131074:RYS196608 SIO131074:SIO196608 SSK131074:SSK196608 TCG131074:TCG196608 TMC131074:TMC196608 TVY131074:TVY196608 UFU131074:UFU196608 UPQ131074:UPQ196608 UZM131074:UZM196608 VJI131074:VJI196608 VTE131074:VTE196608 WDA131074:WDA196608 WMW131074:WMW196608 WWS131074:WWS196608 AK196610:AK262144 KG196610:KG262144 UC196610:UC262144 ADY196610:ADY262144 ANU196610:ANU262144 AXQ196610:AXQ262144 BHM196610:BHM262144 BRI196610:BRI262144 CBE196610:CBE262144 CLA196610:CLA262144 CUW196610:CUW262144 DES196610:DES262144 DOO196610:DOO262144 DYK196610:DYK262144 EIG196610:EIG262144 ESC196610:ESC262144 FBY196610:FBY262144 FLU196610:FLU262144 FVQ196610:FVQ262144 GFM196610:GFM262144 GPI196610:GPI262144 GZE196610:GZE262144 HJA196610:HJA262144 HSW196610:HSW262144 ICS196610:ICS262144 IMO196610:IMO262144 IWK196610:IWK262144 JGG196610:JGG262144 JQC196610:JQC262144 JZY196610:JZY262144 KJU196610:KJU262144 KTQ196610:KTQ262144 LDM196610:LDM262144 LNI196610:LNI262144 LXE196610:LXE262144 MHA196610:MHA262144 MQW196610:MQW262144 NAS196610:NAS262144 NKO196610:NKO262144 NUK196610:NUK262144 OEG196610:OEG262144 OOC196610:OOC262144 OXY196610:OXY262144 PHU196610:PHU262144 PRQ196610:PRQ262144 QBM196610:QBM262144 QLI196610:QLI262144 QVE196610:QVE262144 RFA196610:RFA262144 ROW196610:ROW262144 RYS196610:RYS262144 SIO196610:SIO262144 SSK196610:SSK262144 TCG196610:TCG262144 TMC196610:TMC262144 TVY196610:TVY262144 UFU196610:UFU262144 UPQ196610:UPQ262144 UZM196610:UZM262144 VJI196610:VJI262144 VTE196610:VTE262144 WDA196610:WDA262144 WMW196610:WMW262144 WWS196610:WWS262144 AK262146:AK327680 KG262146:KG327680 UC262146:UC327680 ADY262146:ADY327680 ANU262146:ANU327680 AXQ262146:AXQ327680 BHM262146:BHM327680 BRI262146:BRI327680 CBE262146:CBE327680 CLA262146:CLA327680 CUW262146:CUW327680 DES262146:DES327680 DOO262146:DOO327680 DYK262146:DYK327680 EIG262146:EIG327680 ESC262146:ESC327680 FBY262146:FBY327680 FLU262146:FLU327680 FVQ262146:FVQ327680 GFM262146:GFM327680 GPI262146:GPI327680 GZE262146:GZE327680 HJA262146:HJA327680 HSW262146:HSW327680 ICS262146:ICS327680 IMO262146:IMO327680 IWK262146:IWK327680 JGG262146:JGG327680 JQC262146:JQC327680 JZY262146:JZY327680 KJU262146:KJU327680 KTQ262146:KTQ327680 LDM262146:LDM327680 LNI262146:LNI327680 LXE262146:LXE327680 MHA262146:MHA327680 MQW262146:MQW327680 NAS262146:NAS327680 NKO262146:NKO327680 NUK262146:NUK327680 OEG262146:OEG327680 OOC262146:OOC327680 OXY262146:OXY327680 PHU262146:PHU327680 PRQ262146:PRQ327680 QBM262146:QBM327680 QLI262146:QLI327680 QVE262146:QVE327680 RFA262146:RFA327680 ROW262146:ROW327680 RYS262146:RYS327680 SIO262146:SIO327680 SSK262146:SSK327680 TCG262146:TCG327680 TMC262146:TMC327680 TVY262146:TVY327680 UFU262146:UFU327680 UPQ262146:UPQ327680 UZM262146:UZM327680 VJI262146:VJI327680 VTE262146:VTE327680 WDA262146:WDA327680 WMW262146:WMW327680 WWS262146:WWS327680 AK327682:AK393216 KG327682:KG393216 UC327682:UC393216 ADY327682:ADY393216 ANU327682:ANU393216 AXQ327682:AXQ393216 BHM327682:BHM393216 BRI327682:BRI393216 CBE327682:CBE393216 CLA327682:CLA393216 CUW327682:CUW393216 DES327682:DES393216 DOO327682:DOO393216 DYK327682:DYK393216 EIG327682:EIG393216 ESC327682:ESC393216 FBY327682:FBY393216 FLU327682:FLU393216 FVQ327682:FVQ393216 GFM327682:GFM393216 GPI327682:GPI393216 GZE327682:GZE393216 HJA327682:HJA393216 HSW327682:HSW393216 ICS327682:ICS393216 IMO327682:IMO393216 IWK327682:IWK393216 JGG327682:JGG393216 JQC327682:JQC393216 JZY327682:JZY393216 KJU327682:KJU393216 KTQ327682:KTQ393216 LDM327682:LDM393216 LNI327682:LNI393216 LXE327682:LXE393216 MHA327682:MHA393216 MQW327682:MQW393216 NAS327682:NAS393216 NKO327682:NKO393216 NUK327682:NUK393216 OEG327682:OEG393216 OOC327682:OOC393216 OXY327682:OXY393216 PHU327682:PHU393216 PRQ327682:PRQ393216 QBM327682:QBM393216 QLI327682:QLI393216 QVE327682:QVE393216 RFA327682:RFA393216 ROW327682:ROW393216 RYS327682:RYS393216 SIO327682:SIO393216 SSK327682:SSK393216 TCG327682:TCG393216 TMC327682:TMC393216 TVY327682:TVY393216 UFU327682:UFU393216 UPQ327682:UPQ393216 UZM327682:UZM393216 VJI327682:VJI393216 VTE327682:VTE393216 WDA327682:WDA393216 WMW327682:WMW393216 WWS327682:WWS393216 AK393218:AK458752 KG393218:KG458752 UC393218:UC458752 ADY393218:ADY458752 ANU393218:ANU458752 AXQ393218:AXQ458752 BHM393218:BHM458752 BRI393218:BRI458752 CBE393218:CBE458752 CLA393218:CLA458752 CUW393218:CUW458752 DES393218:DES458752 DOO393218:DOO458752 DYK393218:DYK458752 EIG393218:EIG458752 ESC393218:ESC458752 FBY393218:FBY458752 FLU393218:FLU458752 FVQ393218:FVQ458752 GFM393218:GFM458752 GPI393218:GPI458752 GZE393218:GZE458752 HJA393218:HJA458752 HSW393218:HSW458752 ICS393218:ICS458752 IMO393218:IMO458752 IWK393218:IWK458752 JGG393218:JGG458752 JQC393218:JQC458752 JZY393218:JZY458752 KJU393218:KJU458752 KTQ393218:KTQ458752 LDM393218:LDM458752 LNI393218:LNI458752 LXE393218:LXE458752 MHA393218:MHA458752 MQW393218:MQW458752 NAS393218:NAS458752 NKO393218:NKO458752 NUK393218:NUK458752 OEG393218:OEG458752 OOC393218:OOC458752 OXY393218:OXY458752 PHU393218:PHU458752 PRQ393218:PRQ458752 QBM393218:QBM458752 QLI393218:QLI458752 QVE393218:QVE458752 RFA393218:RFA458752 ROW393218:ROW458752 RYS393218:RYS458752 SIO393218:SIO458752 SSK393218:SSK458752 TCG393218:TCG458752 TMC393218:TMC458752 TVY393218:TVY458752 UFU393218:UFU458752 UPQ393218:UPQ458752 UZM393218:UZM458752 VJI393218:VJI458752 VTE393218:VTE458752 WDA393218:WDA458752 WMW393218:WMW458752 WWS393218:WWS458752 AK458754:AK524288 KG458754:KG524288 UC458754:UC524288 ADY458754:ADY524288 ANU458754:ANU524288 AXQ458754:AXQ524288 BHM458754:BHM524288 BRI458754:BRI524288 CBE458754:CBE524288 CLA458754:CLA524288 CUW458754:CUW524288 DES458754:DES524288 DOO458754:DOO524288 DYK458754:DYK524288 EIG458754:EIG524288 ESC458754:ESC524288 FBY458754:FBY524288 FLU458754:FLU524288 FVQ458754:FVQ524288 GFM458754:GFM524288 GPI458754:GPI524288 GZE458754:GZE524288 HJA458754:HJA524288 HSW458754:HSW524288 ICS458754:ICS524288 IMO458754:IMO524288 IWK458754:IWK524288 JGG458754:JGG524288 JQC458754:JQC524288 JZY458754:JZY524288 KJU458754:KJU524288 KTQ458754:KTQ524288 LDM458754:LDM524288 LNI458754:LNI524288 LXE458754:LXE524288 MHA458754:MHA524288 MQW458754:MQW524288 NAS458754:NAS524288 NKO458754:NKO524288 NUK458754:NUK524288 OEG458754:OEG524288 OOC458754:OOC524288 OXY458754:OXY524288 PHU458754:PHU524288 PRQ458754:PRQ524288 QBM458754:QBM524288 QLI458754:QLI524288 QVE458754:QVE524288 RFA458754:RFA524288 ROW458754:ROW524288 RYS458754:RYS524288 SIO458754:SIO524288 SSK458754:SSK524288 TCG458754:TCG524288 TMC458754:TMC524288 TVY458754:TVY524288 UFU458754:UFU524288 UPQ458754:UPQ524288 UZM458754:UZM524288 VJI458754:VJI524288 VTE458754:VTE524288 WDA458754:WDA524288 WMW458754:WMW524288 WWS458754:WWS524288 AK524290:AK589824 KG524290:KG589824 UC524290:UC589824 ADY524290:ADY589824 ANU524290:ANU589824 AXQ524290:AXQ589824 BHM524290:BHM589824 BRI524290:BRI589824 CBE524290:CBE589824 CLA524290:CLA589824 CUW524290:CUW589824 DES524290:DES589824 DOO524290:DOO589824 DYK524290:DYK589824 EIG524290:EIG589824 ESC524290:ESC589824 FBY524290:FBY589824 FLU524290:FLU589824 FVQ524290:FVQ589824 GFM524290:GFM589824 GPI524290:GPI589824 GZE524290:GZE589824 HJA524290:HJA589824 HSW524290:HSW589824 ICS524290:ICS589824 IMO524290:IMO589824 IWK524290:IWK589824 JGG524290:JGG589824 JQC524290:JQC589824 JZY524290:JZY589824 KJU524290:KJU589824 KTQ524290:KTQ589824 LDM524290:LDM589824 LNI524290:LNI589824 LXE524290:LXE589824 MHA524290:MHA589824 MQW524290:MQW589824 NAS524290:NAS589824 NKO524290:NKO589824 NUK524290:NUK589824 OEG524290:OEG589824 OOC524290:OOC589824 OXY524290:OXY589824 PHU524290:PHU589824 PRQ524290:PRQ589824 QBM524290:QBM589824 QLI524290:QLI589824 QVE524290:QVE589824 RFA524290:RFA589824 ROW524290:ROW589824 RYS524290:RYS589824 SIO524290:SIO589824 SSK524290:SSK589824 TCG524290:TCG589824 TMC524290:TMC589824 TVY524290:TVY589824 UFU524290:UFU589824 UPQ524290:UPQ589824 UZM524290:UZM589824 VJI524290:VJI589824 VTE524290:VTE589824 WDA524290:WDA589824 WMW524290:WMW589824 WWS524290:WWS589824 AK589826:AK655360 KG589826:KG655360 UC589826:UC655360 ADY589826:ADY655360 ANU589826:ANU655360 AXQ589826:AXQ655360 BHM589826:BHM655360 BRI589826:BRI655360 CBE589826:CBE655360 CLA589826:CLA655360 CUW589826:CUW655360 DES589826:DES655360 DOO589826:DOO655360 DYK589826:DYK655360 EIG589826:EIG655360 ESC589826:ESC655360 FBY589826:FBY655360 FLU589826:FLU655360 FVQ589826:FVQ655360 GFM589826:GFM655360 GPI589826:GPI655360 GZE589826:GZE655360 HJA589826:HJA655360 HSW589826:HSW655360 ICS589826:ICS655360 IMO589826:IMO655360 IWK589826:IWK655360 JGG589826:JGG655360 JQC589826:JQC655360 JZY589826:JZY655360 KJU589826:KJU655360 KTQ589826:KTQ655360 LDM589826:LDM655360 LNI589826:LNI655360 LXE589826:LXE655360 MHA589826:MHA655360 MQW589826:MQW655360 NAS589826:NAS655360 NKO589826:NKO655360 NUK589826:NUK655360 OEG589826:OEG655360 OOC589826:OOC655360 OXY589826:OXY655360 PHU589826:PHU655360 PRQ589826:PRQ655360 QBM589826:QBM655360 QLI589826:QLI655360 QVE589826:QVE655360 RFA589826:RFA655360 ROW589826:ROW655360 RYS589826:RYS655360 SIO589826:SIO655360 SSK589826:SSK655360 TCG589826:TCG655360 TMC589826:TMC655360 TVY589826:TVY655360 UFU589826:UFU655360 UPQ589826:UPQ655360 UZM589826:UZM655360 VJI589826:VJI655360 VTE589826:VTE655360 WDA589826:WDA655360 WMW589826:WMW655360 WWS589826:WWS655360 AK655362:AK720896 KG655362:KG720896 UC655362:UC720896 ADY655362:ADY720896 ANU655362:ANU720896 AXQ655362:AXQ720896 BHM655362:BHM720896 BRI655362:BRI720896 CBE655362:CBE720896 CLA655362:CLA720896 CUW655362:CUW720896 DES655362:DES720896 DOO655362:DOO720896 DYK655362:DYK720896 EIG655362:EIG720896 ESC655362:ESC720896 FBY655362:FBY720896 FLU655362:FLU720896 FVQ655362:FVQ720896 GFM655362:GFM720896 GPI655362:GPI720896 GZE655362:GZE720896 HJA655362:HJA720896 HSW655362:HSW720896 ICS655362:ICS720896 IMO655362:IMO720896 IWK655362:IWK720896 JGG655362:JGG720896 JQC655362:JQC720896 JZY655362:JZY720896 KJU655362:KJU720896 KTQ655362:KTQ720896 LDM655362:LDM720896 LNI655362:LNI720896 LXE655362:LXE720896 MHA655362:MHA720896 MQW655362:MQW720896 NAS655362:NAS720896 NKO655362:NKO720896 NUK655362:NUK720896 OEG655362:OEG720896 OOC655362:OOC720896 OXY655362:OXY720896 PHU655362:PHU720896 PRQ655362:PRQ720896 QBM655362:QBM720896 QLI655362:QLI720896 QVE655362:QVE720896 RFA655362:RFA720896 ROW655362:ROW720896 RYS655362:RYS720896 SIO655362:SIO720896 SSK655362:SSK720896 TCG655362:TCG720896 TMC655362:TMC720896 TVY655362:TVY720896 UFU655362:UFU720896 UPQ655362:UPQ720896 UZM655362:UZM720896 VJI655362:VJI720896 VTE655362:VTE720896 WDA655362:WDA720896 WMW655362:WMW720896 WWS655362:WWS720896 AK720898:AK786432 KG720898:KG786432 UC720898:UC786432 ADY720898:ADY786432 ANU720898:ANU786432 AXQ720898:AXQ786432 BHM720898:BHM786432 BRI720898:BRI786432 CBE720898:CBE786432 CLA720898:CLA786432 CUW720898:CUW786432 DES720898:DES786432 DOO720898:DOO786432 DYK720898:DYK786432 EIG720898:EIG786432 ESC720898:ESC786432 FBY720898:FBY786432 FLU720898:FLU786432 FVQ720898:FVQ786432 GFM720898:GFM786432 GPI720898:GPI786432 GZE720898:GZE786432 HJA720898:HJA786432 HSW720898:HSW786432 ICS720898:ICS786432 IMO720898:IMO786432 IWK720898:IWK786432 JGG720898:JGG786432 JQC720898:JQC786432 JZY720898:JZY786432 KJU720898:KJU786432 KTQ720898:KTQ786432 LDM720898:LDM786432 LNI720898:LNI786432 LXE720898:LXE786432 MHA720898:MHA786432 MQW720898:MQW786432 NAS720898:NAS786432 NKO720898:NKO786432 NUK720898:NUK786432 OEG720898:OEG786432 OOC720898:OOC786432 OXY720898:OXY786432 PHU720898:PHU786432 PRQ720898:PRQ786432 QBM720898:QBM786432 QLI720898:QLI786432 QVE720898:QVE786432 RFA720898:RFA786432 ROW720898:ROW786432 RYS720898:RYS786432 SIO720898:SIO786432 SSK720898:SSK786432 TCG720898:TCG786432 TMC720898:TMC786432 TVY720898:TVY786432 UFU720898:UFU786432 UPQ720898:UPQ786432 UZM720898:UZM786432 VJI720898:VJI786432 VTE720898:VTE786432 WDA720898:WDA786432 WMW720898:WMW786432 WWS720898:WWS786432 AK786434:AK851968 KG786434:KG851968 UC786434:UC851968 ADY786434:ADY851968 ANU786434:ANU851968 AXQ786434:AXQ851968 BHM786434:BHM851968 BRI786434:BRI851968 CBE786434:CBE851968 CLA786434:CLA851968 CUW786434:CUW851968 DES786434:DES851968 DOO786434:DOO851968 DYK786434:DYK851968 EIG786434:EIG851968 ESC786434:ESC851968 FBY786434:FBY851968 FLU786434:FLU851968 FVQ786434:FVQ851968 GFM786434:GFM851968 GPI786434:GPI851968 GZE786434:GZE851968 HJA786434:HJA851968 HSW786434:HSW851968 ICS786434:ICS851968 IMO786434:IMO851968 IWK786434:IWK851968 JGG786434:JGG851968 JQC786434:JQC851968 JZY786434:JZY851968 KJU786434:KJU851968 KTQ786434:KTQ851968 LDM786434:LDM851968 LNI786434:LNI851968 LXE786434:LXE851968 MHA786434:MHA851968 MQW786434:MQW851968 NAS786434:NAS851968 NKO786434:NKO851968 NUK786434:NUK851968 OEG786434:OEG851968 OOC786434:OOC851968 OXY786434:OXY851968 PHU786434:PHU851968 PRQ786434:PRQ851968 QBM786434:QBM851968 QLI786434:QLI851968 QVE786434:QVE851968 RFA786434:RFA851968 ROW786434:ROW851968 RYS786434:RYS851968 SIO786434:SIO851968 SSK786434:SSK851968 TCG786434:TCG851968 TMC786434:TMC851968 TVY786434:TVY851968 UFU786434:UFU851968 UPQ786434:UPQ851968 UZM786434:UZM851968 VJI786434:VJI851968 VTE786434:VTE851968 WDA786434:WDA851968 WMW786434:WMW851968 WWS786434:WWS851968 AK851970:AK917504 KG851970:KG917504 UC851970:UC917504 ADY851970:ADY917504 ANU851970:ANU917504 AXQ851970:AXQ917504 BHM851970:BHM917504 BRI851970:BRI917504 CBE851970:CBE917504 CLA851970:CLA917504 CUW851970:CUW917504 DES851970:DES917504 DOO851970:DOO917504 DYK851970:DYK917504 EIG851970:EIG917504 ESC851970:ESC917504 FBY851970:FBY917504 FLU851970:FLU917504 FVQ851970:FVQ917504 GFM851970:GFM917504 GPI851970:GPI917504 GZE851970:GZE917504 HJA851970:HJA917504 HSW851970:HSW917504 ICS851970:ICS917504 IMO851970:IMO917504 IWK851970:IWK917504 JGG851970:JGG917504 JQC851970:JQC917504 JZY851970:JZY917504 KJU851970:KJU917504 KTQ851970:KTQ917504 LDM851970:LDM917504 LNI851970:LNI917504 LXE851970:LXE917504 MHA851970:MHA917504 MQW851970:MQW917504 NAS851970:NAS917504 NKO851970:NKO917504 NUK851970:NUK917504 OEG851970:OEG917504 OOC851970:OOC917504 OXY851970:OXY917504 PHU851970:PHU917504 PRQ851970:PRQ917504 QBM851970:QBM917504 QLI851970:QLI917504 QVE851970:QVE917504 RFA851970:RFA917504 ROW851970:ROW917504 RYS851970:RYS917504 SIO851970:SIO917504 SSK851970:SSK917504 TCG851970:TCG917504 TMC851970:TMC917504 TVY851970:TVY917504 UFU851970:UFU917504 UPQ851970:UPQ917504 UZM851970:UZM917504 VJI851970:VJI917504 VTE851970:VTE917504 WDA851970:WDA917504 WMW851970:WMW917504 WWS851970:WWS917504 AK917506:AK983040 KG917506:KG983040 UC917506:UC983040 ADY917506:ADY983040 ANU917506:ANU983040 AXQ917506:AXQ983040 BHM917506:BHM983040 BRI917506:BRI983040 CBE917506:CBE983040 CLA917506:CLA983040 CUW917506:CUW983040 DES917506:DES983040 DOO917506:DOO983040 DYK917506:DYK983040 EIG917506:EIG983040 ESC917506:ESC983040 FBY917506:FBY983040 FLU917506:FLU983040 FVQ917506:FVQ983040 GFM917506:GFM983040 GPI917506:GPI983040 GZE917506:GZE983040 HJA917506:HJA983040 HSW917506:HSW983040 ICS917506:ICS983040 IMO917506:IMO983040 IWK917506:IWK983040 JGG917506:JGG983040 JQC917506:JQC983040 JZY917506:JZY983040 KJU917506:KJU983040 KTQ917506:KTQ983040 LDM917506:LDM983040 LNI917506:LNI983040 LXE917506:LXE983040 MHA917506:MHA983040 MQW917506:MQW983040 NAS917506:NAS983040 NKO917506:NKO983040 NUK917506:NUK983040 OEG917506:OEG983040 OOC917506:OOC983040 OXY917506:OXY983040 PHU917506:PHU983040 PRQ917506:PRQ983040 QBM917506:QBM983040 QLI917506:QLI983040 QVE917506:QVE983040 RFA917506:RFA983040 ROW917506:ROW983040 RYS917506:RYS983040 SIO917506:SIO983040 SSK917506:SSK983040 TCG917506:TCG983040 TMC917506:TMC983040 TVY917506:TVY983040 UFU917506:UFU983040 UPQ917506:UPQ983040 UZM917506:UZM983040 VJI917506:VJI983040 VTE917506:VTE983040 WDA917506:WDA983040 WMW917506:WMW983040 WWS917506:WWS983040 AK983042:AK1048576 KG983042:KG1048576 UC983042:UC1048576 ADY983042:ADY1048576 ANU983042:ANU1048576 AXQ983042:AXQ1048576 BHM983042:BHM1048576 BRI983042:BRI1048576 CBE983042:CBE1048576 CLA983042:CLA1048576 CUW983042:CUW1048576 DES983042:DES1048576 DOO983042:DOO1048576 DYK983042:DYK1048576 EIG983042:EIG1048576 ESC983042:ESC1048576 FBY983042:FBY1048576 FLU983042:FLU1048576 FVQ983042:FVQ1048576 GFM983042:GFM1048576 GPI983042:GPI1048576 GZE983042:GZE1048576 HJA983042:HJA1048576 HSW983042:HSW1048576 ICS983042:ICS1048576 IMO983042:IMO1048576 IWK983042:IWK1048576 JGG983042:JGG1048576 JQC983042:JQC1048576 JZY983042:JZY1048576 KJU983042:KJU1048576 KTQ983042:KTQ1048576 LDM983042:LDM1048576 LNI983042:LNI1048576 LXE983042:LXE1048576 MHA983042:MHA1048576 MQW983042:MQW1048576 NAS983042:NAS1048576 NKO983042:NKO1048576 NUK983042:NUK1048576 OEG983042:OEG1048576 OOC983042:OOC1048576 OXY983042:OXY1048576 PHU983042:PHU1048576 PRQ983042:PRQ1048576 QBM983042:QBM1048576 QLI983042:QLI1048576 QVE983042:QVE1048576 RFA983042:RFA1048576 ROW983042:ROW1048576 RYS983042:RYS1048576 SIO983042:SIO1048576 SSK983042:SSK1048576 TCG983042:TCG1048576 TMC983042:TMC1048576 TVY983042:TVY1048576 UFU983042:UFU1048576 UPQ983042:UPQ1048576 UZM983042:UZM1048576 VJI983042:VJI1048576 VTE983042:VTE1048576 WDA983042:WDA1048576 WMW983042:WMW1048576 WWS983042:WWS1048576 AM2:AM65536 KI2:KI65536 UE2:UE65536 AEA2:AEA65536 ANW2:ANW65536 AXS2:AXS65536 BHO2:BHO65536 BRK2:BRK65536 CBG2:CBG65536 CLC2:CLC65536 CUY2:CUY65536 DEU2:DEU65536 DOQ2:DOQ65536 DYM2:DYM65536 EII2:EII65536 ESE2:ESE65536 FCA2:FCA65536 FLW2:FLW65536 FVS2:FVS65536 GFO2:GFO65536 GPK2:GPK65536 GZG2:GZG65536 HJC2:HJC65536 HSY2:HSY65536 ICU2:ICU65536 IMQ2:IMQ65536 IWM2:IWM65536 JGI2:JGI65536 JQE2:JQE65536 KAA2:KAA65536 KJW2:KJW65536 KTS2:KTS65536 LDO2:LDO65536 LNK2:LNK65536 LXG2:LXG65536 MHC2:MHC65536 MQY2:MQY65536 NAU2:NAU65536 NKQ2:NKQ65536 NUM2:NUM65536 OEI2:OEI65536 OOE2:OOE65536 OYA2:OYA65536 PHW2:PHW65536 PRS2:PRS65536 QBO2:QBO65536 QLK2:QLK65536 QVG2:QVG65536 RFC2:RFC65536 ROY2:ROY65536 RYU2:RYU65536 SIQ2:SIQ65536 SSM2:SSM65536 TCI2:TCI65536 TME2:TME65536 TWA2:TWA65536 UFW2:UFW65536 UPS2:UPS65536 UZO2:UZO65536 VJK2:VJK65536 VTG2:VTG65536 WDC2:WDC65536 WMY2:WMY65536 WWU2:WWU65536 AM65538:AM131072 KI65538:KI131072 UE65538:UE131072 AEA65538:AEA131072 ANW65538:ANW131072 AXS65538:AXS131072 BHO65538:BHO131072 BRK65538:BRK131072 CBG65538:CBG131072 CLC65538:CLC131072 CUY65538:CUY131072 DEU65538:DEU131072 DOQ65538:DOQ131072 DYM65538:DYM131072 EII65538:EII131072 ESE65538:ESE131072 FCA65538:FCA131072 FLW65538:FLW131072 FVS65538:FVS131072 GFO65538:GFO131072 GPK65538:GPK131072 GZG65538:GZG131072 HJC65538:HJC131072 HSY65538:HSY131072 ICU65538:ICU131072 IMQ65538:IMQ131072 IWM65538:IWM131072 JGI65538:JGI131072 JQE65538:JQE131072 KAA65538:KAA131072 KJW65538:KJW131072 KTS65538:KTS131072 LDO65538:LDO131072 LNK65538:LNK131072 LXG65538:LXG131072 MHC65538:MHC131072 MQY65538:MQY131072 NAU65538:NAU131072 NKQ65538:NKQ131072 NUM65538:NUM131072 OEI65538:OEI131072 OOE65538:OOE131072 OYA65538:OYA131072 PHW65538:PHW131072 PRS65538:PRS131072 QBO65538:QBO131072 QLK65538:QLK131072 QVG65538:QVG131072 RFC65538:RFC131072 ROY65538:ROY131072 RYU65538:RYU131072 SIQ65538:SIQ131072 SSM65538:SSM131072 TCI65538:TCI131072 TME65538:TME131072 TWA65538:TWA131072 UFW65538:UFW131072 UPS65538:UPS131072 UZO65538:UZO131072 VJK65538:VJK131072 VTG65538:VTG131072 WDC65538:WDC131072 WMY65538:WMY131072 WWU65538:WWU131072 AM131074:AM196608 KI131074:KI196608 UE131074:UE196608 AEA131074:AEA196608 ANW131074:ANW196608 AXS131074:AXS196608 BHO131074:BHO196608 BRK131074:BRK196608 CBG131074:CBG196608 CLC131074:CLC196608 CUY131074:CUY196608 DEU131074:DEU196608 DOQ131074:DOQ196608 DYM131074:DYM196608 EII131074:EII196608 ESE131074:ESE196608 FCA131074:FCA196608 FLW131074:FLW196608 FVS131074:FVS196608 GFO131074:GFO196608 GPK131074:GPK196608 GZG131074:GZG196608 HJC131074:HJC196608 HSY131074:HSY196608 ICU131074:ICU196608 IMQ131074:IMQ196608 IWM131074:IWM196608 JGI131074:JGI196608 JQE131074:JQE196608 KAA131074:KAA196608 KJW131074:KJW196608 KTS131074:KTS196608 LDO131074:LDO196608 LNK131074:LNK196608 LXG131074:LXG196608 MHC131074:MHC196608 MQY131074:MQY196608 NAU131074:NAU196608 NKQ131074:NKQ196608 NUM131074:NUM196608 OEI131074:OEI196608 OOE131074:OOE196608 OYA131074:OYA196608 PHW131074:PHW196608 PRS131074:PRS196608 QBO131074:QBO196608 QLK131074:QLK196608 QVG131074:QVG196608 RFC131074:RFC196608 ROY131074:ROY196608 RYU131074:RYU196608 SIQ131074:SIQ196608 SSM131074:SSM196608 TCI131074:TCI196608 TME131074:TME196608 TWA131074:TWA196608 UFW131074:UFW196608 UPS131074:UPS196608 UZO131074:UZO196608 VJK131074:VJK196608 VTG131074:VTG196608 WDC131074:WDC196608 WMY131074:WMY196608 WWU131074:WWU196608 AM196610:AM262144 KI196610:KI262144 UE196610:UE262144 AEA196610:AEA262144 ANW196610:ANW262144 AXS196610:AXS262144 BHO196610:BHO262144 BRK196610:BRK262144 CBG196610:CBG262144 CLC196610:CLC262144 CUY196610:CUY262144 DEU196610:DEU262144 DOQ196610:DOQ262144 DYM196610:DYM262144 EII196610:EII262144 ESE196610:ESE262144 FCA196610:FCA262144 FLW196610:FLW262144 FVS196610:FVS262144 GFO196610:GFO262144 GPK196610:GPK262144 GZG196610:GZG262144 HJC196610:HJC262144 HSY196610:HSY262144 ICU196610:ICU262144 IMQ196610:IMQ262144 IWM196610:IWM262144 JGI196610:JGI262144 JQE196610:JQE262144 KAA196610:KAA262144 KJW196610:KJW262144 KTS196610:KTS262144 LDO196610:LDO262144 LNK196610:LNK262144 LXG196610:LXG262144 MHC196610:MHC262144 MQY196610:MQY262144 NAU196610:NAU262144 NKQ196610:NKQ262144 NUM196610:NUM262144 OEI196610:OEI262144 OOE196610:OOE262144 OYA196610:OYA262144 PHW196610:PHW262144 PRS196610:PRS262144 QBO196610:QBO262144 QLK196610:QLK262144 QVG196610:QVG262144 RFC196610:RFC262144 ROY196610:ROY262144 RYU196610:RYU262144 SIQ196610:SIQ262144 SSM196610:SSM262144 TCI196610:TCI262144 TME196610:TME262144 TWA196610:TWA262144 UFW196610:UFW262144 UPS196610:UPS262144 UZO196610:UZO262144 VJK196610:VJK262144 VTG196610:VTG262144 WDC196610:WDC262144 WMY196610:WMY262144 WWU196610:WWU262144 AM262146:AM327680 KI262146:KI327680 UE262146:UE327680 AEA262146:AEA327680 ANW262146:ANW327680 AXS262146:AXS327680 BHO262146:BHO327680 BRK262146:BRK327680 CBG262146:CBG327680 CLC262146:CLC327680 CUY262146:CUY327680 DEU262146:DEU327680 DOQ262146:DOQ327680 DYM262146:DYM327680 EII262146:EII327680 ESE262146:ESE327680 FCA262146:FCA327680 FLW262146:FLW327680 FVS262146:FVS327680 GFO262146:GFO327680 GPK262146:GPK327680 GZG262146:GZG327680 HJC262146:HJC327680 HSY262146:HSY327680 ICU262146:ICU327680 IMQ262146:IMQ327680 IWM262146:IWM327680 JGI262146:JGI327680 JQE262146:JQE327680 KAA262146:KAA327680 KJW262146:KJW327680 KTS262146:KTS327680 LDO262146:LDO327680 LNK262146:LNK327680 LXG262146:LXG327680 MHC262146:MHC327680 MQY262146:MQY327680 NAU262146:NAU327680 NKQ262146:NKQ327680 NUM262146:NUM327680 OEI262146:OEI327680 OOE262146:OOE327680 OYA262146:OYA327680 PHW262146:PHW327680 PRS262146:PRS327680 QBO262146:QBO327680 QLK262146:QLK327680 QVG262146:QVG327680 RFC262146:RFC327680 ROY262146:ROY327680 RYU262146:RYU327680 SIQ262146:SIQ327680 SSM262146:SSM327680 TCI262146:TCI327680 TME262146:TME327680 TWA262146:TWA327680 UFW262146:UFW327680 UPS262146:UPS327680 UZO262146:UZO327680 VJK262146:VJK327680 VTG262146:VTG327680 WDC262146:WDC327680 WMY262146:WMY327680 WWU262146:WWU327680 AM327682:AM393216 KI327682:KI393216 UE327682:UE393216 AEA327682:AEA393216 ANW327682:ANW393216 AXS327682:AXS393216 BHO327682:BHO393216 BRK327682:BRK393216 CBG327682:CBG393216 CLC327682:CLC393216 CUY327682:CUY393216 DEU327682:DEU393216 DOQ327682:DOQ393216 DYM327682:DYM393216 EII327682:EII393216 ESE327682:ESE393216 FCA327682:FCA393216 FLW327682:FLW393216 FVS327682:FVS393216 GFO327682:GFO393216 GPK327682:GPK393216 GZG327682:GZG393216 HJC327682:HJC393216 HSY327682:HSY393216 ICU327682:ICU393216 IMQ327682:IMQ393216 IWM327682:IWM393216 JGI327682:JGI393216 JQE327682:JQE393216 KAA327682:KAA393216 KJW327682:KJW393216 KTS327682:KTS393216 LDO327682:LDO393216 LNK327682:LNK393216 LXG327682:LXG393216 MHC327682:MHC393216 MQY327682:MQY393216 NAU327682:NAU393216 NKQ327682:NKQ393216 NUM327682:NUM393216 OEI327682:OEI393216 OOE327682:OOE393216 OYA327682:OYA393216 PHW327682:PHW393216 PRS327682:PRS393216 QBO327682:QBO393216 QLK327682:QLK393216 QVG327682:QVG393216 RFC327682:RFC393216 ROY327682:ROY393216 RYU327682:RYU393216 SIQ327682:SIQ393216 SSM327682:SSM393216 TCI327682:TCI393216 TME327682:TME393216 TWA327682:TWA393216 UFW327682:UFW393216 UPS327682:UPS393216 UZO327682:UZO393216 VJK327682:VJK393216 VTG327682:VTG393216 WDC327682:WDC393216 WMY327682:WMY393216 WWU327682:WWU393216 AM393218:AM458752 KI393218:KI458752 UE393218:UE458752 AEA393218:AEA458752 ANW393218:ANW458752 AXS393218:AXS458752 BHO393218:BHO458752 BRK393218:BRK458752 CBG393218:CBG458752 CLC393218:CLC458752 CUY393218:CUY458752 DEU393218:DEU458752 DOQ393218:DOQ458752 DYM393218:DYM458752 EII393218:EII458752 ESE393218:ESE458752 FCA393218:FCA458752 FLW393218:FLW458752 FVS393218:FVS458752 GFO393218:GFO458752 GPK393218:GPK458752 GZG393218:GZG458752 HJC393218:HJC458752 HSY393218:HSY458752 ICU393218:ICU458752 IMQ393218:IMQ458752 IWM393218:IWM458752 JGI393218:JGI458752 JQE393218:JQE458752 KAA393218:KAA458752 KJW393218:KJW458752 KTS393218:KTS458752 LDO393218:LDO458752 LNK393218:LNK458752 LXG393218:LXG458752 MHC393218:MHC458752 MQY393218:MQY458752 NAU393218:NAU458752 NKQ393218:NKQ458752 NUM393218:NUM458752 OEI393218:OEI458752 OOE393218:OOE458752 OYA393218:OYA458752 PHW393218:PHW458752 PRS393218:PRS458752 QBO393218:QBO458752 QLK393218:QLK458752 QVG393218:QVG458752 RFC393218:RFC458752 ROY393218:ROY458752 RYU393218:RYU458752 SIQ393218:SIQ458752 SSM393218:SSM458752 TCI393218:TCI458752 TME393218:TME458752 TWA393218:TWA458752 UFW393218:UFW458752 UPS393218:UPS458752 UZO393218:UZO458752 VJK393218:VJK458752 VTG393218:VTG458752 WDC393218:WDC458752 WMY393218:WMY458752 WWU393218:WWU458752 AM458754:AM524288 KI458754:KI524288 UE458754:UE524288 AEA458754:AEA524288 ANW458754:ANW524288 AXS458754:AXS524288 BHO458754:BHO524288 BRK458754:BRK524288 CBG458754:CBG524288 CLC458754:CLC524288 CUY458754:CUY524288 DEU458754:DEU524288 DOQ458754:DOQ524288 DYM458754:DYM524288 EII458754:EII524288 ESE458754:ESE524288 FCA458754:FCA524288 FLW458754:FLW524288 FVS458754:FVS524288 GFO458754:GFO524288 GPK458754:GPK524288 GZG458754:GZG524288 HJC458754:HJC524288 HSY458754:HSY524288 ICU458754:ICU524288 IMQ458754:IMQ524288 IWM458754:IWM524288 JGI458754:JGI524288 JQE458754:JQE524288 KAA458754:KAA524288 KJW458754:KJW524288 KTS458754:KTS524288 LDO458754:LDO524288 LNK458754:LNK524288 LXG458754:LXG524288 MHC458754:MHC524288 MQY458754:MQY524288 NAU458754:NAU524288 NKQ458754:NKQ524288 NUM458754:NUM524288 OEI458754:OEI524288 OOE458754:OOE524288 OYA458754:OYA524288 PHW458754:PHW524288 PRS458754:PRS524288 QBO458754:QBO524288 QLK458754:QLK524288 QVG458754:QVG524288 RFC458754:RFC524288 ROY458754:ROY524288 RYU458754:RYU524288 SIQ458754:SIQ524288 SSM458754:SSM524288 TCI458754:TCI524288 TME458754:TME524288 TWA458754:TWA524288 UFW458754:UFW524288 UPS458754:UPS524288 UZO458754:UZO524288 VJK458754:VJK524288 VTG458754:VTG524288 WDC458754:WDC524288 WMY458754:WMY524288 WWU458754:WWU524288 AM524290:AM589824 KI524290:KI589824 UE524290:UE589824 AEA524290:AEA589824 ANW524290:ANW589824 AXS524290:AXS589824 BHO524290:BHO589824 BRK524290:BRK589824 CBG524290:CBG589824 CLC524290:CLC589824 CUY524290:CUY589824 DEU524290:DEU589824 DOQ524290:DOQ589824 DYM524290:DYM589824 EII524290:EII589824 ESE524290:ESE589824 FCA524290:FCA589824 FLW524290:FLW589824 FVS524290:FVS589824 GFO524290:GFO589824 GPK524290:GPK589824 GZG524290:GZG589824 HJC524290:HJC589824 HSY524290:HSY589824 ICU524290:ICU589824 IMQ524290:IMQ589824 IWM524290:IWM589824 JGI524290:JGI589824 JQE524290:JQE589824 KAA524290:KAA589824 KJW524290:KJW589824 KTS524290:KTS589824 LDO524290:LDO589824 LNK524290:LNK589824 LXG524290:LXG589824 MHC524290:MHC589824 MQY524290:MQY589824 NAU524290:NAU589824 NKQ524290:NKQ589824 NUM524290:NUM589824 OEI524290:OEI589824 OOE524290:OOE589824 OYA524290:OYA589824 PHW524290:PHW589824 PRS524290:PRS589824 QBO524290:QBO589824 QLK524290:QLK589824 QVG524290:QVG589824 RFC524290:RFC589824 ROY524290:ROY589824 RYU524290:RYU589824 SIQ524290:SIQ589824 SSM524290:SSM589824 TCI524290:TCI589824 TME524290:TME589824 TWA524290:TWA589824 UFW524290:UFW589824 UPS524290:UPS589824 UZO524290:UZO589824 VJK524290:VJK589824 VTG524290:VTG589824 WDC524290:WDC589824 WMY524290:WMY589824 WWU524290:WWU589824 AM589826:AM655360 KI589826:KI655360 UE589826:UE655360 AEA589826:AEA655360 ANW589826:ANW655360 AXS589826:AXS655360 BHO589826:BHO655360 BRK589826:BRK655360 CBG589826:CBG655360 CLC589826:CLC655360 CUY589826:CUY655360 DEU589826:DEU655360 DOQ589826:DOQ655360 DYM589826:DYM655360 EII589826:EII655360 ESE589826:ESE655360 FCA589826:FCA655360 FLW589826:FLW655360 FVS589826:FVS655360 GFO589826:GFO655360 GPK589826:GPK655360 GZG589826:GZG655360 HJC589826:HJC655360 HSY589826:HSY655360 ICU589826:ICU655360 IMQ589826:IMQ655360 IWM589826:IWM655360 JGI589826:JGI655360 JQE589826:JQE655360 KAA589826:KAA655360 KJW589826:KJW655360 KTS589826:KTS655360 LDO589826:LDO655360 LNK589826:LNK655360 LXG589826:LXG655360 MHC589826:MHC655360 MQY589826:MQY655360 NAU589826:NAU655360 NKQ589826:NKQ655360 NUM589826:NUM655360 OEI589826:OEI655360 OOE589826:OOE655360 OYA589826:OYA655360 PHW589826:PHW655360 PRS589826:PRS655360 QBO589826:QBO655360 QLK589826:QLK655360 QVG589826:QVG655360 RFC589826:RFC655360 ROY589826:ROY655360 RYU589826:RYU655360 SIQ589826:SIQ655360 SSM589826:SSM655360 TCI589826:TCI655360 TME589826:TME655360 TWA589826:TWA655360 UFW589826:UFW655360 UPS589826:UPS655360 UZO589826:UZO655360 VJK589826:VJK655360 VTG589826:VTG655360 WDC589826:WDC655360 WMY589826:WMY655360 WWU589826:WWU655360 AM655362:AM720896 KI655362:KI720896 UE655362:UE720896 AEA655362:AEA720896 ANW655362:ANW720896 AXS655362:AXS720896 BHO655362:BHO720896 BRK655362:BRK720896 CBG655362:CBG720896 CLC655362:CLC720896 CUY655362:CUY720896 DEU655362:DEU720896 DOQ655362:DOQ720896 DYM655362:DYM720896 EII655362:EII720896 ESE655362:ESE720896 FCA655362:FCA720896 FLW655362:FLW720896 FVS655362:FVS720896 GFO655362:GFO720896 GPK655362:GPK720896 GZG655362:GZG720896 HJC655362:HJC720896 HSY655362:HSY720896 ICU655362:ICU720896 IMQ655362:IMQ720896 IWM655362:IWM720896 JGI655362:JGI720896 JQE655362:JQE720896 KAA655362:KAA720896 KJW655362:KJW720896 KTS655362:KTS720896 LDO655362:LDO720896 LNK655362:LNK720896 LXG655362:LXG720896 MHC655362:MHC720896 MQY655362:MQY720896 NAU655362:NAU720896 NKQ655362:NKQ720896 NUM655362:NUM720896 OEI655362:OEI720896 OOE655362:OOE720896 OYA655362:OYA720896 PHW655362:PHW720896 PRS655362:PRS720896 QBO655362:QBO720896 QLK655362:QLK720896 QVG655362:QVG720896 RFC655362:RFC720896 ROY655362:ROY720896 RYU655362:RYU720896 SIQ655362:SIQ720896 SSM655362:SSM720896 TCI655362:TCI720896 TME655362:TME720896 TWA655362:TWA720896 UFW655362:UFW720896 UPS655362:UPS720896 UZO655362:UZO720896 VJK655362:VJK720896 VTG655362:VTG720896 WDC655362:WDC720896 WMY655362:WMY720896 WWU655362:WWU720896 AM720898:AM786432 KI720898:KI786432 UE720898:UE786432 AEA720898:AEA786432 ANW720898:ANW786432 AXS720898:AXS786432 BHO720898:BHO786432 BRK720898:BRK786432 CBG720898:CBG786432 CLC720898:CLC786432 CUY720898:CUY786432 DEU720898:DEU786432 DOQ720898:DOQ786432 DYM720898:DYM786432 EII720898:EII786432 ESE720898:ESE786432 FCA720898:FCA786432 FLW720898:FLW786432 FVS720898:FVS786432 GFO720898:GFO786432 GPK720898:GPK786432 GZG720898:GZG786432 HJC720898:HJC786432 HSY720898:HSY786432 ICU720898:ICU786432 IMQ720898:IMQ786432 IWM720898:IWM786432 JGI720898:JGI786432 JQE720898:JQE786432 KAA720898:KAA786432 KJW720898:KJW786432 KTS720898:KTS786432 LDO720898:LDO786432 LNK720898:LNK786432 LXG720898:LXG786432 MHC720898:MHC786432 MQY720898:MQY786432 NAU720898:NAU786432 NKQ720898:NKQ786432 NUM720898:NUM786432 OEI720898:OEI786432 OOE720898:OOE786432 OYA720898:OYA786432 PHW720898:PHW786432 PRS720898:PRS786432 QBO720898:QBO786432 QLK720898:QLK786432 QVG720898:QVG786432 RFC720898:RFC786432 ROY720898:ROY786432 RYU720898:RYU786432 SIQ720898:SIQ786432 SSM720898:SSM786432 TCI720898:TCI786432 TME720898:TME786432 TWA720898:TWA786432 UFW720898:UFW786432 UPS720898:UPS786432 UZO720898:UZO786432 VJK720898:VJK786432 VTG720898:VTG786432 WDC720898:WDC786432 WMY720898:WMY786432 WWU720898:WWU786432 AM786434:AM851968 KI786434:KI851968 UE786434:UE851968 AEA786434:AEA851968 ANW786434:ANW851968 AXS786434:AXS851968 BHO786434:BHO851968 BRK786434:BRK851968 CBG786434:CBG851968 CLC786434:CLC851968 CUY786434:CUY851968 DEU786434:DEU851968 DOQ786434:DOQ851968 DYM786434:DYM851968 EII786434:EII851968 ESE786434:ESE851968 FCA786434:FCA851968 FLW786434:FLW851968 FVS786434:FVS851968 GFO786434:GFO851968 GPK786434:GPK851968 GZG786434:GZG851968 HJC786434:HJC851968 HSY786434:HSY851968 ICU786434:ICU851968 IMQ786434:IMQ851968 IWM786434:IWM851968 JGI786434:JGI851968 JQE786434:JQE851968 KAA786434:KAA851968 KJW786434:KJW851968 KTS786434:KTS851968 LDO786434:LDO851968 LNK786434:LNK851968 LXG786434:LXG851968 MHC786434:MHC851968 MQY786434:MQY851968 NAU786434:NAU851968 NKQ786434:NKQ851968 NUM786434:NUM851968 OEI786434:OEI851968 OOE786434:OOE851968 OYA786434:OYA851968 PHW786434:PHW851968 PRS786434:PRS851968 QBO786434:QBO851968 QLK786434:QLK851968 QVG786434:QVG851968 RFC786434:RFC851968 ROY786434:ROY851968 RYU786434:RYU851968 SIQ786434:SIQ851968 SSM786434:SSM851968 TCI786434:TCI851968 TME786434:TME851968 TWA786434:TWA851968 UFW786434:UFW851968 UPS786434:UPS851968 UZO786434:UZO851968 VJK786434:VJK851968 VTG786434:VTG851968 WDC786434:WDC851968 WMY786434:WMY851968 WWU786434:WWU851968 AM851970:AM917504 KI851970:KI917504 UE851970:UE917504 AEA851970:AEA917504 ANW851970:ANW917504 AXS851970:AXS917504 BHO851970:BHO917504 BRK851970:BRK917504 CBG851970:CBG917504 CLC851970:CLC917504 CUY851970:CUY917504 DEU851970:DEU917504 DOQ851970:DOQ917504 DYM851970:DYM917504 EII851970:EII917504 ESE851970:ESE917504 FCA851970:FCA917504 FLW851970:FLW917504 FVS851970:FVS917504 GFO851970:GFO917504 GPK851970:GPK917504 GZG851970:GZG917504 HJC851970:HJC917504 HSY851970:HSY917504 ICU851970:ICU917504 IMQ851970:IMQ917504 IWM851970:IWM917504 JGI851970:JGI917504 JQE851970:JQE917504 KAA851970:KAA917504 KJW851970:KJW917504 KTS851970:KTS917504 LDO851970:LDO917504 LNK851970:LNK917504 LXG851970:LXG917504 MHC851970:MHC917504 MQY851970:MQY917504 NAU851970:NAU917504 NKQ851970:NKQ917504 NUM851970:NUM917504 OEI851970:OEI917504 OOE851970:OOE917504 OYA851970:OYA917504 PHW851970:PHW917504 PRS851970:PRS917504 QBO851970:QBO917504 QLK851970:QLK917504 QVG851970:QVG917504 RFC851970:RFC917504 ROY851970:ROY917504 RYU851970:RYU917504 SIQ851970:SIQ917504 SSM851970:SSM917504 TCI851970:TCI917504 TME851970:TME917504 TWA851970:TWA917504 UFW851970:UFW917504 UPS851970:UPS917504 UZO851970:UZO917504 VJK851970:VJK917504 VTG851970:VTG917504 WDC851970:WDC917504 WMY851970:WMY917504 WWU851970:WWU917504 AM917506:AM983040 KI917506:KI983040 UE917506:UE983040 AEA917506:AEA983040 ANW917506:ANW983040 AXS917506:AXS983040 BHO917506:BHO983040 BRK917506:BRK983040 CBG917506:CBG983040 CLC917506:CLC983040 CUY917506:CUY983040 DEU917506:DEU983040 DOQ917506:DOQ983040 DYM917506:DYM983040 EII917506:EII983040 ESE917506:ESE983040 FCA917506:FCA983040 FLW917506:FLW983040 FVS917506:FVS983040 GFO917506:GFO983040 GPK917506:GPK983040 GZG917506:GZG983040 HJC917506:HJC983040 HSY917506:HSY983040 ICU917506:ICU983040 IMQ917506:IMQ983040 IWM917506:IWM983040 JGI917506:JGI983040 JQE917506:JQE983040 KAA917506:KAA983040 KJW917506:KJW983040 KTS917506:KTS983040 LDO917506:LDO983040 LNK917506:LNK983040 LXG917506:LXG983040 MHC917506:MHC983040 MQY917506:MQY983040 NAU917506:NAU983040 NKQ917506:NKQ983040 NUM917506:NUM983040 OEI917506:OEI983040 OOE917506:OOE983040 OYA917506:OYA983040 PHW917506:PHW983040 PRS917506:PRS983040 QBO917506:QBO983040 QLK917506:QLK983040 QVG917506:QVG983040 RFC917506:RFC983040 ROY917506:ROY983040 RYU917506:RYU983040 SIQ917506:SIQ983040 SSM917506:SSM983040 TCI917506:TCI983040 TME917506:TME983040 TWA917506:TWA983040 UFW917506:UFW983040 UPS917506:UPS983040 UZO917506:UZO983040 VJK917506:VJK983040 VTG917506:VTG983040 WDC917506:WDC983040 WMY917506:WMY983040 WWU917506:WWU983040 AM983042:AM1048576 KI983042:KI1048576 UE983042:UE1048576 AEA983042:AEA1048576 ANW983042:ANW1048576 AXS983042:AXS1048576 BHO983042:BHO1048576 BRK983042:BRK1048576 CBG983042:CBG1048576 CLC983042:CLC1048576 CUY983042:CUY1048576 DEU983042:DEU1048576 DOQ983042:DOQ1048576 DYM983042:DYM1048576 EII983042:EII1048576 ESE983042:ESE1048576 FCA983042:FCA1048576 FLW983042:FLW1048576 FVS983042:FVS1048576 GFO983042:GFO1048576 GPK983042:GPK1048576 GZG983042:GZG1048576 HJC983042:HJC1048576 HSY983042:HSY1048576 ICU983042:ICU1048576 IMQ983042:IMQ1048576 IWM983042:IWM1048576 JGI983042:JGI1048576 JQE983042:JQE1048576 KAA983042:KAA1048576 KJW983042:KJW1048576 KTS983042:KTS1048576 LDO983042:LDO1048576 LNK983042:LNK1048576 LXG983042:LXG1048576 MHC983042:MHC1048576 MQY983042:MQY1048576 NAU983042:NAU1048576 NKQ983042:NKQ1048576 NUM983042:NUM1048576 OEI983042:OEI1048576 OOE983042:OOE1048576 OYA983042:OYA1048576 PHW983042:PHW1048576 PRS983042:PRS1048576 QBO983042:QBO1048576 QLK983042:QLK1048576 QVG983042:QVG1048576 RFC983042:RFC1048576 ROY983042:ROY1048576 RYU983042:RYU1048576 SIQ983042:SIQ1048576 SSM983042:SSM1048576 TCI983042:TCI1048576 TME983042:TME1048576 TWA983042:TWA1048576 UFW983042:UFW1048576 UPS983042:UPS1048576 UZO983042:UZO1048576 VJK983042:VJK1048576 VTG983042:VTG1048576 WDC983042:WDC1048576 WMY983042:WMY1048576 WWU983042:WWU1048576 G2:G65536 JC2:JC65536 SY2:SY65536 ACU2:ACU65536 AMQ2:AMQ65536 AWM2:AWM65536 BGI2:BGI65536 BQE2:BQE65536 CAA2:CAA65536 CJW2:CJW65536 CTS2:CTS65536 DDO2:DDO65536 DNK2:DNK65536 DXG2:DXG65536 EHC2:EHC65536 EQY2:EQY65536 FAU2:FAU65536 FKQ2:FKQ65536 FUM2:FUM65536 GEI2:GEI65536 GOE2:GOE65536 GYA2:GYA65536 HHW2:HHW65536 HRS2:HRS65536 IBO2:IBO65536 ILK2:ILK65536 IVG2:IVG65536 JFC2:JFC65536 JOY2:JOY65536 JYU2:JYU65536 KIQ2:KIQ65536 KSM2:KSM65536 LCI2:LCI65536 LME2:LME65536 LWA2:LWA65536 MFW2:MFW65536 MPS2:MPS65536 MZO2:MZO65536 NJK2:NJK65536 NTG2:NTG65536 ODC2:ODC65536 OMY2:OMY65536 OWU2:OWU65536 PGQ2:PGQ65536 PQM2:PQM65536 QAI2:QAI65536 QKE2:QKE65536 QUA2:QUA65536 RDW2:RDW65536 RNS2:RNS65536 RXO2:RXO65536 SHK2:SHK65536 SRG2:SRG65536 TBC2:TBC65536 TKY2:TKY65536 TUU2:TUU65536 UEQ2:UEQ65536 UOM2:UOM65536 UYI2:UYI65536 VIE2:VIE65536 VSA2:VSA65536 WBW2:WBW65536 WLS2:WLS65536 WVO2:WVO65536 G65538:G131072 JC65538:JC131072 SY65538:SY131072 ACU65538:ACU131072 AMQ65538:AMQ131072 AWM65538:AWM131072 BGI65538:BGI131072 BQE65538:BQE131072 CAA65538:CAA131072 CJW65538:CJW131072 CTS65538:CTS131072 DDO65538:DDO131072 DNK65538:DNK131072 DXG65538:DXG131072 EHC65538:EHC131072 EQY65538:EQY131072 FAU65538:FAU131072 FKQ65538:FKQ131072 FUM65538:FUM131072 GEI65538:GEI131072 GOE65538:GOE131072 GYA65538:GYA131072 HHW65538:HHW131072 HRS65538:HRS131072 IBO65538:IBO131072 ILK65538:ILK131072 IVG65538:IVG131072 JFC65538:JFC131072 JOY65538:JOY131072 JYU65538:JYU131072 KIQ65538:KIQ131072 KSM65538:KSM131072 LCI65538:LCI131072 LME65538:LME131072 LWA65538:LWA131072 MFW65538:MFW131072 MPS65538:MPS131072 MZO65538:MZO131072 NJK65538:NJK131072 NTG65538:NTG131072 ODC65538:ODC131072 OMY65538:OMY131072 OWU65538:OWU131072 PGQ65538:PGQ131072 PQM65538:PQM131072 QAI65538:QAI131072 QKE65538:QKE131072 QUA65538:QUA131072 RDW65538:RDW131072 RNS65538:RNS131072 RXO65538:RXO131072 SHK65538:SHK131072 SRG65538:SRG131072 TBC65538:TBC131072 TKY65538:TKY131072 TUU65538:TUU131072 UEQ65538:UEQ131072 UOM65538:UOM131072 UYI65538:UYI131072 VIE65538:VIE131072 VSA65538:VSA131072 WBW65538:WBW131072 WLS65538:WLS131072 WVO65538:WVO131072 G131074:G196608 JC131074:JC196608 SY131074:SY196608 ACU131074:ACU196608 AMQ131074:AMQ196608 AWM131074:AWM196608 BGI131074:BGI196608 BQE131074:BQE196608 CAA131074:CAA196608 CJW131074:CJW196608 CTS131074:CTS196608 DDO131074:DDO196608 DNK131074:DNK196608 DXG131074:DXG196608 EHC131074:EHC196608 EQY131074:EQY196608 FAU131074:FAU196608 FKQ131074:FKQ196608 FUM131074:FUM196608 GEI131074:GEI196608 GOE131074:GOE196608 GYA131074:GYA196608 HHW131074:HHW196608 HRS131074:HRS196608 IBO131074:IBO196608 ILK131074:ILK196608 IVG131074:IVG196608 JFC131074:JFC196608 JOY131074:JOY196608 JYU131074:JYU196608 KIQ131074:KIQ196608 KSM131074:KSM196608 LCI131074:LCI196608 LME131074:LME196608 LWA131074:LWA196608 MFW131074:MFW196608 MPS131074:MPS196608 MZO131074:MZO196608 NJK131074:NJK196608 NTG131074:NTG196608 ODC131074:ODC196608 OMY131074:OMY196608 OWU131074:OWU196608 PGQ131074:PGQ196608 PQM131074:PQM196608 QAI131074:QAI196608 QKE131074:QKE196608 QUA131074:QUA196608 RDW131074:RDW196608 RNS131074:RNS196608 RXO131074:RXO196608 SHK131074:SHK196608 SRG131074:SRG196608 TBC131074:TBC196608 TKY131074:TKY196608 TUU131074:TUU196608 UEQ131074:UEQ196608 UOM131074:UOM196608 UYI131074:UYI196608 VIE131074:VIE196608 VSA131074:VSA196608 WBW131074:WBW196608 WLS131074:WLS196608 WVO131074:WVO196608 G196610:G262144 JC196610:JC262144 SY196610:SY262144 ACU196610:ACU262144 AMQ196610:AMQ262144 AWM196610:AWM262144 BGI196610:BGI262144 BQE196610:BQE262144 CAA196610:CAA262144 CJW196610:CJW262144 CTS196610:CTS262144 DDO196610:DDO262144 DNK196610:DNK262144 DXG196610:DXG262144 EHC196610:EHC262144 EQY196610:EQY262144 FAU196610:FAU262144 FKQ196610:FKQ262144 FUM196610:FUM262144 GEI196610:GEI262144 GOE196610:GOE262144 GYA196610:GYA262144 HHW196610:HHW262144 HRS196610:HRS262144 IBO196610:IBO262144 ILK196610:ILK262144 IVG196610:IVG262144 JFC196610:JFC262144 JOY196610:JOY262144 JYU196610:JYU262144 KIQ196610:KIQ262144 KSM196610:KSM262144 LCI196610:LCI262144 LME196610:LME262144 LWA196610:LWA262144 MFW196610:MFW262144 MPS196610:MPS262144 MZO196610:MZO262144 NJK196610:NJK262144 NTG196610:NTG262144 ODC196610:ODC262144 OMY196610:OMY262144 OWU196610:OWU262144 PGQ196610:PGQ262144 PQM196610:PQM262144 QAI196610:QAI262144 QKE196610:QKE262144 QUA196610:QUA262144 RDW196610:RDW262144 RNS196610:RNS262144 RXO196610:RXO262144 SHK196610:SHK262144 SRG196610:SRG262144 TBC196610:TBC262144 TKY196610:TKY262144 TUU196610:TUU262144 UEQ196610:UEQ262144 UOM196610:UOM262144 UYI196610:UYI262144 VIE196610:VIE262144 VSA196610:VSA262144 WBW196610:WBW262144 WLS196610:WLS262144 WVO196610:WVO262144 G262146:G327680 JC262146:JC327680 SY262146:SY327680 ACU262146:ACU327680 AMQ262146:AMQ327680 AWM262146:AWM327680 BGI262146:BGI327680 BQE262146:BQE327680 CAA262146:CAA327680 CJW262146:CJW327680 CTS262146:CTS327680 DDO262146:DDO327680 DNK262146:DNK327680 DXG262146:DXG327680 EHC262146:EHC327680 EQY262146:EQY327680 FAU262146:FAU327680 FKQ262146:FKQ327680 FUM262146:FUM327680 GEI262146:GEI327680 GOE262146:GOE327680 GYA262146:GYA327680 HHW262146:HHW327680 HRS262146:HRS327680 IBO262146:IBO327680 ILK262146:ILK327680 IVG262146:IVG327680 JFC262146:JFC327680 JOY262146:JOY327680 JYU262146:JYU327680 KIQ262146:KIQ327680 KSM262146:KSM327680 LCI262146:LCI327680 LME262146:LME327680 LWA262146:LWA327680 MFW262146:MFW327680 MPS262146:MPS327680 MZO262146:MZO327680 NJK262146:NJK327680 NTG262146:NTG327680 ODC262146:ODC327680 OMY262146:OMY327680 OWU262146:OWU327680 PGQ262146:PGQ327680 PQM262146:PQM327680 QAI262146:QAI327680 QKE262146:QKE327680 QUA262146:QUA327680 RDW262146:RDW327680 RNS262146:RNS327680 RXO262146:RXO327680 SHK262146:SHK327680 SRG262146:SRG327680 TBC262146:TBC327680 TKY262146:TKY327680 TUU262146:TUU327680 UEQ262146:UEQ327680 UOM262146:UOM327680 UYI262146:UYI327680 VIE262146:VIE327680 VSA262146:VSA327680 WBW262146:WBW327680 WLS262146:WLS327680 WVO262146:WVO327680 G327682:G393216 JC327682:JC393216 SY327682:SY393216 ACU327682:ACU393216 AMQ327682:AMQ393216 AWM327682:AWM393216 BGI327682:BGI393216 BQE327682:BQE393216 CAA327682:CAA393216 CJW327682:CJW393216 CTS327682:CTS393216 DDO327682:DDO393216 DNK327682:DNK393216 DXG327682:DXG393216 EHC327682:EHC393216 EQY327682:EQY393216 FAU327682:FAU393216 FKQ327682:FKQ393216 FUM327682:FUM393216 GEI327682:GEI393216 GOE327682:GOE393216 GYA327682:GYA393216 HHW327682:HHW393216 HRS327682:HRS393216 IBO327682:IBO393216 ILK327682:ILK393216 IVG327682:IVG393216 JFC327682:JFC393216 JOY327682:JOY393216 JYU327682:JYU393216 KIQ327682:KIQ393216 KSM327682:KSM393216 LCI327682:LCI393216 LME327682:LME393216 LWA327682:LWA393216 MFW327682:MFW393216 MPS327682:MPS393216 MZO327682:MZO393216 NJK327682:NJK393216 NTG327682:NTG393216 ODC327682:ODC393216 OMY327682:OMY393216 OWU327682:OWU393216 PGQ327682:PGQ393216 PQM327682:PQM393216 QAI327682:QAI393216 QKE327682:QKE393216 QUA327682:QUA393216 RDW327682:RDW393216 RNS327682:RNS393216 RXO327682:RXO393216 SHK327682:SHK393216 SRG327682:SRG393216 TBC327682:TBC393216 TKY327682:TKY393216 TUU327682:TUU393216 UEQ327682:UEQ393216 UOM327682:UOM393216 UYI327682:UYI393216 VIE327682:VIE393216 VSA327682:VSA393216 WBW327682:WBW393216 WLS327682:WLS393216 WVO327682:WVO393216 G393218:G458752 JC393218:JC458752 SY393218:SY458752 ACU393218:ACU458752 AMQ393218:AMQ458752 AWM393218:AWM458752 BGI393218:BGI458752 BQE393218:BQE458752 CAA393218:CAA458752 CJW393218:CJW458752 CTS393218:CTS458752 DDO393218:DDO458752 DNK393218:DNK458752 DXG393218:DXG458752 EHC393218:EHC458752 EQY393218:EQY458752 FAU393218:FAU458752 FKQ393218:FKQ458752 FUM393218:FUM458752 GEI393218:GEI458752 GOE393218:GOE458752 GYA393218:GYA458752 HHW393218:HHW458752 HRS393218:HRS458752 IBO393218:IBO458752 ILK393218:ILK458752 IVG393218:IVG458752 JFC393218:JFC458752 JOY393218:JOY458752 JYU393218:JYU458752 KIQ393218:KIQ458752 KSM393218:KSM458752 LCI393218:LCI458752 LME393218:LME458752 LWA393218:LWA458752 MFW393218:MFW458752 MPS393218:MPS458752 MZO393218:MZO458752 NJK393218:NJK458752 NTG393218:NTG458752 ODC393218:ODC458752 OMY393218:OMY458752 OWU393218:OWU458752 PGQ393218:PGQ458752 PQM393218:PQM458752 QAI393218:QAI458752 QKE393218:QKE458752 QUA393218:QUA458752 RDW393218:RDW458752 RNS393218:RNS458752 RXO393218:RXO458752 SHK393218:SHK458752 SRG393218:SRG458752 TBC393218:TBC458752 TKY393218:TKY458752 TUU393218:TUU458752 UEQ393218:UEQ458752 UOM393218:UOM458752 UYI393218:UYI458752 VIE393218:VIE458752 VSA393218:VSA458752 WBW393218:WBW458752 WLS393218:WLS458752 WVO393218:WVO458752 G458754:G524288 JC458754:JC524288 SY458754:SY524288 ACU458754:ACU524288 AMQ458754:AMQ524288 AWM458754:AWM524288 BGI458754:BGI524288 BQE458754:BQE524288 CAA458754:CAA524288 CJW458754:CJW524288 CTS458754:CTS524288 DDO458754:DDO524288 DNK458754:DNK524288 DXG458754:DXG524288 EHC458754:EHC524288 EQY458754:EQY524288 FAU458754:FAU524288 FKQ458754:FKQ524288 FUM458754:FUM524288 GEI458754:GEI524288 GOE458754:GOE524288 GYA458754:GYA524288 HHW458754:HHW524288 HRS458754:HRS524288 IBO458754:IBO524288 ILK458754:ILK524288 IVG458754:IVG524288 JFC458754:JFC524288 JOY458754:JOY524288 JYU458754:JYU524288 KIQ458754:KIQ524288 KSM458754:KSM524288 LCI458754:LCI524288 LME458754:LME524288 LWA458754:LWA524288 MFW458754:MFW524288 MPS458754:MPS524288 MZO458754:MZO524288 NJK458754:NJK524288 NTG458754:NTG524288 ODC458754:ODC524288 OMY458754:OMY524288 OWU458754:OWU524288 PGQ458754:PGQ524288 PQM458754:PQM524288 QAI458754:QAI524288 QKE458754:QKE524288 QUA458754:QUA524288 RDW458754:RDW524288 RNS458754:RNS524288 RXO458754:RXO524288 SHK458754:SHK524288 SRG458754:SRG524288 TBC458754:TBC524288 TKY458754:TKY524288 TUU458754:TUU524288 UEQ458754:UEQ524288 UOM458754:UOM524288 UYI458754:UYI524288 VIE458754:VIE524288 VSA458754:VSA524288 WBW458754:WBW524288 WLS458754:WLS524288 WVO458754:WVO524288 G524290:G589824 JC524290:JC589824 SY524290:SY589824 ACU524290:ACU589824 AMQ524290:AMQ589824 AWM524290:AWM589824 BGI524290:BGI589824 BQE524290:BQE589824 CAA524290:CAA589824 CJW524290:CJW589824 CTS524290:CTS589824 DDO524290:DDO589824 DNK524290:DNK589824 DXG524290:DXG589824 EHC524290:EHC589824 EQY524290:EQY589824 FAU524290:FAU589824 FKQ524290:FKQ589824 FUM524290:FUM589824 GEI524290:GEI589824 GOE524290:GOE589824 GYA524290:GYA589824 HHW524290:HHW589824 HRS524290:HRS589824 IBO524290:IBO589824 ILK524290:ILK589824 IVG524290:IVG589824 JFC524290:JFC589824 JOY524290:JOY589824 JYU524290:JYU589824 KIQ524290:KIQ589824 KSM524290:KSM589824 LCI524290:LCI589824 LME524290:LME589824 LWA524290:LWA589824 MFW524290:MFW589824 MPS524290:MPS589824 MZO524290:MZO589824 NJK524290:NJK589824 NTG524290:NTG589824 ODC524290:ODC589824 OMY524290:OMY589824 OWU524290:OWU589824 PGQ524290:PGQ589824 PQM524290:PQM589824 QAI524290:QAI589824 QKE524290:QKE589824 QUA524290:QUA589824 RDW524290:RDW589824 RNS524290:RNS589824 RXO524290:RXO589824 SHK524290:SHK589824 SRG524290:SRG589824 TBC524290:TBC589824 TKY524290:TKY589824 TUU524290:TUU589824 UEQ524290:UEQ589824 UOM524290:UOM589824 UYI524290:UYI589824 VIE524290:VIE589824 VSA524290:VSA589824 WBW524290:WBW589824 WLS524290:WLS589824 WVO524290:WVO589824 G589826:G655360 JC589826:JC655360 SY589826:SY655360 ACU589826:ACU655360 AMQ589826:AMQ655360 AWM589826:AWM655360 BGI589826:BGI655360 BQE589826:BQE655360 CAA589826:CAA655360 CJW589826:CJW655360 CTS589826:CTS655360 DDO589826:DDO655360 DNK589826:DNK655360 DXG589826:DXG655360 EHC589826:EHC655360 EQY589826:EQY655360 FAU589826:FAU655360 FKQ589826:FKQ655360 FUM589826:FUM655360 GEI589826:GEI655360 GOE589826:GOE655360 GYA589826:GYA655360 HHW589826:HHW655360 HRS589826:HRS655360 IBO589826:IBO655360 ILK589826:ILK655360 IVG589826:IVG655360 JFC589826:JFC655360 JOY589826:JOY655360 JYU589826:JYU655360 KIQ589826:KIQ655360 KSM589826:KSM655360 LCI589826:LCI655360 LME589826:LME655360 LWA589826:LWA655360 MFW589826:MFW655360 MPS589826:MPS655360 MZO589826:MZO655360 NJK589826:NJK655360 NTG589826:NTG655360 ODC589826:ODC655360 OMY589826:OMY655360 OWU589826:OWU655360 PGQ589826:PGQ655360 PQM589826:PQM655360 QAI589826:QAI655360 QKE589826:QKE655360 QUA589826:QUA655360 RDW589826:RDW655360 RNS589826:RNS655360 RXO589826:RXO655360 SHK589826:SHK655360 SRG589826:SRG655360 TBC589826:TBC655360 TKY589826:TKY655360 TUU589826:TUU655360 UEQ589826:UEQ655360 UOM589826:UOM655360 UYI589826:UYI655360 VIE589826:VIE655360 VSA589826:VSA655360 WBW589826:WBW655360 WLS589826:WLS655360 WVO589826:WVO655360 G655362:G720896 JC655362:JC720896 SY655362:SY720896 ACU655362:ACU720896 AMQ655362:AMQ720896 AWM655362:AWM720896 BGI655362:BGI720896 BQE655362:BQE720896 CAA655362:CAA720896 CJW655362:CJW720896 CTS655362:CTS720896 DDO655362:DDO720896 DNK655362:DNK720896 DXG655362:DXG720896 EHC655362:EHC720896 EQY655362:EQY720896 FAU655362:FAU720896 FKQ655362:FKQ720896 FUM655362:FUM720896 GEI655362:GEI720896 GOE655362:GOE720896 GYA655362:GYA720896 HHW655362:HHW720896 HRS655362:HRS720896 IBO655362:IBO720896 ILK655362:ILK720896 IVG655362:IVG720896 JFC655362:JFC720896 JOY655362:JOY720896 JYU655362:JYU720896 KIQ655362:KIQ720896 KSM655362:KSM720896 LCI655362:LCI720896 LME655362:LME720896 LWA655362:LWA720896 MFW655362:MFW720896 MPS655362:MPS720896 MZO655362:MZO720896 NJK655362:NJK720896 NTG655362:NTG720896 ODC655362:ODC720896 OMY655362:OMY720896 OWU655362:OWU720896 PGQ655362:PGQ720896 PQM655362:PQM720896 QAI655362:QAI720896 QKE655362:QKE720896 QUA655362:QUA720896 RDW655362:RDW720896 RNS655362:RNS720896 RXO655362:RXO720896 SHK655362:SHK720896 SRG655362:SRG720896 TBC655362:TBC720896 TKY655362:TKY720896 TUU655362:TUU720896 UEQ655362:UEQ720896 UOM655362:UOM720896 UYI655362:UYI720896 VIE655362:VIE720896 VSA655362:VSA720896 WBW655362:WBW720896 WLS655362:WLS720896 WVO655362:WVO720896 G720898:G786432 JC720898:JC786432 SY720898:SY786432 ACU720898:ACU786432 AMQ720898:AMQ786432 AWM720898:AWM786432 BGI720898:BGI786432 BQE720898:BQE786432 CAA720898:CAA786432 CJW720898:CJW786432 CTS720898:CTS786432 DDO720898:DDO786432 DNK720898:DNK786432 DXG720898:DXG786432 EHC720898:EHC786432 EQY720898:EQY786432 FAU720898:FAU786432 FKQ720898:FKQ786432 FUM720898:FUM786432 GEI720898:GEI786432 GOE720898:GOE786432 GYA720898:GYA786432 HHW720898:HHW786432 HRS720898:HRS786432 IBO720898:IBO786432 ILK720898:ILK786432 IVG720898:IVG786432 JFC720898:JFC786432 JOY720898:JOY786432 JYU720898:JYU786432 KIQ720898:KIQ786432 KSM720898:KSM786432 LCI720898:LCI786432 LME720898:LME786432 LWA720898:LWA786432 MFW720898:MFW786432 MPS720898:MPS786432 MZO720898:MZO786432 NJK720898:NJK786432 NTG720898:NTG786432 ODC720898:ODC786432 OMY720898:OMY786432 OWU720898:OWU786432 PGQ720898:PGQ786432 PQM720898:PQM786432 QAI720898:QAI786432 QKE720898:QKE786432 QUA720898:QUA786432 RDW720898:RDW786432 RNS720898:RNS786432 RXO720898:RXO786432 SHK720898:SHK786432 SRG720898:SRG786432 TBC720898:TBC786432 TKY720898:TKY786432 TUU720898:TUU786432 UEQ720898:UEQ786432 UOM720898:UOM786432 UYI720898:UYI786432 VIE720898:VIE786432 VSA720898:VSA786432 WBW720898:WBW786432 WLS720898:WLS786432 WVO720898:WVO786432 G786434:G851968 JC786434:JC851968 SY786434:SY851968 ACU786434:ACU851968 AMQ786434:AMQ851968 AWM786434:AWM851968 BGI786434:BGI851968 BQE786434:BQE851968 CAA786434:CAA851968 CJW786434:CJW851968 CTS786434:CTS851968 DDO786434:DDO851968 DNK786434:DNK851968 DXG786434:DXG851968 EHC786434:EHC851968 EQY786434:EQY851968 FAU786434:FAU851968 FKQ786434:FKQ851968 FUM786434:FUM851968 GEI786434:GEI851968 GOE786434:GOE851968 GYA786434:GYA851968 HHW786434:HHW851968 HRS786434:HRS851968 IBO786434:IBO851968 ILK786434:ILK851968 IVG786434:IVG851968 JFC786434:JFC851968 JOY786434:JOY851968 JYU786434:JYU851968 KIQ786434:KIQ851968 KSM786434:KSM851968 LCI786434:LCI851968 LME786434:LME851968 LWA786434:LWA851968 MFW786434:MFW851968 MPS786434:MPS851968 MZO786434:MZO851968 NJK786434:NJK851968 NTG786434:NTG851968 ODC786434:ODC851968 OMY786434:OMY851968 OWU786434:OWU851968 PGQ786434:PGQ851968 PQM786434:PQM851968 QAI786434:QAI851968 QKE786434:QKE851968 QUA786434:QUA851968 RDW786434:RDW851968 RNS786434:RNS851968 RXO786434:RXO851968 SHK786434:SHK851968 SRG786434:SRG851968 TBC786434:TBC851968 TKY786434:TKY851968 TUU786434:TUU851968 UEQ786434:UEQ851968 UOM786434:UOM851968 UYI786434:UYI851968 VIE786434:VIE851968 VSA786434:VSA851968 WBW786434:WBW851968 WLS786434:WLS851968 WVO786434:WVO851968 G851970:G917504 JC851970:JC917504 SY851970:SY917504 ACU851970:ACU917504 AMQ851970:AMQ917504 AWM851970:AWM917504 BGI851970:BGI917504 BQE851970:BQE917504 CAA851970:CAA917504 CJW851970:CJW917504 CTS851970:CTS917504 DDO851970:DDO917504 DNK851970:DNK917504 DXG851970:DXG917504 EHC851970:EHC917504 EQY851970:EQY917504 FAU851970:FAU917504 FKQ851970:FKQ917504 FUM851970:FUM917504 GEI851970:GEI917504 GOE851970:GOE917504 GYA851970:GYA917504 HHW851970:HHW917504 HRS851970:HRS917504 IBO851970:IBO917504 ILK851970:ILK917504 IVG851970:IVG917504 JFC851970:JFC917504 JOY851970:JOY917504 JYU851970:JYU917504 KIQ851970:KIQ917504 KSM851970:KSM917504 LCI851970:LCI917504 LME851970:LME917504 LWA851970:LWA917504 MFW851970:MFW917504 MPS851970:MPS917504 MZO851970:MZO917504 NJK851970:NJK917504 NTG851970:NTG917504 ODC851970:ODC917504 OMY851970:OMY917504 OWU851970:OWU917504 PGQ851970:PGQ917504 PQM851970:PQM917504 QAI851970:QAI917504 QKE851970:QKE917504 QUA851970:QUA917504 RDW851970:RDW917504 RNS851970:RNS917504 RXO851970:RXO917504 SHK851970:SHK917504 SRG851970:SRG917504 TBC851970:TBC917504 TKY851970:TKY917504 TUU851970:TUU917504 UEQ851970:UEQ917504 UOM851970:UOM917504 UYI851970:UYI917504 VIE851970:VIE917504 VSA851970:VSA917504 WBW851970:WBW917504 WLS851970:WLS917504 WVO851970:WVO917504 G917506:G983040 JC917506:JC983040 SY917506:SY983040 ACU917506:ACU983040 AMQ917506:AMQ983040 AWM917506:AWM983040 BGI917506:BGI983040 BQE917506:BQE983040 CAA917506:CAA983040 CJW917506:CJW983040 CTS917506:CTS983040 DDO917506:DDO983040 DNK917506:DNK983040 DXG917506:DXG983040 EHC917506:EHC983040 EQY917506:EQY983040 FAU917506:FAU983040 FKQ917506:FKQ983040 FUM917506:FUM983040 GEI917506:GEI983040 GOE917506:GOE983040 GYA917506:GYA983040 HHW917506:HHW983040 HRS917506:HRS983040 IBO917506:IBO983040 ILK917506:ILK983040 IVG917506:IVG983040 JFC917506:JFC983040 JOY917506:JOY983040 JYU917506:JYU983040 KIQ917506:KIQ983040 KSM917506:KSM983040 LCI917506:LCI983040 LME917506:LME983040 LWA917506:LWA983040 MFW917506:MFW983040 MPS917506:MPS983040 MZO917506:MZO983040 NJK917506:NJK983040 NTG917506:NTG983040 ODC917506:ODC983040 OMY917506:OMY983040 OWU917506:OWU983040 PGQ917506:PGQ983040 PQM917506:PQM983040 QAI917506:QAI983040 QKE917506:QKE983040 QUA917506:QUA983040 RDW917506:RDW983040 RNS917506:RNS983040 RXO917506:RXO983040 SHK917506:SHK983040 SRG917506:SRG983040 TBC917506:TBC983040 TKY917506:TKY983040 TUU917506:TUU983040 UEQ917506:UEQ983040 UOM917506:UOM983040 UYI917506:UYI983040 VIE917506:VIE983040 VSA917506:VSA983040 WBW917506:WBW983040 WLS917506:WLS983040 WVO917506:WVO983040 G983042:G1048576 JC983042:JC1048576 SY983042:SY1048576 ACU983042:ACU1048576 AMQ983042:AMQ1048576 AWM983042:AWM1048576 BGI983042:BGI1048576 BQE983042:BQE1048576 CAA983042:CAA1048576 CJW983042:CJW1048576 CTS983042:CTS1048576 DDO983042:DDO1048576 DNK983042:DNK1048576 DXG983042:DXG1048576 EHC983042:EHC1048576 EQY983042:EQY1048576 FAU983042:FAU1048576 FKQ983042:FKQ1048576 FUM983042:FUM1048576 GEI983042:GEI1048576 GOE983042:GOE1048576 GYA983042:GYA1048576 HHW983042:HHW1048576 HRS983042:HRS1048576 IBO983042:IBO1048576 ILK983042:ILK1048576 IVG983042:IVG1048576 JFC983042:JFC1048576 JOY983042:JOY1048576 JYU983042:JYU1048576 KIQ983042:KIQ1048576 KSM983042:KSM1048576 LCI983042:LCI1048576 LME983042:LME1048576 LWA983042:LWA1048576 MFW983042:MFW1048576 MPS983042:MPS1048576 MZO983042:MZO1048576 NJK983042:NJK1048576 NTG983042:NTG1048576 ODC983042:ODC1048576 OMY983042:OMY1048576 OWU983042:OWU1048576 PGQ983042:PGQ1048576 PQM983042:PQM1048576 QAI983042:QAI1048576 QKE983042:QKE1048576 QUA983042:QUA1048576 RDW983042:RDW1048576 RNS983042:RNS1048576 RXO983042:RXO1048576 SHK983042:SHK1048576 SRG983042:SRG1048576 TBC983042:TBC1048576 TKY983042:TKY1048576 TUU983042:TUU1048576 UEQ983042:UEQ1048576 UOM983042:UOM1048576 UYI983042:UYI1048576 VIE983042:VIE1048576 VSA983042:VSA1048576 WBW983042:WBW1048576 WLS983042:WLS1048576 WVO983042:WVO1048576 C1:C1048576 IY1:IY1048576 SU1:SU1048576 ACQ1:ACQ1048576 AMM1:AMM1048576 AWI1:AWI1048576 BGE1:BGE1048576 BQA1:BQA1048576 BZW1:BZW1048576 CJS1:CJS1048576 CTO1:CTO1048576 DDK1:DDK1048576 DNG1:DNG1048576 DXC1:DXC1048576 EGY1:EGY1048576 EQU1:EQU1048576 FAQ1:FAQ1048576 FKM1:FKM1048576 FUI1:FUI1048576 GEE1:GEE1048576 GOA1:GOA1048576 GXW1:GXW1048576 HHS1:HHS1048576 HRO1:HRO1048576 IBK1:IBK1048576 ILG1:ILG1048576 IVC1:IVC1048576 JEY1:JEY1048576 JOU1:JOU1048576 JYQ1:JYQ1048576 KIM1:KIM1048576 KSI1:KSI1048576 LCE1:LCE1048576 LMA1:LMA1048576 LVW1:LVW1048576 MFS1:MFS1048576 MPO1:MPO1048576 MZK1:MZK1048576 NJG1:NJG1048576 NTC1:NTC1048576 OCY1:OCY1048576 OMU1:OMU1048576 OWQ1:OWQ1048576 PGM1:PGM1048576 PQI1:PQI1048576 QAE1:QAE1048576 QKA1:QKA1048576 QTW1:QTW1048576 RDS1:RDS1048576 RNO1:RNO1048576 RXK1:RXK1048576 SHG1:SHG1048576 SRC1:SRC1048576 TAY1:TAY1048576 TKU1:TKU1048576 TUQ1:TUQ1048576 UEM1:UEM1048576 UOI1:UOI1048576 UYE1:UYE1048576 VIA1:VIA1048576 VRW1:VRW1048576 WBS1:WBS1048576 WLO1:WLO1048576 WVK1:WVK1048576 U2:U65536 JQ2:JQ65536 TM2:TM65536 ADI2:ADI65536 ANE2:ANE65536 AXA2:AXA65536 BGW2:BGW65536 BQS2:BQS65536 CAO2:CAO65536 CKK2:CKK65536 CUG2:CUG65536 DEC2:DEC65536 DNY2:DNY65536 DXU2:DXU65536 EHQ2:EHQ65536 ERM2:ERM65536 FBI2:FBI65536 FLE2:FLE65536 FVA2:FVA65536 GEW2:GEW65536 GOS2:GOS65536 GYO2:GYO65536 HIK2:HIK65536 HSG2:HSG65536 ICC2:ICC65536 ILY2:ILY65536 IVU2:IVU65536 JFQ2:JFQ65536 JPM2:JPM65536 JZI2:JZI65536 KJE2:KJE65536 KTA2:KTA65536 LCW2:LCW65536 LMS2:LMS65536 LWO2:LWO65536 MGK2:MGK65536 MQG2:MQG65536 NAC2:NAC65536 NJY2:NJY65536 NTU2:NTU65536 ODQ2:ODQ65536 ONM2:ONM65536 OXI2:OXI65536 PHE2:PHE65536 PRA2:PRA65536 QAW2:QAW65536 QKS2:QKS65536 QUO2:QUO65536 REK2:REK65536 ROG2:ROG65536 RYC2:RYC65536 SHY2:SHY65536 SRU2:SRU65536 TBQ2:TBQ65536 TLM2:TLM65536 TVI2:TVI65536 UFE2:UFE65536 UPA2:UPA65536 UYW2:UYW65536 VIS2:VIS65536 VSO2:VSO65536 WCK2:WCK65536 WMG2:WMG65536 WWC2:WWC65536 U65538:U131072 JQ65538:JQ131072 TM65538:TM131072 ADI65538:ADI131072 ANE65538:ANE131072 AXA65538:AXA131072 BGW65538:BGW131072 BQS65538:BQS131072 CAO65538:CAO131072 CKK65538:CKK131072 CUG65538:CUG131072 DEC65538:DEC131072 DNY65538:DNY131072 DXU65538:DXU131072 EHQ65538:EHQ131072 ERM65538:ERM131072 FBI65538:FBI131072 FLE65538:FLE131072 FVA65538:FVA131072 GEW65538:GEW131072 GOS65538:GOS131072 GYO65538:GYO131072 HIK65538:HIK131072 HSG65538:HSG131072 ICC65538:ICC131072 ILY65538:ILY131072 IVU65538:IVU131072 JFQ65538:JFQ131072 JPM65538:JPM131072 JZI65538:JZI131072 KJE65538:KJE131072 KTA65538:KTA131072 LCW65538:LCW131072 LMS65538:LMS131072 LWO65538:LWO131072 MGK65538:MGK131072 MQG65538:MQG131072 NAC65538:NAC131072 NJY65538:NJY131072 NTU65538:NTU131072 ODQ65538:ODQ131072 ONM65538:ONM131072 OXI65538:OXI131072 PHE65538:PHE131072 PRA65538:PRA131072 QAW65538:QAW131072 QKS65538:QKS131072 QUO65538:QUO131072 REK65538:REK131072 ROG65538:ROG131072 RYC65538:RYC131072 SHY65538:SHY131072 SRU65538:SRU131072 TBQ65538:TBQ131072 TLM65538:TLM131072 TVI65538:TVI131072 UFE65538:UFE131072 UPA65538:UPA131072 UYW65538:UYW131072 VIS65538:VIS131072 VSO65538:VSO131072 WCK65538:WCK131072 WMG65538:WMG131072 WWC65538:WWC131072 U131074:U196608 JQ131074:JQ196608 TM131074:TM196608 ADI131074:ADI196608 ANE131074:ANE196608 AXA131074:AXA196608 BGW131074:BGW196608 BQS131074:BQS196608 CAO131074:CAO196608 CKK131074:CKK196608 CUG131074:CUG196608 DEC131074:DEC196608 DNY131074:DNY196608 DXU131074:DXU196608 EHQ131074:EHQ196608 ERM131074:ERM196608 FBI131074:FBI196608 FLE131074:FLE196608 FVA131074:FVA196608 GEW131074:GEW196608 GOS131074:GOS196608 GYO131074:GYO196608 HIK131074:HIK196608 HSG131074:HSG196608 ICC131074:ICC196608 ILY131074:ILY196608 IVU131074:IVU196608 JFQ131074:JFQ196608 JPM131074:JPM196608 JZI131074:JZI196608 KJE131074:KJE196608 KTA131074:KTA196608 LCW131074:LCW196608 LMS131074:LMS196608 LWO131074:LWO196608 MGK131074:MGK196608 MQG131074:MQG196608 NAC131074:NAC196608 NJY131074:NJY196608 NTU131074:NTU196608 ODQ131074:ODQ196608 ONM131074:ONM196608 OXI131074:OXI196608 PHE131074:PHE196608 PRA131074:PRA196608 QAW131074:QAW196608 QKS131074:QKS196608 QUO131074:QUO196608 REK131074:REK196608 ROG131074:ROG196608 RYC131074:RYC196608 SHY131074:SHY196608 SRU131074:SRU196608 TBQ131074:TBQ196608 TLM131074:TLM196608 TVI131074:TVI196608 UFE131074:UFE196608 UPA131074:UPA196608 UYW131074:UYW196608 VIS131074:VIS196608 VSO131074:VSO196608 WCK131074:WCK196608 WMG131074:WMG196608 WWC131074:WWC196608 U196610:U262144 JQ196610:JQ262144 TM196610:TM262144 ADI196610:ADI262144 ANE196610:ANE262144 AXA196610:AXA262144 BGW196610:BGW262144 BQS196610:BQS262144 CAO196610:CAO262144 CKK196610:CKK262144 CUG196610:CUG262144 DEC196610:DEC262144 DNY196610:DNY262144 DXU196610:DXU262144 EHQ196610:EHQ262144 ERM196610:ERM262144 FBI196610:FBI262144 FLE196610:FLE262144 FVA196610:FVA262144 GEW196610:GEW262144 GOS196610:GOS262144 GYO196610:GYO262144 HIK196610:HIK262144 HSG196610:HSG262144 ICC196610:ICC262144 ILY196610:ILY262144 IVU196610:IVU262144 JFQ196610:JFQ262144 JPM196610:JPM262144 JZI196610:JZI262144 KJE196610:KJE262144 KTA196610:KTA262144 LCW196610:LCW262144 LMS196610:LMS262144 LWO196610:LWO262144 MGK196610:MGK262144 MQG196610:MQG262144 NAC196610:NAC262144 NJY196610:NJY262144 NTU196610:NTU262144 ODQ196610:ODQ262144 ONM196610:ONM262144 OXI196610:OXI262144 PHE196610:PHE262144 PRA196610:PRA262144 QAW196610:QAW262144 QKS196610:QKS262144 QUO196610:QUO262144 REK196610:REK262144 ROG196610:ROG262144 RYC196610:RYC262144 SHY196610:SHY262144 SRU196610:SRU262144 TBQ196610:TBQ262144 TLM196610:TLM262144 TVI196610:TVI262144 UFE196610:UFE262144 UPA196610:UPA262144 UYW196610:UYW262144 VIS196610:VIS262144 VSO196610:VSO262144 WCK196610:WCK262144 WMG196610:WMG262144 WWC196610:WWC262144 U262146:U327680 JQ262146:JQ327680 TM262146:TM327680 ADI262146:ADI327680 ANE262146:ANE327680 AXA262146:AXA327680 BGW262146:BGW327680 BQS262146:BQS327680 CAO262146:CAO327680 CKK262146:CKK327680 CUG262146:CUG327680 DEC262146:DEC327680 DNY262146:DNY327680 DXU262146:DXU327680 EHQ262146:EHQ327680 ERM262146:ERM327680 FBI262146:FBI327680 FLE262146:FLE327680 FVA262146:FVA327680 GEW262146:GEW327680 GOS262146:GOS327680 GYO262146:GYO327680 HIK262146:HIK327680 HSG262146:HSG327680 ICC262146:ICC327680 ILY262146:ILY327680 IVU262146:IVU327680 JFQ262146:JFQ327680 JPM262146:JPM327680 JZI262146:JZI327680 KJE262146:KJE327680 KTA262146:KTA327680 LCW262146:LCW327680 LMS262146:LMS327680 LWO262146:LWO327680 MGK262146:MGK327680 MQG262146:MQG327680 NAC262146:NAC327680 NJY262146:NJY327680 NTU262146:NTU327680 ODQ262146:ODQ327680 ONM262146:ONM327680 OXI262146:OXI327680 PHE262146:PHE327680 PRA262146:PRA327680 QAW262146:QAW327680 QKS262146:QKS327680 QUO262146:QUO327680 REK262146:REK327680 ROG262146:ROG327680 RYC262146:RYC327680 SHY262146:SHY327680 SRU262146:SRU327680 TBQ262146:TBQ327680 TLM262146:TLM327680 TVI262146:TVI327680 UFE262146:UFE327680 UPA262146:UPA327680 UYW262146:UYW327680 VIS262146:VIS327680 VSO262146:VSO327680 WCK262146:WCK327680 WMG262146:WMG327680 WWC262146:WWC327680 U327682:U393216 JQ327682:JQ393216 TM327682:TM393216 ADI327682:ADI393216 ANE327682:ANE393216 AXA327682:AXA393216 BGW327682:BGW393216 BQS327682:BQS393216 CAO327682:CAO393216 CKK327682:CKK393216 CUG327682:CUG393216 DEC327682:DEC393216 DNY327682:DNY393216 DXU327682:DXU393216 EHQ327682:EHQ393216 ERM327682:ERM393216 FBI327682:FBI393216 FLE327682:FLE393216 FVA327682:FVA393216 GEW327682:GEW393216 GOS327682:GOS393216 GYO327682:GYO393216 HIK327682:HIK393216 HSG327682:HSG393216 ICC327682:ICC393216 ILY327682:ILY393216 IVU327682:IVU393216 JFQ327682:JFQ393216 JPM327682:JPM393216 JZI327682:JZI393216 KJE327682:KJE393216 KTA327682:KTA393216 LCW327682:LCW393216 LMS327682:LMS393216 LWO327682:LWO393216 MGK327682:MGK393216 MQG327682:MQG393216 NAC327682:NAC393216 NJY327682:NJY393216 NTU327682:NTU393216 ODQ327682:ODQ393216 ONM327682:ONM393216 OXI327682:OXI393216 PHE327682:PHE393216 PRA327682:PRA393216 QAW327682:QAW393216 QKS327682:QKS393216 QUO327682:QUO393216 REK327682:REK393216 ROG327682:ROG393216 RYC327682:RYC393216 SHY327682:SHY393216 SRU327682:SRU393216 TBQ327682:TBQ393216 TLM327682:TLM393216 TVI327682:TVI393216 UFE327682:UFE393216 UPA327682:UPA393216 UYW327682:UYW393216 VIS327682:VIS393216 VSO327682:VSO393216 WCK327682:WCK393216 WMG327682:WMG393216 WWC327682:WWC393216 U393218:U458752 JQ393218:JQ458752 TM393218:TM458752 ADI393218:ADI458752 ANE393218:ANE458752 AXA393218:AXA458752 BGW393218:BGW458752 BQS393218:BQS458752 CAO393218:CAO458752 CKK393218:CKK458752 CUG393218:CUG458752 DEC393218:DEC458752 DNY393218:DNY458752 DXU393218:DXU458752 EHQ393218:EHQ458752 ERM393218:ERM458752 FBI393218:FBI458752 FLE393218:FLE458752 FVA393218:FVA458752 GEW393218:GEW458752 GOS393218:GOS458752 GYO393218:GYO458752 HIK393218:HIK458752 HSG393218:HSG458752 ICC393218:ICC458752 ILY393218:ILY458752 IVU393218:IVU458752 JFQ393218:JFQ458752 JPM393218:JPM458752 JZI393218:JZI458752 KJE393218:KJE458752 KTA393218:KTA458752 LCW393218:LCW458752 LMS393218:LMS458752 LWO393218:LWO458752 MGK393218:MGK458752 MQG393218:MQG458752 NAC393218:NAC458752 NJY393218:NJY458752 NTU393218:NTU458752 ODQ393218:ODQ458752 ONM393218:ONM458752 OXI393218:OXI458752 PHE393218:PHE458752 PRA393218:PRA458752 QAW393218:QAW458752 QKS393218:QKS458752 QUO393218:QUO458752 REK393218:REK458752 ROG393218:ROG458752 RYC393218:RYC458752 SHY393218:SHY458752 SRU393218:SRU458752 TBQ393218:TBQ458752 TLM393218:TLM458752 TVI393218:TVI458752 UFE393218:UFE458752 UPA393218:UPA458752 UYW393218:UYW458752 VIS393218:VIS458752 VSO393218:VSO458752 WCK393218:WCK458752 WMG393218:WMG458752 WWC393218:WWC458752 U458754:U524288 JQ458754:JQ524288 TM458754:TM524288 ADI458754:ADI524288 ANE458754:ANE524288 AXA458754:AXA524288 BGW458754:BGW524288 BQS458754:BQS524288 CAO458754:CAO524288 CKK458754:CKK524288 CUG458754:CUG524288 DEC458754:DEC524288 DNY458754:DNY524288 DXU458754:DXU524288 EHQ458754:EHQ524288 ERM458754:ERM524288 FBI458754:FBI524288 FLE458754:FLE524288 FVA458754:FVA524288 GEW458754:GEW524288 GOS458754:GOS524288 GYO458754:GYO524288 HIK458754:HIK524288 HSG458754:HSG524288 ICC458754:ICC524288 ILY458754:ILY524288 IVU458754:IVU524288 JFQ458754:JFQ524288 JPM458754:JPM524288 JZI458754:JZI524288 KJE458754:KJE524288 KTA458754:KTA524288 LCW458754:LCW524288 LMS458754:LMS524288 LWO458754:LWO524288 MGK458754:MGK524288 MQG458754:MQG524288 NAC458754:NAC524288 NJY458754:NJY524288 NTU458754:NTU524288 ODQ458754:ODQ524288 ONM458754:ONM524288 OXI458754:OXI524288 PHE458754:PHE524288 PRA458754:PRA524288 QAW458754:QAW524288 QKS458754:QKS524288 QUO458754:QUO524288 REK458754:REK524288 ROG458754:ROG524288 RYC458754:RYC524288 SHY458754:SHY524288 SRU458754:SRU524288 TBQ458754:TBQ524288 TLM458754:TLM524288 TVI458754:TVI524288 UFE458754:UFE524288 UPA458754:UPA524288 UYW458754:UYW524288 VIS458754:VIS524288 VSO458754:VSO524288 WCK458754:WCK524288 WMG458754:WMG524288 WWC458754:WWC524288 U524290:U589824 JQ524290:JQ589824 TM524290:TM589824 ADI524290:ADI589824 ANE524290:ANE589824 AXA524290:AXA589824 BGW524290:BGW589824 BQS524290:BQS589824 CAO524290:CAO589824 CKK524290:CKK589824 CUG524290:CUG589824 DEC524290:DEC589824 DNY524290:DNY589824 DXU524290:DXU589824 EHQ524290:EHQ589824 ERM524290:ERM589824 FBI524290:FBI589824 FLE524290:FLE589824 FVA524290:FVA589824 GEW524290:GEW589824 GOS524290:GOS589824 GYO524290:GYO589824 HIK524290:HIK589824 HSG524290:HSG589824 ICC524290:ICC589824 ILY524290:ILY589824 IVU524290:IVU589824 JFQ524290:JFQ589824 JPM524290:JPM589824 JZI524290:JZI589824 KJE524290:KJE589824 KTA524290:KTA589824 LCW524290:LCW589824 LMS524290:LMS589824 LWO524290:LWO589824 MGK524290:MGK589824 MQG524290:MQG589824 NAC524290:NAC589824 NJY524290:NJY589824 NTU524290:NTU589824 ODQ524290:ODQ589824 ONM524290:ONM589824 OXI524290:OXI589824 PHE524290:PHE589824 PRA524290:PRA589824 QAW524290:QAW589824 QKS524290:QKS589824 QUO524290:QUO589824 REK524290:REK589824 ROG524290:ROG589824 RYC524290:RYC589824 SHY524290:SHY589824 SRU524290:SRU589824 TBQ524290:TBQ589824 TLM524290:TLM589824 TVI524290:TVI589824 UFE524290:UFE589824 UPA524290:UPA589824 UYW524290:UYW589824 VIS524290:VIS589824 VSO524290:VSO589824 WCK524290:WCK589824 WMG524290:WMG589824 WWC524290:WWC589824 U589826:U655360 JQ589826:JQ655360 TM589826:TM655360 ADI589826:ADI655360 ANE589826:ANE655360 AXA589826:AXA655360 BGW589826:BGW655360 BQS589826:BQS655360 CAO589826:CAO655360 CKK589826:CKK655360 CUG589826:CUG655360 DEC589826:DEC655360 DNY589826:DNY655360 DXU589826:DXU655360 EHQ589826:EHQ655360 ERM589826:ERM655360 FBI589826:FBI655360 FLE589826:FLE655360 FVA589826:FVA655360 GEW589826:GEW655360 GOS589826:GOS655360 GYO589826:GYO655360 HIK589826:HIK655360 HSG589826:HSG655360 ICC589826:ICC655360 ILY589826:ILY655360 IVU589826:IVU655360 JFQ589826:JFQ655360 JPM589826:JPM655360 JZI589826:JZI655360 KJE589826:KJE655360 KTA589826:KTA655360 LCW589826:LCW655360 LMS589826:LMS655360 LWO589826:LWO655360 MGK589826:MGK655360 MQG589826:MQG655360 NAC589826:NAC655360 NJY589826:NJY655360 NTU589826:NTU655360 ODQ589826:ODQ655360 ONM589826:ONM655360 OXI589826:OXI655360 PHE589826:PHE655360 PRA589826:PRA655360 QAW589826:QAW655360 QKS589826:QKS655360 QUO589826:QUO655360 REK589826:REK655360 ROG589826:ROG655360 RYC589826:RYC655360 SHY589826:SHY655360 SRU589826:SRU655360 TBQ589826:TBQ655360 TLM589826:TLM655360 TVI589826:TVI655360 UFE589826:UFE655360 UPA589826:UPA655360 UYW589826:UYW655360 VIS589826:VIS655360 VSO589826:VSO655360 WCK589826:WCK655360 WMG589826:WMG655360 WWC589826:WWC655360 U655362:U720896 JQ655362:JQ720896 TM655362:TM720896 ADI655362:ADI720896 ANE655362:ANE720896 AXA655362:AXA720896 BGW655362:BGW720896 BQS655362:BQS720896 CAO655362:CAO720896 CKK655362:CKK720896 CUG655362:CUG720896 DEC655362:DEC720896 DNY655362:DNY720896 DXU655362:DXU720896 EHQ655362:EHQ720896 ERM655362:ERM720896 FBI655362:FBI720896 FLE655362:FLE720896 FVA655362:FVA720896 GEW655362:GEW720896 GOS655362:GOS720896 GYO655362:GYO720896 HIK655362:HIK720896 HSG655362:HSG720896 ICC655362:ICC720896 ILY655362:ILY720896 IVU655362:IVU720896 JFQ655362:JFQ720896 JPM655362:JPM720896 JZI655362:JZI720896 KJE655362:KJE720896 KTA655362:KTA720896 LCW655362:LCW720896 LMS655362:LMS720896 LWO655362:LWO720896 MGK655362:MGK720896 MQG655362:MQG720896 NAC655362:NAC720896 NJY655362:NJY720896 NTU655362:NTU720896 ODQ655362:ODQ720896 ONM655362:ONM720896 OXI655362:OXI720896 PHE655362:PHE720896 PRA655362:PRA720896 QAW655362:QAW720896 QKS655362:QKS720896 QUO655362:QUO720896 REK655362:REK720896 ROG655362:ROG720896 RYC655362:RYC720896 SHY655362:SHY720896 SRU655362:SRU720896 TBQ655362:TBQ720896 TLM655362:TLM720896 TVI655362:TVI720896 UFE655362:UFE720896 UPA655362:UPA720896 UYW655362:UYW720896 VIS655362:VIS720896 VSO655362:VSO720896 WCK655362:WCK720896 WMG655362:WMG720896 WWC655362:WWC720896 U720898:U786432 JQ720898:JQ786432 TM720898:TM786432 ADI720898:ADI786432 ANE720898:ANE786432 AXA720898:AXA786432 BGW720898:BGW786432 BQS720898:BQS786432 CAO720898:CAO786432 CKK720898:CKK786432 CUG720898:CUG786432 DEC720898:DEC786432 DNY720898:DNY786432 DXU720898:DXU786432 EHQ720898:EHQ786432 ERM720898:ERM786432 FBI720898:FBI786432 FLE720898:FLE786432 FVA720898:FVA786432 GEW720898:GEW786432 GOS720898:GOS786432 GYO720898:GYO786432 HIK720898:HIK786432 HSG720898:HSG786432 ICC720898:ICC786432 ILY720898:ILY786432 IVU720898:IVU786432 JFQ720898:JFQ786432 JPM720898:JPM786432 JZI720898:JZI786432 KJE720898:KJE786432 KTA720898:KTA786432 LCW720898:LCW786432 LMS720898:LMS786432 LWO720898:LWO786432 MGK720898:MGK786432 MQG720898:MQG786432 NAC720898:NAC786432 NJY720898:NJY786432 NTU720898:NTU786432 ODQ720898:ODQ786432 ONM720898:ONM786432 OXI720898:OXI786432 PHE720898:PHE786432 PRA720898:PRA786432 QAW720898:QAW786432 QKS720898:QKS786432 QUO720898:QUO786432 REK720898:REK786432 ROG720898:ROG786432 RYC720898:RYC786432 SHY720898:SHY786432 SRU720898:SRU786432 TBQ720898:TBQ786432 TLM720898:TLM786432 TVI720898:TVI786432 UFE720898:UFE786432 UPA720898:UPA786432 UYW720898:UYW786432 VIS720898:VIS786432 VSO720898:VSO786432 WCK720898:WCK786432 WMG720898:WMG786432 WWC720898:WWC786432 U786434:U851968 JQ786434:JQ851968 TM786434:TM851968 ADI786434:ADI851968 ANE786434:ANE851968 AXA786434:AXA851968 BGW786434:BGW851968 BQS786434:BQS851968 CAO786434:CAO851968 CKK786434:CKK851968 CUG786434:CUG851968 DEC786434:DEC851968 DNY786434:DNY851968 DXU786434:DXU851968 EHQ786434:EHQ851968 ERM786434:ERM851968 FBI786434:FBI851968 FLE786434:FLE851968 FVA786434:FVA851968 GEW786434:GEW851968 GOS786434:GOS851968 GYO786434:GYO851968 HIK786434:HIK851968 HSG786434:HSG851968 ICC786434:ICC851968 ILY786434:ILY851968 IVU786434:IVU851968 JFQ786434:JFQ851968 JPM786434:JPM851968 JZI786434:JZI851968 KJE786434:KJE851968 KTA786434:KTA851968 LCW786434:LCW851968 LMS786434:LMS851968 LWO786434:LWO851968 MGK786434:MGK851968 MQG786434:MQG851968 NAC786434:NAC851968 NJY786434:NJY851968 NTU786434:NTU851968 ODQ786434:ODQ851968 ONM786434:ONM851968 OXI786434:OXI851968 PHE786434:PHE851968 PRA786434:PRA851968 QAW786434:QAW851968 QKS786434:QKS851968 QUO786434:QUO851968 REK786434:REK851968 ROG786434:ROG851968 RYC786434:RYC851968 SHY786434:SHY851968 SRU786434:SRU851968 TBQ786434:TBQ851968 TLM786434:TLM851968 TVI786434:TVI851968 UFE786434:UFE851968 UPA786434:UPA851968 UYW786434:UYW851968 VIS786434:VIS851968 VSO786434:VSO851968 WCK786434:WCK851968 WMG786434:WMG851968 WWC786434:WWC851968 U851970:U917504 JQ851970:JQ917504 TM851970:TM917504 ADI851970:ADI917504 ANE851970:ANE917504 AXA851970:AXA917504 BGW851970:BGW917504 BQS851970:BQS917504 CAO851970:CAO917504 CKK851970:CKK917504 CUG851970:CUG917504 DEC851970:DEC917504 DNY851970:DNY917504 DXU851970:DXU917504 EHQ851970:EHQ917504 ERM851970:ERM917504 FBI851970:FBI917504 FLE851970:FLE917504 FVA851970:FVA917504 GEW851970:GEW917504 GOS851970:GOS917504 GYO851970:GYO917504 HIK851970:HIK917504 HSG851970:HSG917504 ICC851970:ICC917504 ILY851970:ILY917504 IVU851970:IVU917504 JFQ851970:JFQ917504 JPM851970:JPM917504 JZI851970:JZI917504 KJE851970:KJE917504 KTA851970:KTA917504 LCW851970:LCW917504 LMS851970:LMS917504 LWO851970:LWO917504 MGK851970:MGK917504 MQG851970:MQG917504 NAC851970:NAC917504 NJY851970:NJY917504 NTU851970:NTU917504 ODQ851970:ODQ917504 ONM851970:ONM917504 OXI851970:OXI917504 PHE851970:PHE917504 PRA851970:PRA917504 QAW851970:QAW917504 QKS851970:QKS917504 QUO851970:QUO917504 REK851970:REK917504 ROG851970:ROG917504 RYC851970:RYC917504 SHY851970:SHY917504 SRU851970:SRU917504 TBQ851970:TBQ917504 TLM851970:TLM917504 TVI851970:TVI917504 UFE851970:UFE917504 UPA851970:UPA917504 UYW851970:UYW917504 VIS851970:VIS917504 VSO851970:VSO917504 WCK851970:WCK917504 WMG851970:WMG917504 WWC851970:WWC917504 U917506:U983040 JQ917506:JQ983040 TM917506:TM983040 ADI917506:ADI983040 ANE917506:ANE983040 AXA917506:AXA983040 BGW917506:BGW983040 BQS917506:BQS983040 CAO917506:CAO983040 CKK917506:CKK983040 CUG917506:CUG983040 DEC917506:DEC983040 DNY917506:DNY983040 DXU917506:DXU983040 EHQ917506:EHQ983040 ERM917506:ERM983040 FBI917506:FBI983040 FLE917506:FLE983040 FVA917506:FVA983040 GEW917506:GEW983040 GOS917506:GOS983040 GYO917506:GYO983040 HIK917506:HIK983040 HSG917506:HSG983040 ICC917506:ICC983040 ILY917506:ILY983040 IVU917506:IVU983040 JFQ917506:JFQ983040 JPM917506:JPM983040 JZI917506:JZI983040 KJE917506:KJE983040 KTA917506:KTA983040 LCW917506:LCW983040 LMS917506:LMS983040 LWO917506:LWO983040 MGK917506:MGK983040 MQG917506:MQG983040 NAC917506:NAC983040 NJY917506:NJY983040 NTU917506:NTU983040 ODQ917506:ODQ983040 ONM917506:ONM983040 OXI917506:OXI983040 PHE917506:PHE983040 PRA917506:PRA983040 QAW917506:QAW983040 QKS917506:QKS983040 QUO917506:QUO983040 REK917506:REK983040 ROG917506:ROG983040 RYC917506:RYC983040 SHY917506:SHY983040 SRU917506:SRU983040 TBQ917506:TBQ983040 TLM917506:TLM983040 TVI917506:TVI983040 UFE917506:UFE983040 UPA917506:UPA983040 UYW917506:UYW983040 VIS917506:VIS983040 VSO917506:VSO983040 WCK917506:WCK983040 WMG917506:WMG983040 WWC917506:WWC983040 U983042:U1048576 JQ983042:JQ1048576 TM983042:TM1048576 ADI983042:ADI1048576 ANE983042:ANE1048576 AXA983042:AXA1048576 BGW983042:BGW1048576 BQS983042:BQS1048576 CAO983042:CAO1048576 CKK983042:CKK1048576 CUG983042:CUG1048576 DEC983042:DEC1048576 DNY983042:DNY1048576 DXU983042:DXU1048576 EHQ983042:EHQ1048576 ERM983042:ERM1048576 FBI983042:FBI1048576 FLE983042:FLE1048576 FVA983042:FVA1048576 GEW983042:GEW1048576 GOS983042:GOS1048576 GYO983042:GYO1048576 HIK983042:HIK1048576 HSG983042:HSG1048576 ICC983042:ICC1048576 ILY983042:ILY1048576 IVU983042:IVU1048576 JFQ983042:JFQ1048576 JPM983042:JPM1048576 JZI983042:JZI1048576 KJE983042:KJE1048576 KTA983042:KTA1048576 LCW983042:LCW1048576 LMS983042:LMS1048576 LWO983042:LWO1048576 MGK983042:MGK1048576 MQG983042:MQG1048576 NAC983042:NAC1048576 NJY983042:NJY1048576 NTU983042:NTU1048576 ODQ983042:ODQ1048576 ONM983042:ONM1048576 OXI983042:OXI1048576 PHE983042:PHE1048576 PRA983042:PRA1048576 QAW983042:QAW1048576 QKS983042:QKS1048576 QUO983042:QUO1048576 REK983042:REK1048576 ROG983042:ROG1048576 RYC983042:RYC1048576 SHY983042:SHY1048576 SRU983042:SRU1048576 TBQ983042:TBQ1048576 TLM983042:TLM1048576 TVI983042:TVI1048576 UFE983042:UFE1048576 UPA983042:UPA1048576 UYW983042:UYW1048576 VIS983042:VIS1048576 VSO983042:VSO1048576 WCK983042:WCK1048576 WMG983042:WMG1048576 WWC983042:WWC1048576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Password Generation</vt:lpstr>
      <vt:lpstr>Checkboxes</vt:lpstr>
      <vt:lpstr>Create Folder Structure</vt:lpstr>
      <vt:lpstr>ImportFolderStructureFromDisk</vt:lpstr>
      <vt:lpstr>AutoStartMacro-KeyboardAction</vt:lpstr>
      <vt:lpstr>SearchLookup</vt:lpstr>
      <vt:lpstr>OpenSaveDialog</vt:lpstr>
      <vt:lpstr>PhoneBook vCard Exporter</vt:lpstr>
      <vt:lpstr>AlternativeEncoding</vt:lpstr>
      <vt:lpstr>browseFolderLocation</vt:lpstr>
      <vt:lpstr>ExportFileName</vt:lpstr>
      <vt:lpstr>FirstDataColumn</vt:lpstr>
      <vt:lpstr>FirstDataRow</vt:lpstr>
      <vt:lpstr>LastDataColumn</vt:lpstr>
    </vt:vector>
  </TitlesOfParts>
  <Company/>
  <LinksUpToDate>false</LinksUpToDate>
  <SharedDoc>false</SharedDoc>
  <HyperlinkBase>http://mytselection.blogspot.com</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myT</dc:creator>
  <cp:lastModifiedBy/>
  <dcterms:created xsi:type="dcterms:W3CDTF">2012-09-29T13:29:34Z</dcterms:created>
  <dcterms:modified xsi:type="dcterms:W3CDTF">2014-02-17T10:26:31Z</dcterms:modified>
</cp:coreProperties>
</file>