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template.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240" yWindow="450" windowWidth="24795" windowHeight="12705" tabRatio="423"/>
  </bookViews>
  <sheets>
    <sheet name="Punten teller" sheetId="1" r:id="rId1"/>
    <sheet name="Totaal" sheetId="4" r:id="rId2"/>
    <sheet name="Config" sheetId="5" state="hidden" r:id="rId3"/>
    <sheet name="MailMerge" sheetId="6" state="hidden" r:id="rId4"/>
  </sheets>
  <definedNames>
    <definedName name="addtototalslabel">Config!$B$9</definedName>
    <definedName name="clearlabel">Config!$B$8</definedName>
    <definedName name="commentaarcolumn">Config!$B$30</definedName>
    <definedName name="commentaarlabel">Config!$B$16</definedName>
    <definedName name="gewichtlabel">Config!$B$4</definedName>
    <definedName name="halfpointdata">'Punten teller'!$R$9</definedName>
    <definedName name="maxllabel">Config!$B$3</definedName>
    <definedName name="naamdeellabel">Config!$B$5</definedName>
    <definedName name="nextlabel">Config!$B$10</definedName>
    <definedName name="oneandhalfpointdata">'Punten teller'!$R$11</definedName>
    <definedName name="onepointdata">'Punten teller'!$R$10</definedName>
    <definedName name="puntentellerdataendrow">Config!$B$24</definedName>
    <definedName name="puntentellerdatastartrow">Config!$B$23</definedName>
    <definedName name="puntentellerresultrow">Config!$B$25</definedName>
    <definedName name="puntentellersheetname">Config!$B$1</definedName>
    <definedName name="puntentellerstartcolumn">Config!$B$26</definedName>
    <definedName name="statusmessage">Config!$B$22</definedName>
    <definedName name="statusmessagemaxparam">Config!$B$18</definedName>
    <definedName name="statusmessagepartparam">Config!$B$21</definedName>
    <definedName name="statusmessagepointsparam">Config!$B$17</definedName>
    <definedName name="statusmessagestudentnameparam">Config!$B$20</definedName>
    <definedName name="statusmessagestudentnrparam">Config!$B$19</definedName>
    <definedName name="studentnaamlabel">Config!$B$12</definedName>
    <definedName name="studentnrlabel">Config!$B$11</definedName>
    <definedName name="subtotaallabel">Config!$B$15</definedName>
    <definedName name="totaalop">Config!$B$14</definedName>
    <definedName name="totaldataendrow">Config!$B$28</definedName>
    <definedName name="totaldatastartcolumn">Config!$B$29</definedName>
    <definedName name="totaldatastartrow">Config!$B$27</definedName>
    <definedName name="totaldatastudentnamecolumn">Config!$B$32</definedName>
    <definedName name="totaldatastudentnrcolumn">Config!$B$31</definedName>
    <definedName name="totalsheetname">Config!$B$2</definedName>
  </definedNames>
  <calcPr calcId="125725"/>
</workbook>
</file>

<file path=xl/calcChain.xml><?xml version="1.0" encoding="utf-8"?>
<calcChain xmlns="http://schemas.openxmlformats.org/spreadsheetml/2006/main">
  <c r="B5" i="1"/>
  <c r="C5"/>
  <c r="D5"/>
  <c r="E5"/>
  <c r="F5"/>
  <c r="G5"/>
  <c r="H5"/>
  <c r="I5"/>
  <c r="J5"/>
  <c r="K5"/>
  <c r="L5"/>
  <c r="M5"/>
  <c r="N5"/>
  <c r="O5"/>
  <c r="P5"/>
  <c r="A5"/>
  <c r="B4"/>
  <c r="C4"/>
  <c r="D4"/>
  <c r="E4"/>
  <c r="F4"/>
  <c r="G4"/>
  <c r="H4"/>
  <c r="I4"/>
  <c r="J4"/>
  <c r="K4"/>
  <c r="L4"/>
  <c r="M4"/>
  <c r="N4"/>
  <c r="O4"/>
  <c r="P4"/>
  <c r="A4"/>
  <c r="B14" i="5"/>
  <c r="BR4" i="6"/>
  <c r="BR5"/>
  <c r="BR6"/>
  <c r="BR7"/>
  <c r="BR8"/>
  <c r="BR9"/>
  <c r="BR10"/>
  <c r="BR11"/>
  <c r="BR12"/>
  <c r="BR13"/>
  <c r="BR14"/>
  <c r="BR15"/>
  <c r="BR16"/>
  <c r="BR17"/>
  <c r="BR18"/>
  <c r="BR19"/>
  <c r="BR20"/>
  <c r="BR21"/>
  <c r="BR22"/>
  <c r="BR23"/>
  <c r="BR24"/>
  <c r="BR25"/>
  <c r="BR26"/>
  <c r="BR27"/>
  <c r="BR28"/>
  <c r="BR29"/>
  <c r="BR30"/>
  <c r="BR31"/>
  <c r="BR32"/>
  <c r="BR33"/>
  <c r="BR34"/>
  <c r="BR35"/>
  <c r="BR36"/>
  <c r="BR37"/>
  <c r="BR38"/>
  <c r="BR39"/>
  <c r="BR40"/>
  <c r="BR41"/>
  <c r="BR42"/>
  <c r="BR43"/>
  <c r="BR44"/>
  <c r="BR45"/>
  <c r="BR46"/>
  <c r="BR47"/>
  <c r="BR48"/>
  <c r="BR49"/>
  <c r="BR50"/>
  <c r="BR51"/>
  <c r="BR52"/>
  <c r="BR53"/>
  <c r="BR54"/>
  <c r="BR55"/>
  <c r="BR56"/>
  <c r="BR57"/>
  <c r="BR58"/>
  <c r="BR59"/>
  <c r="BR60"/>
  <c r="BR61"/>
  <c r="BR62"/>
  <c r="BR63"/>
  <c r="BR64"/>
  <c r="BR65"/>
  <c r="BR66"/>
  <c r="BR67"/>
  <c r="BR68"/>
  <c r="BR69"/>
  <c r="BR70"/>
  <c r="BR71"/>
  <c r="BR72"/>
  <c r="BR73"/>
  <c r="BR74"/>
  <c r="BR75"/>
  <c r="BR76"/>
  <c r="BR77"/>
  <c r="BR78"/>
  <c r="BR79"/>
  <c r="BR80"/>
  <c r="BR81"/>
  <c r="BR82"/>
  <c r="BR83"/>
  <c r="BR84"/>
  <c r="BR85"/>
  <c r="BR86"/>
  <c r="BR87"/>
  <c r="BR88"/>
  <c r="BR89"/>
  <c r="BR90"/>
  <c r="BR91"/>
  <c r="BR92"/>
  <c r="BR93"/>
  <c r="BR94"/>
  <c r="BR95"/>
  <c r="BR96"/>
  <c r="BR97"/>
  <c r="BR98"/>
  <c r="BR99"/>
  <c r="BR100"/>
  <c r="BR101"/>
  <c r="BR102"/>
  <c r="BR3"/>
  <c r="B4"/>
  <c r="B5"/>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3"/>
  <c r="BQ102"/>
  <c r="BO102"/>
  <c r="BM102"/>
  <c r="BK102"/>
  <c r="BI102"/>
  <c r="BG102"/>
  <c r="BE102"/>
  <c r="BC102"/>
  <c r="BA102"/>
  <c r="AY102"/>
  <c r="AW102"/>
  <c r="AU102"/>
  <c r="AS102"/>
  <c r="AQ102"/>
  <c r="AO102"/>
  <c r="AM102"/>
  <c r="AK102"/>
  <c r="AI102"/>
  <c r="AG102"/>
  <c r="AE102"/>
  <c r="AC102"/>
  <c r="AA102"/>
  <c r="Y102"/>
  <c r="W102"/>
  <c r="U102"/>
  <c r="S102"/>
  <c r="Q102"/>
  <c r="O102"/>
  <c r="M102"/>
  <c r="K102"/>
  <c r="I102"/>
  <c r="G102"/>
  <c r="D102"/>
  <c r="A102"/>
  <c r="BQ101"/>
  <c r="BO101"/>
  <c r="BM101"/>
  <c r="BK101"/>
  <c r="BI101"/>
  <c r="BG101"/>
  <c r="BE101"/>
  <c r="BC101"/>
  <c r="BA101"/>
  <c r="AY101"/>
  <c r="AW101"/>
  <c r="AU101"/>
  <c r="AS101"/>
  <c r="AQ101"/>
  <c r="AO101"/>
  <c r="AM101"/>
  <c r="AK101"/>
  <c r="AI101"/>
  <c r="AG101"/>
  <c r="AE101"/>
  <c r="AC101"/>
  <c r="AA101"/>
  <c r="Y101"/>
  <c r="W101"/>
  <c r="U101"/>
  <c r="S101"/>
  <c r="Q101"/>
  <c r="O101"/>
  <c r="M101"/>
  <c r="K101"/>
  <c r="I101"/>
  <c r="G101"/>
  <c r="D101"/>
  <c r="A101"/>
  <c r="BQ100"/>
  <c r="BO100"/>
  <c r="BM100"/>
  <c r="BK100"/>
  <c r="BI100"/>
  <c r="BG100"/>
  <c r="BE100"/>
  <c r="BC100"/>
  <c r="BA100"/>
  <c r="AY100"/>
  <c r="AW100"/>
  <c r="AU100"/>
  <c r="AS100"/>
  <c r="AQ100"/>
  <c r="AO100"/>
  <c r="AM100"/>
  <c r="AK100"/>
  <c r="AI100"/>
  <c r="AG100"/>
  <c r="AE100"/>
  <c r="AC100"/>
  <c r="AA100"/>
  <c r="Y100"/>
  <c r="W100"/>
  <c r="U100"/>
  <c r="S100"/>
  <c r="Q100"/>
  <c r="O100"/>
  <c r="M100"/>
  <c r="K100"/>
  <c r="I100"/>
  <c r="G100"/>
  <c r="D100"/>
  <c r="A100"/>
  <c r="BQ99"/>
  <c r="BO99"/>
  <c r="BM99"/>
  <c r="BK99"/>
  <c r="BI99"/>
  <c r="BG99"/>
  <c r="BE99"/>
  <c r="BC99"/>
  <c r="BA99"/>
  <c r="AY99"/>
  <c r="AW99"/>
  <c r="AU99"/>
  <c r="AS99"/>
  <c r="AQ99"/>
  <c r="AO99"/>
  <c r="AM99"/>
  <c r="AK99"/>
  <c r="AI99"/>
  <c r="AG99"/>
  <c r="AE99"/>
  <c r="AC99"/>
  <c r="AA99"/>
  <c r="Y99"/>
  <c r="W99"/>
  <c r="U99"/>
  <c r="S99"/>
  <c r="Q99"/>
  <c r="O99"/>
  <c r="M99"/>
  <c r="K99"/>
  <c r="I99"/>
  <c r="G99"/>
  <c r="D99"/>
  <c r="A99"/>
  <c r="BQ98"/>
  <c r="BO98"/>
  <c r="BM98"/>
  <c r="BK98"/>
  <c r="BI98"/>
  <c r="BG98"/>
  <c r="BE98"/>
  <c r="BC98"/>
  <c r="BA98"/>
  <c r="AY98"/>
  <c r="AW98"/>
  <c r="AU98"/>
  <c r="AS98"/>
  <c r="AQ98"/>
  <c r="AO98"/>
  <c r="AM98"/>
  <c r="AK98"/>
  <c r="AI98"/>
  <c r="AG98"/>
  <c r="AE98"/>
  <c r="AC98"/>
  <c r="AA98"/>
  <c r="Y98"/>
  <c r="W98"/>
  <c r="U98"/>
  <c r="S98"/>
  <c r="Q98"/>
  <c r="O98"/>
  <c r="M98"/>
  <c r="K98"/>
  <c r="I98"/>
  <c r="G98"/>
  <c r="D98"/>
  <c r="A98"/>
  <c r="BQ97"/>
  <c r="BO97"/>
  <c r="BM97"/>
  <c r="BK97"/>
  <c r="BI97"/>
  <c r="BG97"/>
  <c r="BE97"/>
  <c r="BC97"/>
  <c r="BA97"/>
  <c r="AY97"/>
  <c r="AW97"/>
  <c r="AU97"/>
  <c r="AS97"/>
  <c r="AQ97"/>
  <c r="AO97"/>
  <c r="AM97"/>
  <c r="AK97"/>
  <c r="AI97"/>
  <c r="AG97"/>
  <c r="AE97"/>
  <c r="AC97"/>
  <c r="AA97"/>
  <c r="Y97"/>
  <c r="W97"/>
  <c r="U97"/>
  <c r="S97"/>
  <c r="Q97"/>
  <c r="O97"/>
  <c r="M97"/>
  <c r="K97"/>
  <c r="I97"/>
  <c r="G97"/>
  <c r="D97"/>
  <c r="A97"/>
  <c r="BQ96"/>
  <c r="BO96"/>
  <c r="BM96"/>
  <c r="BK96"/>
  <c r="BI96"/>
  <c r="BG96"/>
  <c r="BE96"/>
  <c r="BC96"/>
  <c r="BA96"/>
  <c r="AY96"/>
  <c r="AW96"/>
  <c r="AU96"/>
  <c r="AS96"/>
  <c r="AQ96"/>
  <c r="AO96"/>
  <c r="AM96"/>
  <c r="AK96"/>
  <c r="AI96"/>
  <c r="AG96"/>
  <c r="AE96"/>
  <c r="AC96"/>
  <c r="AA96"/>
  <c r="Y96"/>
  <c r="W96"/>
  <c r="U96"/>
  <c r="S96"/>
  <c r="Q96"/>
  <c r="O96"/>
  <c r="M96"/>
  <c r="K96"/>
  <c r="I96"/>
  <c r="G96"/>
  <c r="D96"/>
  <c r="A96"/>
  <c r="BQ95"/>
  <c r="BO95"/>
  <c r="BM95"/>
  <c r="BK95"/>
  <c r="BI95"/>
  <c r="BG95"/>
  <c r="BE95"/>
  <c r="BC95"/>
  <c r="BA95"/>
  <c r="AY95"/>
  <c r="AW95"/>
  <c r="AU95"/>
  <c r="AS95"/>
  <c r="AQ95"/>
  <c r="AO95"/>
  <c r="AM95"/>
  <c r="AK95"/>
  <c r="AI95"/>
  <c r="AG95"/>
  <c r="AE95"/>
  <c r="AC95"/>
  <c r="AA95"/>
  <c r="Y95"/>
  <c r="W95"/>
  <c r="U95"/>
  <c r="S95"/>
  <c r="Q95"/>
  <c r="O95"/>
  <c r="M95"/>
  <c r="K95"/>
  <c r="I95"/>
  <c r="G95"/>
  <c r="D95"/>
  <c r="A95"/>
  <c r="BQ94"/>
  <c r="BO94"/>
  <c r="BM94"/>
  <c r="BK94"/>
  <c r="BI94"/>
  <c r="BG94"/>
  <c r="BE94"/>
  <c r="BC94"/>
  <c r="BA94"/>
  <c r="AY94"/>
  <c r="AW94"/>
  <c r="AU94"/>
  <c r="AS94"/>
  <c r="AQ94"/>
  <c r="AO94"/>
  <c r="AM94"/>
  <c r="AK94"/>
  <c r="AI94"/>
  <c r="AG94"/>
  <c r="AE94"/>
  <c r="AC94"/>
  <c r="AA94"/>
  <c r="Y94"/>
  <c r="W94"/>
  <c r="U94"/>
  <c r="S94"/>
  <c r="Q94"/>
  <c r="O94"/>
  <c r="M94"/>
  <c r="K94"/>
  <c r="I94"/>
  <c r="G94"/>
  <c r="D94"/>
  <c r="A94"/>
  <c r="BQ93"/>
  <c r="BO93"/>
  <c r="BM93"/>
  <c r="BK93"/>
  <c r="BI93"/>
  <c r="BG93"/>
  <c r="BE93"/>
  <c r="BC93"/>
  <c r="BA93"/>
  <c r="AY93"/>
  <c r="AW93"/>
  <c r="AU93"/>
  <c r="AS93"/>
  <c r="AQ93"/>
  <c r="AO93"/>
  <c r="AM93"/>
  <c r="AK93"/>
  <c r="AI93"/>
  <c r="AG93"/>
  <c r="AE93"/>
  <c r="AC93"/>
  <c r="AA93"/>
  <c r="Y93"/>
  <c r="W93"/>
  <c r="U93"/>
  <c r="S93"/>
  <c r="Q93"/>
  <c r="O93"/>
  <c r="M93"/>
  <c r="K93"/>
  <c r="I93"/>
  <c r="G93"/>
  <c r="D93"/>
  <c r="A93"/>
  <c r="BQ92"/>
  <c r="BO92"/>
  <c r="BM92"/>
  <c r="BK92"/>
  <c r="BI92"/>
  <c r="BG92"/>
  <c r="BE92"/>
  <c r="BC92"/>
  <c r="BA92"/>
  <c r="AY92"/>
  <c r="AW92"/>
  <c r="AU92"/>
  <c r="AS92"/>
  <c r="AQ92"/>
  <c r="AO92"/>
  <c r="AM92"/>
  <c r="AK92"/>
  <c r="AI92"/>
  <c r="AG92"/>
  <c r="AE92"/>
  <c r="AC92"/>
  <c r="AA92"/>
  <c r="Y92"/>
  <c r="W92"/>
  <c r="U92"/>
  <c r="S92"/>
  <c r="Q92"/>
  <c r="O92"/>
  <c r="M92"/>
  <c r="K92"/>
  <c r="I92"/>
  <c r="G92"/>
  <c r="D92"/>
  <c r="A92"/>
  <c r="BQ91"/>
  <c r="BO91"/>
  <c r="BM91"/>
  <c r="BK91"/>
  <c r="BI91"/>
  <c r="BG91"/>
  <c r="BE91"/>
  <c r="BC91"/>
  <c r="BA91"/>
  <c r="AY91"/>
  <c r="AW91"/>
  <c r="AU91"/>
  <c r="AS91"/>
  <c r="AQ91"/>
  <c r="AO91"/>
  <c r="AM91"/>
  <c r="AK91"/>
  <c r="AI91"/>
  <c r="AG91"/>
  <c r="AE91"/>
  <c r="AC91"/>
  <c r="AA91"/>
  <c r="Y91"/>
  <c r="W91"/>
  <c r="U91"/>
  <c r="S91"/>
  <c r="Q91"/>
  <c r="O91"/>
  <c r="M91"/>
  <c r="K91"/>
  <c r="I91"/>
  <c r="G91"/>
  <c r="D91"/>
  <c r="A91"/>
  <c r="BQ90"/>
  <c r="BO90"/>
  <c r="BM90"/>
  <c r="BK90"/>
  <c r="BI90"/>
  <c r="BG90"/>
  <c r="BE90"/>
  <c r="BC90"/>
  <c r="BA90"/>
  <c r="AY90"/>
  <c r="AW90"/>
  <c r="AU90"/>
  <c r="AS90"/>
  <c r="AQ90"/>
  <c r="AO90"/>
  <c r="AM90"/>
  <c r="AK90"/>
  <c r="AI90"/>
  <c r="AG90"/>
  <c r="AE90"/>
  <c r="AC90"/>
  <c r="AA90"/>
  <c r="Y90"/>
  <c r="W90"/>
  <c r="U90"/>
  <c r="S90"/>
  <c r="Q90"/>
  <c r="O90"/>
  <c r="M90"/>
  <c r="K90"/>
  <c r="I90"/>
  <c r="G90"/>
  <c r="D90"/>
  <c r="A90"/>
  <c r="BQ89"/>
  <c r="BO89"/>
  <c r="BM89"/>
  <c r="BK89"/>
  <c r="BI89"/>
  <c r="BG89"/>
  <c r="BE89"/>
  <c r="BC89"/>
  <c r="BA89"/>
  <c r="AY89"/>
  <c r="AW89"/>
  <c r="AU89"/>
  <c r="AS89"/>
  <c r="AQ89"/>
  <c r="AO89"/>
  <c r="AM89"/>
  <c r="AK89"/>
  <c r="AI89"/>
  <c r="AG89"/>
  <c r="AE89"/>
  <c r="AC89"/>
  <c r="AA89"/>
  <c r="Y89"/>
  <c r="W89"/>
  <c r="U89"/>
  <c r="S89"/>
  <c r="Q89"/>
  <c r="O89"/>
  <c r="M89"/>
  <c r="K89"/>
  <c r="I89"/>
  <c r="G89"/>
  <c r="D89"/>
  <c r="A89"/>
  <c r="BQ88"/>
  <c r="BO88"/>
  <c r="BM88"/>
  <c r="BK88"/>
  <c r="BI88"/>
  <c r="BG88"/>
  <c r="BE88"/>
  <c r="BC88"/>
  <c r="BA88"/>
  <c r="AY88"/>
  <c r="AW88"/>
  <c r="AU88"/>
  <c r="AS88"/>
  <c r="AQ88"/>
  <c r="AO88"/>
  <c r="AM88"/>
  <c r="AK88"/>
  <c r="AI88"/>
  <c r="AG88"/>
  <c r="AE88"/>
  <c r="AC88"/>
  <c r="AA88"/>
  <c r="Y88"/>
  <c r="W88"/>
  <c r="U88"/>
  <c r="S88"/>
  <c r="Q88"/>
  <c r="O88"/>
  <c r="M88"/>
  <c r="K88"/>
  <c r="I88"/>
  <c r="G88"/>
  <c r="D88"/>
  <c r="A88"/>
  <c r="BQ87"/>
  <c r="BO87"/>
  <c r="BM87"/>
  <c r="BK87"/>
  <c r="BI87"/>
  <c r="BG87"/>
  <c r="BE87"/>
  <c r="BC87"/>
  <c r="BA87"/>
  <c r="AY87"/>
  <c r="AW87"/>
  <c r="AU87"/>
  <c r="AS87"/>
  <c r="AQ87"/>
  <c r="AO87"/>
  <c r="AM87"/>
  <c r="AK87"/>
  <c r="AI87"/>
  <c r="AG87"/>
  <c r="AE87"/>
  <c r="AC87"/>
  <c r="AA87"/>
  <c r="Y87"/>
  <c r="W87"/>
  <c r="U87"/>
  <c r="S87"/>
  <c r="Q87"/>
  <c r="O87"/>
  <c r="M87"/>
  <c r="K87"/>
  <c r="I87"/>
  <c r="G87"/>
  <c r="D87"/>
  <c r="A87"/>
  <c r="BQ86"/>
  <c r="BO86"/>
  <c r="BM86"/>
  <c r="BK86"/>
  <c r="BI86"/>
  <c r="BG86"/>
  <c r="BE86"/>
  <c r="BC86"/>
  <c r="BA86"/>
  <c r="AY86"/>
  <c r="AW86"/>
  <c r="AU86"/>
  <c r="AS86"/>
  <c r="AQ86"/>
  <c r="AO86"/>
  <c r="AM86"/>
  <c r="AK86"/>
  <c r="AI86"/>
  <c r="AG86"/>
  <c r="AE86"/>
  <c r="AC86"/>
  <c r="AA86"/>
  <c r="Y86"/>
  <c r="W86"/>
  <c r="U86"/>
  <c r="S86"/>
  <c r="Q86"/>
  <c r="O86"/>
  <c r="M86"/>
  <c r="K86"/>
  <c r="I86"/>
  <c r="G86"/>
  <c r="D86"/>
  <c r="A86"/>
  <c r="BQ85"/>
  <c r="BO85"/>
  <c r="BM85"/>
  <c r="BK85"/>
  <c r="BI85"/>
  <c r="BG85"/>
  <c r="BE85"/>
  <c r="BC85"/>
  <c r="BA85"/>
  <c r="AY85"/>
  <c r="AW85"/>
  <c r="AU85"/>
  <c r="AS85"/>
  <c r="AQ85"/>
  <c r="AO85"/>
  <c r="AM85"/>
  <c r="AK85"/>
  <c r="AI85"/>
  <c r="AG85"/>
  <c r="AE85"/>
  <c r="AC85"/>
  <c r="AA85"/>
  <c r="Y85"/>
  <c r="W85"/>
  <c r="U85"/>
  <c r="S85"/>
  <c r="Q85"/>
  <c r="O85"/>
  <c r="M85"/>
  <c r="K85"/>
  <c r="I85"/>
  <c r="G85"/>
  <c r="D85"/>
  <c r="A85"/>
  <c r="BQ84"/>
  <c r="BO84"/>
  <c r="BM84"/>
  <c r="BK84"/>
  <c r="BI84"/>
  <c r="BG84"/>
  <c r="BE84"/>
  <c r="BC84"/>
  <c r="BA84"/>
  <c r="AY84"/>
  <c r="AW84"/>
  <c r="AU84"/>
  <c r="AS84"/>
  <c r="AQ84"/>
  <c r="AO84"/>
  <c r="AM84"/>
  <c r="AK84"/>
  <c r="AI84"/>
  <c r="AG84"/>
  <c r="AE84"/>
  <c r="AC84"/>
  <c r="AA84"/>
  <c r="Y84"/>
  <c r="W84"/>
  <c r="U84"/>
  <c r="S84"/>
  <c r="Q84"/>
  <c r="O84"/>
  <c r="M84"/>
  <c r="K84"/>
  <c r="I84"/>
  <c r="G84"/>
  <c r="D84"/>
  <c r="A84"/>
  <c r="BQ83"/>
  <c r="BO83"/>
  <c r="BM83"/>
  <c r="BK83"/>
  <c r="BI83"/>
  <c r="BG83"/>
  <c r="BE83"/>
  <c r="BC83"/>
  <c r="BA83"/>
  <c r="AY83"/>
  <c r="AW83"/>
  <c r="AU83"/>
  <c r="AS83"/>
  <c r="AQ83"/>
  <c r="AO83"/>
  <c r="AM83"/>
  <c r="AK83"/>
  <c r="AI83"/>
  <c r="AG83"/>
  <c r="AE83"/>
  <c r="AC83"/>
  <c r="AA83"/>
  <c r="Y83"/>
  <c r="W83"/>
  <c r="U83"/>
  <c r="S83"/>
  <c r="Q83"/>
  <c r="O83"/>
  <c r="M83"/>
  <c r="K83"/>
  <c r="I83"/>
  <c r="G83"/>
  <c r="D83"/>
  <c r="A83"/>
  <c r="BQ82"/>
  <c r="BO82"/>
  <c r="BM82"/>
  <c r="BK82"/>
  <c r="BI82"/>
  <c r="BG82"/>
  <c r="BE82"/>
  <c r="BC82"/>
  <c r="BA82"/>
  <c r="AY82"/>
  <c r="AW82"/>
  <c r="AU82"/>
  <c r="AS82"/>
  <c r="AQ82"/>
  <c r="AO82"/>
  <c r="AM82"/>
  <c r="AK82"/>
  <c r="AI82"/>
  <c r="AG82"/>
  <c r="AE82"/>
  <c r="AC82"/>
  <c r="AA82"/>
  <c r="Y82"/>
  <c r="W82"/>
  <c r="U82"/>
  <c r="S82"/>
  <c r="Q82"/>
  <c r="O82"/>
  <c r="M82"/>
  <c r="K82"/>
  <c r="I82"/>
  <c r="G82"/>
  <c r="D82"/>
  <c r="A82"/>
  <c r="BQ81"/>
  <c r="BO81"/>
  <c r="BM81"/>
  <c r="BK81"/>
  <c r="BI81"/>
  <c r="BG81"/>
  <c r="BE81"/>
  <c r="BC81"/>
  <c r="BA81"/>
  <c r="AY81"/>
  <c r="AW81"/>
  <c r="AU81"/>
  <c r="AS81"/>
  <c r="AQ81"/>
  <c r="AO81"/>
  <c r="AM81"/>
  <c r="AK81"/>
  <c r="AI81"/>
  <c r="AG81"/>
  <c r="AE81"/>
  <c r="AC81"/>
  <c r="AA81"/>
  <c r="Y81"/>
  <c r="W81"/>
  <c r="U81"/>
  <c r="S81"/>
  <c r="Q81"/>
  <c r="O81"/>
  <c r="M81"/>
  <c r="K81"/>
  <c r="I81"/>
  <c r="G81"/>
  <c r="D81"/>
  <c r="A81"/>
  <c r="BQ80"/>
  <c r="BO80"/>
  <c r="BM80"/>
  <c r="BK80"/>
  <c r="BI80"/>
  <c r="BG80"/>
  <c r="BE80"/>
  <c r="BC80"/>
  <c r="BA80"/>
  <c r="AY80"/>
  <c r="AW80"/>
  <c r="AU80"/>
  <c r="AS80"/>
  <c r="AQ80"/>
  <c r="AO80"/>
  <c r="AM80"/>
  <c r="AK80"/>
  <c r="AI80"/>
  <c r="AG80"/>
  <c r="AE80"/>
  <c r="AC80"/>
  <c r="AA80"/>
  <c r="Y80"/>
  <c r="W80"/>
  <c r="U80"/>
  <c r="S80"/>
  <c r="Q80"/>
  <c r="O80"/>
  <c r="M80"/>
  <c r="K80"/>
  <c r="I80"/>
  <c r="G80"/>
  <c r="D80"/>
  <c r="A80"/>
  <c r="BQ79"/>
  <c r="BO79"/>
  <c r="BM79"/>
  <c r="BK79"/>
  <c r="BI79"/>
  <c r="BG79"/>
  <c r="BE79"/>
  <c r="BC79"/>
  <c r="BA79"/>
  <c r="AY79"/>
  <c r="AW79"/>
  <c r="AU79"/>
  <c r="AS79"/>
  <c r="AQ79"/>
  <c r="AO79"/>
  <c r="AM79"/>
  <c r="AK79"/>
  <c r="AI79"/>
  <c r="AG79"/>
  <c r="AE79"/>
  <c r="AC79"/>
  <c r="AA79"/>
  <c r="Y79"/>
  <c r="W79"/>
  <c r="U79"/>
  <c r="S79"/>
  <c r="Q79"/>
  <c r="O79"/>
  <c r="M79"/>
  <c r="K79"/>
  <c r="I79"/>
  <c r="G79"/>
  <c r="D79"/>
  <c r="A79"/>
  <c r="BQ78"/>
  <c r="BO78"/>
  <c r="BM78"/>
  <c r="BK78"/>
  <c r="BI78"/>
  <c r="BG78"/>
  <c r="BE78"/>
  <c r="BC78"/>
  <c r="BA78"/>
  <c r="AY78"/>
  <c r="AW78"/>
  <c r="AU78"/>
  <c r="AS78"/>
  <c r="AQ78"/>
  <c r="AO78"/>
  <c r="AM78"/>
  <c r="AK78"/>
  <c r="AI78"/>
  <c r="AG78"/>
  <c r="AE78"/>
  <c r="AC78"/>
  <c r="AA78"/>
  <c r="Y78"/>
  <c r="W78"/>
  <c r="U78"/>
  <c r="S78"/>
  <c r="Q78"/>
  <c r="O78"/>
  <c r="M78"/>
  <c r="K78"/>
  <c r="I78"/>
  <c r="G78"/>
  <c r="D78"/>
  <c r="A78"/>
  <c r="BQ77"/>
  <c r="BO77"/>
  <c r="BM77"/>
  <c r="BK77"/>
  <c r="BI77"/>
  <c r="BG77"/>
  <c r="BE77"/>
  <c r="BC77"/>
  <c r="BA77"/>
  <c r="AY77"/>
  <c r="AW77"/>
  <c r="AU77"/>
  <c r="AS77"/>
  <c r="AQ77"/>
  <c r="AO77"/>
  <c r="AM77"/>
  <c r="AK77"/>
  <c r="AI77"/>
  <c r="AG77"/>
  <c r="AE77"/>
  <c r="AC77"/>
  <c r="AA77"/>
  <c r="Y77"/>
  <c r="W77"/>
  <c r="U77"/>
  <c r="S77"/>
  <c r="Q77"/>
  <c r="O77"/>
  <c r="M77"/>
  <c r="K77"/>
  <c r="I77"/>
  <c r="G77"/>
  <c r="D77"/>
  <c r="A77"/>
  <c r="BQ76"/>
  <c r="BO76"/>
  <c r="BM76"/>
  <c r="BK76"/>
  <c r="BI76"/>
  <c r="BG76"/>
  <c r="BE76"/>
  <c r="BC76"/>
  <c r="BA76"/>
  <c r="AY76"/>
  <c r="AW76"/>
  <c r="AU76"/>
  <c r="AS76"/>
  <c r="AQ76"/>
  <c r="AO76"/>
  <c r="AM76"/>
  <c r="AK76"/>
  <c r="AI76"/>
  <c r="AG76"/>
  <c r="AE76"/>
  <c r="AC76"/>
  <c r="AA76"/>
  <c r="Y76"/>
  <c r="W76"/>
  <c r="U76"/>
  <c r="S76"/>
  <c r="Q76"/>
  <c r="O76"/>
  <c r="M76"/>
  <c r="K76"/>
  <c r="I76"/>
  <c r="G76"/>
  <c r="D76"/>
  <c r="A76"/>
  <c r="BQ75"/>
  <c r="BO75"/>
  <c r="BM75"/>
  <c r="BK75"/>
  <c r="BI75"/>
  <c r="BG75"/>
  <c r="BE75"/>
  <c r="BC75"/>
  <c r="BA75"/>
  <c r="AY75"/>
  <c r="AW75"/>
  <c r="AU75"/>
  <c r="AS75"/>
  <c r="AQ75"/>
  <c r="AO75"/>
  <c r="AM75"/>
  <c r="AK75"/>
  <c r="AI75"/>
  <c r="AG75"/>
  <c r="AE75"/>
  <c r="AC75"/>
  <c r="AA75"/>
  <c r="Y75"/>
  <c r="W75"/>
  <c r="U75"/>
  <c r="S75"/>
  <c r="Q75"/>
  <c r="O75"/>
  <c r="M75"/>
  <c r="K75"/>
  <c r="I75"/>
  <c r="G75"/>
  <c r="D75"/>
  <c r="A75"/>
  <c r="BQ74"/>
  <c r="BO74"/>
  <c r="BM74"/>
  <c r="BK74"/>
  <c r="BI74"/>
  <c r="BG74"/>
  <c r="BE74"/>
  <c r="BC74"/>
  <c r="BA74"/>
  <c r="AY74"/>
  <c r="AW74"/>
  <c r="AU74"/>
  <c r="AS74"/>
  <c r="AQ74"/>
  <c r="AO74"/>
  <c r="AM74"/>
  <c r="AK74"/>
  <c r="AI74"/>
  <c r="AG74"/>
  <c r="AE74"/>
  <c r="AC74"/>
  <c r="AA74"/>
  <c r="Y74"/>
  <c r="W74"/>
  <c r="U74"/>
  <c r="S74"/>
  <c r="Q74"/>
  <c r="O74"/>
  <c r="M74"/>
  <c r="K74"/>
  <c r="I74"/>
  <c r="G74"/>
  <c r="D74"/>
  <c r="A74"/>
  <c r="BQ73"/>
  <c r="BO73"/>
  <c r="BM73"/>
  <c r="BK73"/>
  <c r="BI73"/>
  <c r="BG73"/>
  <c r="BE73"/>
  <c r="BC73"/>
  <c r="BA73"/>
  <c r="AY73"/>
  <c r="AW73"/>
  <c r="AU73"/>
  <c r="AS73"/>
  <c r="AQ73"/>
  <c r="AO73"/>
  <c r="AM73"/>
  <c r="AK73"/>
  <c r="AI73"/>
  <c r="AG73"/>
  <c r="AE73"/>
  <c r="AC73"/>
  <c r="AA73"/>
  <c r="Y73"/>
  <c r="W73"/>
  <c r="U73"/>
  <c r="S73"/>
  <c r="Q73"/>
  <c r="O73"/>
  <c r="M73"/>
  <c r="K73"/>
  <c r="I73"/>
  <c r="G73"/>
  <c r="D73"/>
  <c r="A73"/>
  <c r="BQ72"/>
  <c r="BO72"/>
  <c r="BM72"/>
  <c r="BK72"/>
  <c r="BI72"/>
  <c r="BG72"/>
  <c r="BE72"/>
  <c r="BC72"/>
  <c r="BA72"/>
  <c r="AY72"/>
  <c r="AW72"/>
  <c r="AU72"/>
  <c r="AS72"/>
  <c r="AQ72"/>
  <c r="AO72"/>
  <c r="AM72"/>
  <c r="AK72"/>
  <c r="AI72"/>
  <c r="AG72"/>
  <c r="AE72"/>
  <c r="AC72"/>
  <c r="AA72"/>
  <c r="Y72"/>
  <c r="W72"/>
  <c r="U72"/>
  <c r="S72"/>
  <c r="Q72"/>
  <c r="O72"/>
  <c r="M72"/>
  <c r="K72"/>
  <c r="I72"/>
  <c r="G72"/>
  <c r="D72"/>
  <c r="A72"/>
  <c r="BQ71"/>
  <c r="BO71"/>
  <c r="BM71"/>
  <c r="BK71"/>
  <c r="BI71"/>
  <c r="BG71"/>
  <c r="BE71"/>
  <c r="BC71"/>
  <c r="BA71"/>
  <c r="AY71"/>
  <c r="AW71"/>
  <c r="AU71"/>
  <c r="AS71"/>
  <c r="AQ71"/>
  <c r="AO71"/>
  <c r="AM71"/>
  <c r="AK71"/>
  <c r="AI71"/>
  <c r="AG71"/>
  <c r="AE71"/>
  <c r="AC71"/>
  <c r="AA71"/>
  <c r="Y71"/>
  <c r="W71"/>
  <c r="U71"/>
  <c r="S71"/>
  <c r="Q71"/>
  <c r="O71"/>
  <c r="M71"/>
  <c r="K71"/>
  <c r="I71"/>
  <c r="G71"/>
  <c r="D71"/>
  <c r="A71"/>
  <c r="BQ70"/>
  <c r="BO70"/>
  <c r="BM70"/>
  <c r="BK70"/>
  <c r="BI70"/>
  <c r="BG70"/>
  <c r="BE70"/>
  <c r="BC70"/>
  <c r="BA70"/>
  <c r="AY70"/>
  <c r="AW70"/>
  <c r="AU70"/>
  <c r="AS70"/>
  <c r="AQ70"/>
  <c r="AO70"/>
  <c r="AM70"/>
  <c r="AK70"/>
  <c r="AI70"/>
  <c r="AG70"/>
  <c r="AE70"/>
  <c r="AC70"/>
  <c r="AA70"/>
  <c r="Y70"/>
  <c r="W70"/>
  <c r="U70"/>
  <c r="S70"/>
  <c r="Q70"/>
  <c r="O70"/>
  <c r="M70"/>
  <c r="K70"/>
  <c r="I70"/>
  <c r="G70"/>
  <c r="D70"/>
  <c r="A70"/>
  <c r="BQ69"/>
  <c r="BO69"/>
  <c r="BM69"/>
  <c r="BK69"/>
  <c r="BI69"/>
  <c r="BG69"/>
  <c r="BE69"/>
  <c r="BC69"/>
  <c r="BA69"/>
  <c r="AY69"/>
  <c r="AW69"/>
  <c r="AU69"/>
  <c r="AS69"/>
  <c r="AQ69"/>
  <c r="AO69"/>
  <c r="AM69"/>
  <c r="AK69"/>
  <c r="AI69"/>
  <c r="AG69"/>
  <c r="AE69"/>
  <c r="AC69"/>
  <c r="AA69"/>
  <c r="Y69"/>
  <c r="W69"/>
  <c r="U69"/>
  <c r="S69"/>
  <c r="Q69"/>
  <c r="O69"/>
  <c r="M69"/>
  <c r="K69"/>
  <c r="I69"/>
  <c r="G69"/>
  <c r="D69"/>
  <c r="A69"/>
  <c r="BQ68"/>
  <c r="BO68"/>
  <c r="BM68"/>
  <c r="BK68"/>
  <c r="BI68"/>
  <c r="BG68"/>
  <c r="BE68"/>
  <c r="BC68"/>
  <c r="BA68"/>
  <c r="AY68"/>
  <c r="AW68"/>
  <c r="AU68"/>
  <c r="AS68"/>
  <c r="AQ68"/>
  <c r="AO68"/>
  <c r="AM68"/>
  <c r="AK68"/>
  <c r="AI68"/>
  <c r="AG68"/>
  <c r="AE68"/>
  <c r="AC68"/>
  <c r="AA68"/>
  <c r="Y68"/>
  <c r="W68"/>
  <c r="U68"/>
  <c r="S68"/>
  <c r="Q68"/>
  <c r="O68"/>
  <c r="M68"/>
  <c r="K68"/>
  <c r="I68"/>
  <c r="G68"/>
  <c r="D68"/>
  <c r="A68"/>
  <c r="BQ67"/>
  <c r="BO67"/>
  <c r="BM67"/>
  <c r="BK67"/>
  <c r="BI67"/>
  <c r="BG67"/>
  <c r="BE67"/>
  <c r="BC67"/>
  <c r="BA67"/>
  <c r="AY67"/>
  <c r="AW67"/>
  <c r="AU67"/>
  <c r="AS67"/>
  <c r="AQ67"/>
  <c r="AO67"/>
  <c r="AM67"/>
  <c r="AK67"/>
  <c r="AI67"/>
  <c r="AG67"/>
  <c r="AE67"/>
  <c r="AC67"/>
  <c r="AA67"/>
  <c r="Y67"/>
  <c r="W67"/>
  <c r="U67"/>
  <c r="S67"/>
  <c r="Q67"/>
  <c r="O67"/>
  <c r="M67"/>
  <c r="K67"/>
  <c r="I67"/>
  <c r="G67"/>
  <c r="D67"/>
  <c r="A67"/>
  <c r="BQ66"/>
  <c r="BO66"/>
  <c r="BM66"/>
  <c r="BK66"/>
  <c r="BI66"/>
  <c r="BG66"/>
  <c r="BE66"/>
  <c r="BC66"/>
  <c r="BA66"/>
  <c r="AY66"/>
  <c r="AW66"/>
  <c r="AU66"/>
  <c r="AS66"/>
  <c r="AQ66"/>
  <c r="AO66"/>
  <c r="AM66"/>
  <c r="AK66"/>
  <c r="AI66"/>
  <c r="AG66"/>
  <c r="AE66"/>
  <c r="AC66"/>
  <c r="AA66"/>
  <c r="Y66"/>
  <c r="W66"/>
  <c r="U66"/>
  <c r="S66"/>
  <c r="Q66"/>
  <c r="O66"/>
  <c r="M66"/>
  <c r="K66"/>
  <c r="I66"/>
  <c r="G66"/>
  <c r="D66"/>
  <c r="A66"/>
  <c r="BQ65"/>
  <c r="BO65"/>
  <c r="BM65"/>
  <c r="BK65"/>
  <c r="BI65"/>
  <c r="BG65"/>
  <c r="BE65"/>
  <c r="BC65"/>
  <c r="BA65"/>
  <c r="AY65"/>
  <c r="AW65"/>
  <c r="AU65"/>
  <c r="AS65"/>
  <c r="AQ65"/>
  <c r="AO65"/>
  <c r="AM65"/>
  <c r="AK65"/>
  <c r="AI65"/>
  <c r="AG65"/>
  <c r="AE65"/>
  <c r="AC65"/>
  <c r="AA65"/>
  <c r="Y65"/>
  <c r="W65"/>
  <c r="U65"/>
  <c r="S65"/>
  <c r="Q65"/>
  <c r="O65"/>
  <c r="M65"/>
  <c r="K65"/>
  <c r="I65"/>
  <c r="G65"/>
  <c r="D65"/>
  <c r="A65"/>
  <c r="BQ64"/>
  <c r="BO64"/>
  <c r="BM64"/>
  <c r="BK64"/>
  <c r="BI64"/>
  <c r="BG64"/>
  <c r="BE64"/>
  <c r="BC64"/>
  <c r="BA64"/>
  <c r="AY64"/>
  <c r="AW64"/>
  <c r="AU64"/>
  <c r="AS64"/>
  <c r="AQ64"/>
  <c r="AO64"/>
  <c r="AM64"/>
  <c r="AK64"/>
  <c r="AI64"/>
  <c r="AG64"/>
  <c r="AE64"/>
  <c r="AC64"/>
  <c r="AA64"/>
  <c r="Y64"/>
  <c r="W64"/>
  <c r="U64"/>
  <c r="S64"/>
  <c r="Q64"/>
  <c r="O64"/>
  <c r="M64"/>
  <c r="K64"/>
  <c r="I64"/>
  <c r="G64"/>
  <c r="D64"/>
  <c r="A64"/>
  <c r="BQ63"/>
  <c r="BO63"/>
  <c r="BM63"/>
  <c r="BK63"/>
  <c r="BI63"/>
  <c r="BG63"/>
  <c r="BE63"/>
  <c r="BC63"/>
  <c r="BA63"/>
  <c r="AY63"/>
  <c r="AW63"/>
  <c r="AU63"/>
  <c r="AS63"/>
  <c r="AQ63"/>
  <c r="AO63"/>
  <c r="AM63"/>
  <c r="AK63"/>
  <c r="AI63"/>
  <c r="AG63"/>
  <c r="AE63"/>
  <c r="AC63"/>
  <c r="AA63"/>
  <c r="Y63"/>
  <c r="W63"/>
  <c r="U63"/>
  <c r="S63"/>
  <c r="Q63"/>
  <c r="O63"/>
  <c r="M63"/>
  <c r="K63"/>
  <c r="I63"/>
  <c r="G63"/>
  <c r="D63"/>
  <c r="A63"/>
  <c r="BQ62"/>
  <c r="BO62"/>
  <c r="BM62"/>
  <c r="BK62"/>
  <c r="BI62"/>
  <c r="BG62"/>
  <c r="BE62"/>
  <c r="BC62"/>
  <c r="BA62"/>
  <c r="AY62"/>
  <c r="AW62"/>
  <c r="AU62"/>
  <c r="AS62"/>
  <c r="AQ62"/>
  <c r="AO62"/>
  <c r="AM62"/>
  <c r="AK62"/>
  <c r="AI62"/>
  <c r="AG62"/>
  <c r="AE62"/>
  <c r="AC62"/>
  <c r="AA62"/>
  <c r="Y62"/>
  <c r="W62"/>
  <c r="U62"/>
  <c r="S62"/>
  <c r="Q62"/>
  <c r="O62"/>
  <c r="M62"/>
  <c r="K62"/>
  <c r="I62"/>
  <c r="G62"/>
  <c r="D62"/>
  <c r="A62"/>
  <c r="BQ61"/>
  <c r="BO61"/>
  <c r="BM61"/>
  <c r="BK61"/>
  <c r="BI61"/>
  <c r="BG61"/>
  <c r="BE61"/>
  <c r="BC61"/>
  <c r="BA61"/>
  <c r="AY61"/>
  <c r="AW61"/>
  <c r="AU61"/>
  <c r="AS61"/>
  <c r="AQ61"/>
  <c r="AO61"/>
  <c r="AM61"/>
  <c r="AK61"/>
  <c r="AI61"/>
  <c r="AG61"/>
  <c r="AE61"/>
  <c r="AC61"/>
  <c r="AA61"/>
  <c r="Y61"/>
  <c r="W61"/>
  <c r="U61"/>
  <c r="S61"/>
  <c r="Q61"/>
  <c r="O61"/>
  <c r="M61"/>
  <c r="K61"/>
  <c r="I61"/>
  <c r="G61"/>
  <c r="D61"/>
  <c r="A61"/>
  <c r="BQ60"/>
  <c r="BO60"/>
  <c r="BM60"/>
  <c r="BK60"/>
  <c r="BI60"/>
  <c r="BG60"/>
  <c r="BE60"/>
  <c r="BC60"/>
  <c r="BA60"/>
  <c r="AY60"/>
  <c r="AW60"/>
  <c r="AU60"/>
  <c r="AS60"/>
  <c r="AQ60"/>
  <c r="AO60"/>
  <c r="AM60"/>
  <c r="AK60"/>
  <c r="AI60"/>
  <c r="AG60"/>
  <c r="AE60"/>
  <c r="AC60"/>
  <c r="AA60"/>
  <c r="Y60"/>
  <c r="W60"/>
  <c r="U60"/>
  <c r="S60"/>
  <c r="Q60"/>
  <c r="O60"/>
  <c r="M60"/>
  <c r="K60"/>
  <c r="I60"/>
  <c r="G60"/>
  <c r="D60"/>
  <c r="A60"/>
  <c r="BQ59"/>
  <c r="BO59"/>
  <c r="BM59"/>
  <c r="BK59"/>
  <c r="BI59"/>
  <c r="BG59"/>
  <c r="BE59"/>
  <c r="BC59"/>
  <c r="BA59"/>
  <c r="AY59"/>
  <c r="AW59"/>
  <c r="AU59"/>
  <c r="AS59"/>
  <c r="AQ59"/>
  <c r="AO59"/>
  <c r="AM59"/>
  <c r="AK59"/>
  <c r="AI59"/>
  <c r="AG59"/>
  <c r="AE59"/>
  <c r="AC59"/>
  <c r="AA59"/>
  <c r="Y59"/>
  <c r="W59"/>
  <c r="U59"/>
  <c r="S59"/>
  <c r="Q59"/>
  <c r="O59"/>
  <c r="M59"/>
  <c r="K59"/>
  <c r="I59"/>
  <c r="G59"/>
  <c r="D59"/>
  <c r="A59"/>
  <c r="BQ58"/>
  <c r="BO58"/>
  <c r="BM58"/>
  <c r="BK58"/>
  <c r="BI58"/>
  <c r="BG58"/>
  <c r="BE58"/>
  <c r="BC58"/>
  <c r="BA58"/>
  <c r="AY58"/>
  <c r="AW58"/>
  <c r="AU58"/>
  <c r="AS58"/>
  <c r="AQ58"/>
  <c r="AO58"/>
  <c r="AM58"/>
  <c r="AK58"/>
  <c r="AI58"/>
  <c r="AG58"/>
  <c r="AE58"/>
  <c r="AC58"/>
  <c r="AA58"/>
  <c r="Y58"/>
  <c r="W58"/>
  <c r="U58"/>
  <c r="S58"/>
  <c r="Q58"/>
  <c r="O58"/>
  <c r="M58"/>
  <c r="K58"/>
  <c r="I58"/>
  <c r="G58"/>
  <c r="D58"/>
  <c r="A58"/>
  <c r="BQ57"/>
  <c r="BO57"/>
  <c r="BM57"/>
  <c r="BK57"/>
  <c r="BI57"/>
  <c r="BG57"/>
  <c r="BE57"/>
  <c r="BC57"/>
  <c r="BA57"/>
  <c r="AY57"/>
  <c r="AW57"/>
  <c r="AU57"/>
  <c r="AS57"/>
  <c r="AQ57"/>
  <c r="AO57"/>
  <c r="AM57"/>
  <c r="AK57"/>
  <c r="AI57"/>
  <c r="AG57"/>
  <c r="AE57"/>
  <c r="AC57"/>
  <c r="AA57"/>
  <c r="Y57"/>
  <c r="W57"/>
  <c r="U57"/>
  <c r="S57"/>
  <c r="Q57"/>
  <c r="O57"/>
  <c r="M57"/>
  <c r="K57"/>
  <c r="I57"/>
  <c r="G57"/>
  <c r="D57"/>
  <c r="A57"/>
  <c r="BQ56"/>
  <c r="BO56"/>
  <c r="BM56"/>
  <c r="BK56"/>
  <c r="BI56"/>
  <c r="BG56"/>
  <c r="BE56"/>
  <c r="BC56"/>
  <c r="BA56"/>
  <c r="AY56"/>
  <c r="AW56"/>
  <c r="AU56"/>
  <c r="AS56"/>
  <c r="AQ56"/>
  <c r="AO56"/>
  <c r="AM56"/>
  <c r="AK56"/>
  <c r="AI56"/>
  <c r="AG56"/>
  <c r="AE56"/>
  <c r="AC56"/>
  <c r="AA56"/>
  <c r="Y56"/>
  <c r="W56"/>
  <c r="U56"/>
  <c r="S56"/>
  <c r="Q56"/>
  <c r="O56"/>
  <c r="M56"/>
  <c r="K56"/>
  <c r="I56"/>
  <c r="G56"/>
  <c r="D56"/>
  <c r="A56"/>
  <c r="BQ55"/>
  <c r="BO55"/>
  <c r="BM55"/>
  <c r="BK55"/>
  <c r="BI55"/>
  <c r="BG55"/>
  <c r="BE55"/>
  <c r="BC55"/>
  <c r="BA55"/>
  <c r="AY55"/>
  <c r="AW55"/>
  <c r="AU55"/>
  <c r="AS55"/>
  <c r="AQ55"/>
  <c r="AO55"/>
  <c r="AM55"/>
  <c r="AK55"/>
  <c r="AI55"/>
  <c r="AG55"/>
  <c r="AE55"/>
  <c r="AC55"/>
  <c r="AA55"/>
  <c r="Y55"/>
  <c r="W55"/>
  <c r="U55"/>
  <c r="S55"/>
  <c r="Q55"/>
  <c r="O55"/>
  <c r="M55"/>
  <c r="K55"/>
  <c r="I55"/>
  <c r="G55"/>
  <c r="D55"/>
  <c r="A55"/>
  <c r="BQ54"/>
  <c r="BO54"/>
  <c r="BM54"/>
  <c r="BK54"/>
  <c r="BI54"/>
  <c r="BG54"/>
  <c r="BE54"/>
  <c r="BC54"/>
  <c r="BA54"/>
  <c r="AY54"/>
  <c r="AW54"/>
  <c r="AU54"/>
  <c r="AS54"/>
  <c r="AQ54"/>
  <c r="AO54"/>
  <c r="AM54"/>
  <c r="AK54"/>
  <c r="AI54"/>
  <c r="AG54"/>
  <c r="AE54"/>
  <c r="AC54"/>
  <c r="AA54"/>
  <c r="Y54"/>
  <c r="W54"/>
  <c r="U54"/>
  <c r="S54"/>
  <c r="Q54"/>
  <c r="O54"/>
  <c r="M54"/>
  <c r="K54"/>
  <c r="I54"/>
  <c r="G54"/>
  <c r="D54"/>
  <c r="A54"/>
  <c r="BQ53"/>
  <c r="BO53"/>
  <c r="BM53"/>
  <c r="BK53"/>
  <c r="BI53"/>
  <c r="BG53"/>
  <c r="BE53"/>
  <c r="BC53"/>
  <c r="BA53"/>
  <c r="AY53"/>
  <c r="AW53"/>
  <c r="AU53"/>
  <c r="AS53"/>
  <c r="AQ53"/>
  <c r="AO53"/>
  <c r="AM53"/>
  <c r="AK53"/>
  <c r="AI53"/>
  <c r="AG53"/>
  <c r="AE53"/>
  <c r="AC53"/>
  <c r="AA53"/>
  <c r="Y53"/>
  <c r="W53"/>
  <c r="U53"/>
  <c r="S53"/>
  <c r="Q53"/>
  <c r="O53"/>
  <c r="M53"/>
  <c r="K53"/>
  <c r="I53"/>
  <c r="G53"/>
  <c r="D53"/>
  <c r="A53"/>
  <c r="BQ52"/>
  <c r="BO52"/>
  <c r="BM52"/>
  <c r="BK52"/>
  <c r="BI52"/>
  <c r="BG52"/>
  <c r="BE52"/>
  <c r="BC52"/>
  <c r="BA52"/>
  <c r="AY52"/>
  <c r="AW52"/>
  <c r="AU52"/>
  <c r="AS52"/>
  <c r="AQ52"/>
  <c r="AO52"/>
  <c r="AM52"/>
  <c r="AK52"/>
  <c r="AI52"/>
  <c r="AG52"/>
  <c r="AE52"/>
  <c r="AC52"/>
  <c r="AA52"/>
  <c r="Y52"/>
  <c r="W52"/>
  <c r="U52"/>
  <c r="S52"/>
  <c r="Q52"/>
  <c r="O52"/>
  <c r="M52"/>
  <c r="K52"/>
  <c r="I52"/>
  <c r="G52"/>
  <c r="D52"/>
  <c r="A52"/>
  <c r="BQ51"/>
  <c r="BO51"/>
  <c r="BM51"/>
  <c r="BK51"/>
  <c r="BI51"/>
  <c r="BG51"/>
  <c r="BE51"/>
  <c r="BC51"/>
  <c r="BA51"/>
  <c r="AY51"/>
  <c r="AW51"/>
  <c r="AU51"/>
  <c r="AS51"/>
  <c r="AQ51"/>
  <c r="AO51"/>
  <c r="AM51"/>
  <c r="AK51"/>
  <c r="AI51"/>
  <c r="AG51"/>
  <c r="AE51"/>
  <c r="AC51"/>
  <c r="AA51"/>
  <c r="Y51"/>
  <c r="W51"/>
  <c r="U51"/>
  <c r="S51"/>
  <c r="Q51"/>
  <c r="O51"/>
  <c r="M51"/>
  <c r="K51"/>
  <c r="I51"/>
  <c r="G51"/>
  <c r="D51"/>
  <c r="A51"/>
  <c r="BQ50"/>
  <c r="BO50"/>
  <c r="BM50"/>
  <c r="BK50"/>
  <c r="BI50"/>
  <c r="BG50"/>
  <c r="BE50"/>
  <c r="BC50"/>
  <c r="BA50"/>
  <c r="AY50"/>
  <c r="AW50"/>
  <c r="AU50"/>
  <c r="AS50"/>
  <c r="AQ50"/>
  <c r="AO50"/>
  <c r="AM50"/>
  <c r="AK50"/>
  <c r="AI50"/>
  <c r="AG50"/>
  <c r="AE50"/>
  <c r="AC50"/>
  <c r="AA50"/>
  <c r="Y50"/>
  <c r="W50"/>
  <c r="U50"/>
  <c r="S50"/>
  <c r="Q50"/>
  <c r="O50"/>
  <c r="M50"/>
  <c r="K50"/>
  <c r="I50"/>
  <c r="G50"/>
  <c r="D50"/>
  <c r="A50"/>
  <c r="BQ49"/>
  <c r="BO49"/>
  <c r="BM49"/>
  <c r="BK49"/>
  <c r="BI49"/>
  <c r="BG49"/>
  <c r="BE49"/>
  <c r="BC49"/>
  <c r="BA49"/>
  <c r="AY49"/>
  <c r="AW49"/>
  <c r="AU49"/>
  <c r="AS49"/>
  <c r="AQ49"/>
  <c r="AO49"/>
  <c r="AM49"/>
  <c r="AK49"/>
  <c r="AI49"/>
  <c r="AG49"/>
  <c r="AE49"/>
  <c r="AC49"/>
  <c r="AA49"/>
  <c r="Y49"/>
  <c r="W49"/>
  <c r="U49"/>
  <c r="S49"/>
  <c r="Q49"/>
  <c r="O49"/>
  <c r="M49"/>
  <c r="K49"/>
  <c r="I49"/>
  <c r="G49"/>
  <c r="D49"/>
  <c r="A49"/>
  <c r="BQ48"/>
  <c r="BO48"/>
  <c r="BM48"/>
  <c r="BK48"/>
  <c r="BI48"/>
  <c r="BG48"/>
  <c r="BE48"/>
  <c r="BC48"/>
  <c r="BA48"/>
  <c r="AY48"/>
  <c r="AW48"/>
  <c r="AU48"/>
  <c r="AS48"/>
  <c r="AQ48"/>
  <c r="AO48"/>
  <c r="AM48"/>
  <c r="AK48"/>
  <c r="AI48"/>
  <c r="AG48"/>
  <c r="AE48"/>
  <c r="AC48"/>
  <c r="AA48"/>
  <c r="Y48"/>
  <c r="W48"/>
  <c r="U48"/>
  <c r="S48"/>
  <c r="Q48"/>
  <c r="O48"/>
  <c r="M48"/>
  <c r="K48"/>
  <c r="I48"/>
  <c r="G48"/>
  <c r="D48"/>
  <c r="A48"/>
  <c r="BQ47"/>
  <c r="BO47"/>
  <c r="BM47"/>
  <c r="BK47"/>
  <c r="BI47"/>
  <c r="BG47"/>
  <c r="BE47"/>
  <c r="BC47"/>
  <c r="BA47"/>
  <c r="AY47"/>
  <c r="AW47"/>
  <c r="AU47"/>
  <c r="AS47"/>
  <c r="AQ47"/>
  <c r="AO47"/>
  <c r="AM47"/>
  <c r="AK47"/>
  <c r="AI47"/>
  <c r="AG47"/>
  <c r="AE47"/>
  <c r="AC47"/>
  <c r="AA47"/>
  <c r="Y47"/>
  <c r="W47"/>
  <c r="U47"/>
  <c r="S47"/>
  <c r="Q47"/>
  <c r="O47"/>
  <c r="M47"/>
  <c r="K47"/>
  <c r="I47"/>
  <c r="G47"/>
  <c r="D47"/>
  <c r="A47"/>
  <c r="BQ46"/>
  <c r="BO46"/>
  <c r="BM46"/>
  <c r="BK46"/>
  <c r="BI46"/>
  <c r="BG46"/>
  <c r="BE46"/>
  <c r="BC46"/>
  <c r="BA46"/>
  <c r="AY46"/>
  <c r="AW46"/>
  <c r="AU46"/>
  <c r="AS46"/>
  <c r="AQ46"/>
  <c r="AO46"/>
  <c r="AM46"/>
  <c r="AK46"/>
  <c r="AI46"/>
  <c r="AG46"/>
  <c r="AE46"/>
  <c r="AC46"/>
  <c r="AA46"/>
  <c r="Y46"/>
  <c r="W46"/>
  <c r="U46"/>
  <c r="S46"/>
  <c r="Q46"/>
  <c r="O46"/>
  <c r="M46"/>
  <c r="K46"/>
  <c r="I46"/>
  <c r="G46"/>
  <c r="D46"/>
  <c r="A46"/>
  <c r="BQ45"/>
  <c r="BO45"/>
  <c r="BM45"/>
  <c r="BK45"/>
  <c r="BI45"/>
  <c r="BG45"/>
  <c r="BE45"/>
  <c r="BC45"/>
  <c r="BA45"/>
  <c r="AY45"/>
  <c r="AW45"/>
  <c r="AU45"/>
  <c r="AS45"/>
  <c r="AQ45"/>
  <c r="AO45"/>
  <c r="AM45"/>
  <c r="AK45"/>
  <c r="AI45"/>
  <c r="AG45"/>
  <c r="AE45"/>
  <c r="AC45"/>
  <c r="AA45"/>
  <c r="Y45"/>
  <c r="W45"/>
  <c r="U45"/>
  <c r="S45"/>
  <c r="Q45"/>
  <c r="O45"/>
  <c r="M45"/>
  <c r="K45"/>
  <c r="I45"/>
  <c r="G45"/>
  <c r="D45"/>
  <c r="A45"/>
  <c r="BQ44"/>
  <c r="BO44"/>
  <c r="BM44"/>
  <c r="BK44"/>
  <c r="BI44"/>
  <c r="BG44"/>
  <c r="BE44"/>
  <c r="BC44"/>
  <c r="BA44"/>
  <c r="AY44"/>
  <c r="AW44"/>
  <c r="AU44"/>
  <c r="AS44"/>
  <c r="AQ44"/>
  <c r="AO44"/>
  <c r="AM44"/>
  <c r="AK44"/>
  <c r="AI44"/>
  <c r="AG44"/>
  <c r="AE44"/>
  <c r="AC44"/>
  <c r="AA44"/>
  <c r="Y44"/>
  <c r="W44"/>
  <c r="U44"/>
  <c r="S44"/>
  <c r="Q44"/>
  <c r="O44"/>
  <c r="M44"/>
  <c r="K44"/>
  <c r="I44"/>
  <c r="G44"/>
  <c r="D44"/>
  <c r="A44"/>
  <c r="BQ43"/>
  <c r="BO43"/>
  <c r="BM43"/>
  <c r="BK43"/>
  <c r="BI43"/>
  <c r="BG43"/>
  <c r="BE43"/>
  <c r="BC43"/>
  <c r="BA43"/>
  <c r="AY43"/>
  <c r="AW43"/>
  <c r="AU43"/>
  <c r="AS43"/>
  <c r="AQ43"/>
  <c r="AO43"/>
  <c r="AM43"/>
  <c r="AK43"/>
  <c r="AI43"/>
  <c r="AG43"/>
  <c r="AE43"/>
  <c r="AC43"/>
  <c r="AA43"/>
  <c r="Y43"/>
  <c r="W43"/>
  <c r="U43"/>
  <c r="S43"/>
  <c r="Q43"/>
  <c r="O43"/>
  <c r="M43"/>
  <c r="K43"/>
  <c r="I43"/>
  <c r="G43"/>
  <c r="D43"/>
  <c r="A43"/>
  <c r="BQ42"/>
  <c r="BO42"/>
  <c r="BM42"/>
  <c r="BK42"/>
  <c r="BI42"/>
  <c r="BG42"/>
  <c r="BE42"/>
  <c r="BC42"/>
  <c r="BA42"/>
  <c r="AY42"/>
  <c r="AW42"/>
  <c r="AU42"/>
  <c r="AS42"/>
  <c r="AQ42"/>
  <c r="AO42"/>
  <c r="AM42"/>
  <c r="AK42"/>
  <c r="AI42"/>
  <c r="AG42"/>
  <c r="AE42"/>
  <c r="AC42"/>
  <c r="AA42"/>
  <c r="Y42"/>
  <c r="W42"/>
  <c r="U42"/>
  <c r="S42"/>
  <c r="Q42"/>
  <c r="O42"/>
  <c r="M42"/>
  <c r="K42"/>
  <c r="I42"/>
  <c r="G42"/>
  <c r="D42"/>
  <c r="A42"/>
  <c r="BQ41"/>
  <c r="BO41"/>
  <c r="BM41"/>
  <c r="BK41"/>
  <c r="BI41"/>
  <c r="BG41"/>
  <c r="BE41"/>
  <c r="BC41"/>
  <c r="BA41"/>
  <c r="AY41"/>
  <c r="AW41"/>
  <c r="AU41"/>
  <c r="AS41"/>
  <c r="AQ41"/>
  <c r="AO41"/>
  <c r="AM41"/>
  <c r="AK41"/>
  <c r="AI41"/>
  <c r="AG41"/>
  <c r="AE41"/>
  <c r="AC41"/>
  <c r="AA41"/>
  <c r="Y41"/>
  <c r="W41"/>
  <c r="U41"/>
  <c r="S41"/>
  <c r="Q41"/>
  <c r="O41"/>
  <c r="M41"/>
  <c r="K41"/>
  <c r="I41"/>
  <c r="G41"/>
  <c r="D41"/>
  <c r="A41"/>
  <c r="BQ40"/>
  <c r="BO40"/>
  <c r="BM40"/>
  <c r="BK40"/>
  <c r="BI40"/>
  <c r="BG40"/>
  <c r="BE40"/>
  <c r="BC40"/>
  <c r="BA40"/>
  <c r="AY40"/>
  <c r="AW40"/>
  <c r="AU40"/>
  <c r="AS40"/>
  <c r="AQ40"/>
  <c r="AO40"/>
  <c r="AM40"/>
  <c r="AK40"/>
  <c r="AI40"/>
  <c r="AG40"/>
  <c r="AE40"/>
  <c r="AC40"/>
  <c r="AA40"/>
  <c r="Y40"/>
  <c r="W40"/>
  <c r="U40"/>
  <c r="S40"/>
  <c r="Q40"/>
  <c r="O40"/>
  <c r="M40"/>
  <c r="K40"/>
  <c r="I40"/>
  <c r="G40"/>
  <c r="D40"/>
  <c r="A40"/>
  <c r="BQ39"/>
  <c r="BO39"/>
  <c r="BM39"/>
  <c r="BK39"/>
  <c r="BI39"/>
  <c r="BG39"/>
  <c r="BE39"/>
  <c r="BC39"/>
  <c r="BA39"/>
  <c r="AY39"/>
  <c r="AW39"/>
  <c r="AU39"/>
  <c r="AS39"/>
  <c r="AQ39"/>
  <c r="AO39"/>
  <c r="AM39"/>
  <c r="AK39"/>
  <c r="AI39"/>
  <c r="AG39"/>
  <c r="AE39"/>
  <c r="AC39"/>
  <c r="AA39"/>
  <c r="Y39"/>
  <c r="W39"/>
  <c r="U39"/>
  <c r="S39"/>
  <c r="Q39"/>
  <c r="O39"/>
  <c r="M39"/>
  <c r="K39"/>
  <c r="I39"/>
  <c r="G39"/>
  <c r="D39"/>
  <c r="A39"/>
  <c r="BQ38"/>
  <c r="BO38"/>
  <c r="BM38"/>
  <c r="BK38"/>
  <c r="BI38"/>
  <c r="BG38"/>
  <c r="BE38"/>
  <c r="BC38"/>
  <c r="BA38"/>
  <c r="AY38"/>
  <c r="AW38"/>
  <c r="AU38"/>
  <c r="AS38"/>
  <c r="AQ38"/>
  <c r="AO38"/>
  <c r="AM38"/>
  <c r="AK38"/>
  <c r="AI38"/>
  <c r="AG38"/>
  <c r="AE38"/>
  <c r="AC38"/>
  <c r="AA38"/>
  <c r="Y38"/>
  <c r="W38"/>
  <c r="U38"/>
  <c r="S38"/>
  <c r="Q38"/>
  <c r="O38"/>
  <c r="M38"/>
  <c r="K38"/>
  <c r="I38"/>
  <c r="G38"/>
  <c r="D38"/>
  <c r="A38"/>
  <c r="BQ37"/>
  <c r="BO37"/>
  <c r="BM37"/>
  <c r="BK37"/>
  <c r="BI37"/>
  <c r="BG37"/>
  <c r="BE37"/>
  <c r="BC37"/>
  <c r="BA37"/>
  <c r="AY37"/>
  <c r="AW37"/>
  <c r="AU37"/>
  <c r="AS37"/>
  <c r="AQ37"/>
  <c r="AO37"/>
  <c r="AM37"/>
  <c r="AK37"/>
  <c r="AI37"/>
  <c r="AG37"/>
  <c r="AE37"/>
  <c r="AC37"/>
  <c r="AA37"/>
  <c r="Y37"/>
  <c r="W37"/>
  <c r="U37"/>
  <c r="S37"/>
  <c r="Q37"/>
  <c r="O37"/>
  <c r="M37"/>
  <c r="K37"/>
  <c r="I37"/>
  <c r="G37"/>
  <c r="D37"/>
  <c r="A37"/>
  <c r="BQ36"/>
  <c r="BO36"/>
  <c r="BM36"/>
  <c r="BK36"/>
  <c r="BI36"/>
  <c r="BG36"/>
  <c r="BE36"/>
  <c r="BC36"/>
  <c r="BA36"/>
  <c r="AY36"/>
  <c r="AW36"/>
  <c r="AU36"/>
  <c r="AS36"/>
  <c r="AQ36"/>
  <c r="AO36"/>
  <c r="AM36"/>
  <c r="AK36"/>
  <c r="AI36"/>
  <c r="AG36"/>
  <c r="AE36"/>
  <c r="AC36"/>
  <c r="AA36"/>
  <c r="Y36"/>
  <c r="W36"/>
  <c r="U36"/>
  <c r="S36"/>
  <c r="Q36"/>
  <c r="O36"/>
  <c r="M36"/>
  <c r="K36"/>
  <c r="I36"/>
  <c r="G36"/>
  <c r="D36"/>
  <c r="A36"/>
  <c r="BQ35"/>
  <c r="BO35"/>
  <c r="BM35"/>
  <c r="BK35"/>
  <c r="BI35"/>
  <c r="BG35"/>
  <c r="BE35"/>
  <c r="BC35"/>
  <c r="BA35"/>
  <c r="AY35"/>
  <c r="AW35"/>
  <c r="AU35"/>
  <c r="AS35"/>
  <c r="AQ35"/>
  <c r="AO35"/>
  <c r="AM35"/>
  <c r="AK35"/>
  <c r="AI35"/>
  <c r="AG35"/>
  <c r="AE35"/>
  <c r="AC35"/>
  <c r="AA35"/>
  <c r="Y35"/>
  <c r="W35"/>
  <c r="U35"/>
  <c r="S35"/>
  <c r="Q35"/>
  <c r="O35"/>
  <c r="M35"/>
  <c r="K35"/>
  <c r="I35"/>
  <c r="G35"/>
  <c r="D35"/>
  <c r="A35"/>
  <c r="BQ34"/>
  <c r="BO34"/>
  <c r="BM34"/>
  <c r="BK34"/>
  <c r="BI34"/>
  <c r="BG34"/>
  <c r="BE34"/>
  <c r="BC34"/>
  <c r="BA34"/>
  <c r="AY34"/>
  <c r="AW34"/>
  <c r="AU34"/>
  <c r="AS34"/>
  <c r="AQ34"/>
  <c r="AO34"/>
  <c r="AM34"/>
  <c r="AK34"/>
  <c r="AI34"/>
  <c r="AG34"/>
  <c r="AE34"/>
  <c r="AC34"/>
  <c r="AA34"/>
  <c r="Y34"/>
  <c r="W34"/>
  <c r="U34"/>
  <c r="S34"/>
  <c r="Q34"/>
  <c r="O34"/>
  <c r="M34"/>
  <c r="K34"/>
  <c r="I34"/>
  <c r="G34"/>
  <c r="D34"/>
  <c r="A34"/>
  <c r="BQ33"/>
  <c r="BO33"/>
  <c r="BM33"/>
  <c r="BK33"/>
  <c r="BI33"/>
  <c r="BG33"/>
  <c r="BE33"/>
  <c r="BC33"/>
  <c r="BA33"/>
  <c r="AY33"/>
  <c r="AW33"/>
  <c r="AU33"/>
  <c r="AS33"/>
  <c r="AQ33"/>
  <c r="AO33"/>
  <c r="AM33"/>
  <c r="AK33"/>
  <c r="AI33"/>
  <c r="AG33"/>
  <c r="AE33"/>
  <c r="AC33"/>
  <c r="AA33"/>
  <c r="Y33"/>
  <c r="W33"/>
  <c r="U33"/>
  <c r="S33"/>
  <c r="Q33"/>
  <c r="O33"/>
  <c r="M33"/>
  <c r="K33"/>
  <c r="I33"/>
  <c r="G33"/>
  <c r="D33"/>
  <c r="A33"/>
  <c r="BQ32"/>
  <c r="BO32"/>
  <c r="BM32"/>
  <c r="BK32"/>
  <c r="BI32"/>
  <c r="BG32"/>
  <c r="BE32"/>
  <c r="BC32"/>
  <c r="BA32"/>
  <c r="AY32"/>
  <c r="AW32"/>
  <c r="AU32"/>
  <c r="AS32"/>
  <c r="AQ32"/>
  <c r="AO32"/>
  <c r="AM32"/>
  <c r="AK32"/>
  <c r="AI32"/>
  <c r="AG32"/>
  <c r="AE32"/>
  <c r="AC32"/>
  <c r="AA32"/>
  <c r="Y32"/>
  <c r="W32"/>
  <c r="U32"/>
  <c r="S32"/>
  <c r="Q32"/>
  <c r="O32"/>
  <c r="M32"/>
  <c r="K32"/>
  <c r="I32"/>
  <c r="G32"/>
  <c r="D32"/>
  <c r="A32"/>
  <c r="BQ31"/>
  <c r="BO31"/>
  <c r="BM31"/>
  <c r="BK31"/>
  <c r="BI31"/>
  <c r="BG31"/>
  <c r="BE31"/>
  <c r="BC31"/>
  <c r="BA31"/>
  <c r="AY31"/>
  <c r="AW31"/>
  <c r="AU31"/>
  <c r="AS31"/>
  <c r="AQ31"/>
  <c r="AO31"/>
  <c r="AM31"/>
  <c r="AK31"/>
  <c r="AI31"/>
  <c r="AG31"/>
  <c r="AE31"/>
  <c r="AC31"/>
  <c r="AA31"/>
  <c r="Y31"/>
  <c r="W31"/>
  <c r="U31"/>
  <c r="S31"/>
  <c r="Q31"/>
  <c r="O31"/>
  <c r="M31"/>
  <c r="K31"/>
  <c r="I31"/>
  <c r="G31"/>
  <c r="D31"/>
  <c r="A31"/>
  <c r="BQ30"/>
  <c r="BO30"/>
  <c r="BM30"/>
  <c r="BK30"/>
  <c r="BI30"/>
  <c r="BG30"/>
  <c r="BE30"/>
  <c r="BC30"/>
  <c r="BA30"/>
  <c r="AY30"/>
  <c r="AW30"/>
  <c r="AU30"/>
  <c r="AS30"/>
  <c r="AQ30"/>
  <c r="AO30"/>
  <c r="AM30"/>
  <c r="AK30"/>
  <c r="AI30"/>
  <c r="AG30"/>
  <c r="AE30"/>
  <c r="AC30"/>
  <c r="AA30"/>
  <c r="Y30"/>
  <c r="W30"/>
  <c r="U30"/>
  <c r="S30"/>
  <c r="Q30"/>
  <c r="O30"/>
  <c r="M30"/>
  <c r="K30"/>
  <c r="I30"/>
  <c r="G30"/>
  <c r="D30"/>
  <c r="A30"/>
  <c r="BQ29"/>
  <c r="BO29"/>
  <c r="BM29"/>
  <c r="BK29"/>
  <c r="BI29"/>
  <c r="BG29"/>
  <c r="BE29"/>
  <c r="BC29"/>
  <c r="BA29"/>
  <c r="AY29"/>
  <c r="AW29"/>
  <c r="AU29"/>
  <c r="AS29"/>
  <c r="AQ29"/>
  <c r="AO29"/>
  <c r="AM29"/>
  <c r="AK29"/>
  <c r="AI29"/>
  <c r="AG29"/>
  <c r="AE29"/>
  <c r="AC29"/>
  <c r="AA29"/>
  <c r="Y29"/>
  <c r="W29"/>
  <c r="U29"/>
  <c r="S29"/>
  <c r="Q29"/>
  <c r="O29"/>
  <c r="M29"/>
  <c r="K29"/>
  <c r="I29"/>
  <c r="G29"/>
  <c r="D29"/>
  <c r="A29"/>
  <c r="BQ28"/>
  <c r="BO28"/>
  <c r="BM28"/>
  <c r="BK28"/>
  <c r="BI28"/>
  <c r="BG28"/>
  <c r="BE28"/>
  <c r="BC28"/>
  <c r="BA28"/>
  <c r="AY28"/>
  <c r="AW28"/>
  <c r="AU28"/>
  <c r="AS28"/>
  <c r="AQ28"/>
  <c r="AO28"/>
  <c r="AM28"/>
  <c r="AK28"/>
  <c r="AI28"/>
  <c r="AG28"/>
  <c r="AE28"/>
  <c r="AC28"/>
  <c r="AA28"/>
  <c r="Y28"/>
  <c r="W28"/>
  <c r="U28"/>
  <c r="S28"/>
  <c r="Q28"/>
  <c r="O28"/>
  <c r="M28"/>
  <c r="K28"/>
  <c r="I28"/>
  <c r="G28"/>
  <c r="D28"/>
  <c r="A28"/>
  <c r="BQ27"/>
  <c r="BO27"/>
  <c r="BM27"/>
  <c r="BK27"/>
  <c r="BI27"/>
  <c r="BG27"/>
  <c r="BE27"/>
  <c r="BC27"/>
  <c r="BA27"/>
  <c r="AY27"/>
  <c r="AW27"/>
  <c r="AU27"/>
  <c r="AS27"/>
  <c r="AQ27"/>
  <c r="AO27"/>
  <c r="AM27"/>
  <c r="AK27"/>
  <c r="AI27"/>
  <c r="AG27"/>
  <c r="AE27"/>
  <c r="AC27"/>
  <c r="AA27"/>
  <c r="Y27"/>
  <c r="W27"/>
  <c r="U27"/>
  <c r="S27"/>
  <c r="Q27"/>
  <c r="O27"/>
  <c r="M27"/>
  <c r="K27"/>
  <c r="I27"/>
  <c r="G27"/>
  <c r="D27"/>
  <c r="A27"/>
  <c r="BQ26"/>
  <c r="BO26"/>
  <c r="BM26"/>
  <c r="BK26"/>
  <c r="BI26"/>
  <c r="BG26"/>
  <c r="BE26"/>
  <c r="BC26"/>
  <c r="BA26"/>
  <c r="AY26"/>
  <c r="AW26"/>
  <c r="AU26"/>
  <c r="AS26"/>
  <c r="AQ26"/>
  <c r="AO26"/>
  <c r="AM26"/>
  <c r="AK26"/>
  <c r="AI26"/>
  <c r="AG26"/>
  <c r="AE26"/>
  <c r="AC26"/>
  <c r="AA26"/>
  <c r="Y26"/>
  <c r="W26"/>
  <c r="U26"/>
  <c r="S26"/>
  <c r="Q26"/>
  <c r="O26"/>
  <c r="M26"/>
  <c r="K26"/>
  <c r="I26"/>
  <c r="G26"/>
  <c r="D26"/>
  <c r="A26"/>
  <c r="BQ25"/>
  <c r="BO25"/>
  <c r="BM25"/>
  <c r="BK25"/>
  <c r="BI25"/>
  <c r="BG25"/>
  <c r="BE25"/>
  <c r="BC25"/>
  <c r="BA25"/>
  <c r="AY25"/>
  <c r="AW25"/>
  <c r="AU25"/>
  <c r="AS25"/>
  <c r="AQ25"/>
  <c r="AO25"/>
  <c r="AM25"/>
  <c r="AK25"/>
  <c r="AI25"/>
  <c r="AG25"/>
  <c r="AE25"/>
  <c r="AC25"/>
  <c r="AA25"/>
  <c r="Y25"/>
  <c r="W25"/>
  <c r="U25"/>
  <c r="S25"/>
  <c r="Q25"/>
  <c r="O25"/>
  <c r="M25"/>
  <c r="K25"/>
  <c r="I25"/>
  <c r="G25"/>
  <c r="D25"/>
  <c r="A25"/>
  <c r="BQ24"/>
  <c r="BO24"/>
  <c r="BM24"/>
  <c r="BK24"/>
  <c r="BI24"/>
  <c r="BG24"/>
  <c r="BE24"/>
  <c r="BC24"/>
  <c r="BA24"/>
  <c r="AY24"/>
  <c r="AW24"/>
  <c r="AU24"/>
  <c r="AS24"/>
  <c r="AQ24"/>
  <c r="AO24"/>
  <c r="AM24"/>
  <c r="AK24"/>
  <c r="AI24"/>
  <c r="AG24"/>
  <c r="AE24"/>
  <c r="AC24"/>
  <c r="AA24"/>
  <c r="Y24"/>
  <c r="W24"/>
  <c r="U24"/>
  <c r="S24"/>
  <c r="Q24"/>
  <c r="O24"/>
  <c r="M24"/>
  <c r="K24"/>
  <c r="I24"/>
  <c r="G24"/>
  <c r="D24"/>
  <c r="A24"/>
  <c r="BQ23"/>
  <c r="BO23"/>
  <c r="BM23"/>
  <c r="BK23"/>
  <c r="BI23"/>
  <c r="BG23"/>
  <c r="BE23"/>
  <c r="BC23"/>
  <c r="BA23"/>
  <c r="AY23"/>
  <c r="AW23"/>
  <c r="AU23"/>
  <c r="AS23"/>
  <c r="AQ23"/>
  <c r="AO23"/>
  <c r="AM23"/>
  <c r="AK23"/>
  <c r="AI23"/>
  <c r="AG23"/>
  <c r="AE23"/>
  <c r="AC23"/>
  <c r="AA23"/>
  <c r="Y23"/>
  <c r="W23"/>
  <c r="U23"/>
  <c r="S23"/>
  <c r="Q23"/>
  <c r="O23"/>
  <c r="M23"/>
  <c r="K23"/>
  <c r="I23"/>
  <c r="G23"/>
  <c r="D23"/>
  <c r="A23"/>
  <c r="BQ22"/>
  <c r="BO22"/>
  <c r="BM22"/>
  <c r="BK22"/>
  <c r="BI22"/>
  <c r="BG22"/>
  <c r="BE22"/>
  <c r="BC22"/>
  <c r="BA22"/>
  <c r="AY22"/>
  <c r="AW22"/>
  <c r="AU22"/>
  <c r="AS22"/>
  <c r="AQ22"/>
  <c r="AO22"/>
  <c r="AM22"/>
  <c r="AK22"/>
  <c r="AI22"/>
  <c r="AG22"/>
  <c r="AE22"/>
  <c r="AC22"/>
  <c r="AA22"/>
  <c r="Y22"/>
  <c r="W22"/>
  <c r="U22"/>
  <c r="S22"/>
  <c r="Q22"/>
  <c r="O22"/>
  <c r="M22"/>
  <c r="K22"/>
  <c r="I22"/>
  <c r="G22"/>
  <c r="D22"/>
  <c r="A22"/>
  <c r="BQ21"/>
  <c r="BO21"/>
  <c r="BM21"/>
  <c r="BK21"/>
  <c r="BI21"/>
  <c r="BG21"/>
  <c r="BE21"/>
  <c r="BC21"/>
  <c r="BA21"/>
  <c r="AY21"/>
  <c r="AW21"/>
  <c r="AU21"/>
  <c r="AS21"/>
  <c r="AQ21"/>
  <c r="AO21"/>
  <c r="AM21"/>
  <c r="AK21"/>
  <c r="AI21"/>
  <c r="AG21"/>
  <c r="AE21"/>
  <c r="AC21"/>
  <c r="AA21"/>
  <c r="Y21"/>
  <c r="W21"/>
  <c r="U21"/>
  <c r="S21"/>
  <c r="Q21"/>
  <c r="O21"/>
  <c r="M21"/>
  <c r="K21"/>
  <c r="I21"/>
  <c r="G21"/>
  <c r="D21"/>
  <c r="A21"/>
  <c r="BQ20"/>
  <c r="BO20"/>
  <c r="BM20"/>
  <c r="BK20"/>
  <c r="BI20"/>
  <c r="BG20"/>
  <c r="BE20"/>
  <c r="BC20"/>
  <c r="BA20"/>
  <c r="AY20"/>
  <c r="AW20"/>
  <c r="AU20"/>
  <c r="AS20"/>
  <c r="AQ20"/>
  <c r="AO20"/>
  <c r="AM20"/>
  <c r="AK20"/>
  <c r="AI20"/>
  <c r="AG20"/>
  <c r="AE20"/>
  <c r="AC20"/>
  <c r="AA20"/>
  <c r="Y20"/>
  <c r="W20"/>
  <c r="U20"/>
  <c r="S20"/>
  <c r="Q20"/>
  <c r="O20"/>
  <c r="M20"/>
  <c r="K20"/>
  <c r="I20"/>
  <c r="G20"/>
  <c r="D20"/>
  <c r="A20"/>
  <c r="BQ19"/>
  <c r="BO19"/>
  <c r="BM19"/>
  <c r="BK19"/>
  <c r="BI19"/>
  <c r="BG19"/>
  <c r="BE19"/>
  <c r="BC19"/>
  <c r="BA19"/>
  <c r="AY19"/>
  <c r="AW19"/>
  <c r="AU19"/>
  <c r="AS19"/>
  <c r="AQ19"/>
  <c r="AO19"/>
  <c r="AM19"/>
  <c r="AK19"/>
  <c r="AI19"/>
  <c r="AG19"/>
  <c r="AE19"/>
  <c r="AC19"/>
  <c r="AA19"/>
  <c r="Y19"/>
  <c r="W19"/>
  <c r="U19"/>
  <c r="S19"/>
  <c r="Q19"/>
  <c r="O19"/>
  <c r="M19"/>
  <c r="K19"/>
  <c r="I19"/>
  <c r="G19"/>
  <c r="D19"/>
  <c r="A19"/>
  <c r="BQ18"/>
  <c r="BO18"/>
  <c r="BM18"/>
  <c r="BK18"/>
  <c r="BI18"/>
  <c r="BG18"/>
  <c r="BE18"/>
  <c r="BC18"/>
  <c r="BA18"/>
  <c r="AY18"/>
  <c r="AW18"/>
  <c r="AU18"/>
  <c r="AS18"/>
  <c r="AQ18"/>
  <c r="AO18"/>
  <c r="AM18"/>
  <c r="AK18"/>
  <c r="AI18"/>
  <c r="AG18"/>
  <c r="AE18"/>
  <c r="AC18"/>
  <c r="AA18"/>
  <c r="Y18"/>
  <c r="W18"/>
  <c r="U18"/>
  <c r="S18"/>
  <c r="Q18"/>
  <c r="O18"/>
  <c r="M18"/>
  <c r="K18"/>
  <c r="I18"/>
  <c r="G18"/>
  <c r="D18"/>
  <c r="A18"/>
  <c r="BQ17"/>
  <c r="BO17"/>
  <c r="BM17"/>
  <c r="BK17"/>
  <c r="BI17"/>
  <c r="BG17"/>
  <c r="BE17"/>
  <c r="BC17"/>
  <c r="BA17"/>
  <c r="AY17"/>
  <c r="AW17"/>
  <c r="AU17"/>
  <c r="AS17"/>
  <c r="AQ17"/>
  <c r="AO17"/>
  <c r="AM17"/>
  <c r="AK17"/>
  <c r="AI17"/>
  <c r="AG17"/>
  <c r="AE17"/>
  <c r="AC17"/>
  <c r="AA17"/>
  <c r="Y17"/>
  <c r="W17"/>
  <c r="U17"/>
  <c r="S17"/>
  <c r="Q17"/>
  <c r="O17"/>
  <c r="M17"/>
  <c r="K17"/>
  <c r="I17"/>
  <c r="G17"/>
  <c r="D17"/>
  <c r="A17"/>
  <c r="BQ16"/>
  <c r="BO16"/>
  <c r="BM16"/>
  <c r="BK16"/>
  <c r="BI16"/>
  <c r="BG16"/>
  <c r="BE16"/>
  <c r="BC16"/>
  <c r="BA16"/>
  <c r="AY16"/>
  <c r="AW16"/>
  <c r="AU16"/>
  <c r="AS16"/>
  <c r="AQ16"/>
  <c r="AO16"/>
  <c r="AM16"/>
  <c r="AK16"/>
  <c r="AI16"/>
  <c r="AG16"/>
  <c r="AE16"/>
  <c r="AC16"/>
  <c r="AA16"/>
  <c r="Y16"/>
  <c r="W16"/>
  <c r="U16"/>
  <c r="S16"/>
  <c r="Q16"/>
  <c r="O16"/>
  <c r="M16"/>
  <c r="K16"/>
  <c r="I16"/>
  <c r="G16"/>
  <c r="D16"/>
  <c r="A16"/>
  <c r="BQ15"/>
  <c r="BO15"/>
  <c r="BM15"/>
  <c r="BK15"/>
  <c r="BI15"/>
  <c r="BG15"/>
  <c r="BE15"/>
  <c r="BC15"/>
  <c r="BA15"/>
  <c r="AY15"/>
  <c r="AW15"/>
  <c r="AU15"/>
  <c r="AS15"/>
  <c r="AQ15"/>
  <c r="AO15"/>
  <c r="AM15"/>
  <c r="AK15"/>
  <c r="AI15"/>
  <c r="AG15"/>
  <c r="AE15"/>
  <c r="AC15"/>
  <c r="AA15"/>
  <c r="Y15"/>
  <c r="W15"/>
  <c r="U15"/>
  <c r="S15"/>
  <c r="Q15"/>
  <c r="O15"/>
  <c r="M15"/>
  <c r="K15"/>
  <c r="I15"/>
  <c r="G15"/>
  <c r="D15"/>
  <c r="A15"/>
  <c r="BQ14"/>
  <c r="BO14"/>
  <c r="BM14"/>
  <c r="BK14"/>
  <c r="BI14"/>
  <c r="BG14"/>
  <c r="BE14"/>
  <c r="BC14"/>
  <c r="BA14"/>
  <c r="AY14"/>
  <c r="AW14"/>
  <c r="AU14"/>
  <c r="AS14"/>
  <c r="AQ14"/>
  <c r="AO14"/>
  <c r="AM14"/>
  <c r="AK14"/>
  <c r="AI14"/>
  <c r="AG14"/>
  <c r="AE14"/>
  <c r="AC14"/>
  <c r="AA14"/>
  <c r="Y14"/>
  <c r="W14"/>
  <c r="U14"/>
  <c r="S14"/>
  <c r="Q14"/>
  <c r="O14"/>
  <c r="M14"/>
  <c r="K14"/>
  <c r="I14"/>
  <c r="G14"/>
  <c r="D14"/>
  <c r="A14"/>
  <c r="BQ13"/>
  <c r="BO13"/>
  <c r="BM13"/>
  <c r="BK13"/>
  <c r="BI13"/>
  <c r="BG13"/>
  <c r="BE13"/>
  <c r="BC13"/>
  <c r="BA13"/>
  <c r="AY13"/>
  <c r="AW13"/>
  <c r="AU13"/>
  <c r="AS13"/>
  <c r="AQ13"/>
  <c r="AO13"/>
  <c r="AM13"/>
  <c r="AK13"/>
  <c r="AI13"/>
  <c r="AG13"/>
  <c r="AE13"/>
  <c r="AC13"/>
  <c r="AA13"/>
  <c r="Y13"/>
  <c r="W13"/>
  <c r="U13"/>
  <c r="S13"/>
  <c r="Q13"/>
  <c r="O13"/>
  <c r="M13"/>
  <c r="K13"/>
  <c r="I13"/>
  <c r="G13"/>
  <c r="D13"/>
  <c r="A13"/>
  <c r="BQ12"/>
  <c r="BO12"/>
  <c r="BM12"/>
  <c r="BK12"/>
  <c r="BI12"/>
  <c r="BG12"/>
  <c r="BE12"/>
  <c r="BC12"/>
  <c r="BA12"/>
  <c r="AY12"/>
  <c r="AW12"/>
  <c r="AU12"/>
  <c r="AS12"/>
  <c r="AQ12"/>
  <c r="AO12"/>
  <c r="AM12"/>
  <c r="AK12"/>
  <c r="AI12"/>
  <c r="AG12"/>
  <c r="AE12"/>
  <c r="AC12"/>
  <c r="AA12"/>
  <c r="Y12"/>
  <c r="W12"/>
  <c r="U12"/>
  <c r="S12"/>
  <c r="Q12"/>
  <c r="O12"/>
  <c r="M12"/>
  <c r="K12"/>
  <c r="I12"/>
  <c r="G12"/>
  <c r="D12"/>
  <c r="A12"/>
  <c r="BQ11"/>
  <c r="BO11"/>
  <c r="BM11"/>
  <c r="BK11"/>
  <c r="BI11"/>
  <c r="BG11"/>
  <c r="BE11"/>
  <c r="BC11"/>
  <c r="BA11"/>
  <c r="AY11"/>
  <c r="AW11"/>
  <c r="AU11"/>
  <c r="AS11"/>
  <c r="AQ11"/>
  <c r="AO11"/>
  <c r="AM11"/>
  <c r="AK11"/>
  <c r="AI11"/>
  <c r="AG11"/>
  <c r="AE11"/>
  <c r="AC11"/>
  <c r="AA11"/>
  <c r="Y11"/>
  <c r="W11"/>
  <c r="U11"/>
  <c r="S11"/>
  <c r="Q11"/>
  <c r="O11"/>
  <c r="M11"/>
  <c r="K11"/>
  <c r="I11"/>
  <c r="G11"/>
  <c r="D11"/>
  <c r="A11"/>
  <c r="BQ10"/>
  <c r="BO10"/>
  <c r="BM10"/>
  <c r="BK10"/>
  <c r="BI10"/>
  <c r="BG10"/>
  <c r="BE10"/>
  <c r="BC10"/>
  <c r="BA10"/>
  <c r="AY10"/>
  <c r="AW10"/>
  <c r="AU10"/>
  <c r="AS10"/>
  <c r="AQ10"/>
  <c r="AO10"/>
  <c r="AM10"/>
  <c r="AK10"/>
  <c r="AI10"/>
  <c r="AG10"/>
  <c r="AE10"/>
  <c r="AC10"/>
  <c r="AA10"/>
  <c r="Y10"/>
  <c r="W10"/>
  <c r="U10"/>
  <c r="S10"/>
  <c r="Q10"/>
  <c r="O10"/>
  <c r="M10"/>
  <c r="K10"/>
  <c r="I10"/>
  <c r="G10"/>
  <c r="D10"/>
  <c r="A10"/>
  <c r="BQ9"/>
  <c r="BO9"/>
  <c r="BM9"/>
  <c r="BK9"/>
  <c r="BI9"/>
  <c r="BG9"/>
  <c r="BE9"/>
  <c r="BC9"/>
  <c r="BA9"/>
  <c r="AY9"/>
  <c r="AW9"/>
  <c r="AU9"/>
  <c r="AS9"/>
  <c r="AQ9"/>
  <c r="AO9"/>
  <c r="AM9"/>
  <c r="AK9"/>
  <c r="AI9"/>
  <c r="AG9"/>
  <c r="AE9"/>
  <c r="AC9"/>
  <c r="AA9"/>
  <c r="Y9"/>
  <c r="W9"/>
  <c r="U9"/>
  <c r="S9"/>
  <c r="Q9"/>
  <c r="O9"/>
  <c r="M9"/>
  <c r="K9"/>
  <c r="I9"/>
  <c r="G9"/>
  <c r="D9"/>
  <c r="A9"/>
  <c r="BQ8"/>
  <c r="BO8"/>
  <c r="BM8"/>
  <c r="BK8"/>
  <c r="BI8"/>
  <c r="BG8"/>
  <c r="BE8"/>
  <c r="BC8"/>
  <c r="BA8"/>
  <c r="AY8"/>
  <c r="AW8"/>
  <c r="AU8"/>
  <c r="AS8"/>
  <c r="AQ8"/>
  <c r="AO8"/>
  <c r="AM8"/>
  <c r="AK8"/>
  <c r="AI8"/>
  <c r="AG8"/>
  <c r="AE8"/>
  <c r="AC8"/>
  <c r="AA8"/>
  <c r="Y8"/>
  <c r="W8"/>
  <c r="U8"/>
  <c r="S8"/>
  <c r="Q8"/>
  <c r="O8"/>
  <c r="M8"/>
  <c r="K8"/>
  <c r="I8"/>
  <c r="G8"/>
  <c r="D8"/>
  <c r="A8"/>
  <c r="BQ7"/>
  <c r="BO7"/>
  <c r="BM7"/>
  <c r="BK7"/>
  <c r="BI7"/>
  <c r="BG7"/>
  <c r="BE7"/>
  <c r="BC7"/>
  <c r="BA7"/>
  <c r="AY7"/>
  <c r="AW7"/>
  <c r="AU7"/>
  <c r="AS7"/>
  <c r="AQ7"/>
  <c r="AO7"/>
  <c r="AM7"/>
  <c r="AK7"/>
  <c r="AI7"/>
  <c r="AG7"/>
  <c r="AE7"/>
  <c r="AC7"/>
  <c r="AA7"/>
  <c r="Y7"/>
  <c r="W7"/>
  <c r="U7"/>
  <c r="S7"/>
  <c r="Q7"/>
  <c r="O7"/>
  <c r="M7"/>
  <c r="K7"/>
  <c r="I7"/>
  <c r="G7"/>
  <c r="D7"/>
  <c r="A7"/>
  <c r="BQ6"/>
  <c r="BO6"/>
  <c r="BM6"/>
  <c r="BK6"/>
  <c r="BI6"/>
  <c r="BG6"/>
  <c r="BE6"/>
  <c r="BC6"/>
  <c r="BA6"/>
  <c r="AY6"/>
  <c r="AW6"/>
  <c r="AU6"/>
  <c r="AS6"/>
  <c r="AQ6"/>
  <c r="AO6"/>
  <c r="AM6"/>
  <c r="AK6"/>
  <c r="AI6"/>
  <c r="AG6"/>
  <c r="AE6"/>
  <c r="AC6"/>
  <c r="AA6"/>
  <c r="Y6"/>
  <c r="W6"/>
  <c r="U6"/>
  <c r="S6"/>
  <c r="Q6"/>
  <c r="O6"/>
  <c r="M6"/>
  <c r="K6"/>
  <c r="I6"/>
  <c r="G6"/>
  <c r="D6"/>
  <c r="A6"/>
  <c r="BQ5"/>
  <c r="BO5"/>
  <c r="BM5"/>
  <c r="BK5"/>
  <c r="BI5"/>
  <c r="BG5"/>
  <c r="BE5"/>
  <c r="BC5"/>
  <c r="BA5"/>
  <c r="AY5"/>
  <c r="AW5"/>
  <c r="AU5"/>
  <c r="AS5"/>
  <c r="AQ5"/>
  <c r="AO5"/>
  <c r="AM5"/>
  <c r="AK5"/>
  <c r="AI5"/>
  <c r="AG5"/>
  <c r="AE5"/>
  <c r="AC5"/>
  <c r="AA5"/>
  <c r="Y5"/>
  <c r="W5"/>
  <c r="U5"/>
  <c r="S5"/>
  <c r="Q5"/>
  <c r="O5"/>
  <c r="M5"/>
  <c r="K5"/>
  <c r="I5"/>
  <c r="G5"/>
  <c r="D5"/>
  <c r="A5"/>
  <c r="BQ4"/>
  <c r="BO4"/>
  <c r="BM4"/>
  <c r="BK4"/>
  <c r="BI4"/>
  <c r="BG4"/>
  <c r="BE4"/>
  <c r="BC4"/>
  <c r="BA4"/>
  <c r="AY4"/>
  <c r="AW4"/>
  <c r="AU4"/>
  <c r="AS4"/>
  <c r="AQ4"/>
  <c r="AO4"/>
  <c r="AM4"/>
  <c r="AK4"/>
  <c r="AI4"/>
  <c r="AG4"/>
  <c r="AE4"/>
  <c r="AC4"/>
  <c r="AA4"/>
  <c r="Y4"/>
  <c r="W4"/>
  <c r="U4"/>
  <c r="S4"/>
  <c r="Q4"/>
  <c r="O4"/>
  <c r="M4"/>
  <c r="K4"/>
  <c r="I4"/>
  <c r="G4"/>
  <c r="D4"/>
  <c r="A4"/>
  <c r="BQ3"/>
  <c r="BO3"/>
  <c r="BM3"/>
  <c r="BK3"/>
  <c r="BI3"/>
  <c r="BG3"/>
  <c r="BE3"/>
  <c r="BC3"/>
  <c r="BA3"/>
  <c r="AY3"/>
  <c r="AW3"/>
  <c r="AU3"/>
  <c r="AS3"/>
  <c r="AQ3"/>
  <c r="AO3"/>
  <c r="AM3"/>
  <c r="AK3"/>
  <c r="AI3"/>
  <c r="AG3"/>
  <c r="AE3"/>
  <c r="AC3"/>
  <c r="AA3"/>
  <c r="Y3"/>
  <c r="W3"/>
  <c r="U3"/>
  <c r="S3"/>
  <c r="Q3"/>
  <c r="O3"/>
  <c r="M3"/>
  <c r="K3"/>
  <c r="I3"/>
  <c r="G3"/>
  <c r="D3"/>
  <c r="A3"/>
  <c r="T1" i="4"/>
  <c r="BN6" i="6" s="1"/>
  <c r="S1" i="4"/>
  <c r="R1"/>
  <c r="BF6" i="6" s="1"/>
  <c r="Q1" i="4"/>
  <c r="P1"/>
  <c r="AX6" i="6" s="1"/>
  <c r="O1" i="4"/>
  <c r="N1"/>
  <c r="AP6" i="6" s="1"/>
  <c r="M1" i="4"/>
  <c r="L1"/>
  <c r="AH6" i="6" s="1"/>
  <c r="K1" i="4"/>
  <c r="J1"/>
  <c r="Z6" i="6" s="1"/>
  <c r="I1" i="4"/>
  <c r="H1"/>
  <c r="R6" i="6" s="1"/>
  <c r="G1" i="4"/>
  <c r="F1"/>
  <c r="J7" i="6" s="1"/>
  <c r="E1" i="4"/>
  <c r="B24" i="5"/>
  <c r="B28"/>
  <c r="F2" i="4"/>
  <c r="Q2" i="1"/>
  <c r="Q1"/>
  <c r="B22" i="5"/>
  <c r="U1" i="4"/>
  <c r="B1"/>
  <c r="Q3" i="1"/>
  <c r="R14"/>
  <c r="R13"/>
  <c r="R12"/>
  <c r="Q8"/>
  <c r="Q5"/>
  <c r="D5" i="4"/>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4"/>
  <c r="D3"/>
  <c r="D1"/>
  <c r="A1"/>
  <c r="B13" i="5"/>
  <c r="C1" i="4" s="1"/>
  <c r="G2"/>
  <c r="P6" i="6" s="1"/>
  <c r="H2" i="4"/>
  <c r="I2"/>
  <c r="X6" i="6" s="1"/>
  <c r="J2" i="4"/>
  <c r="K2"/>
  <c r="AF6" i="6" s="1"/>
  <c r="L2" i="4"/>
  <c r="M2"/>
  <c r="AN6" i="6" s="1"/>
  <c r="N2" i="4"/>
  <c r="O2"/>
  <c r="AV6" i="6" s="1"/>
  <c r="P2" i="4"/>
  <c r="Q2"/>
  <c r="BD6" i="6" s="1"/>
  <c r="R2" i="4"/>
  <c r="S2"/>
  <c r="BL6" i="6" s="1"/>
  <c r="T2" i="4"/>
  <c r="E2"/>
  <c r="H102" i="6" l="1"/>
  <c r="H100"/>
  <c r="H98"/>
  <c r="H96"/>
  <c r="H94"/>
  <c r="H92"/>
  <c r="H101"/>
  <c r="H99"/>
  <c r="H97"/>
  <c r="H95"/>
  <c r="H93"/>
  <c r="H91"/>
  <c r="H89"/>
  <c r="H87"/>
  <c r="H85"/>
  <c r="H83"/>
  <c r="H81"/>
  <c r="H79"/>
  <c r="H77"/>
  <c r="H75"/>
  <c r="H73"/>
  <c r="H90"/>
  <c r="H88"/>
  <c r="H86"/>
  <c r="H84"/>
  <c r="H82"/>
  <c r="H80"/>
  <c r="H78"/>
  <c r="H76"/>
  <c r="H74"/>
  <c r="H71"/>
  <c r="H69"/>
  <c r="H67"/>
  <c r="H65"/>
  <c r="H63"/>
  <c r="H61"/>
  <c r="H59"/>
  <c r="H57"/>
  <c r="H55"/>
  <c r="H53"/>
  <c r="H51"/>
  <c r="H49"/>
  <c r="H47"/>
  <c r="H45"/>
  <c r="H43"/>
  <c r="H41"/>
  <c r="H72"/>
  <c r="H70"/>
  <c r="H68"/>
  <c r="H66"/>
  <c r="H64"/>
  <c r="H62"/>
  <c r="H60"/>
  <c r="H58"/>
  <c r="H56"/>
  <c r="H54"/>
  <c r="H52"/>
  <c r="H50"/>
  <c r="H48"/>
  <c r="H46"/>
  <c r="H44"/>
  <c r="H42"/>
  <c r="H39"/>
  <c r="H37"/>
  <c r="H35"/>
  <c r="H33"/>
  <c r="H31"/>
  <c r="H29"/>
  <c r="H27"/>
  <c r="H25"/>
  <c r="H23"/>
  <c r="H21"/>
  <c r="H19"/>
  <c r="H17"/>
  <c r="H15"/>
  <c r="H13"/>
  <c r="H11"/>
  <c r="H9"/>
  <c r="H40"/>
  <c r="H38"/>
  <c r="H36"/>
  <c r="H34"/>
  <c r="H32"/>
  <c r="H30"/>
  <c r="H28"/>
  <c r="H26"/>
  <c r="H24"/>
  <c r="H22"/>
  <c r="H20"/>
  <c r="H18"/>
  <c r="H16"/>
  <c r="H14"/>
  <c r="H12"/>
  <c r="H10"/>
  <c r="H8"/>
  <c r="BP101"/>
  <c r="BP99"/>
  <c r="BP97"/>
  <c r="BP95"/>
  <c r="BP93"/>
  <c r="BP91"/>
  <c r="BP102"/>
  <c r="BP100"/>
  <c r="BP98"/>
  <c r="BP96"/>
  <c r="BP94"/>
  <c r="BP92"/>
  <c r="BP90"/>
  <c r="BP88"/>
  <c r="BP86"/>
  <c r="BP84"/>
  <c r="BP82"/>
  <c r="BP80"/>
  <c r="BP78"/>
  <c r="BP76"/>
  <c r="BP74"/>
  <c r="BP72"/>
  <c r="BP89"/>
  <c r="BP87"/>
  <c r="BP85"/>
  <c r="BP83"/>
  <c r="BP81"/>
  <c r="BP79"/>
  <c r="BP77"/>
  <c r="BP75"/>
  <c r="BP73"/>
  <c r="BP70"/>
  <c r="BP68"/>
  <c r="BP66"/>
  <c r="BP64"/>
  <c r="BP62"/>
  <c r="BP60"/>
  <c r="BP58"/>
  <c r="BP56"/>
  <c r="BP54"/>
  <c r="BP52"/>
  <c r="BP50"/>
  <c r="BP48"/>
  <c r="BP46"/>
  <c r="BP44"/>
  <c r="BP42"/>
  <c r="BP40"/>
  <c r="BP71"/>
  <c r="BP69"/>
  <c r="BP67"/>
  <c r="BP65"/>
  <c r="BP63"/>
  <c r="BP61"/>
  <c r="BP59"/>
  <c r="BP57"/>
  <c r="BP55"/>
  <c r="BP53"/>
  <c r="BP51"/>
  <c r="BP49"/>
  <c r="BP47"/>
  <c r="BP45"/>
  <c r="BP43"/>
  <c r="BP41"/>
  <c r="BP38"/>
  <c r="BP36"/>
  <c r="BP34"/>
  <c r="BP32"/>
  <c r="BP30"/>
  <c r="BP28"/>
  <c r="BP26"/>
  <c r="BP24"/>
  <c r="BP22"/>
  <c r="BP20"/>
  <c r="BP18"/>
  <c r="BP16"/>
  <c r="BP14"/>
  <c r="BP12"/>
  <c r="BP10"/>
  <c r="BP8"/>
  <c r="BP39"/>
  <c r="BP37"/>
  <c r="BP35"/>
  <c r="BP33"/>
  <c r="BP31"/>
  <c r="BP29"/>
  <c r="BP27"/>
  <c r="BP25"/>
  <c r="BP23"/>
  <c r="BP21"/>
  <c r="BP19"/>
  <c r="BP17"/>
  <c r="BP15"/>
  <c r="BP13"/>
  <c r="BP11"/>
  <c r="BP9"/>
  <c r="BP7"/>
  <c r="BH101"/>
  <c r="BH99"/>
  <c r="BH97"/>
  <c r="BH95"/>
  <c r="BH93"/>
  <c r="BH91"/>
  <c r="BH102"/>
  <c r="BH100"/>
  <c r="BH98"/>
  <c r="BH96"/>
  <c r="BH94"/>
  <c r="BH92"/>
  <c r="BH90"/>
  <c r="BH88"/>
  <c r="BH86"/>
  <c r="BH84"/>
  <c r="BH82"/>
  <c r="BH80"/>
  <c r="BH78"/>
  <c r="BH76"/>
  <c r="BH74"/>
  <c r="BH72"/>
  <c r="BH89"/>
  <c r="BH87"/>
  <c r="BH85"/>
  <c r="BH83"/>
  <c r="BH81"/>
  <c r="BH79"/>
  <c r="BH77"/>
  <c r="BH75"/>
  <c r="BH73"/>
  <c r="BH70"/>
  <c r="BH68"/>
  <c r="BH66"/>
  <c r="BH64"/>
  <c r="BH62"/>
  <c r="BH60"/>
  <c r="BH58"/>
  <c r="BH56"/>
  <c r="BH54"/>
  <c r="BH52"/>
  <c r="BH50"/>
  <c r="BH48"/>
  <c r="BH46"/>
  <c r="BH44"/>
  <c r="BH42"/>
  <c r="BH40"/>
  <c r="BH71"/>
  <c r="BH69"/>
  <c r="BH67"/>
  <c r="BH65"/>
  <c r="BH63"/>
  <c r="BH61"/>
  <c r="BH59"/>
  <c r="BH57"/>
  <c r="BH55"/>
  <c r="BH53"/>
  <c r="BH51"/>
  <c r="BH49"/>
  <c r="BH47"/>
  <c r="BH45"/>
  <c r="BH43"/>
  <c r="BH41"/>
  <c r="BH38"/>
  <c r="BH36"/>
  <c r="BH34"/>
  <c r="BH32"/>
  <c r="BH30"/>
  <c r="BH28"/>
  <c r="BH26"/>
  <c r="BH24"/>
  <c r="BH22"/>
  <c r="BH20"/>
  <c r="BH18"/>
  <c r="BH16"/>
  <c r="BH14"/>
  <c r="BH12"/>
  <c r="BH10"/>
  <c r="BH8"/>
  <c r="BH39"/>
  <c r="BH37"/>
  <c r="BH35"/>
  <c r="BH33"/>
  <c r="BH31"/>
  <c r="BH29"/>
  <c r="BH27"/>
  <c r="BH25"/>
  <c r="BH23"/>
  <c r="BH21"/>
  <c r="BH19"/>
  <c r="BH17"/>
  <c r="BH15"/>
  <c r="BH13"/>
  <c r="BH11"/>
  <c r="BH9"/>
  <c r="BH7"/>
  <c r="AZ101"/>
  <c r="AZ99"/>
  <c r="AZ97"/>
  <c r="AZ95"/>
  <c r="AZ93"/>
  <c r="AZ91"/>
  <c r="AZ102"/>
  <c r="AZ100"/>
  <c r="AZ98"/>
  <c r="AZ96"/>
  <c r="AZ94"/>
  <c r="AZ92"/>
  <c r="AZ90"/>
  <c r="AZ88"/>
  <c r="AZ86"/>
  <c r="AZ84"/>
  <c r="AZ82"/>
  <c r="AZ80"/>
  <c r="AZ78"/>
  <c r="AZ76"/>
  <c r="AZ74"/>
  <c r="AZ89"/>
  <c r="AZ87"/>
  <c r="AZ85"/>
  <c r="AZ83"/>
  <c r="AZ81"/>
  <c r="AZ79"/>
  <c r="AZ77"/>
  <c r="AZ75"/>
  <c r="AZ73"/>
  <c r="AZ72"/>
  <c r="AZ70"/>
  <c r="AZ68"/>
  <c r="AZ66"/>
  <c r="AZ64"/>
  <c r="AZ62"/>
  <c r="AZ60"/>
  <c r="AZ58"/>
  <c r="AZ56"/>
  <c r="AZ54"/>
  <c r="AZ52"/>
  <c r="AZ50"/>
  <c r="AZ48"/>
  <c r="AZ46"/>
  <c r="AZ44"/>
  <c r="AZ42"/>
  <c r="AZ40"/>
  <c r="AZ71"/>
  <c r="AZ69"/>
  <c r="AZ67"/>
  <c r="AZ65"/>
  <c r="AZ63"/>
  <c r="AZ61"/>
  <c r="AZ59"/>
  <c r="AZ57"/>
  <c r="AZ55"/>
  <c r="AZ53"/>
  <c r="AZ51"/>
  <c r="AZ49"/>
  <c r="AZ47"/>
  <c r="AZ45"/>
  <c r="AZ43"/>
  <c r="AZ41"/>
  <c r="AZ38"/>
  <c r="AZ36"/>
  <c r="AZ34"/>
  <c r="AZ32"/>
  <c r="AZ30"/>
  <c r="AZ28"/>
  <c r="AZ26"/>
  <c r="AZ24"/>
  <c r="AZ22"/>
  <c r="AZ20"/>
  <c r="AZ18"/>
  <c r="AZ16"/>
  <c r="AZ14"/>
  <c r="AZ12"/>
  <c r="AZ10"/>
  <c r="AZ8"/>
  <c r="AZ39"/>
  <c r="AZ37"/>
  <c r="AZ35"/>
  <c r="AZ33"/>
  <c r="AZ31"/>
  <c r="AZ29"/>
  <c r="AZ27"/>
  <c r="AZ25"/>
  <c r="AZ23"/>
  <c r="AZ21"/>
  <c r="AZ19"/>
  <c r="AZ17"/>
  <c r="AZ15"/>
  <c r="AZ13"/>
  <c r="AZ11"/>
  <c r="AZ9"/>
  <c r="AZ7"/>
  <c r="AR101"/>
  <c r="AR99"/>
  <c r="AR97"/>
  <c r="AR95"/>
  <c r="AR93"/>
  <c r="AR91"/>
  <c r="AR102"/>
  <c r="AR100"/>
  <c r="AR98"/>
  <c r="AR96"/>
  <c r="AR94"/>
  <c r="AR92"/>
  <c r="AR90"/>
  <c r="AR88"/>
  <c r="AR86"/>
  <c r="AR84"/>
  <c r="AR82"/>
  <c r="AR80"/>
  <c r="AR78"/>
  <c r="AR76"/>
  <c r="AR74"/>
  <c r="AR89"/>
  <c r="AR87"/>
  <c r="AR85"/>
  <c r="AR83"/>
  <c r="AR81"/>
  <c r="AR79"/>
  <c r="AR77"/>
  <c r="AR75"/>
  <c r="AR73"/>
  <c r="AR72"/>
  <c r="AR70"/>
  <c r="AR68"/>
  <c r="AR66"/>
  <c r="AR64"/>
  <c r="AR62"/>
  <c r="AR60"/>
  <c r="AR58"/>
  <c r="AR56"/>
  <c r="AR54"/>
  <c r="AR52"/>
  <c r="AR50"/>
  <c r="AR48"/>
  <c r="AR46"/>
  <c r="AR44"/>
  <c r="AR42"/>
  <c r="AR40"/>
  <c r="AR71"/>
  <c r="AR69"/>
  <c r="AR67"/>
  <c r="AR65"/>
  <c r="AR63"/>
  <c r="AR61"/>
  <c r="AR59"/>
  <c r="AR57"/>
  <c r="AR55"/>
  <c r="AR53"/>
  <c r="AR51"/>
  <c r="AR49"/>
  <c r="AR47"/>
  <c r="AR45"/>
  <c r="AR43"/>
  <c r="AR41"/>
  <c r="AR38"/>
  <c r="AR36"/>
  <c r="AR34"/>
  <c r="AR32"/>
  <c r="AR30"/>
  <c r="AR28"/>
  <c r="AR26"/>
  <c r="AR24"/>
  <c r="AR22"/>
  <c r="AR20"/>
  <c r="AR18"/>
  <c r="AR16"/>
  <c r="AR14"/>
  <c r="AR12"/>
  <c r="AR10"/>
  <c r="AR8"/>
  <c r="AR39"/>
  <c r="AR37"/>
  <c r="AR35"/>
  <c r="AR33"/>
  <c r="AR31"/>
  <c r="AR29"/>
  <c r="AR27"/>
  <c r="AR25"/>
  <c r="AR23"/>
  <c r="AR21"/>
  <c r="AR19"/>
  <c r="AR17"/>
  <c r="AR15"/>
  <c r="AR13"/>
  <c r="AR11"/>
  <c r="AR9"/>
  <c r="AR7"/>
  <c r="AJ101"/>
  <c r="AJ99"/>
  <c r="AJ97"/>
  <c r="AJ95"/>
  <c r="AJ93"/>
  <c r="AJ91"/>
  <c r="AJ102"/>
  <c r="AJ100"/>
  <c r="AJ98"/>
  <c r="AJ96"/>
  <c r="AJ94"/>
  <c r="AJ92"/>
  <c r="AJ90"/>
  <c r="AJ88"/>
  <c r="AJ86"/>
  <c r="AJ84"/>
  <c r="AJ82"/>
  <c r="AJ80"/>
  <c r="AJ78"/>
  <c r="AJ76"/>
  <c r="AJ74"/>
  <c r="AJ89"/>
  <c r="AJ87"/>
  <c r="AJ85"/>
  <c r="AJ83"/>
  <c r="AJ81"/>
  <c r="AJ79"/>
  <c r="AJ77"/>
  <c r="AJ75"/>
  <c r="AJ73"/>
  <c r="AJ72"/>
  <c r="AJ70"/>
  <c r="AJ68"/>
  <c r="AJ66"/>
  <c r="AJ64"/>
  <c r="AJ62"/>
  <c r="AJ60"/>
  <c r="AJ58"/>
  <c r="AJ56"/>
  <c r="AJ54"/>
  <c r="AJ52"/>
  <c r="AJ50"/>
  <c r="AJ48"/>
  <c r="AJ46"/>
  <c r="AJ44"/>
  <c r="AJ42"/>
  <c r="AJ40"/>
  <c r="AJ71"/>
  <c r="AJ69"/>
  <c r="AJ67"/>
  <c r="AJ65"/>
  <c r="AJ63"/>
  <c r="AJ61"/>
  <c r="AJ59"/>
  <c r="AJ57"/>
  <c r="AJ55"/>
  <c r="AJ53"/>
  <c r="AJ51"/>
  <c r="AJ49"/>
  <c r="AJ47"/>
  <c r="AJ45"/>
  <c r="AJ43"/>
  <c r="AJ41"/>
  <c r="AJ38"/>
  <c r="AJ36"/>
  <c r="AJ34"/>
  <c r="AJ32"/>
  <c r="AJ30"/>
  <c r="AJ28"/>
  <c r="AJ26"/>
  <c r="AJ24"/>
  <c r="AJ22"/>
  <c r="AJ20"/>
  <c r="AJ18"/>
  <c r="AJ16"/>
  <c r="AJ14"/>
  <c r="AJ12"/>
  <c r="AJ10"/>
  <c r="AJ8"/>
  <c r="AJ39"/>
  <c r="AJ37"/>
  <c r="AJ35"/>
  <c r="AJ33"/>
  <c r="AJ31"/>
  <c r="AJ29"/>
  <c r="AJ27"/>
  <c r="AJ25"/>
  <c r="AJ23"/>
  <c r="AJ21"/>
  <c r="AJ19"/>
  <c r="AJ17"/>
  <c r="AJ15"/>
  <c r="AJ13"/>
  <c r="AJ11"/>
  <c r="AJ9"/>
  <c r="AB101"/>
  <c r="AB99"/>
  <c r="AB97"/>
  <c r="AB95"/>
  <c r="AB93"/>
  <c r="AB91"/>
  <c r="AB102"/>
  <c r="AB100"/>
  <c r="AB98"/>
  <c r="AB96"/>
  <c r="AB94"/>
  <c r="AB92"/>
  <c r="AB88"/>
  <c r="AB86"/>
  <c r="AB84"/>
  <c r="AB82"/>
  <c r="AB80"/>
  <c r="AB78"/>
  <c r="AB76"/>
  <c r="AB74"/>
  <c r="AB90"/>
  <c r="AB89"/>
  <c r="AB87"/>
  <c r="AB85"/>
  <c r="AB83"/>
  <c r="AB81"/>
  <c r="AB79"/>
  <c r="AB77"/>
  <c r="AB75"/>
  <c r="AB73"/>
  <c r="AB72"/>
  <c r="AB70"/>
  <c r="AB68"/>
  <c r="AB66"/>
  <c r="AB64"/>
  <c r="AB62"/>
  <c r="AB60"/>
  <c r="AB58"/>
  <c r="AB56"/>
  <c r="AB54"/>
  <c r="AB52"/>
  <c r="AB50"/>
  <c r="AB48"/>
  <c r="AB46"/>
  <c r="AB44"/>
  <c r="AB42"/>
  <c r="AB40"/>
  <c r="AB71"/>
  <c r="AB69"/>
  <c r="AB67"/>
  <c r="AB65"/>
  <c r="AB63"/>
  <c r="AB61"/>
  <c r="AB59"/>
  <c r="AB57"/>
  <c r="AB55"/>
  <c r="AB53"/>
  <c r="AB51"/>
  <c r="AB49"/>
  <c r="AB47"/>
  <c r="AB45"/>
  <c r="AB43"/>
  <c r="AB41"/>
  <c r="AB38"/>
  <c r="AB36"/>
  <c r="AB34"/>
  <c r="AB32"/>
  <c r="AB30"/>
  <c r="AB28"/>
  <c r="AB26"/>
  <c r="AB24"/>
  <c r="AB22"/>
  <c r="AB20"/>
  <c r="AB18"/>
  <c r="AB16"/>
  <c r="AB14"/>
  <c r="AB12"/>
  <c r="AB10"/>
  <c r="AB8"/>
  <c r="AB39"/>
  <c r="AB37"/>
  <c r="AB35"/>
  <c r="AB33"/>
  <c r="AB31"/>
  <c r="AB29"/>
  <c r="AB27"/>
  <c r="AB25"/>
  <c r="AB23"/>
  <c r="AB21"/>
  <c r="AB19"/>
  <c r="AB17"/>
  <c r="AB15"/>
  <c r="AB13"/>
  <c r="AB11"/>
  <c r="AB9"/>
  <c r="T101"/>
  <c r="T99"/>
  <c r="T97"/>
  <c r="T95"/>
  <c r="T93"/>
  <c r="T91"/>
  <c r="T102"/>
  <c r="T100"/>
  <c r="T98"/>
  <c r="T96"/>
  <c r="T94"/>
  <c r="T92"/>
  <c r="T88"/>
  <c r="T86"/>
  <c r="T84"/>
  <c r="T82"/>
  <c r="T80"/>
  <c r="T78"/>
  <c r="T76"/>
  <c r="T74"/>
  <c r="T90"/>
  <c r="T89"/>
  <c r="T87"/>
  <c r="T85"/>
  <c r="T83"/>
  <c r="T81"/>
  <c r="T79"/>
  <c r="T77"/>
  <c r="T75"/>
  <c r="T73"/>
  <c r="T72"/>
  <c r="T70"/>
  <c r="T68"/>
  <c r="T66"/>
  <c r="T64"/>
  <c r="T62"/>
  <c r="T60"/>
  <c r="T58"/>
  <c r="T56"/>
  <c r="T54"/>
  <c r="T52"/>
  <c r="T50"/>
  <c r="T48"/>
  <c r="T46"/>
  <c r="T44"/>
  <c r="T42"/>
  <c r="T71"/>
  <c r="T69"/>
  <c r="T67"/>
  <c r="T65"/>
  <c r="T63"/>
  <c r="T61"/>
  <c r="T59"/>
  <c r="T57"/>
  <c r="T55"/>
  <c r="T53"/>
  <c r="T51"/>
  <c r="T49"/>
  <c r="T47"/>
  <c r="T45"/>
  <c r="T43"/>
  <c r="T41"/>
  <c r="T40"/>
  <c r="T38"/>
  <c r="T36"/>
  <c r="T34"/>
  <c r="T32"/>
  <c r="T30"/>
  <c r="T28"/>
  <c r="T26"/>
  <c r="T24"/>
  <c r="T22"/>
  <c r="T20"/>
  <c r="T18"/>
  <c r="T16"/>
  <c r="T14"/>
  <c r="T12"/>
  <c r="T10"/>
  <c r="T8"/>
  <c r="T39"/>
  <c r="T37"/>
  <c r="T35"/>
  <c r="T33"/>
  <c r="T31"/>
  <c r="T29"/>
  <c r="T27"/>
  <c r="T25"/>
  <c r="T23"/>
  <c r="T21"/>
  <c r="T19"/>
  <c r="T17"/>
  <c r="T15"/>
  <c r="T13"/>
  <c r="T11"/>
  <c r="T9"/>
  <c r="F102"/>
  <c r="F100"/>
  <c r="F98"/>
  <c r="F96"/>
  <c r="F94"/>
  <c r="F92"/>
  <c r="F101"/>
  <c r="F99"/>
  <c r="F97"/>
  <c r="F95"/>
  <c r="F93"/>
  <c r="F91"/>
  <c r="F89"/>
  <c r="F87"/>
  <c r="F85"/>
  <c r="F83"/>
  <c r="F81"/>
  <c r="F79"/>
  <c r="F77"/>
  <c r="F75"/>
  <c r="F73"/>
  <c r="F90"/>
  <c r="F88"/>
  <c r="F86"/>
  <c r="F84"/>
  <c r="F82"/>
  <c r="F80"/>
  <c r="F78"/>
  <c r="F76"/>
  <c r="F74"/>
  <c r="F71"/>
  <c r="F69"/>
  <c r="F67"/>
  <c r="F65"/>
  <c r="F63"/>
  <c r="F61"/>
  <c r="F59"/>
  <c r="F57"/>
  <c r="F55"/>
  <c r="F53"/>
  <c r="F51"/>
  <c r="F49"/>
  <c r="F47"/>
  <c r="F45"/>
  <c r="F43"/>
  <c r="F41"/>
  <c r="F72"/>
  <c r="F70"/>
  <c r="F68"/>
  <c r="F66"/>
  <c r="F64"/>
  <c r="F62"/>
  <c r="F60"/>
  <c r="F58"/>
  <c r="F56"/>
  <c r="F54"/>
  <c r="F52"/>
  <c r="F50"/>
  <c r="F48"/>
  <c r="F46"/>
  <c r="F44"/>
  <c r="F42"/>
  <c r="F39"/>
  <c r="F37"/>
  <c r="F35"/>
  <c r="F33"/>
  <c r="F31"/>
  <c r="F29"/>
  <c r="F27"/>
  <c r="F25"/>
  <c r="F23"/>
  <c r="F21"/>
  <c r="F19"/>
  <c r="F17"/>
  <c r="F15"/>
  <c r="F13"/>
  <c r="F11"/>
  <c r="F9"/>
  <c r="F40"/>
  <c r="F38"/>
  <c r="F36"/>
  <c r="F34"/>
  <c r="F32"/>
  <c r="F30"/>
  <c r="F28"/>
  <c r="F26"/>
  <c r="F24"/>
  <c r="F22"/>
  <c r="F20"/>
  <c r="F18"/>
  <c r="F16"/>
  <c r="F14"/>
  <c r="F12"/>
  <c r="F10"/>
  <c r="F8"/>
  <c r="N101"/>
  <c r="N99"/>
  <c r="N97"/>
  <c r="N95"/>
  <c r="N93"/>
  <c r="N91"/>
  <c r="N102"/>
  <c r="N100"/>
  <c r="N98"/>
  <c r="N96"/>
  <c r="N94"/>
  <c r="N92"/>
  <c r="N88"/>
  <c r="N86"/>
  <c r="N84"/>
  <c r="N82"/>
  <c r="N80"/>
  <c r="N78"/>
  <c r="N76"/>
  <c r="N74"/>
  <c r="N90"/>
  <c r="N89"/>
  <c r="N87"/>
  <c r="N85"/>
  <c r="N83"/>
  <c r="N81"/>
  <c r="N79"/>
  <c r="N77"/>
  <c r="N75"/>
  <c r="N73"/>
  <c r="N72"/>
  <c r="N70"/>
  <c r="N68"/>
  <c r="N66"/>
  <c r="N64"/>
  <c r="N62"/>
  <c r="N60"/>
  <c r="N58"/>
  <c r="N56"/>
  <c r="N54"/>
  <c r="N52"/>
  <c r="N50"/>
  <c r="N48"/>
  <c r="N46"/>
  <c r="N44"/>
  <c r="N42"/>
  <c r="N71"/>
  <c r="N69"/>
  <c r="N67"/>
  <c r="N65"/>
  <c r="N63"/>
  <c r="N61"/>
  <c r="N59"/>
  <c r="N57"/>
  <c r="N55"/>
  <c r="N53"/>
  <c r="N51"/>
  <c r="N49"/>
  <c r="N47"/>
  <c r="N45"/>
  <c r="N43"/>
  <c r="N41"/>
  <c r="N40"/>
  <c r="N38"/>
  <c r="N36"/>
  <c r="N34"/>
  <c r="N32"/>
  <c r="N30"/>
  <c r="N28"/>
  <c r="N26"/>
  <c r="N24"/>
  <c r="N22"/>
  <c r="N20"/>
  <c r="N18"/>
  <c r="N16"/>
  <c r="N14"/>
  <c r="N12"/>
  <c r="N10"/>
  <c r="N8"/>
  <c r="N39"/>
  <c r="N37"/>
  <c r="N35"/>
  <c r="N33"/>
  <c r="N31"/>
  <c r="N29"/>
  <c r="N27"/>
  <c r="N25"/>
  <c r="N23"/>
  <c r="N21"/>
  <c r="N19"/>
  <c r="N17"/>
  <c r="N15"/>
  <c r="N13"/>
  <c r="N11"/>
  <c r="N9"/>
  <c r="V101"/>
  <c r="V99"/>
  <c r="V97"/>
  <c r="V95"/>
  <c r="V93"/>
  <c r="V91"/>
  <c r="V102"/>
  <c r="V100"/>
  <c r="V98"/>
  <c r="V96"/>
  <c r="V94"/>
  <c r="V92"/>
  <c r="V88"/>
  <c r="V86"/>
  <c r="V84"/>
  <c r="V82"/>
  <c r="V80"/>
  <c r="V78"/>
  <c r="V76"/>
  <c r="V74"/>
  <c r="V90"/>
  <c r="V89"/>
  <c r="V87"/>
  <c r="V85"/>
  <c r="V83"/>
  <c r="V81"/>
  <c r="V79"/>
  <c r="V77"/>
  <c r="V75"/>
  <c r="V73"/>
  <c r="V72"/>
  <c r="V70"/>
  <c r="V68"/>
  <c r="V66"/>
  <c r="V64"/>
  <c r="V62"/>
  <c r="V60"/>
  <c r="V58"/>
  <c r="V56"/>
  <c r="V54"/>
  <c r="V52"/>
  <c r="V50"/>
  <c r="V48"/>
  <c r="V46"/>
  <c r="V44"/>
  <c r="V42"/>
  <c r="V71"/>
  <c r="V69"/>
  <c r="V67"/>
  <c r="V65"/>
  <c r="V63"/>
  <c r="V61"/>
  <c r="V59"/>
  <c r="V57"/>
  <c r="V55"/>
  <c r="V53"/>
  <c r="V51"/>
  <c r="V49"/>
  <c r="V47"/>
  <c r="V45"/>
  <c r="V43"/>
  <c r="V41"/>
  <c r="V40"/>
  <c r="V38"/>
  <c r="V36"/>
  <c r="V34"/>
  <c r="V32"/>
  <c r="V30"/>
  <c r="V28"/>
  <c r="V26"/>
  <c r="V24"/>
  <c r="V22"/>
  <c r="V20"/>
  <c r="V18"/>
  <c r="V16"/>
  <c r="V14"/>
  <c r="V12"/>
  <c r="V10"/>
  <c r="V8"/>
  <c r="V39"/>
  <c r="V37"/>
  <c r="V35"/>
  <c r="V33"/>
  <c r="V31"/>
  <c r="V29"/>
  <c r="V27"/>
  <c r="V25"/>
  <c r="V23"/>
  <c r="V21"/>
  <c r="V19"/>
  <c r="V17"/>
  <c r="V15"/>
  <c r="V13"/>
  <c r="V11"/>
  <c r="V9"/>
  <c r="AD101"/>
  <c r="AD99"/>
  <c r="AD97"/>
  <c r="AD95"/>
  <c r="AD93"/>
  <c r="AD91"/>
  <c r="AD102"/>
  <c r="AD100"/>
  <c r="AD98"/>
  <c r="AD96"/>
  <c r="AD94"/>
  <c r="AD92"/>
  <c r="AD90"/>
  <c r="AD88"/>
  <c r="AD86"/>
  <c r="AD84"/>
  <c r="AD82"/>
  <c r="AD80"/>
  <c r="AD78"/>
  <c r="AD76"/>
  <c r="AD74"/>
  <c r="AD89"/>
  <c r="AD87"/>
  <c r="AD85"/>
  <c r="AD83"/>
  <c r="AD81"/>
  <c r="AD79"/>
  <c r="AD77"/>
  <c r="AD75"/>
  <c r="AD73"/>
  <c r="AD72"/>
  <c r="AD70"/>
  <c r="AD68"/>
  <c r="AD66"/>
  <c r="AD64"/>
  <c r="AD62"/>
  <c r="AD60"/>
  <c r="AD58"/>
  <c r="AD56"/>
  <c r="AD54"/>
  <c r="AD52"/>
  <c r="AD50"/>
  <c r="AD48"/>
  <c r="AD46"/>
  <c r="AD44"/>
  <c r="AD42"/>
  <c r="AD40"/>
  <c r="AD71"/>
  <c r="AD69"/>
  <c r="AD67"/>
  <c r="AD65"/>
  <c r="AD63"/>
  <c r="AD61"/>
  <c r="AD59"/>
  <c r="AD57"/>
  <c r="AD55"/>
  <c r="AD53"/>
  <c r="AD51"/>
  <c r="AD49"/>
  <c r="AD47"/>
  <c r="AD45"/>
  <c r="AD43"/>
  <c r="AD41"/>
  <c r="AD38"/>
  <c r="AD36"/>
  <c r="AD34"/>
  <c r="AD32"/>
  <c r="AD30"/>
  <c r="AD28"/>
  <c r="AD26"/>
  <c r="AD24"/>
  <c r="AD22"/>
  <c r="AD20"/>
  <c r="AD18"/>
  <c r="AD16"/>
  <c r="AD14"/>
  <c r="AD12"/>
  <c r="AD10"/>
  <c r="AD8"/>
  <c r="AD39"/>
  <c r="AD37"/>
  <c r="AD35"/>
  <c r="AD33"/>
  <c r="AD31"/>
  <c r="AD29"/>
  <c r="AD27"/>
  <c r="AD25"/>
  <c r="AD23"/>
  <c r="AD21"/>
  <c r="AD19"/>
  <c r="AD17"/>
  <c r="AD15"/>
  <c r="AD13"/>
  <c r="AD11"/>
  <c r="AD9"/>
  <c r="AL101"/>
  <c r="AL99"/>
  <c r="AL97"/>
  <c r="AL95"/>
  <c r="AL93"/>
  <c r="AL91"/>
  <c r="AL102"/>
  <c r="AL100"/>
  <c r="AL98"/>
  <c r="AL96"/>
  <c r="AL94"/>
  <c r="AL92"/>
  <c r="AL90"/>
  <c r="AL88"/>
  <c r="AL86"/>
  <c r="AL84"/>
  <c r="AL82"/>
  <c r="AL80"/>
  <c r="AL78"/>
  <c r="AL76"/>
  <c r="AL74"/>
  <c r="AL89"/>
  <c r="AL87"/>
  <c r="AL85"/>
  <c r="AL83"/>
  <c r="AL81"/>
  <c r="AL79"/>
  <c r="AL77"/>
  <c r="AL75"/>
  <c r="AL73"/>
  <c r="AL72"/>
  <c r="AL70"/>
  <c r="AL68"/>
  <c r="AL66"/>
  <c r="AL64"/>
  <c r="AL62"/>
  <c r="AL60"/>
  <c r="AL58"/>
  <c r="AL56"/>
  <c r="AL54"/>
  <c r="AL52"/>
  <c r="AL50"/>
  <c r="AL48"/>
  <c r="AL46"/>
  <c r="AL44"/>
  <c r="AL42"/>
  <c r="AL40"/>
  <c r="AL71"/>
  <c r="AL69"/>
  <c r="AL67"/>
  <c r="AL65"/>
  <c r="AL63"/>
  <c r="AL61"/>
  <c r="AL59"/>
  <c r="AL57"/>
  <c r="AL55"/>
  <c r="AL53"/>
  <c r="AL51"/>
  <c r="AL49"/>
  <c r="AL47"/>
  <c r="AL45"/>
  <c r="AL43"/>
  <c r="AL41"/>
  <c r="AL38"/>
  <c r="AL36"/>
  <c r="AL34"/>
  <c r="AL32"/>
  <c r="AL30"/>
  <c r="AL28"/>
  <c r="AL26"/>
  <c r="AL24"/>
  <c r="AL22"/>
  <c r="AL20"/>
  <c r="AL18"/>
  <c r="AL16"/>
  <c r="AL14"/>
  <c r="AL12"/>
  <c r="AL10"/>
  <c r="AL8"/>
  <c r="AL39"/>
  <c r="AL37"/>
  <c r="AL35"/>
  <c r="AL33"/>
  <c r="AL31"/>
  <c r="AL29"/>
  <c r="AL27"/>
  <c r="AL25"/>
  <c r="AL23"/>
  <c r="AL21"/>
  <c r="AL19"/>
  <c r="AL17"/>
  <c r="AL15"/>
  <c r="AL13"/>
  <c r="AL11"/>
  <c r="AL9"/>
  <c r="AT101"/>
  <c r="AT99"/>
  <c r="AT97"/>
  <c r="AT95"/>
  <c r="AT93"/>
  <c r="AT91"/>
  <c r="AT102"/>
  <c r="AT100"/>
  <c r="AT98"/>
  <c r="AT96"/>
  <c r="AT94"/>
  <c r="AT92"/>
  <c r="AT90"/>
  <c r="AT88"/>
  <c r="AT86"/>
  <c r="AT84"/>
  <c r="AT82"/>
  <c r="AT80"/>
  <c r="AT78"/>
  <c r="AT76"/>
  <c r="AT74"/>
  <c r="AT89"/>
  <c r="AT87"/>
  <c r="AT85"/>
  <c r="AT83"/>
  <c r="AT81"/>
  <c r="AT79"/>
  <c r="AT77"/>
  <c r="AT75"/>
  <c r="AT73"/>
  <c r="AT72"/>
  <c r="AT70"/>
  <c r="AT68"/>
  <c r="AT66"/>
  <c r="AT64"/>
  <c r="AT62"/>
  <c r="AT60"/>
  <c r="AT58"/>
  <c r="AT56"/>
  <c r="AT54"/>
  <c r="AT52"/>
  <c r="AT50"/>
  <c r="AT48"/>
  <c r="AT46"/>
  <c r="AT44"/>
  <c r="AT42"/>
  <c r="AT40"/>
  <c r="AT71"/>
  <c r="AT69"/>
  <c r="AT67"/>
  <c r="AT65"/>
  <c r="AT63"/>
  <c r="AT61"/>
  <c r="AT59"/>
  <c r="AT57"/>
  <c r="AT55"/>
  <c r="AT53"/>
  <c r="AT51"/>
  <c r="AT49"/>
  <c r="AT47"/>
  <c r="AT45"/>
  <c r="AT43"/>
  <c r="AT41"/>
  <c r="AT38"/>
  <c r="AT36"/>
  <c r="AT34"/>
  <c r="AT32"/>
  <c r="AT30"/>
  <c r="AT28"/>
  <c r="AT26"/>
  <c r="AT24"/>
  <c r="AT22"/>
  <c r="AT20"/>
  <c r="AT18"/>
  <c r="AT16"/>
  <c r="AT14"/>
  <c r="AT12"/>
  <c r="AT10"/>
  <c r="AT8"/>
  <c r="AT39"/>
  <c r="AT37"/>
  <c r="AT35"/>
  <c r="AT33"/>
  <c r="AT31"/>
  <c r="AT29"/>
  <c r="AT27"/>
  <c r="AT25"/>
  <c r="AT23"/>
  <c r="AT21"/>
  <c r="AT19"/>
  <c r="AT17"/>
  <c r="AT15"/>
  <c r="AT13"/>
  <c r="AT11"/>
  <c r="AT9"/>
  <c r="AT7"/>
  <c r="BB101"/>
  <c r="BB99"/>
  <c r="BB97"/>
  <c r="BB95"/>
  <c r="BB93"/>
  <c r="BB91"/>
  <c r="BB102"/>
  <c r="BB100"/>
  <c r="BB98"/>
  <c r="BB96"/>
  <c r="BB94"/>
  <c r="BB92"/>
  <c r="BB90"/>
  <c r="BB88"/>
  <c r="BB86"/>
  <c r="BB84"/>
  <c r="BB82"/>
  <c r="BB80"/>
  <c r="BB78"/>
  <c r="BB76"/>
  <c r="BB74"/>
  <c r="BB89"/>
  <c r="BB87"/>
  <c r="BB85"/>
  <c r="BB83"/>
  <c r="BB81"/>
  <c r="BB79"/>
  <c r="BB77"/>
  <c r="BB75"/>
  <c r="BB73"/>
  <c r="BB72"/>
  <c r="BB70"/>
  <c r="BB68"/>
  <c r="BB66"/>
  <c r="BB64"/>
  <c r="BB62"/>
  <c r="BB60"/>
  <c r="BB58"/>
  <c r="BB56"/>
  <c r="BB54"/>
  <c r="BB52"/>
  <c r="BB50"/>
  <c r="BB48"/>
  <c r="BB46"/>
  <c r="BB44"/>
  <c r="BB42"/>
  <c r="BB40"/>
  <c r="BB71"/>
  <c r="BB69"/>
  <c r="BB67"/>
  <c r="BB65"/>
  <c r="BB63"/>
  <c r="BB61"/>
  <c r="BB59"/>
  <c r="BB57"/>
  <c r="BB55"/>
  <c r="BB53"/>
  <c r="BB51"/>
  <c r="BB49"/>
  <c r="BB47"/>
  <c r="BB45"/>
  <c r="BB43"/>
  <c r="BB41"/>
  <c r="BB38"/>
  <c r="BB36"/>
  <c r="BB34"/>
  <c r="BB32"/>
  <c r="BB30"/>
  <c r="BB28"/>
  <c r="BB26"/>
  <c r="BB24"/>
  <c r="BB22"/>
  <c r="BB20"/>
  <c r="BB18"/>
  <c r="BB16"/>
  <c r="BB14"/>
  <c r="BB12"/>
  <c r="BB10"/>
  <c r="BB8"/>
  <c r="BB39"/>
  <c r="BB37"/>
  <c r="BB35"/>
  <c r="BB33"/>
  <c r="BB31"/>
  <c r="BB29"/>
  <c r="BB27"/>
  <c r="BB25"/>
  <c r="BB23"/>
  <c r="BB21"/>
  <c r="BB19"/>
  <c r="BB17"/>
  <c r="BB15"/>
  <c r="BB13"/>
  <c r="BB11"/>
  <c r="BB9"/>
  <c r="BB7"/>
  <c r="BJ101"/>
  <c r="BJ99"/>
  <c r="BJ97"/>
  <c r="BJ95"/>
  <c r="BJ93"/>
  <c r="BJ91"/>
  <c r="BJ102"/>
  <c r="BJ100"/>
  <c r="BJ98"/>
  <c r="BJ96"/>
  <c r="BJ94"/>
  <c r="BJ92"/>
  <c r="BJ90"/>
  <c r="BJ88"/>
  <c r="BJ86"/>
  <c r="BJ84"/>
  <c r="BJ82"/>
  <c r="BJ80"/>
  <c r="BJ78"/>
  <c r="BJ76"/>
  <c r="BJ74"/>
  <c r="BJ72"/>
  <c r="BJ89"/>
  <c r="BJ87"/>
  <c r="BJ85"/>
  <c r="BJ83"/>
  <c r="BJ81"/>
  <c r="BJ79"/>
  <c r="BJ77"/>
  <c r="BJ75"/>
  <c r="BJ73"/>
  <c r="BJ70"/>
  <c r="BJ68"/>
  <c r="BJ66"/>
  <c r="BJ64"/>
  <c r="BJ62"/>
  <c r="BJ60"/>
  <c r="BJ58"/>
  <c r="BJ56"/>
  <c r="BJ54"/>
  <c r="BJ52"/>
  <c r="BJ50"/>
  <c r="BJ48"/>
  <c r="BJ46"/>
  <c r="BJ44"/>
  <c r="BJ42"/>
  <c r="BJ40"/>
  <c r="BJ71"/>
  <c r="BJ69"/>
  <c r="BJ67"/>
  <c r="BJ65"/>
  <c r="BJ63"/>
  <c r="BJ61"/>
  <c r="BJ59"/>
  <c r="BJ57"/>
  <c r="BJ55"/>
  <c r="BJ53"/>
  <c r="BJ51"/>
  <c r="BJ49"/>
  <c r="BJ47"/>
  <c r="BJ45"/>
  <c r="BJ43"/>
  <c r="BJ41"/>
  <c r="BJ38"/>
  <c r="BJ36"/>
  <c r="BJ34"/>
  <c r="BJ32"/>
  <c r="BJ30"/>
  <c r="BJ28"/>
  <c r="BJ26"/>
  <c r="BJ24"/>
  <c r="BJ22"/>
  <c r="BJ20"/>
  <c r="BJ18"/>
  <c r="BJ16"/>
  <c r="BJ14"/>
  <c r="BJ12"/>
  <c r="BJ10"/>
  <c r="BJ8"/>
  <c r="BJ39"/>
  <c r="BJ37"/>
  <c r="BJ35"/>
  <c r="BJ33"/>
  <c r="BJ31"/>
  <c r="BJ29"/>
  <c r="BJ27"/>
  <c r="BJ25"/>
  <c r="BJ23"/>
  <c r="BJ21"/>
  <c r="BJ19"/>
  <c r="BJ17"/>
  <c r="BJ15"/>
  <c r="BJ13"/>
  <c r="BJ11"/>
  <c r="BJ9"/>
  <c r="BJ7"/>
  <c r="F3"/>
  <c r="H3"/>
  <c r="J3"/>
  <c r="N4"/>
  <c r="P4"/>
  <c r="R4"/>
  <c r="T4"/>
  <c r="V4"/>
  <c r="X4"/>
  <c r="Z4"/>
  <c r="AB4"/>
  <c r="AD4"/>
  <c r="AF4"/>
  <c r="AH4"/>
  <c r="AJ4"/>
  <c r="AL4"/>
  <c r="AN4"/>
  <c r="AP4"/>
  <c r="AR4"/>
  <c r="AT4"/>
  <c r="AV4"/>
  <c r="AX4"/>
  <c r="AZ4"/>
  <c r="BB4"/>
  <c r="BD4"/>
  <c r="BF4"/>
  <c r="BH4"/>
  <c r="BJ4"/>
  <c r="BL4"/>
  <c r="BN4"/>
  <c r="BP4"/>
  <c r="F5"/>
  <c r="H5"/>
  <c r="J5"/>
  <c r="N6"/>
  <c r="T6"/>
  <c r="V6"/>
  <c r="AB6"/>
  <c r="AD6"/>
  <c r="AJ6"/>
  <c r="AL6"/>
  <c r="AR6"/>
  <c r="AT6"/>
  <c r="AZ6"/>
  <c r="BB6"/>
  <c r="BH6"/>
  <c r="BJ6"/>
  <c r="BP6"/>
  <c r="F7"/>
  <c r="H7"/>
  <c r="BL101"/>
  <c r="BL99"/>
  <c r="BL97"/>
  <c r="BL95"/>
  <c r="BL93"/>
  <c r="BL91"/>
  <c r="BL102"/>
  <c r="BL100"/>
  <c r="BL98"/>
  <c r="BL96"/>
  <c r="BL94"/>
  <c r="BL92"/>
  <c r="BL90"/>
  <c r="BL88"/>
  <c r="BL86"/>
  <c r="BL84"/>
  <c r="BL82"/>
  <c r="BL80"/>
  <c r="BL78"/>
  <c r="BL76"/>
  <c r="BL74"/>
  <c r="BL72"/>
  <c r="BL89"/>
  <c r="BL87"/>
  <c r="BL85"/>
  <c r="BL83"/>
  <c r="BL81"/>
  <c r="BL79"/>
  <c r="BL77"/>
  <c r="BL75"/>
  <c r="BL73"/>
  <c r="BL70"/>
  <c r="BL68"/>
  <c r="BL66"/>
  <c r="BL64"/>
  <c r="BL62"/>
  <c r="BL60"/>
  <c r="BL58"/>
  <c r="BL56"/>
  <c r="BL54"/>
  <c r="BL52"/>
  <c r="BL50"/>
  <c r="BL48"/>
  <c r="BL46"/>
  <c r="BL44"/>
  <c r="BL42"/>
  <c r="BL40"/>
  <c r="BL71"/>
  <c r="BL69"/>
  <c r="BL67"/>
  <c r="BL65"/>
  <c r="BL63"/>
  <c r="BL61"/>
  <c r="BL59"/>
  <c r="BL57"/>
  <c r="BL55"/>
  <c r="BL53"/>
  <c r="BL51"/>
  <c r="BL49"/>
  <c r="BL47"/>
  <c r="BL45"/>
  <c r="BL43"/>
  <c r="BL41"/>
  <c r="BL38"/>
  <c r="BL36"/>
  <c r="BL34"/>
  <c r="BL32"/>
  <c r="BL30"/>
  <c r="BL28"/>
  <c r="BL26"/>
  <c r="BL24"/>
  <c r="BL22"/>
  <c r="BL20"/>
  <c r="BL18"/>
  <c r="BL16"/>
  <c r="BL14"/>
  <c r="BL12"/>
  <c r="BL10"/>
  <c r="BL8"/>
  <c r="BL39"/>
  <c r="BL37"/>
  <c r="BL35"/>
  <c r="BL33"/>
  <c r="BL31"/>
  <c r="BL29"/>
  <c r="BL27"/>
  <c r="BL25"/>
  <c r="BL23"/>
  <c r="BL21"/>
  <c r="BL19"/>
  <c r="BL17"/>
  <c r="BL15"/>
  <c r="BL13"/>
  <c r="BL11"/>
  <c r="BL9"/>
  <c r="BL7"/>
  <c r="BD101"/>
  <c r="BD99"/>
  <c r="BD97"/>
  <c r="BD95"/>
  <c r="BD93"/>
  <c r="BD91"/>
  <c r="BD102"/>
  <c r="BD100"/>
  <c r="BD98"/>
  <c r="BD96"/>
  <c r="BD94"/>
  <c r="BD92"/>
  <c r="BD90"/>
  <c r="BD88"/>
  <c r="BD86"/>
  <c r="BD84"/>
  <c r="BD82"/>
  <c r="BD80"/>
  <c r="BD78"/>
  <c r="BD76"/>
  <c r="BD74"/>
  <c r="BD89"/>
  <c r="BD87"/>
  <c r="BD85"/>
  <c r="BD83"/>
  <c r="BD81"/>
  <c r="BD79"/>
  <c r="BD77"/>
  <c r="BD75"/>
  <c r="BD73"/>
  <c r="BD72"/>
  <c r="BD70"/>
  <c r="BD68"/>
  <c r="BD66"/>
  <c r="BD64"/>
  <c r="BD62"/>
  <c r="BD60"/>
  <c r="BD58"/>
  <c r="BD56"/>
  <c r="BD54"/>
  <c r="BD52"/>
  <c r="BD50"/>
  <c r="BD48"/>
  <c r="BD46"/>
  <c r="BD44"/>
  <c r="BD42"/>
  <c r="BD40"/>
  <c r="BD71"/>
  <c r="BD69"/>
  <c r="BD67"/>
  <c r="BD65"/>
  <c r="BD63"/>
  <c r="BD61"/>
  <c r="BD59"/>
  <c r="BD57"/>
  <c r="BD55"/>
  <c r="BD53"/>
  <c r="BD51"/>
  <c r="BD49"/>
  <c r="BD47"/>
  <c r="BD45"/>
  <c r="BD43"/>
  <c r="BD41"/>
  <c r="BD38"/>
  <c r="BD36"/>
  <c r="BD34"/>
  <c r="BD32"/>
  <c r="BD30"/>
  <c r="BD28"/>
  <c r="BD26"/>
  <c r="BD24"/>
  <c r="BD22"/>
  <c r="BD20"/>
  <c r="BD18"/>
  <c r="BD16"/>
  <c r="BD14"/>
  <c r="BD12"/>
  <c r="BD10"/>
  <c r="BD8"/>
  <c r="BD39"/>
  <c r="BD37"/>
  <c r="BD35"/>
  <c r="BD33"/>
  <c r="BD31"/>
  <c r="BD29"/>
  <c r="BD27"/>
  <c r="BD25"/>
  <c r="BD23"/>
  <c r="BD21"/>
  <c r="BD19"/>
  <c r="BD17"/>
  <c r="BD15"/>
  <c r="BD13"/>
  <c r="BD11"/>
  <c r="BD9"/>
  <c r="BD7"/>
  <c r="AV101"/>
  <c r="AV99"/>
  <c r="AV97"/>
  <c r="AV95"/>
  <c r="AV93"/>
  <c r="AV91"/>
  <c r="AV102"/>
  <c r="AV100"/>
  <c r="AV98"/>
  <c r="AV96"/>
  <c r="AV94"/>
  <c r="AV92"/>
  <c r="AV90"/>
  <c r="AV88"/>
  <c r="AV86"/>
  <c r="AV84"/>
  <c r="AV82"/>
  <c r="AV80"/>
  <c r="AV78"/>
  <c r="AV76"/>
  <c r="AV74"/>
  <c r="AV89"/>
  <c r="AV87"/>
  <c r="AV85"/>
  <c r="AV83"/>
  <c r="AV81"/>
  <c r="AV79"/>
  <c r="AV77"/>
  <c r="AV75"/>
  <c r="AV73"/>
  <c r="AV72"/>
  <c r="AV70"/>
  <c r="AV68"/>
  <c r="AV66"/>
  <c r="AV64"/>
  <c r="AV62"/>
  <c r="AV60"/>
  <c r="AV58"/>
  <c r="AV56"/>
  <c r="AV54"/>
  <c r="AV52"/>
  <c r="AV50"/>
  <c r="AV48"/>
  <c r="AV46"/>
  <c r="AV44"/>
  <c r="AV42"/>
  <c r="AV40"/>
  <c r="AV71"/>
  <c r="AV69"/>
  <c r="AV67"/>
  <c r="AV65"/>
  <c r="AV63"/>
  <c r="AV61"/>
  <c r="AV59"/>
  <c r="AV57"/>
  <c r="AV55"/>
  <c r="AV53"/>
  <c r="AV51"/>
  <c r="AV49"/>
  <c r="AV47"/>
  <c r="AV45"/>
  <c r="AV43"/>
  <c r="AV41"/>
  <c r="AV38"/>
  <c r="AV36"/>
  <c r="AV34"/>
  <c r="AV32"/>
  <c r="AV30"/>
  <c r="AV28"/>
  <c r="AV26"/>
  <c r="AV24"/>
  <c r="AV22"/>
  <c r="AV20"/>
  <c r="AV18"/>
  <c r="AV16"/>
  <c r="AV14"/>
  <c r="AV12"/>
  <c r="AV10"/>
  <c r="AV8"/>
  <c r="AV39"/>
  <c r="AV37"/>
  <c r="AV35"/>
  <c r="AV33"/>
  <c r="AV31"/>
  <c r="AV29"/>
  <c r="AV27"/>
  <c r="AV25"/>
  <c r="AV23"/>
  <c r="AV21"/>
  <c r="AV19"/>
  <c r="AV17"/>
  <c r="AV15"/>
  <c r="AV13"/>
  <c r="AV11"/>
  <c r="AV9"/>
  <c r="AV7"/>
  <c r="AN101"/>
  <c r="AN99"/>
  <c r="AN97"/>
  <c r="AN95"/>
  <c r="AN93"/>
  <c r="AN91"/>
  <c r="AN102"/>
  <c r="AN100"/>
  <c r="AN98"/>
  <c r="AN96"/>
  <c r="AN94"/>
  <c r="AN92"/>
  <c r="AN90"/>
  <c r="AN88"/>
  <c r="AN86"/>
  <c r="AN84"/>
  <c r="AN82"/>
  <c r="AN80"/>
  <c r="AN78"/>
  <c r="AN76"/>
  <c r="AN74"/>
  <c r="AN89"/>
  <c r="AN87"/>
  <c r="AN85"/>
  <c r="AN83"/>
  <c r="AN81"/>
  <c r="AN79"/>
  <c r="AN77"/>
  <c r="AN75"/>
  <c r="AN73"/>
  <c r="AN72"/>
  <c r="AN70"/>
  <c r="AN68"/>
  <c r="AN66"/>
  <c r="AN64"/>
  <c r="AN62"/>
  <c r="AN60"/>
  <c r="AN58"/>
  <c r="AN56"/>
  <c r="AN54"/>
  <c r="AN52"/>
  <c r="AN50"/>
  <c r="AN48"/>
  <c r="AN46"/>
  <c r="AN44"/>
  <c r="AN42"/>
  <c r="AN40"/>
  <c r="AN71"/>
  <c r="AN69"/>
  <c r="AN67"/>
  <c r="AN65"/>
  <c r="AN63"/>
  <c r="AN61"/>
  <c r="AN59"/>
  <c r="AN57"/>
  <c r="AN55"/>
  <c r="AN53"/>
  <c r="AN51"/>
  <c r="AN49"/>
  <c r="AN47"/>
  <c r="AN45"/>
  <c r="AN43"/>
  <c r="AN41"/>
  <c r="AN38"/>
  <c r="AN36"/>
  <c r="AN34"/>
  <c r="AN32"/>
  <c r="AN30"/>
  <c r="AN28"/>
  <c r="AN26"/>
  <c r="AN24"/>
  <c r="AN22"/>
  <c r="AN20"/>
  <c r="AN18"/>
  <c r="AN16"/>
  <c r="AN14"/>
  <c r="AN12"/>
  <c r="AN10"/>
  <c r="AN8"/>
  <c r="AN39"/>
  <c r="AN37"/>
  <c r="AN35"/>
  <c r="AN33"/>
  <c r="AN31"/>
  <c r="AN29"/>
  <c r="AN27"/>
  <c r="AN25"/>
  <c r="AN23"/>
  <c r="AN21"/>
  <c r="AN19"/>
  <c r="AN17"/>
  <c r="AN15"/>
  <c r="AN13"/>
  <c r="AN11"/>
  <c r="AN9"/>
  <c r="AF101"/>
  <c r="AF99"/>
  <c r="AF97"/>
  <c r="AF95"/>
  <c r="AF93"/>
  <c r="AF91"/>
  <c r="AF102"/>
  <c r="AF100"/>
  <c r="AF98"/>
  <c r="AF96"/>
  <c r="AF94"/>
  <c r="AF92"/>
  <c r="AF90"/>
  <c r="AF88"/>
  <c r="AF86"/>
  <c r="AF84"/>
  <c r="AF82"/>
  <c r="AF80"/>
  <c r="AF78"/>
  <c r="AF76"/>
  <c r="AF74"/>
  <c r="AF89"/>
  <c r="AF87"/>
  <c r="AF85"/>
  <c r="AF83"/>
  <c r="AF81"/>
  <c r="AF79"/>
  <c r="AF77"/>
  <c r="AF75"/>
  <c r="AF73"/>
  <c r="AF72"/>
  <c r="AF70"/>
  <c r="AF68"/>
  <c r="AF66"/>
  <c r="AF64"/>
  <c r="AF62"/>
  <c r="AF60"/>
  <c r="AF58"/>
  <c r="AF56"/>
  <c r="AF54"/>
  <c r="AF52"/>
  <c r="AF50"/>
  <c r="AF48"/>
  <c r="AF46"/>
  <c r="AF44"/>
  <c r="AF42"/>
  <c r="AF40"/>
  <c r="AF71"/>
  <c r="AF69"/>
  <c r="AF67"/>
  <c r="AF65"/>
  <c r="AF63"/>
  <c r="AF61"/>
  <c r="AF59"/>
  <c r="AF57"/>
  <c r="AF55"/>
  <c r="AF53"/>
  <c r="AF51"/>
  <c r="AF49"/>
  <c r="AF47"/>
  <c r="AF45"/>
  <c r="AF43"/>
  <c r="AF41"/>
  <c r="AF38"/>
  <c r="AF36"/>
  <c r="AF34"/>
  <c r="AF32"/>
  <c r="AF30"/>
  <c r="AF28"/>
  <c r="AF26"/>
  <c r="AF24"/>
  <c r="AF22"/>
  <c r="AF20"/>
  <c r="AF18"/>
  <c r="AF16"/>
  <c r="AF14"/>
  <c r="AF12"/>
  <c r="AF10"/>
  <c r="AF8"/>
  <c r="AF39"/>
  <c r="AF37"/>
  <c r="AF35"/>
  <c r="AF33"/>
  <c r="AF31"/>
  <c r="AF29"/>
  <c r="AF27"/>
  <c r="AF25"/>
  <c r="AF23"/>
  <c r="AF21"/>
  <c r="AF19"/>
  <c r="AF17"/>
  <c r="AF15"/>
  <c r="AF13"/>
  <c r="AF11"/>
  <c r="AF9"/>
  <c r="X101"/>
  <c r="X99"/>
  <c r="X97"/>
  <c r="X95"/>
  <c r="X93"/>
  <c r="X91"/>
  <c r="X102"/>
  <c r="X100"/>
  <c r="X98"/>
  <c r="X96"/>
  <c r="X94"/>
  <c r="X92"/>
  <c r="X88"/>
  <c r="X86"/>
  <c r="X84"/>
  <c r="X82"/>
  <c r="X80"/>
  <c r="X78"/>
  <c r="X76"/>
  <c r="X74"/>
  <c r="X90"/>
  <c r="X89"/>
  <c r="X87"/>
  <c r="X85"/>
  <c r="X83"/>
  <c r="X81"/>
  <c r="X79"/>
  <c r="X77"/>
  <c r="X75"/>
  <c r="X73"/>
  <c r="X72"/>
  <c r="X70"/>
  <c r="X68"/>
  <c r="X66"/>
  <c r="X64"/>
  <c r="X62"/>
  <c r="X60"/>
  <c r="X58"/>
  <c r="X56"/>
  <c r="X54"/>
  <c r="X52"/>
  <c r="X50"/>
  <c r="X48"/>
  <c r="X46"/>
  <c r="X44"/>
  <c r="X42"/>
  <c r="X71"/>
  <c r="X69"/>
  <c r="X67"/>
  <c r="X65"/>
  <c r="X63"/>
  <c r="X61"/>
  <c r="X59"/>
  <c r="X57"/>
  <c r="X55"/>
  <c r="X53"/>
  <c r="X51"/>
  <c r="X49"/>
  <c r="X47"/>
  <c r="X45"/>
  <c r="X43"/>
  <c r="X41"/>
  <c r="X40"/>
  <c r="X38"/>
  <c r="X36"/>
  <c r="X34"/>
  <c r="X32"/>
  <c r="X30"/>
  <c r="X28"/>
  <c r="X26"/>
  <c r="X24"/>
  <c r="X22"/>
  <c r="X20"/>
  <c r="X18"/>
  <c r="X16"/>
  <c r="X14"/>
  <c r="X12"/>
  <c r="X10"/>
  <c r="X8"/>
  <c r="X39"/>
  <c r="X37"/>
  <c r="X35"/>
  <c r="X33"/>
  <c r="X31"/>
  <c r="X29"/>
  <c r="X27"/>
  <c r="X25"/>
  <c r="X23"/>
  <c r="X21"/>
  <c r="X19"/>
  <c r="X17"/>
  <c r="X15"/>
  <c r="X13"/>
  <c r="X11"/>
  <c r="X9"/>
  <c r="P101"/>
  <c r="P99"/>
  <c r="P97"/>
  <c r="P95"/>
  <c r="P93"/>
  <c r="P91"/>
  <c r="P102"/>
  <c r="P100"/>
  <c r="P98"/>
  <c r="P96"/>
  <c r="P94"/>
  <c r="P92"/>
  <c r="P88"/>
  <c r="P86"/>
  <c r="P84"/>
  <c r="P82"/>
  <c r="P80"/>
  <c r="P78"/>
  <c r="P76"/>
  <c r="P74"/>
  <c r="P90"/>
  <c r="P89"/>
  <c r="P87"/>
  <c r="P85"/>
  <c r="P83"/>
  <c r="P81"/>
  <c r="P79"/>
  <c r="P77"/>
  <c r="P75"/>
  <c r="P73"/>
  <c r="P72"/>
  <c r="P70"/>
  <c r="P68"/>
  <c r="P66"/>
  <c r="P64"/>
  <c r="P62"/>
  <c r="P60"/>
  <c r="P58"/>
  <c r="P56"/>
  <c r="P54"/>
  <c r="P52"/>
  <c r="P50"/>
  <c r="P48"/>
  <c r="P46"/>
  <c r="P44"/>
  <c r="P42"/>
  <c r="P71"/>
  <c r="P69"/>
  <c r="P67"/>
  <c r="P65"/>
  <c r="P63"/>
  <c r="P61"/>
  <c r="P59"/>
  <c r="P57"/>
  <c r="P55"/>
  <c r="P53"/>
  <c r="P51"/>
  <c r="P49"/>
  <c r="P47"/>
  <c r="P45"/>
  <c r="P43"/>
  <c r="P41"/>
  <c r="P40"/>
  <c r="P38"/>
  <c r="P36"/>
  <c r="P34"/>
  <c r="P32"/>
  <c r="P30"/>
  <c r="P28"/>
  <c r="P26"/>
  <c r="P24"/>
  <c r="P22"/>
  <c r="P20"/>
  <c r="P18"/>
  <c r="P16"/>
  <c r="P14"/>
  <c r="P12"/>
  <c r="P10"/>
  <c r="P8"/>
  <c r="P39"/>
  <c r="P37"/>
  <c r="P35"/>
  <c r="P33"/>
  <c r="P31"/>
  <c r="P29"/>
  <c r="P27"/>
  <c r="P25"/>
  <c r="P23"/>
  <c r="P21"/>
  <c r="P19"/>
  <c r="P17"/>
  <c r="P15"/>
  <c r="P13"/>
  <c r="P11"/>
  <c r="P9"/>
  <c r="L4"/>
  <c r="L6"/>
  <c r="L8"/>
  <c r="L10"/>
  <c r="L12"/>
  <c r="L14"/>
  <c r="L16"/>
  <c r="L18"/>
  <c r="L20"/>
  <c r="L22"/>
  <c r="L24"/>
  <c r="L26"/>
  <c r="L28"/>
  <c r="L30"/>
  <c r="L32"/>
  <c r="L34"/>
  <c r="L36"/>
  <c r="L38"/>
  <c r="L40"/>
  <c r="L42"/>
  <c r="L44"/>
  <c r="L46"/>
  <c r="L48"/>
  <c r="L50"/>
  <c r="L52"/>
  <c r="L54"/>
  <c r="L56"/>
  <c r="L58"/>
  <c r="L60"/>
  <c r="L62"/>
  <c r="L64"/>
  <c r="L66"/>
  <c r="L68"/>
  <c r="L70"/>
  <c r="L72"/>
  <c r="L74"/>
  <c r="L76"/>
  <c r="L78"/>
  <c r="L80"/>
  <c r="L82"/>
  <c r="L84"/>
  <c r="L86"/>
  <c r="L88"/>
  <c r="L90"/>
  <c r="L92"/>
  <c r="L94"/>
  <c r="L96"/>
  <c r="L98"/>
  <c r="L100"/>
  <c r="L102"/>
  <c r="L5"/>
  <c r="L7"/>
  <c r="L9"/>
  <c r="L11"/>
  <c r="L13"/>
  <c r="L15"/>
  <c r="L17"/>
  <c r="L19"/>
  <c r="L21"/>
  <c r="L23"/>
  <c r="L25"/>
  <c r="L27"/>
  <c r="L29"/>
  <c r="L31"/>
  <c r="L33"/>
  <c r="L35"/>
  <c r="L37"/>
  <c r="L39"/>
  <c r="L41"/>
  <c r="L43"/>
  <c r="L45"/>
  <c r="L47"/>
  <c r="L49"/>
  <c r="L51"/>
  <c r="L53"/>
  <c r="L55"/>
  <c r="L57"/>
  <c r="L59"/>
  <c r="L61"/>
  <c r="L63"/>
  <c r="L65"/>
  <c r="L67"/>
  <c r="L69"/>
  <c r="L71"/>
  <c r="L73"/>
  <c r="L75"/>
  <c r="L77"/>
  <c r="L79"/>
  <c r="L81"/>
  <c r="L83"/>
  <c r="L85"/>
  <c r="L87"/>
  <c r="L89"/>
  <c r="L91"/>
  <c r="L93"/>
  <c r="L95"/>
  <c r="L97"/>
  <c r="L99"/>
  <c r="L101"/>
  <c r="L3"/>
  <c r="J102"/>
  <c r="J100"/>
  <c r="J98"/>
  <c r="J96"/>
  <c r="J94"/>
  <c r="J92"/>
  <c r="J90"/>
  <c r="J101"/>
  <c r="J99"/>
  <c r="J97"/>
  <c r="J95"/>
  <c r="J93"/>
  <c r="J91"/>
  <c r="J89"/>
  <c r="J87"/>
  <c r="J85"/>
  <c r="J83"/>
  <c r="J81"/>
  <c r="J79"/>
  <c r="J77"/>
  <c r="J75"/>
  <c r="J73"/>
  <c r="J88"/>
  <c r="J86"/>
  <c r="J84"/>
  <c r="J82"/>
  <c r="J80"/>
  <c r="J78"/>
  <c r="J76"/>
  <c r="J74"/>
  <c r="J71"/>
  <c r="J69"/>
  <c r="J67"/>
  <c r="J65"/>
  <c r="J63"/>
  <c r="J61"/>
  <c r="J59"/>
  <c r="J57"/>
  <c r="J55"/>
  <c r="J53"/>
  <c r="J51"/>
  <c r="J49"/>
  <c r="J47"/>
  <c r="J45"/>
  <c r="J43"/>
  <c r="J41"/>
  <c r="J72"/>
  <c r="J70"/>
  <c r="J68"/>
  <c r="J66"/>
  <c r="J64"/>
  <c r="J62"/>
  <c r="J60"/>
  <c r="J58"/>
  <c r="J56"/>
  <c r="J54"/>
  <c r="J52"/>
  <c r="J50"/>
  <c r="J48"/>
  <c r="J46"/>
  <c r="J44"/>
  <c r="J42"/>
  <c r="J39"/>
  <c r="J37"/>
  <c r="J35"/>
  <c r="J33"/>
  <c r="J31"/>
  <c r="J29"/>
  <c r="J27"/>
  <c r="J25"/>
  <c r="J23"/>
  <c r="J21"/>
  <c r="J19"/>
  <c r="J17"/>
  <c r="J15"/>
  <c r="J13"/>
  <c r="J11"/>
  <c r="J9"/>
  <c r="J40"/>
  <c r="J38"/>
  <c r="J36"/>
  <c r="J34"/>
  <c r="J32"/>
  <c r="J30"/>
  <c r="J28"/>
  <c r="J26"/>
  <c r="J24"/>
  <c r="J22"/>
  <c r="J20"/>
  <c r="J18"/>
  <c r="J16"/>
  <c r="J14"/>
  <c r="J12"/>
  <c r="J10"/>
  <c r="J8"/>
  <c r="R101"/>
  <c r="R99"/>
  <c r="R97"/>
  <c r="R95"/>
  <c r="R93"/>
  <c r="R91"/>
  <c r="R102"/>
  <c r="R100"/>
  <c r="R98"/>
  <c r="R96"/>
  <c r="R94"/>
  <c r="R92"/>
  <c r="R88"/>
  <c r="R86"/>
  <c r="R84"/>
  <c r="R82"/>
  <c r="R80"/>
  <c r="R78"/>
  <c r="R76"/>
  <c r="R74"/>
  <c r="R90"/>
  <c r="R89"/>
  <c r="R87"/>
  <c r="R85"/>
  <c r="R83"/>
  <c r="R81"/>
  <c r="R79"/>
  <c r="R77"/>
  <c r="R75"/>
  <c r="R73"/>
  <c r="R72"/>
  <c r="R70"/>
  <c r="R68"/>
  <c r="R66"/>
  <c r="R64"/>
  <c r="R62"/>
  <c r="R60"/>
  <c r="R58"/>
  <c r="R56"/>
  <c r="R54"/>
  <c r="R52"/>
  <c r="R50"/>
  <c r="R48"/>
  <c r="R46"/>
  <c r="R44"/>
  <c r="R42"/>
  <c r="R71"/>
  <c r="R69"/>
  <c r="R67"/>
  <c r="R65"/>
  <c r="R63"/>
  <c r="R61"/>
  <c r="R59"/>
  <c r="R57"/>
  <c r="R55"/>
  <c r="R53"/>
  <c r="R51"/>
  <c r="R49"/>
  <c r="R47"/>
  <c r="R45"/>
  <c r="R43"/>
  <c r="R41"/>
  <c r="R40"/>
  <c r="R38"/>
  <c r="R36"/>
  <c r="R34"/>
  <c r="R32"/>
  <c r="R30"/>
  <c r="R28"/>
  <c r="R26"/>
  <c r="R24"/>
  <c r="R22"/>
  <c r="R20"/>
  <c r="R18"/>
  <c r="R16"/>
  <c r="R14"/>
  <c r="R12"/>
  <c r="R10"/>
  <c r="R8"/>
  <c r="R39"/>
  <c r="R37"/>
  <c r="R35"/>
  <c r="R33"/>
  <c r="R31"/>
  <c r="R29"/>
  <c r="R27"/>
  <c r="R25"/>
  <c r="R23"/>
  <c r="R21"/>
  <c r="R19"/>
  <c r="R17"/>
  <c r="R15"/>
  <c r="R13"/>
  <c r="R11"/>
  <c r="R9"/>
  <c r="Z101"/>
  <c r="Z99"/>
  <c r="Z97"/>
  <c r="Z95"/>
  <c r="Z93"/>
  <c r="Z91"/>
  <c r="Z102"/>
  <c r="Z100"/>
  <c r="Z98"/>
  <c r="Z96"/>
  <c r="Z94"/>
  <c r="Z92"/>
  <c r="Z88"/>
  <c r="Z86"/>
  <c r="Z84"/>
  <c r="Z82"/>
  <c r="Z80"/>
  <c r="Z78"/>
  <c r="Z76"/>
  <c r="Z74"/>
  <c r="Z90"/>
  <c r="Z89"/>
  <c r="Z87"/>
  <c r="Z85"/>
  <c r="Z83"/>
  <c r="Z81"/>
  <c r="Z79"/>
  <c r="Z77"/>
  <c r="Z75"/>
  <c r="Z73"/>
  <c r="Z72"/>
  <c r="Z70"/>
  <c r="Z68"/>
  <c r="Z66"/>
  <c r="Z64"/>
  <c r="Z62"/>
  <c r="Z60"/>
  <c r="Z58"/>
  <c r="Z56"/>
  <c r="Z54"/>
  <c r="Z52"/>
  <c r="Z50"/>
  <c r="Z48"/>
  <c r="Z46"/>
  <c r="Z44"/>
  <c r="Z42"/>
  <c r="Z71"/>
  <c r="Z69"/>
  <c r="Z67"/>
  <c r="Z65"/>
  <c r="Z63"/>
  <c r="Z61"/>
  <c r="Z59"/>
  <c r="Z57"/>
  <c r="Z55"/>
  <c r="Z53"/>
  <c r="Z51"/>
  <c r="Z49"/>
  <c r="Z47"/>
  <c r="Z45"/>
  <c r="Z43"/>
  <c r="Z41"/>
  <c r="Z40"/>
  <c r="Z38"/>
  <c r="Z36"/>
  <c r="Z34"/>
  <c r="Z32"/>
  <c r="Z30"/>
  <c r="Z28"/>
  <c r="Z26"/>
  <c r="Z24"/>
  <c r="Z22"/>
  <c r="Z20"/>
  <c r="Z18"/>
  <c r="Z16"/>
  <c r="Z14"/>
  <c r="Z12"/>
  <c r="Z10"/>
  <c r="Z8"/>
  <c r="Z39"/>
  <c r="Z37"/>
  <c r="Z35"/>
  <c r="Z33"/>
  <c r="Z31"/>
  <c r="Z29"/>
  <c r="Z27"/>
  <c r="Z25"/>
  <c r="Z23"/>
  <c r="Z21"/>
  <c r="Z19"/>
  <c r="Z17"/>
  <c r="Z15"/>
  <c r="Z13"/>
  <c r="Z11"/>
  <c r="Z9"/>
  <c r="AH101"/>
  <c r="AH99"/>
  <c r="AH97"/>
  <c r="AH95"/>
  <c r="AH93"/>
  <c r="AH91"/>
  <c r="AH102"/>
  <c r="AH100"/>
  <c r="AH98"/>
  <c r="AH96"/>
  <c r="AH94"/>
  <c r="AH92"/>
  <c r="AH90"/>
  <c r="AH88"/>
  <c r="AH86"/>
  <c r="AH84"/>
  <c r="AH82"/>
  <c r="AH80"/>
  <c r="AH78"/>
  <c r="AH76"/>
  <c r="AH74"/>
  <c r="AH89"/>
  <c r="AH87"/>
  <c r="AH85"/>
  <c r="AH83"/>
  <c r="AH81"/>
  <c r="AH79"/>
  <c r="AH77"/>
  <c r="AH75"/>
  <c r="AH73"/>
  <c r="AH72"/>
  <c r="AH70"/>
  <c r="AH68"/>
  <c r="AH66"/>
  <c r="AH64"/>
  <c r="AH62"/>
  <c r="AH60"/>
  <c r="AH58"/>
  <c r="AH56"/>
  <c r="AH54"/>
  <c r="AH52"/>
  <c r="AH50"/>
  <c r="AH48"/>
  <c r="AH46"/>
  <c r="AH44"/>
  <c r="AH42"/>
  <c r="AH40"/>
  <c r="AH71"/>
  <c r="AH69"/>
  <c r="AH67"/>
  <c r="AH65"/>
  <c r="AH63"/>
  <c r="AH61"/>
  <c r="AH59"/>
  <c r="AH57"/>
  <c r="AH55"/>
  <c r="AH53"/>
  <c r="AH51"/>
  <c r="AH49"/>
  <c r="AH47"/>
  <c r="AH45"/>
  <c r="AH43"/>
  <c r="AH41"/>
  <c r="AH38"/>
  <c r="AH36"/>
  <c r="AH34"/>
  <c r="AH32"/>
  <c r="AH30"/>
  <c r="AH28"/>
  <c r="AH26"/>
  <c r="AH24"/>
  <c r="AH22"/>
  <c r="AH20"/>
  <c r="AH18"/>
  <c r="AH16"/>
  <c r="AH14"/>
  <c r="AH12"/>
  <c r="AH10"/>
  <c r="AH8"/>
  <c r="AH39"/>
  <c r="AH37"/>
  <c r="AH35"/>
  <c r="AH33"/>
  <c r="AH31"/>
  <c r="AH29"/>
  <c r="AH27"/>
  <c r="AH25"/>
  <c r="AH23"/>
  <c r="AH21"/>
  <c r="AH19"/>
  <c r="AH17"/>
  <c r="AH15"/>
  <c r="AH13"/>
  <c r="AH11"/>
  <c r="AH9"/>
  <c r="AP101"/>
  <c r="AP99"/>
  <c r="AP97"/>
  <c r="AP95"/>
  <c r="AP93"/>
  <c r="AP91"/>
  <c r="AP102"/>
  <c r="AP100"/>
  <c r="AP98"/>
  <c r="AP96"/>
  <c r="AP94"/>
  <c r="AP92"/>
  <c r="AP90"/>
  <c r="AP88"/>
  <c r="AP86"/>
  <c r="AP84"/>
  <c r="AP82"/>
  <c r="AP80"/>
  <c r="AP78"/>
  <c r="AP76"/>
  <c r="AP74"/>
  <c r="AP89"/>
  <c r="AP87"/>
  <c r="AP85"/>
  <c r="AP83"/>
  <c r="AP81"/>
  <c r="AP79"/>
  <c r="AP77"/>
  <c r="AP75"/>
  <c r="AP73"/>
  <c r="AP72"/>
  <c r="AP70"/>
  <c r="AP68"/>
  <c r="AP66"/>
  <c r="AP64"/>
  <c r="AP62"/>
  <c r="AP60"/>
  <c r="AP58"/>
  <c r="AP56"/>
  <c r="AP54"/>
  <c r="AP52"/>
  <c r="AP50"/>
  <c r="AP48"/>
  <c r="AP46"/>
  <c r="AP44"/>
  <c r="AP42"/>
  <c r="AP40"/>
  <c r="AP71"/>
  <c r="AP69"/>
  <c r="AP67"/>
  <c r="AP65"/>
  <c r="AP63"/>
  <c r="AP61"/>
  <c r="AP59"/>
  <c r="AP57"/>
  <c r="AP55"/>
  <c r="AP53"/>
  <c r="AP51"/>
  <c r="AP49"/>
  <c r="AP47"/>
  <c r="AP45"/>
  <c r="AP43"/>
  <c r="AP41"/>
  <c r="AP38"/>
  <c r="AP36"/>
  <c r="AP34"/>
  <c r="AP32"/>
  <c r="AP30"/>
  <c r="AP28"/>
  <c r="AP26"/>
  <c r="AP24"/>
  <c r="AP22"/>
  <c r="AP20"/>
  <c r="AP18"/>
  <c r="AP16"/>
  <c r="AP14"/>
  <c r="AP12"/>
  <c r="AP10"/>
  <c r="AP8"/>
  <c r="AP39"/>
  <c r="AP37"/>
  <c r="AP35"/>
  <c r="AP33"/>
  <c r="AP31"/>
  <c r="AP29"/>
  <c r="AP27"/>
  <c r="AP25"/>
  <c r="AP23"/>
  <c r="AP21"/>
  <c r="AP19"/>
  <c r="AP17"/>
  <c r="AP15"/>
  <c r="AP13"/>
  <c r="AP11"/>
  <c r="AP9"/>
  <c r="AX101"/>
  <c r="AX99"/>
  <c r="AX97"/>
  <c r="AX95"/>
  <c r="AX93"/>
  <c r="AX91"/>
  <c r="AX102"/>
  <c r="AX100"/>
  <c r="AX98"/>
  <c r="AX96"/>
  <c r="AX94"/>
  <c r="AX92"/>
  <c r="AX90"/>
  <c r="AX88"/>
  <c r="AX86"/>
  <c r="AX84"/>
  <c r="AX82"/>
  <c r="AX80"/>
  <c r="AX78"/>
  <c r="AX76"/>
  <c r="AX74"/>
  <c r="AX89"/>
  <c r="AX87"/>
  <c r="AX85"/>
  <c r="AX83"/>
  <c r="AX81"/>
  <c r="AX79"/>
  <c r="AX77"/>
  <c r="AX75"/>
  <c r="AX73"/>
  <c r="AX72"/>
  <c r="AX70"/>
  <c r="AX68"/>
  <c r="AX66"/>
  <c r="AX64"/>
  <c r="AX62"/>
  <c r="AX60"/>
  <c r="AX58"/>
  <c r="AX56"/>
  <c r="AX54"/>
  <c r="AX52"/>
  <c r="AX50"/>
  <c r="AX48"/>
  <c r="AX46"/>
  <c r="AX44"/>
  <c r="AX42"/>
  <c r="AX40"/>
  <c r="AX71"/>
  <c r="AX69"/>
  <c r="AX67"/>
  <c r="AX65"/>
  <c r="AX63"/>
  <c r="AX61"/>
  <c r="AX59"/>
  <c r="AX57"/>
  <c r="AX55"/>
  <c r="AX53"/>
  <c r="AX51"/>
  <c r="AX49"/>
  <c r="AX47"/>
  <c r="AX45"/>
  <c r="AX43"/>
  <c r="AX41"/>
  <c r="AX38"/>
  <c r="AX36"/>
  <c r="AX34"/>
  <c r="AX32"/>
  <c r="AX30"/>
  <c r="AX28"/>
  <c r="AX26"/>
  <c r="AX24"/>
  <c r="AX22"/>
  <c r="AX20"/>
  <c r="AX18"/>
  <c r="AX16"/>
  <c r="AX14"/>
  <c r="AX12"/>
  <c r="AX10"/>
  <c r="AX8"/>
  <c r="AX39"/>
  <c r="AX37"/>
  <c r="AX35"/>
  <c r="AX33"/>
  <c r="AX31"/>
  <c r="AX29"/>
  <c r="AX27"/>
  <c r="AX25"/>
  <c r="AX23"/>
  <c r="AX21"/>
  <c r="AX19"/>
  <c r="AX17"/>
  <c r="AX15"/>
  <c r="AX13"/>
  <c r="AX11"/>
  <c r="AX9"/>
  <c r="AX7"/>
  <c r="BF101"/>
  <c r="BF99"/>
  <c r="BF97"/>
  <c r="BF95"/>
  <c r="BF93"/>
  <c r="BF91"/>
  <c r="BF102"/>
  <c r="BF100"/>
  <c r="BF98"/>
  <c r="BF96"/>
  <c r="BF94"/>
  <c r="BF92"/>
  <c r="BF90"/>
  <c r="BF88"/>
  <c r="BF86"/>
  <c r="BF84"/>
  <c r="BF82"/>
  <c r="BF80"/>
  <c r="BF78"/>
  <c r="BF76"/>
  <c r="BF74"/>
  <c r="BF89"/>
  <c r="BF87"/>
  <c r="BF85"/>
  <c r="BF83"/>
  <c r="BF81"/>
  <c r="BF79"/>
  <c r="BF77"/>
  <c r="BF75"/>
  <c r="BF73"/>
  <c r="BF72"/>
  <c r="BF70"/>
  <c r="BF68"/>
  <c r="BF66"/>
  <c r="BF64"/>
  <c r="BF62"/>
  <c r="BF60"/>
  <c r="BF58"/>
  <c r="BF56"/>
  <c r="BF54"/>
  <c r="BF52"/>
  <c r="BF50"/>
  <c r="BF48"/>
  <c r="BF46"/>
  <c r="BF44"/>
  <c r="BF42"/>
  <c r="BF40"/>
  <c r="BF71"/>
  <c r="BF69"/>
  <c r="BF67"/>
  <c r="BF65"/>
  <c r="BF63"/>
  <c r="BF61"/>
  <c r="BF59"/>
  <c r="BF57"/>
  <c r="BF55"/>
  <c r="BF53"/>
  <c r="BF51"/>
  <c r="BF49"/>
  <c r="BF47"/>
  <c r="BF45"/>
  <c r="BF43"/>
  <c r="BF41"/>
  <c r="BF38"/>
  <c r="BF36"/>
  <c r="BF34"/>
  <c r="BF32"/>
  <c r="BF30"/>
  <c r="BF28"/>
  <c r="BF26"/>
  <c r="BF24"/>
  <c r="BF22"/>
  <c r="BF20"/>
  <c r="BF18"/>
  <c r="BF16"/>
  <c r="BF14"/>
  <c r="BF12"/>
  <c r="BF10"/>
  <c r="BF8"/>
  <c r="BF39"/>
  <c r="BF37"/>
  <c r="BF35"/>
  <c r="BF33"/>
  <c r="BF31"/>
  <c r="BF29"/>
  <c r="BF27"/>
  <c r="BF25"/>
  <c r="BF23"/>
  <c r="BF21"/>
  <c r="BF19"/>
  <c r="BF17"/>
  <c r="BF15"/>
  <c r="BF13"/>
  <c r="BF11"/>
  <c r="BF9"/>
  <c r="BF7"/>
  <c r="BN101"/>
  <c r="BN99"/>
  <c r="BN97"/>
  <c r="BN95"/>
  <c r="BN93"/>
  <c r="BN91"/>
  <c r="BN102"/>
  <c r="BN100"/>
  <c r="BN98"/>
  <c r="BN96"/>
  <c r="BN94"/>
  <c r="BN92"/>
  <c r="BN90"/>
  <c r="BN88"/>
  <c r="BN86"/>
  <c r="BN84"/>
  <c r="BN82"/>
  <c r="BN80"/>
  <c r="BN78"/>
  <c r="BN76"/>
  <c r="BN74"/>
  <c r="BN72"/>
  <c r="BN89"/>
  <c r="BN87"/>
  <c r="BN85"/>
  <c r="BN83"/>
  <c r="BN81"/>
  <c r="BN79"/>
  <c r="BN77"/>
  <c r="BN75"/>
  <c r="BN73"/>
  <c r="BN70"/>
  <c r="BN68"/>
  <c r="BN66"/>
  <c r="BN64"/>
  <c r="BN62"/>
  <c r="BN60"/>
  <c r="BN58"/>
  <c r="BN56"/>
  <c r="BN54"/>
  <c r="BN52"/>
  <c r="BN50"/>
  <c r="BN48"/>
  <c r="BN46"/>
  <c r="BN44"/>
  <c r="BN42"/>
  <c r="BN40"/>
  <c r="BN71"/>
  <c r="BN69"/>
  <c r="BN67"/>
  <c r="BN65"/>
  <c r="BN63"/>
  <c r="BN61"/>
  <c r="BN59"/>
  <c r="BN57"/>
  <c r="BN55"/>
  <c r="BN53"/>
  <c r="BN51"/>
  <c r="BN49"/>
  <c r="BN47"/>
  <c r="BN45"/>
  <c r="BN43"/>
  <c r="BN41"/>
  <c r="BN38"/>
  <c r="BN36"/>
  <c r="BN34"/>
  <c r="BN32"/>
  <c r="BN30"/>
  <c r="BN28"/>
  <c r="BN26"/>
  <c r="BN24"/>
  <c r="BN22"/>
  <c r="BN20"/>
  <c r="BN18"/>
  <c r="BN16"/>
  <c r="BN14"/>
  <c r="BN12"/>
  <c r="BN10"/>
  <c r="BN8"/>
  <c r="BN39"/>
  <c r="BN37"/>
  <c r="BN35"/>
  <c r="BN33"/>
  <c r="BN31"/>
  <c r="BN29"/>
  <c r="BN27"/>
  <c r="BN25"/>
  <c r="BN23"/>
  <c r="BN21"/>
  <c r="BN19"/>
  <c r="BN17"/>
  <c r="BN15"/>
  <c r="BN13"/>
  <c r="BN11"/>
  <c r="BN9"/>
  <c r="BN7"/>
  <c r="N3"/>
  <c r="P3"/>
  <c r="R3"/>
  <c r="T3"/>
  <c r="V3"/>
  <c r="X3"/>
  <c r="Z3"/>
  <c r="AB3"/>
  <c r="AD3"/>
  <c r="AF3"/>
  <c r="AH3"/>
  <c r="AJ3"/>
  <c r="AL3"/>
  <c r="AN3"/>
  <c r="AP3"/>
  <c r="AR3"/>
  <c r="AT3"/>
  <c r="AV3"/>
  <c r="AX3"/>
  <c r="AZ3"/>
  <c r="BB3"/>
  <c r="BD3"/>
  <c r="BF3"/>
  <c r="BH3"/>
  <c r="BJ3"/>
  <c r="BL3"/>
  <c r="BN3"/>
  <c r="BP3"/>
  <c r="F4"/>
  <c r="H4"/>
  <c r="J4"/>
  <c r="N5"/>
  <c r="P5"/>
  <c r="R5"/>
  <c r="T5"/>
  <c r="V5"/>
  <c r="X5"/>
  <c r="Z5"/>
  <c r="AB5"/>
  <c r="AD5"/>
  <c r="AF5"/>
  <c r="AH5"/>
  <c r="AJ5"/>
  <c r="AL5"/>
  <c r="AN5"/>
  <c r="AP5"/>
  <c r="AR5"/>
  <c r="AT5"/>
  <c r="AV5"/>
  <c r="AX5"/>
  <c r="AZ5"/>
  <c r="BB5"/>
  <c r="BD5"/>
  <c r="BF5"/>
  <c r="BH5"/>
  <c r="BJ5"/>
  <c r="BL5"/>
  <c r="BN5"/>
  <c r="BP5"/>
  <c r="F6"/>
  <c r="H6"/>
  <c r="J6"/>
  <c r="N7"/>
  <c r="P7"/>
  <c r="R7"/>
  <c r="T7"/>
  <c r="V7"/>
  <c r="X7"/>
  <c r="Z7"/>
  <c r="AB7"/>
  <c r="AD7"/>
  <c r="AF7"/>
  <c r="AH7"/>
  <c r="AJ7"/>
  <c r="AL7"/>
  <c r="AN7"/>
  <c r="AP7"/>
  <c r="D2" i="4"/>
  <c r="C5" s="1"/>
  <c r="C5" i="6" s="1"/>
  <c r="C3" i="4"/>
  <c r="C88" l="1"/>
  <c r="C88" i="6" s="1"/>
  <c r="C72" i="4"/>
  <c r="C72" i="6" s="1"/>
  <c r="C96" i="4"/>
  <c r="C96" i="6" s="1"/>
  <c r="C80" i="4"/>
  <c r="C80" i="6" s="1"/>
  <c r="C52" i="4"/>
  <c r="C52" i="6" s="1"/>
  <c r="C64" i="4"/>
  <c r="C64" i="6" s="1"/>
  <c r="C36" i="4"/>
  <c r="C36" i="6" s="1"/>
  <c r="C100" i="4"/>
  <c r="C100" i="6" s="1"/>
  <c r="C92" i="4"/>
  <c r="C92" i="6" s="1"/>
  <c r="C84" i="4"/>
  <c r="C84" i="6" s="1"/>
  <c r="C76" i="4"/>
  <c r="C76" i="6" s="1"/>
  <c r="C68" i="4"/>
  <c r="C68" i="6" s="1"/>
  <c r="C60" i="4"/>
  <c r="C60" i="6" s="1"/>
  <c r="C44" i="4"/>
  <c r="C44" i="6" s="1"/>
  <c r="C28" i="4"/>
  <c r="C28" i="6" s="1"/>
  <c r="C56" i="4"/>
  <c r="C56" i="6" s="1"/>
  <c r="C48" i="4"/>
  <c r="C48" i="6" s="1"/>
  <c r="C40" i="4"/>
  <c r="C40" i="6" s="1"/>
  <c r="C32" i="4"/>
  <c r="C32" i="6" s="1"/>
  <c r="C20" i="4"/>
  <c r="C20" i="6" s="1"/>
  <c r="C3"/>
  <c r="C12" i="4"/>
  <c r="C12" i="6" s="1"/>
  <c r="C24" i="4"/>
  <c r="C24" i="6" s="1"/>
  <c r="C16" i="4"/>
  <c r="C16" i="6" s="1"/>
  <c r="C8" i="4"/>
  <c r="C8" i="6" s="1"/>
  <c r="C97" i="4"/>
  <c r="C97" i="6" s="1"/>
  <c r="C101" i="4"/>
  <c r="C101" i="6" s="1"/>
  <c r="C89" i="4"/>
  <c r="C89" i="6" s="1"/>
  <c r="C93" i="4"/>
  <c r="C93" i="6" s="1"/>
  <c r="C77" i="4"/>
  <c r="C77" i="6" s="1"/>
  <c r="C85" i="4"/>
  <c r="C85" i="6" s="1"/>
  <c r="C69" i="4"/>
  <c r="C69" i="6" s="1"/>
  <c r="C81" i="4"/>
  <c r="C81" i="6" s="1"/>
  <c r="C73" i="4"/>
  <c r="C73" i="6" s="1"/>
  <c r="C61" i="4"/>
  <c r="C61" i="6" s="1"/>
  <c r="C102" i="4"/>
  <c r="C102" i="6" s="1"/>
  <c r="C98" i="4"/>
  <c r="C98" i="6" s="1"/>
  <c r="C94" i="4"/>
  <c r="C94" i="6" s="1"/>
  <c r="C90" i="4"/>
  <c r="C90" i="6" s="1"/>
  <c r="C86" i="4"/>
  <c r="C86" i="6" s="1"/>
  <c r="C82" i="4"/>
  <c r="C82" i="6" s="1"/>
  <c r="C78" i="4"/>
  <c r="C78" i="6" s="1"/>
  <c r="C74" i="4"/>
  <c r="C74" i="6" s="1"/>
  <c r="C70" i="4"/>
  <c r="C70" i="6" s="1"/>
  <c r="C66" i="4"/>
  <c r="C66" i="6" s="1"/>
  <c r="C62" i="4"/>
  <c r="C62" i="6" s="1"/>
  <c r="C58" i="4"/>
  <c r="C58" i="6" s="1"/>
  <c r="C54" i="4"/>
  <c r="C54" i="6" s="1"/>
  <c r="C50" i="4"/>
  <c r="C50" i="6" s="1"/>
  <c r="C46" i="4"/>
  <c r="C46" i="6" s="1"/>
  <c r="C42" i="4"/>
  <c r="C42" i="6" s="1"/>
  <c r="C38" i="4"/>
  <c r="C38" i="6" s="1"/>
  <c r="C34" i="4"/>
  <c r="C34" i="6" s="1"/>
  <c r="C30" i="4"/>
  <c r="C30" i="6" s="1"/>
  <c r="C26" i="4"/>
  <c r="C26" i="6" s="1"/>
  <c r="C22" i="4"/>
  <c r="C22" i="6" s="1"/>
  <c r="C18" i="4"/>
  <c r="C18" i="6" s="1"/>
  <c r="C14" i="4"/>
  <c r="C14" i="6" s="1"/>
  <c r="C10" i="4"/>
  <c r="C10" i="6" s="1"/>
  <c r="C6" i="4"/>
  <c r="C6" i="6" s="1"/>
  <c r="C4" i="4"/>
  <c r="C4" i="6" s="1"/>
  <c r="C99" i="4"/>
  <c r="C99" i="6" s="1"/>
  <c r="C95" i="4"/>
  <c r="C95" i="6" s="1"/>
  <c r="C91" i="4"/>
  <c r="C91" i="6" s="1"/>
  <c r="C87" i="4"/>
  <c r="C87" i="6" s="1"/>
  <c r="C83" i="4"/>
  <c r="C83" i="6" s="1"/>
  <c r="C79" i="4"/>
  <c r="C79" i="6" s="1"/>
  <c r="C75" i="4"/>
  <c r="C75" i="6" s="1"/>
  <c r="C71" i="4"/>
  <c r="C71" i="6" s="1"/>
  <c r="C65" i="4"/>
  <c r="C65" i="6" s="1"/>
  <c r="C53" i="4"/>
  <c r="C53" i="6" s="1"/>
  <c r="C67" i="4"/>
  <c r="C67" i="6" s="1"/>
  <c r="C63" i="4"/>
  <c r="C63" i="6" s="1"/>
  <c r="C57" i="4"/>
  <c r="C57" i="6" s="1"/>
  <c r="C49" i="4"/>
  <c r="C49" i="6" s="1"/>
  <c r="C59" i="4"/>
  <c r="C59" i="6" s="1"/>
  <c r="C55" i="4"/>
  <c r="C55" i="6" s="1"/>
  <c r="C51" i="4"/>
  <c r="C51" i="6" s="1"/>
  <c r="C45" i="4"/>
  <c r="C45" i="6" s="1"/>
  <c r="C47" i="4"/>
  <c r="C47" i="6" s="1"/>
  <c r="C39" i="4"/>
  <c r="C39" i="6" s="1"/>
  <c r="C43" i="4"/>
  <c r="C43" i="6" s="1"/>
  <c r="C35" i="4"/>
  <c r="C35" i="6" s="1"/>
  <c r="C41" i="4"/>
  <c r="C41" i="6" s="1"/>
  <c r="C37" i="4"/>
  <c r="C37" i="6" s="1"/>
  <c r="C23" i="4"/>
  <c r="C23" i="6" s="1"/>
  <c r="C31" i="4"/>
  <c r="C31" i="6" s="1"/>
  <c r="C15" i="4"/>
  <c r="C15" i="6" s="1"/>
  <c r="C27" i="4"/>
  <c r="C27" i="6" s="1"/>
  <c r="C19" i="4"/>
  <c r="C19" i="6" s="1"/>
  <c r="C11" i="4"/>
  <c r="C11" i="6" s="1"/>
  <c r="C7" i="4"/>
  <c r="C7" i="6" s="1"/>
  <c r="C33" i="4"/>
  <c r="C33" i="6" s="1"/>
  <c r="C29" i="4"/>
  <c r="C29" i="6" s="1"/>
  <c r="C25" i="4"/>
  <c r="C25" i="6" s="1"/>
  <c r="C21" i="4"/>
  <c r="C21" i="6" s="1"/>
  <c r="C17" i="4"/>
  <c r="C17" i="6" s="1"/>
  <c r="C13" i="4"/>
  <c r="C13" i="6" s="1"/>
  <c r="C9" i="4"/>
  <c r="C9" i="6" s="1"/>
  <c r="E8" l="1"/>
  <c r="E14"/>
  <c r="E20"/>
  <c r="E26"/>
  <c r="E34"/>
  <c r="E40"/>
  <c r="E44"/>
  <c r="E48"/>
  <c r="E52"/>
  <c r="E60"/>
  <c r="E64"/>
  <c r="E74"/>
  <c r="E6"/>
  <c r="E16"/>
  <c r="E28"/>
  <c r="E36"/>
  <c r="E58"/>
  <c r="E68"/>
  <c r="E76"/>
  <c r="E80"/>
  <c r="E84"/>
  <c r="E88"/>
  <c r="E92"/>
  <c r="E96"/>
  <c r="E100"/>
  <c r="E5"/>
  <c r="E9"/>
  <c r="E13"/>
  <c r="E17"/>
  <c r="E21"/>
  <c r="E25"/>
  <c r="E29"/>
  <c r="E33"/>
  <c r="E37"/>
  <c r="E41"/>
  <c r="E45"/>
  <c r="E49"/>
  <c r="E53"/>
  <c r="E57"/>
  <c r="E61"/>
  <c r="E65"/>
  <c r="E69"/>
  <c r="E73"/>
  <c r="E77"/>
  <c r="E81"/>
  <c r="E85"/>
  <c r="E89"/>
  <c r="E93"/>
  <c r="E97"/>
  <c r="E101"/>
  <c r="E12"/>
  <c r="E18"/>
  <c r="E22"/>
  <c r="E32"/>
  <c r="E38"/>
  <c r="E42"/>
  <c r="E46"/>
  <c r="E50"/>
  <c r="E54"/>
  <c r="E62"/>
  <c r="E70"/>
  <c r="E4"/>
  <c r="E10"/>
  <c r="E24"/>
  <c r="E30"/>
  <c r="E56"/>
  <c r="E66"/>
  <c r="E72"/>
  <c r="E78"/>
  <c r="E82"/>
  <c r="E86"/>
  <c r="E90"/>
  <c r="E94"/>
  <c r="E98"/>
  <c r="E102"/>
  <c r="E3"/>
  <c r="E7"/>
  <c r="E11"/>
  <c r="E15"/>
  <c r="E19"/>
  <c r="E23"/>
  <c r="E27"/>
  <c r="E31"/>
  <c r="E35"/>
  <c r="E39"/>
  <c r="E43"/>
  <c r="E47"/>
  <c r="E51"/>
  <c r="E55"/>
  <c r="E59"/>
  <c r="E63"/>
  <c r="E67"/>
  <c r="E71"/>
  <c r="E75"/>
  <c r="E79"/>
  <c r="E83"/>
  <c r="E87"/>
  <c r="E91"/>
  <c r="E95"/>
  <c r="E99"/>
</calcChain>
</file>

<file path=xl/sharedStrings.xml><?xml version="1.0" encoding="utf-8"?>
<sst xmlns="http://schemas.openxmlformats.org/spreadsheetml/2006/main" count="128" uniqueCount="125">
  <si>
    <t>Max</t>
  </si>
  <si>
    <t>h</t>
  </si>
  <si>
    <t>j</t>
  </si>
  <si>
    <t>c</t>
  </si>
  <si>
    <t>k</t>
  </si>
  <si>
    <t>Resultaat</t>
  </si>
  <si>
    <t>x</t>
  </si>
  <si>
    <t>Subtotaal</t>
  </si>
  <si>
    <t>n</t>
  </si>
  <si>
    <t>Toetsenbord</t>
  </si>
  <si>
    <t>Punten teller</t>
  </si>
  <si>
    <t>puntentellersheetname</t>
  </si>
  <si>
    <t>Totaal</t>
  </si>
  <si>
    <t>maxlabel</t>
  </si>
  <si>
    <t>resultaatlabel</t>
  </si>
  <si>
    <t>keylabel</t>
  </si>
  <si>
    <t>clearlabel</t>
  </si>
  <si>
    <t>addtototalslabel</t>
  </si>
  <si>
    <t>nextlabel</t>
  </si>
  <si>
    <t>studentnrlabel</t>
  </si>
  <si>
    <t>totaallabel</t>
  </si>
  <si>
    <t>totaalop</t>
  </si>
  <si>
    <t>subtotaallabel</t>
  </si>
  <si>
    <t>statusmessage</t>
  </si>
  <si>
    <t>puntentellerdatastartrow</t>
  </si>
  <si>
    <t>puntentellerdataendrow</t>
  </si>
  <si>
    <t>puntentellerresultrow</t>
  </si>
  <si>
    <t>totaldatastartrow</t>
  </si>
  <si>
    <t>totaldataendrow</t>
  </si>
  <si>
    <t>totalsheetname</t>
  </si>
  <si>
    <t>totaldatastartcolumn</t>
  </si>
  <si>
    <t>puntentellerstartcolumn</t>
  </si>
  <si>
    <t>statusmessagepointsparam</t>
  </si>
  <si>
    <t>&lt;punten&gt;</t>
  </si>
  <si>
    <t>&lt;max&gt;</t>
  </si>
  <si>
    <t>statusmessagepartparam</t>
  </si>
  <si>
    <t>statusmessagemaxparam</t>
  </si>
  <si>
    <t>&lt;deel&gt;</t>
  </si>
  <si>
    <t>Kolom leegmaken</t>
  </si>
  <si>
    <t>Resultaat in totaallijst toevoegen en kolom leegmaken</t>
  </si>
  <si>
    <t>Kolom leegmaken en naar volgende (of eerste) kolom</t>
  </si>
  <si>
    <t>naamdeellabel</t>
  </si>
  <si>
    <t>Naam deel</t>
  </si>
  <si>
    <t>studentnaamlabel</t>
  </si>
  <si>
    <t>Student naam</t>
  </si>
  <si>
    <t>commentaarlabel</t>
  </si>
  <si>
    <t>Commentaar</t>
  </si>
  <si>
    <t>commentaarcolumn</t>
  </si>
  <si>
    <t>#</t>
  </si>
  <si>
    <t>totaldatastudentnrcolumn</t>
  </si>
  <si>
    <t>totaldatastudentnamecolumn</t>
  </si>
  <si>
    <t>&lt;studentnr&gt;</t>
  </si>
  <si>
    <t>statusmessagestudentnrparam</t>
  </si>
  <si>
    <t>statusmessagestudentnameparam</t>
  </si>
  <si>
    <t>&lt;studentname&gt;</t>
  </si>
  <si>
    <t>Gewicht</t>
  </si>
  <si>
    <t>gewichtlabel</t>
  </si>
  <si>
    <t>Nr</t>
  </si>
  <si>
    <t>Naam</t>
  </si>
  <si>
    <t>TotaalMax</t>
  </si>
  <si>
    <t>TotaalMed</t>
  </si>
  <si>
    <t>Apunten</t>
  </si>
  <si>
    <t>Anaam</t>
  </si>
  <si>
    <t>Amax</t>
  </si>
  <si>
    <t>Amed</t>
  </si>
  <si>
    <t>Bnaam</t>
  </si>
  <si>
    <t>Bpunten</t>
  </si>
  <si>
    <t>Bmax</t>
  </si>
  <si>
    <t>Bmed</t>
  </si>
  <si>
    <t>Cnaam</t>
  </si>
  <si>
    <t>Cpunten</t>
  </si>
  <si>
    <t>Cmax</t>
  </si>
  <si>
    <t>Cmed</t>
  </si>
  <si>
    <t>Dnaam</t>
  </si>
  <si>
    <t>Dpunten</t>
  </si>
  <si>
    <t>Dmax</t>
  </si>
  <si>
    <t>Dmed</t>
  </si>
  <si>
    <t>Enaam</t>
  </si>
  <si>
    <t>Epunten</t>
  </si>
  <si>
    <t>Emax</t>
  </si>
  <si>
    <t>Emed</t>
  </si>
  <si>
    <t>Fnaam</t>
  </si>
  <si>
    <t>Fpunten</t>
  </si>
  <si>
    <t>Fmax</t>
  </si>
  <si>
    <t>Fmed</t>
  </si>
  <si>
    <t>Gnaam</t>
  </si>
  <si>
    <t>Gpunten</t>
  </si>
  <si>
    <t>Gmax</t>
  </si>
  <si>
    <t>Gmeed</t>
  </si>
  <si>
    <t>Hnaam</t>
  </si>
  <si>
    <t>Hpunten</t>
  </si>
  <si>
    <t>Hmax</t>
  </si>
  <si>
    <t>Hmed</t>
  </si>
  <si>
    <t>Inaam</t>
  </si>
  <si>
    <t>Ipunten</t>
  </si>
  <si>
    <t>Imax</t>
  </si>
  <si>
    <t>Imed</t>
  </si>
  <si>
    <t>Jnaam</t>
  </si>
  <si>
    <t>Jpunten</t>
  </si>
  <si>
    <t>Jmax</t>
  </si>
  <si>
    <t>Jmed</t>
  </si>
  <si>
    <t>Knaam</t>
  </si>
  <si>
    <t>Kpunten</t>
  </si>
  <si>
    <t>Kmax</t>
  </si>
  <si>
    <t>Kmed</t>
  </si>
  <si>
    <t>Lnaam</t>
  </si>
  <si>
    <t>Lpunten</t>
  </si>
  <si>
    <t>Lmax</t>
  </si>
  <si>
    <t>Lmed</t>
  </si>
  <si>
    <t>Mnaam</t>
  </si>
  <si>
    <t>Mpunten</t>
  </si>
  <si>
    <t>Mmax</t>
  </si>
  <si>
    <t>Mmed</t>
  </si>
  <si>
    <t>Nnaam</t>
  </si>
  <si>
    <t>Npunten</t>
  </si>
  <si>
    <t>Nmax</t>
  </si>
  <si>
    <t>Nmed</t>
  </si>
  <si>
    <t>Onaam</t>
  </si>
  <si>
    <t>Opunten</t>
  </si>
  <si>
    <t>Omax</t>
  </si>
  <si>
    <t>Omed</t>
  </si>
  <si>
    <t>Pnaam</t>
  </si>
  <si>
    <t>Ppunten</t>
  </si>
  <si>
    <t>Pmax</t>
  </si>
  <si>
    <t>Pmed</t>
  </si>
</sst>
</file>

<file path=xl/styles.xml><?xml version="1.0" encoding="utf-8"?>
<styleSheet xmlns="http://schemas.openxmlformats.org/spreadsheetml/2006/main">
  <numFmts count="1">
    <numFmt numFmtId="164" formatCode="0.0"/>
  </numFmts>
  <fonts count="3">
    <font>
      <sz val="11"/>
      <color theme="1"/>
      <name val="Calibri"/>
      <family val="2"/>
      <scheme val="minor"/>
    </font>
    <font>
      <sz val="11"/>
      <color theme="0" tint="-0.499984740745262"/>
      <name val="Calibri"/>
      <family val="2"/>
      <scheme val="minor"/>
    </font>
    <font>
      <b/>
      <sz val="11"/>
      <color theme="1"/>
      <name val="Calibri"/>
      <family val="2"/>
      <scheme val="minor"/>
    </font>
  </fonts>
  <fills count="2">
    <fill>
      <patternFill patternType="none"/>
    </fill>
    <fill>
      <patternFill patternType="gray125"/>
    </fill>
  </fills>
  <borders count="6">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29">
    <xf numFmtId="0" fontId="0" fillId="0" borderId="0" xfId="0"/>
    <xf numFmtId="0" fontId="0" fillId="0" borderId="1" xfId="0" applyBorder="1"/>
    <xf numFmtId="0" fontId="1" fillId="0" borderId="1" xfId="0" applyFont="1" applyBorder="1"/>
    <xf numFmtId="0" fontId="1" fillId="0" borderId="0" xfId="0" applyFont="1"/>
    <xf numFmtId="0" fontId="0" fillId="0" borderId="2" xfId="0" applyBorder="1"/>
    <xf numFmtId="2" fontId="0" fillId="0" borderId="1" xfId="0" applyNumberFormat="1" applyBorder="1"/>
    <xf numFmtId="0" fontId="0" fillId="0" borderId="3" xfId="0" applyBorder="1"/>
    <xf numFmtId="0" fontId="0" fillId="0" borderId="0" xfId="0" applyBorder="1"/>
    <xf numFmtId="2" fontId="0" fillId="0" borderId="0" xfId="0" applyNumberFormat="1"/>
    <xf numFmtId="0" fontId="0" fillId="0" borderId="0" xfId="0" applyFont="1"/>
    <xf numFmtId="0" fontId="0" fillId="0" borderId="1" xfId="0" applyFont="1" applyBorder="1"/>
    <xf numFmtId="2" fontId="0" fillId="0" borderId="0" xfId="0" applyNumberFormat="1" applyBorder="1"/>
    <xf numFmtId="0" fontId="0" fillId="0" borderId="0" xfId="0" applyBorder="1" applyProtection="1">
      <protection locked="0"/>
    </xf>
    <xf numFmtId="0" fontId="0" fillId="0" borderId="0" xfId="0" applyProtection="1">
      <protection locked="0"/>
    </xf>
    <xf numFmtId="0" fontId="0" fillId="0" borderId="0" xfId="0" applyFill="1" applyBorder="1" applyProtection="1">
      <protection locked="0"/>
    </xf>
    <xf numFmtId="2" fontId="0" fillId="0" borderId="0" xfId="0" applyNumberFormat="1" applyProtection="1">
      <protection locked="0"/>
    </xf>
    <xf numFmtId="0" fontId="0" fillId="0" borderId="2" xfId="0" applyBorder="1" applyProtection="1">
      <protection locked="0"/>
    </xf>
    <xf numFmtId="0" fontId="1" fillId="0" borderId="3" xfId="0" applyFont="1" applyBorder="1"/>
    <xf numFmtId="0" fontId="1" fillId="0" borderId="2" xfId="0" applyFont="1" applyBorder="1"/>
    <xf numFmtId="0" fontId="1" fillId="0" borderId="0" xfId="0" applyFont="1" applyAlignment="1" applyProtection="1">
      <alignment horizontal="left"/>
      <protection locked="0"/>
    </xf>
    <xf numFmtId="0" fontId="0" fillId="0" borderId="4" xfId="0" applyBorder="1"/>
    <xf numFmtId="0" fontId="0" fillId="0" borderId="5" xfId="0" applyBorder="1"/>
    <xf numFmtId="0" fontId="0" fillId="0" borderId="0" xfId="0" applyNumberFormat="1"/>
    <xf numFmtId="0" fontId="0" fillId="0" borderId="1" xfId="0" applyNumberFormat="1" applyBorder="1"/>
    <xf numFmtId="2" fontId="0" fillId="0" borderId="1" xfId="0" applyNumberFormat="1" applyBorder="1" applyProtection="1">
      <protection locked="0"/>
    </xf>
    <xf numFmtId="164" fontId="2" fillId="0" borderId="1" xfId="0" applyNumberFormat="1" applyFont="1" applyBorder="1" applyAlignment="1">
      <alignment horizontal="center"/>
    </xf>
    <xf numFmtId="164" fontId="2" fillId="0" borderId="1" xfId="0" applyNumberFormat="1" applyFont="1" applyBorder="1" applyAlignment="1">
      <alignment horizontal="center" vertical="center" wrapText="1"/>
    </xf>
    <xf numFmtId="2" fontId="2" fillId="0" borderId="3" xfId="0" applyNumberFormat="1" applyFont="1" applyBorder="1" applyAlignment="1">
      <alignment vertical="center" wrapText="1"/>
    </xf>
    <xf numFmtId="2" fontId="2" fillId="0" borderId="1" xfId="0" applyNumberFormat="1" applyFont="1" applyBorder="1" applyAlignment="1">
      <alignment vertical="center" wrapText="1"/>
    </xf>
  </cellXfs>
  <cellStyles count="1">
    <cellStyle name="Normal" xfId="0" builtinId="0"/>
  </cellStyles>
  <dxfs count="4">
    <dxf>
      <font>
        <color rgb="FFFF0000"/>
      </font>
    </dxf>
    <dxf>
      <font>
        <color theme="0"/>
      </font>
      <fill>
        <patternFill>
          <bgColor rgb="FFFF0000"/>
        </patternFill>
      </fill>
    </dxf>
    <dxf>
      <font>
        <color rgb="FFFF0000"/>
      </font>
    </dxf>
    <dxf>
      <font>
        <color rgb="FFFF0000"/>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R115"/>
  <sheetViews>
    <sheetView tabSelected="1" workbookViewId="0">
      <pane ySplit="5" topLeftCell="A6" activePane="bottomLeft" state="frozenSplit"/>
      <selection pane="bottomLeft" activeCell="A6" sqref="A6"/>
    </sheetView>
  </sheetViews>
  <sheetFormatPr defaultRowHeight="15" outlineLevelRow="1"/>
  <cols>
    <col min="1" max="1" width="9.5703125" style="7" customWidth="1"/>
    <col min="2" max="16" width="9.5703125" customWidth="1"/>
    <col min="17" max="17" width="12.140625" style="4" customWidth="1"/>
    <col min="18" max="18" width="22.28515625" customWidth="1"/>
  </cols>
  <sheetData>
    <row r="1" spans="1:18">
      <c r="A1" s="12">
        <v>0</v>
      </c>
      <c r="B1" s="12">
        <v>0</v>
      </c>
      <c r="C1" s="12">
        <v>0</v>
      </c>
      <c r="D1" s="12">
        <v>0</v>
      </c>
      <c r="E1" s="12">
        <v>0</v>
      </c>
      <c r="F1" s="12">
        <v>0</v>
      </c>
      <c r="G1" s="12">
        <v>0</v>
      </c>
      <c r="H1" s="12">
        <v>0</v>
      </c>
      <c r="I1" s="12">
        <v>0</v>
      </c>
      <c r="J1" s="12">
        <v>0</v>
      </c>
      <c r="K1" s="12">
        <v>0</v>
      </c>
      <c r="L1" s="12">
        <v>0</v>
      </c>
      <c r="M1" s="12">
        <v>0</v>
      </c>
      <c r="N1" s="12">
        <v>0</v>
      </c>
      <c r="O1" s="12">
        <v>0</v>
      </c>
      <c r="P1" s="12">
        <v>0</v>
      </c>
      <c r="Q1" s="4" t="str">
        <f>gewichtlabel</f>
        <v>Gewicht</v>
      </c>
    </row>
    <row r="2" spans="1:18" outlineLevel="1">
      <c r="A2" s="12"/>
      <c r="B2" s="13"/>
      <c r="C2" s="13"/>
      <c r="D2" s="13"/>
      <c r="E2" s="13"/>
      <c r="F2" s="13"/>
      <c r="G2" s="13"/>
      <c r="H2" s="13"/>
      <c r="I2" s="13"/>
      <c r="J2" s="13"/>
      <c r="K2" s="13"/>
      <c r="L2" s="13"/>
      <c r="M2" s="13"/>
      <c r="N2" s="13"/>
      <c r="O2" s="13"/>
      <c r="P2" s="13"/>
      <c r="Q2" s="4" t="str">
        <f>maxllabel</f>
        <v>Max</v>
      </c>
    </row>
    <row r="3" spans="1:18" outlineLevel="1">
      <c r="A3" s="12"/>
      <c r="B3" s="13"/>
      <c r="C3" s="13"/>
      <c r="D3" s="13"/>
      <c r="E3" s="13"/>
      <c r="F3" s="13"/>
      <c r="G3" s="13"/>
      <c r="H3" s="13"/>
      <c r="I3" s="13"/>
      <c r="J3" s="13"/>
      <c r="K3" s="13"/>
      <c r="L3" s="13"/>
      <c r="M3" s="13"/>
      <c r="N3" s="13"/>
      <c r="O3" s="13"/>
      <c r="P3" s="13"/>
      <c r="Q3" s="4" t="str">
        <f>naamdeellabel</f>
        <v>Naam deel</v>
      </c>
    </row>
    <row r="4" spans="1:18" outlineLevel="1">
      <c r="A4" s="25">
        <f>IF(A2&lt;&gt;0,IF((((((A2-SUM(A6:A102))/(A2/10))*(A1/10))-ROUNDDOWN(((A2-SUM(A6:A102))/(A2/10))*(A1/10),0))*10)&lt;3,ROUNDDOWN(((A2-SUM(A6:A102))/(A2/10))*(A1/10),0),IF((((((A2-SUM(A6:A102))/(A2/10))*(A1/10))-ROUNDDOWN(((A2-SUM(A6:A102))/(A2/10))*(A1/10),0))*10)&lt;8,0.5+ROUNDDOWN(((A2-SUM(A6:A102))/(A2/10))*(A1/10),0),1+ROUNDDOWN(((A2-SUM(A6:A102))/(A2/10))*(A1/10),0))),(A1-SUM(A6:A102)))</f>
        <v>0</v>
      </c>
      <c r="B4" s="25">
        <f t="shared" ref="B4:P4" si="0">IF(B2&lt;&gt;0,IF((((((B2-SUM(B6:B102))/(B2/10))*(B1/10))-ROUNDDOWN(((B2-SUM(B6:B102))/(B2/10))*(B1/10),0))*10)&lt;3,ROUNDDOWN(((B2-SUM(B6:B102))/(B2/10))*(B1/10),0),IF((((((B2-SUM(B6:B102))/(B2/10))*(B1/10))-ROUNDDOWN(((B2-SUM(B6:B102))/(B2/10))*(B1/10),0))*10)&lt;8,0.5+ROUNDDOWN(((B2-SUM(B6:B102))/(B2/10))*(B1/10),0),1+ROUNDDOWN(((B2-SUM(B6:B102))/(B2/10))*(B1/10),0))),(B1-SUM(B6:B102)))</f>
        <v>0</v>
      </c>
      <c r="C4" s="25">
        <f t="shared" si="0"/>
        <v>0</v>
      </c>
      <c r="D4" s="25">
        <f t="shared" si="0"/>
        <v>0</v>
      </c>
      <c r="E4" s="25">
        <f t="shared" si="0"/>
        <v>0</v>
      </c>
      <c r="F4" s="25">
        <f t="shared" si="0"/>
        <v>0</v>
      </c>
      <c r="G4" s="25">
        <f t="shared" si="0"/>
        <v>0</v>
      </c>
      <c r="H4" s="25">
        <f t="shared" si="0"/>
        <v>0</v>
      </c>
      <c r="I4" s="25">
        <f t="shared" si="0"/>
        <v>0</v>
      </c>
      <c r="J4" s="25">
        <f t="shared" si="0"/>
        <v>0</v>
      </c>
      <c r="K4" s="25">
        <f t="shared" si="0"/>
        <v>0</v>
      </c>
      <c r="L4" s="25">
        <f t="shared" si="0"/>
        <v>0</v>
      </c>
      <c r="M4" s="25">
        <f t="shared" si="0"/>
        <v>0</v>
      </c>
      <c r="N4" s="25">
        <f t="shared" si="0"/>
        <v>0</v>
      </c>
      <c r="O4" s="25">
        <f t="shared" si="0"/>
        <v>0</v>
      </c>
      <c r="P4" s="25">
        <f t="shared" si="0"/>
        <v>0</v>
      </c>
      <c r="Q4" s="4" t="s">
        <v>5</v>
      </c>
    </row>
    <row r="5" spans="1:18" s="28" customFormat="1" ht="31.5" customHeight="1">
      <c r="A5" s="26">
        <f>IF(A2&lt;&gt;0,IF((((((A2-SUM(A6:A102))/(A2/10))*(A1/10))-ROUNDDOWN(((A2-SUM(A6:A102))/(A2/10))*(A1/10),0))*10)&lt;3,ROUNDDOWN(((A2-SUM(A6:A102))/(A2/10))*(A1/10),0),IF((((((A2-SUM(A6:A102))/(A2/10))*(A1/10))-ROUNDDOWN(((A2-SUM(A6:A102))/(A2/10))*(A1/10),0))*10)&lt;8,0.5+ROUNDDOWN(((A2-SUM(A6:A102))/(A2/10))*(A1/10),0),1+ROUNDDOWN(((A2-SUM(A6:A102))/(A2/10))*(A1/10),0)))&amp;" ("&amp;(A2-SUM(A6:A102))&amp;"/"&amp;A2&amp;")",(A1-SUM(A6:A102)))</f>
        <v>0</v>
      </c>
      <c r="B5" s="26">
        <f t="shared" ref="B5:P5" si="1">IF(B2&lt;&gt;0,IF((((((B2-SUM(B6:B102))/(B2/10))*(B1/10))-ROUNDDOWN(((B2-SUM(B6:B102))/(B2/10))*(B1/10),0))*10)&lt;3,ROUNDDOWN(((B2-SUM(B6:B102))/(B2/10))*(B1/10),0),IF((((((B2-SUM(B6:B102))/(B2/10))*(B1/10))-ROUNDDOWN(((B2-SUM(B6:B102))/(B2/10))*(B1/10),0))*10)&lt;8,0.5+ROUNDDOWN(((B2-SUM(B6:B102))/(B2/10))*(B1/10),0),1+ROUNDDOWN(((B2-SUM(B6:B102))/(B2/10))*(B1/10),0)))&amp;" ("&amp;(B2-SUM(B6:B102))&amp;"/"&amp;B2&amp;")",(B1-SUM(B6:B102)))</f>
        <v>0</v>
      </c>
      <c r="C5" s="26">
        <f t="shared" si="1"/>
        <v>0</v>
      </c>
      <c r="D5" s="26">
        <f t="shared" si="1"/>
        <v>0</v>
      </c>
      <c r="E5" s="26">
        <f t="shared" si="1"/>
        <v>0</v>
      </c>
      <c r="F5" s="26">
        <f t="shared" si="1"/>
        <v>0</v>
      </c>
      <c r="G5" s="26">
        <f t="shared" si="1"/>
        <v>0</v>
      </c>
      <c r="H5" s="26">
        <f t="shared" si="1"/>
        <v>0</v>
      </c>
      <c r="I5" s="26">
        <f t="shared" si="1"/>
        <v>0</v>
      </c>
      <c r="J5" s="26">
        <f t="shared" si="1"/>
        <v>0</v>
      </c>
      <c r="K5" s="26">
        <f t="shared" si="1"/>
        <v>0</v>
      </c>
      <c r="L5" s="26">
        <f t="shared" si="1"/>
        <v>0</v>
      </c>
      <c r="M5" s="26">
        <f t="shared" si="1"/>
        <v>0</v>
      </c>
      <c r="N5" s="26">
        <f t="shared" si="1"/>
        <v>0</v>
      </c>
      <c r="O5" s="26">
        <f t="shared" si="1"/>
        <v>0</v>
      </c>
      <c r="P5" s="26">
        <f t="shared" si="1"/>
        <v>0</v>
      </c>
      <c r="Q5" s="27" t="str">
        <f>Config!B6</f>
        <v>Resultaat</v>
      </c>
    </row>
    <row r="6" spans="1:18">
      <c r="A6" s="12"/>
      <c r="B6" s="13"/>
      <c r="C6" s="13"/>
      <c r="D6" s="13"/>
      <c r="E6" s="13"/>
      <c r="F6" s="13"/>
      <c r="G6" s="13"/>
      <c r="H6" s="13"/>
      <c r="I6" s="13"/>
      <c r="J6" s="13"/>
      <c r="K6" s="13"/>
      <c r="L6" s="13"/>
      <c r="M6" s="13"/>
      <c r="N6" s="13"/>
      <c r="O6" s="13"/>
      <c r="P6" s="13"/>
    </row>
    <row r="7" spans="1:18">
      <c r="A7" s="14"/>
      <c r="B7" s="13"/>
      <c r="C7" s="13"/>
      <c r="D7" s="13"/>
      <c r="E7" s="13"/>
      <c r="F7" s="13"/>
      <c r="G7" s="13"/>
      <c r="H7" s="13"/>
      <c r="I7" s="13"/>
      <c r="J7" s="13"/>
      <c r="K7" s="13"/>
      <c r="L7" s="13"/>
      <c r="M7" s="13"/>
      <c r="N7" s="13"/>
      <c r="O7" s="13"/>
      <c r="P7" s="13"/>
    </row>
    <row r="8" spans="1:18">
      <c r="A8" s="14"/>
      <c r="B8" s="13"/>
      <c r="C8" s="13"/>
      <c r="D8" s="13"/>
      <c r="E8" s="13"/>
      <c r="F8" s="13"/>
      <c r="G8" s="13"/>
      <c r="H8" s="13"/>
      <c r="I8" s="13"/>
      <c r="J8" s="13"/>
      <c r="K8" s="13"/>
      <c r="L8" s="13"/>
      <c r="M8" s="13"/>
      <c r="N8" s="13"/>
      <c r="O8" s="13"/>
      <c r="P8" s="13"/>
      <c r="Q8" s="17" t="str">
        <f>Config!B7</f>
        <v>Toetsenbord</v>
      </c>
      <c r="R8" s="2"/>
    </row>
    <row r="9" spans="1:18">
      <c r="A9" s="14"/>
      <c r="B9" s="13"/>
      <c r="C9" s="13"/>
      <c r="D9" s="13"/>
      <c r="E9" s="13"/>
      <c r="F9" s="13"/>
      <c r="G9" s="13"/>
      <c r="H9" s="13"/>
      <c r="I9" s="13"/>
      <c r="J9" s="13"/>
      <c r="K9" s="13"/>
      <c r="L9" s="13"/>
      <c r="M9" s="13"/>
      <c r="N9" s="13"/>
      <c r="O9" s="13"/>
      <c r="P9" s="13"/>
      <c r="Q9" s="18" t="s">
        <v>1</v>
      </c>
      <c r="R9" s="19">
        <v>0.5</v>
      </c>
    </row>
    <row r="10" spans="1:18">
      <c r="A10" s="14"/>
      <c r="B10" s="13"/>
      <c r="C10" s="13"/>
      <c r="D10" s="13"/>
      <c r="E10" s="13"/>
      <c r="F10" s="13"/>
      <c r="G10" s="13"/>
      <c r="H10" s="13"/>
      <c r="I10" s="13"/>
      <c r="J10" s="13"/>
      <c r="K10" s="13"/>
      <c r="L10" s="13"/>
      <c r="M10" s="13"/>
      <c r="N10" s="13"/>
      <c r="O10" s="13"/>
      <c r="P10" s="13"/>
      <c r="Q10" s="18" t="s">
        <v>2</v>
      </c>
      <c r="R10" s="19">
        <v>1</v>
      </c>
    </row>
    <row r="11" spans="1:18">
      <c r="A11" s="14"/>
      <c r="B11" s="13"/>
      <c r="C11" s="13"/>
      <c r="D11" s="13"/>
      <c r="E11" s="13"/>
      <c r="F11" s="13"/>
      <c r="G11" s="13"/>
      <c r="H11" s="13"/>
      <c r="I11" s="13"/>
      <c r="J11" s="13"/>
      <c r="K11" s="13"/>
      <c r="L11" s="13"/>
      <c r="M11" s="13"/>
      <c r="N11" s="13"/>
      <c r="O11" s="13"/>
      <c r="P11" s="13"/>
      <c r="Q11" s="18" t="s">
        <v>4</v>
      </c>
      <c r="R11" s="19">
        <v>1.5</v>
      </c>
    </row>
    <row r="12" spans="1:18">
      <c r="A12" s="14"/>
      <c r="B12" s="13"/>
      <c r="C12" s="13"/>
      <c r="D12" s="13"/>
      <c r="E12" s="13"/>
      <c r="F12" s="13"/>
      <c r="G12" s="13"/>
      <c r="H12" s="13"/>
      <c r="I12" s="13"/>
      <c r="J12" s="13"/>
      <c r="K12" s="13"/>
      <c r="L12" s="13"/>
      <c r="M12" s="13"/>
      <c r="N12" s="13"/>
      <c r="O12" s="13"/>
      <c r="P12" s="13"/>
      <c r="Q12" s="18" t="s">
        <v>3</v>
      </c>
      <c r="R12" s="3" t="str">
        <f>clearlabel</f>
        <v>Kolom leegmaken</v>
      </c>
    </row>
    <row r="13" spans="1:18">
      <c r="A13" s="14"/>
      <c r="B13" s="13"/>
      <c r="C13" s="13"/>
      <c r="D13" s="13"/>
      <c r="E13" s="13"/>
      <c r="F13" s="13"/>
      <c r="G13" s="13"/>
      <c r="H13" s="13"/>
      <c r="I13" s="13"/>
      <c r="J13" s="13"/>
      <c r="K13" s="13"/>
      <c r="L13" s="13"/>
      <c r="M13" s="13"/>
      <c r="N13" s="13"/>
      <c r="O13" s="13"/>
      <c r="P13" s="13"/>
      <c r="Q13" s="18" t="s">
        <v>6</v>
      </c>
      <c r="R13" s="3" t="str">
        <f>addtototalslabel</f>
        <v>Resultaat in totaallijst toevoegen en kolom leegmaken</v>
      </c>
    </row>
    <row r="14" spans="1:18">
      <c r="A14" s="14"/>
      <c r="B14" s="13"/>
      <c r="C14" s="13"/>
      <c r="D14" s="13"/>
      <c r="E14" s="13"/>
      <c r="F14" s="13"/>
      <c r="G14" s="13"/>
      <c r="H14" s="13"/>
      <c r="I14" s="13"/>
      <c r="J14" s="13"/>
      <c r="K14" s="13"/>
      <c r="L14" s="13"/>
      <c r="M14" s="13"/>
      <c r="N14" s="13"/>
      <c r="O14" s="13"/>
      <c r="P14" s="13"/>
      <c r="Q14" s="18" t="s">
        <v>8</v>
      </c>
      <c r="R14" s="3" t="str">
        <f>nextlabel</f>
        <v>Kolom leegmaken en naar volgende (of eerste) kolom</v>
      </c>
    </row>
    <row r="15" spans="1:18">
      <c r="A15" s="14"/>
      <c r="B15" s="13"/>
      <c r="C15" s="13"/>
      <c r="D15" s="13"/>
      <c r="E15" s="13"/>
      <c r="F15" s="13"/>
      <c r="G15" s="13"/>
      <c r="H15" s="13"/>
      <c r="I15" s="13"/>
      <c r="J15" s="13"/>
      <c r="K15" s="13"/>
      <c r="L15" s="13"/>
      <c r="M15" s="13"/>
      <c r="N15" s="13"/>
      <c r="O15" s="13"/>
      <c r="P15" s="13"/>
    </row>
    <row r="16" spans="1:18">
      <c r="A16" s="14"/>
      <c r="B16" s="13"/>
      <c r="C16" s="13"/>
      <c r="D16" s="13"/>
      <c r="E16" s="13"/>
      <c r="F16" s="13"/>
      <c r="G16" s="13"/>
      <c r="H16" s="13"/>
      <c r="I16" s="13"/>
      <c r="J16" s="13"/>
      <c r="K16" s="13"/>
      <c r="L16" s="13"/>
      <c r="M16" s="13"/>
      <c r="N16" s="13"/>
      <c r="O16" s="13"/>
      <c r="P16" s="13"/>
    </row>
    <row r="17" spans="1:16">
      <c r="A17" s="14"/>
      <c r="B17" s="13"/>
      <c r="C17" s="13"/>
      <c r="D17" s="13"/>
      <c r="E17" s="13"/>
      <c r="F17" s="13"/>
      <c r="G17" s="13"/>
      <c r="H17" s="13"/>
      <c r="I17" s="13"/>
      <c r="J17" s="13"/>
      <c r="K17" s="13"/>
      <c r="L17" s="13"/>
      <c r="M17" s="13"/>
      <c r="N17" s="13"/>
      <c r="O17" s="13"/>
      <c r="P17" s="13"/>
    </row>
    <row r="18" spans="1:16">
      <c r="A18" s="12"/>
      <c r="B18" s="13"/>
      <c r="C18" s="13"/>
      <c r="D18" s="13"/>
      <c r="E18" s="13"/>
      <c r="F18" s="13"/>
      <c r="G18" s="13"/>
      <c r="H18" s="13"/>
      <c r="I18" s="13"/>
      <c r="J18" s="13"/>
      <c r="K18" s="13"/>
      <c r="L18" s="13"/>
      <c r="M18" s="13"/>
      <c r="N18" s="13"/>
      <c r="O18" s="13"/>
      <c r="P18" s="13"/>
    </row>
    <row r="19" spans="1:16">
      <c r="A19" s="12"/>
      <c r="B19" s="13"/>
      <c r="C19" s="13"/>
      <c r="D19" s="13"/>
      <c r="E19" s="13"/>
      <c r="F19" s="13"/>
      <c r="G19" s="13"/>
      <c r="H19" s="13"/>
      <c r="I19" s="13"/>
      <c r="J19" s="13"/>
      <c r="K19" s="13"/>
      <c r="L19" s="13"/>
      <c r="M19" s="13"/>
      <c r="N19" s="13"/>
      <c r="O19" s="13"/>
      <c r="P19" s="13"/>
    </row>
    <row r="20" spans="1:16">
      <c r="A20" s="12"/>
      <c r="B20" s="13"/>
      <c r="C20" s="13"/>
      <c r="D20" s="13"/>
      <c r="E20" s="13"/>
      <c r="F20" s="13"/>
      <c r="G20" s="13"/>
      <c r="H20" s="13"/>
      <c r="I20" s="13"/>
      <c r="J20" s="13"/>
      <c r="K20" s="13"/>
      <c r="L20" s="13"/>
      <c r="M20" s="13"/>
      <c r="N20" s="13"/>
      <c r="O20" s="13"/>
      <c r="P20" s="13"/>
    </row>
    <row r="21" spans="1:16">
      <c r="A21" s="12"/>
      <c r="B21" s="13"/>
      <c r="C21" s="13"/>
      <c r="D21" s="13"/>
      <c r="E21" s="13"/>
      <c r="F21" s="13"/>
      <c r="G21" s="13"/>
      <c r="H21" s="13"/>
      <c r="I21" s="13"/>
      <c r="J21" s="13"/>
      <c r="K21" s="13"/>
      <c r="L21" s="13"/>
      <c r="M21" s="13"/>
      <c r="N21" s="13"/>
      <c r="O21" s="13"/>
      <c r="P21" s="13"/>
    </row>
    <row r="22" spans="1:16">
      <c r="A22" s="12"/>
      <c r="B22" s="13"/>
      <c r="C22" s="13"/>
      <c r="D22" s="13"/>
      <c r="E22" s="13"/>
      <c r="F22" s="13"/>
      <c r="G22" s="13"/>
      <c r="H22" s="13"/>
      <c r="I22" s="13"/>
      <c r="J22" s="13"/>
      <c r="K22" s="13"/>
      <c r="L22" s="13"/>
      <c r="M22" s="13"/>
      <c r="N22" s="13"/>
      <c r="O22" s="13"/>
      <c r="P22" s="13"/>
    </row>
    <row r="23" spans="1:16">
      <c r="A23" s="12"/>
      <c r="B23" s="13"/>
      <c r="C23" s="13"/>
      <c r="D23" s="13"/>
      <c r="E23" s="13"/>
      <c r="F23" s="13"/>
      <c r="G23" s="13"/>
      <c r="H23" s="13"/>
      <c r="I23" s="13"/>
      <c r="J23" s="13"/>
      <c r="K23" s="13"/>
      <c r="L23" s="13"/>
      <c r="M23" s="13"/>
      <c r="N23" s="13"/>
      <c r="O23" s="13"/>
      <c r="P23" s="13"/>
    </row>
    <row r="24" spans="1:16">
      <c r="A24" s="12"/>
      <c r="B24" s="13"/>
      <c r="C24" s="13"/>
      <c r="D24" s="13"/>
      <c r="E24" s="13"/>
      <c r="F24" s="13"/>
      <c r="G24" s="13"/>
      <c r="H24" s="13"/>
      <c r="I24" s="13"/>
      <c r="J24" s="13"/>
      <c r="K24" s="13"/>
      <c r="L24" s="13"/>
      <c r="M24" s="13"/>
      <c r="N24" s="13"/>
      <c r="O24" s="13"/>
      <c r="P24" s="13"/>
    </row>
    <row r="25" spans="1:16">
      <c r="A25" s="12"/>
      <c r="B25" s="13"/>
      <c r="C25" s="13"/>
      <c r="D25" s="13"/>
      <c r="E25" s="13"/>
      <c r="F25" s="13"/>
      <c r="G25" s="13"/>
      <c r="H25" s="13"/>
      <c r="I25" s="13"/>
      <c r="J25" s="13"/>
      <c r="K25" s="13"/>
      <c r="L25" s="13"/>
      <c r="M25" s="13"/>
      <c r="N25" s="13"/>
      <c r="O25" s="13"/>
      <c r="P25" s="13"/>
    </row>
    <row r="26" spans="1:16">
      <c r="A26" s="12"/>
      <c r="B26" s="13"/>
      <c r="C26" s="13"/>
      <c r="D26" s="13"/>
      <c r="E26" s="13"/>
      <c r="F26" s="13"/>
      <c r="G26" s="13"/>
      <c r="H26" s="13"/>
      <c r="I26" s="13"/>
      <c r="J26" s="13"/>
      <c r="K26" s="13"/>
      <c r="L26" s="13"/>
      <c r="M26" s="13"/>
      <c r="N26" s="13"/>
      <c r="O26" s="13"/>
      <c r="P26" s="13"/>
    </row>
    <row r="27" spans="1:16">
      <c r="A27" s="12"/>
      <c r="B27" s="13"/>
      <c r="C27" s="13"/>
      <c r="D27" s="13"/>
      <c r="E27" s="13"/>
      <c r="F27" s="13"/>
      <c r="G27" s="13"/>
      <c r="H27" s="13"/>
      <c r="I27" s="13"/>
      <c r="J27" s="13"/>
      <c r="K27" s="13"/>
      <c r="L27" s="13"/>
      <c r="M27" s="13"/>
      <c r="N27" s="13"/>
      <c r="O27" s="13"/>
      <c r="P27" s="13"/>
    </row>
    <row r="28" spans="1:16">
      <c r="A28" s="12"/>
      <c r="B28" s="13"/>
      <c r="C28" s="13"/>
      <c r="D28" s="13"/>
      <c r="E28" s="13"/>
      <c r="F28" s="13"/>
      <c r="G28" s="13"/>
      <c r="H28" s="13"/>
      <c r="I28" s="13"/>
      <c r="J28" s="13"/>
      <c r="K28" s="13"/>
      <c r="L28" s="13"/>
      <c r="M28" s="13"/>
      <c r="N28" s="13"/>
      <c r="O28" s="13"/>
      <c r="P28" s="13"/>
    </row>
    <row r="29" spans="1:16">
      <c r="A29" s="12"/>
      <c r="B29" s="13"/>
      <c r="C29" s="13"/>
      <c r="D29" s="13"/>
      <c r="E29" s="13"/>
      <c r="F29" s="13"/>
      <c r="G29" s="13"/>
      <c r="H29" s="13"/>
      <c r="I29" s="13"/>
      <c r="J29" s="13"/>
      <c r="K29" s="13"/>
      <c r="L29" s="13"/>
      <c r="M29" s="13"/>
      <c r="N29" s="13"/>
      <c r="O29" s="13"/>
      <c r="P29" s="13"/>
    </row>
    <row r="30" spans="1:16">
      <c r="A30" s="12"/>
      <c r="B30" s="13"/>
      <c r="C30" s="13"/>
      <c r="D30" s="15"/>
      <c r="E30" s="13"/>
      <c r="F30" s="15"/>
      <c r="G30" s="15"/>
      <c r="H30" s="15"/>
      <c r="I30" s="15"/>
      <c r="J30" s="15"/>
      <c r="K30" s="15"/>
      <c r="L30" s="15"/>
      <c r="M30" s="15"/>
      <c r="N30" s="15"/>
      <c r="O30" s="15"/>
      <c r="P30" s="13"/>
    </row>
    <row r="31" spans="1:16">
      <c r="A31" s="12"/>
      <c r="B31" s="13"/>
      <c r="C31" s="13"/>
      <c r="D31" s="15"/>
      <c r="E31" s="15"/>
      <c r="F31" s="15"/>
      <c r="G31" s="15"/>
      <c r="H31" s="15"/>
      <c r="I31" s="15"/>
      <c r="J31" s="15"/>
      <c r="K31" s="15"/>
      <c r="L31" s="15"/>
      <c r="M31" s="15"/>
      <c r="N31" s="15"/>
      <c r="O31" s="15"/>
      <c r="P31" s="13"/>
    </row>
    <row r="32" spans="1:16">
      <c r="A32" s="12"/>
      <c r="B32" s="13"/>
      <c r="C32" s="13"/>
      <c r="D32" s="15"/>
      <c r="E32" s="15"/>
      <c r="F32" s="15"/>
      <c r="G32" s="15"/>
      <c r="H32" s="15"/>
      <c r="I32" s="15"/>
      <c r="J32" s="15"/>
      <c r="K32" s="15"/>
      <c r="L32" s="15"/>
      <c r="M32" s="15"/>
      <c r="N32" s="15"/>
      <c r="O32" s="15"/>
      <c r="P32" s="13"/>
    </row>
    <row r="33" spans="1:16">
      <c r="A33" s="12"/>
      <c r="B33" s="13"/>
      <c r="C33" s="13"/>
      <c r="D33" s="13"/>
      <c r="E33" s="13"/>
      <c r="F33" s="13"/>
      <c r="G33" s="13"/>
      <c r="H33" s="13"/>
      <c r="I33" s="13"/>
      <c r="J33" s="13"/>
      <c r="K33" s="13"/>
      <c r="L33" s="13"/>
      <c r="M33" s="13"/>
      <c r="N33" s="13"/>
      <c r="O33" s="13"/>
      <c r="P33" s="13"/>
    </row>
    <row r="34" spans="1:16">
      <c r="A34" s="12"/>
      <c r="B34" s="13"/>
      <c r="C34" s="13"/>
      <c r="D34" s="13"/>
      <c r="E34" s="13"/>
      <c r="F34" s="13"/>
      <c r="G34" s="13"/>
      <c r="H34" s="13"/>
      <c r="I34" s="13"/>
      <c r="J34" s="13"/>
      <c r="K34" s="13"/>
      <c r="L34" s="13"/>
      <c r="M34" s="13"/>
      <c r="N34" s="13"/>
      <c r="O34" s="13"/>
      <c r="P34" s="13"/>
    </row>
    <row r="35" spans="1:16">
      <c r="A35" s="12"/>
      <c r="B35" s="13"/>
      <c r="C35" s="13"/>
      <c r="D35" s="13"/>
      <c r="E35" s="13"/>
      <c r="F35" s="15"/>
      <c r="G35" s="15"/>
      <c r="H35" s="15"/>
      <c r="I35" s="15"/>
      <c r="J35" s="15"/>
      <c r="K35" s="15"/>
      <c r="L35" s="15"/>
      <c r="M35" s="15"/>
      <c r="N35" s="15"/>
      <c r="O35" s="15"/>
      <c r="P35" s="13"/>
    </row>
    <row r="36" spans="1:16">
      <c r="A36" s="12"/>
      <c r="B36" s="13"/>
      <c r="C36" s="13"/>
      <c r="D36" s="13"/>
      <c r="E36" s="13"/>
      <c r="F36" s="13"/>
      <c r="G36" s="13"/>
      <c r="H36" s="13"/>
      <c r="I36" s="13"/>
      <c r="J36" s="13"/>
      <c r="K36" s="13"/>
      <c r="L36" s="13"/>
      <c r="M36" s="13"/>
      <c r="N36" s="13"/>
      <c r="O36" s="13"/>
      <c r="P36" s="13"/>
    </row>
    <row r="37" spans="1:16">
      <c r="A37" s="12"/>
      <c r="B37" s="13"/>
      <c r="C37" s="13"/>
      <c r="D37" s="13"/>
      <c r="E37" s="13"/>
      <c r="F37" s="13"/>
      <c r="G37" s="13"/>
      <c r="H37" s="13"/>
      <c r="I37" s="13"/>
      <c r="J37" s="13"/>
      <c r="K37" s="13"/>
      <c r="L37" s="13"/>
      <c r="M37" s="13"/>
      <c r="N37" s="13"/>
      <c r="O37" s="13"/>
      <c r="P37" s="13"/>
    </row>
    <row r="38" spans="1:16">
      <c r="A38" s="12"/>
      <c r="B38" s="13"/>
      <c r="C38" s="13"/>
      <c r="D38" s="13"/>
      <c r="E38" s="13"/>
      <c r="F38" s="13"/>
      <c r="G38" s="13"/>
      <c r="H38" s="13"/>
      <c r="I38" s="13"/>
      <c r="J38" s="13"/>
      <c r="K38" s="13"/>
      <c r="L38" s="13"/>
      <c r="M38" s="13"/>
      <c r="N38" s="13"/>
      <c r="O38" s="13"/>
      <c r="P38" s="13"/>
    </row>
    <row r="39" spans="1:16">
      <c r="A39" s="12"/>
      <c r="B39" s="13"/>
      <c r="C39" s="13"/>
      <c r="D39" s="13"/>
      <c r="E39" s="13"/>
      <c r="F39" s="13"/>
      <c r="G39" s="13"/>
      <c r="H39" s="13"/>
      <c r="I39" s="13"/>
      <c r="J39" s="13"/>
      <c r="K39" s="13"/>
      <c r="L39" s="13"/>
      <c r="M39" s="13"/>
      <c r="N39" s="13"/>
      <c r="O39" s="13"/>
      <c r="P39" s="13"/>
    </row>
    <row r="40" spans="1:16">
      <c r="A40" s="12"/>
      <c r="B40" s="13"/>
      <c r="C40" s="13"/>
      <c r="D40" s="13"/>
      <c r="E40" s="13"/>
      <c r="F40" s="13"/>
      <c r="G40" s="13"/>
      <c r="H40" s="13"/>
      <c r="I40" s="13"/>
      <c r="J40" s="13"/>
      <c r="K40" s="13"/>
      <c r="L40" s="13"/>
      <c r="M40" s="13"/>
      <c r="N40" s="13"/>
      <c r="O40" s="13"/>
      <c r="P40" s="13"/>
    </row>
    <row r="41" spans="1:16">
      <c r="A41" s="12"/>
      <c r="B41" s="13"/>
      <c r="C41" s="13"/>
      <c r="D41" s="13"/>
      <c r="E41" s="13"/>
      <c r="F41" s="13"/>
      <c r="G41" s="13"/>
      <c r="H41" s="13"/>
      <c r="I41" s="13"/>
      <c r="J41" s="13"/>
      <c r="K41" s="13"/>
      <c r="L41" s="13"/>
      <c r="M41" s="13"/>
      <c r="N41" s="13"/>
      <c r="O41" s="13"/>
      <c r="P41" s="13"/>
    </row>
    <row r="42" spans="1:16">
      <c r="A42" s="12"/>
      <c r="B42" s="13"/>
      <c r="C42" s="13"/>
      <c r="D42" s="13"/>
      <c r="E42" s="13"/>
      <c r="F42" s="13"/>
      <c r="G42" s="13"/>
      <c r="H42" s="13"/>
      <c r="I42" s="13"/>
      <c r="J42" s="13"/>
      <c r="K42" s="13"/>
      <c r="L42" s="13"/>
      <c r="M42" s="13"/>
      <c r="N42" s="13"/>
      <c r="O42" s="13"/>
      <c r="P42" s="13"/>
    </row>
    <row r="43" spans="1:16">
      <c r="A43" s="12"/>
      <c r="B43" s="13"/>
      <c r="C43" s="13"/>
      <c r="D43" s="13"/>
      <c r="E43" s="13"/>
      <c r="F43" s="13"/>
      <c r="G43" s="13"/>
      <c r="H43" s="13"/>
      <c r="I43" s="13"/>
      <c r="J43" s="13"/>
      <c r="K43" s="13"/>
      <c r="L43" s="13"/>
      <c r="M43" s="13"/>
      <c r="N43" s="13"/>
      <c r="O43" s="13"/>
      <c r="P43" s="13"/>
    </row>
    <row r="44" spans="1:16">
      <c r="A44" s="12"/>
      <c r="B44" s="13"/>
      <c r="C44" s="13"/>
      <c r="D44" s="13"/>
      <c r="E44" s="13"/>
      <c r="F44" s="13"/>
      <c r="G44" s="13"/>
      <c r="H44" s="13"/>
      <c r="I44" s="13"/>
      <c r="J44" s="13"/>
      <c r="K44" s="13"/>
      <c r="L44" s="13"/>
      <c r="M44" s="13"/>
      <c r="N44" s="13"/>
      <c r="O44" s="13"/>
      <c r="P44" s="13"/>
    </row>
    <row r="45" spans="1:16">
      <c r="A45" s="12"/>
      <c r="B45" s="13"/>
      <c r="C45" s="13"/>
      <c r="D45" s="13"/>
      <c r="E45" s="13"/>
      <c r="F45" s="13"/>
      <c r="G45" s="13"/>
      <c r="H45" s="13"/>
      <c r="I45" s="13"/>
      <c r="J45" s="13"/>
      <c r="K45" s="13"/>
      <c r="L45" s="13"/>
      <c r="M45" s="13"/>
      <c r="N45" s="13"/>
      <c r="O45" s="13"/>
      <c r="P45" s="13"/>
    </row>
    <row r="46" spans="1:16">
      <c r="A46" s="12"/>
      <c r="B46" s="13"/>
      <c r="C46" s="13"/>
      <c r="D46" s="13"/>
      <c r="E46" s="13"/>
      <c r="F46" s="13"/>
      <c r="G46" s="13"/>
      <c r="H46" s="13"/>
      <c r="I46" s="13"/>
      <c r="J46" s="13"/>
      <c r="K46" s="13"/>
      <c r="L46" s="13"/>
      <c r="M46" s="13"/>
      <c r="N46" s="13"/>
      <c r="O46" s="13"/>
      <c r="P46" s="13"/>
    </row>
    <row r="47" spans="1:16">
      <c r="A47" s="12"/>
      <c r="B47" s="13"/>
      <c r="C47" s="13"/>
      <c r="D47" s="13"/>
      <c r="E47" s="13"/>
      <c r="F47" s="13"/>
      <c r="G47" s="13"/>
      <c r="H47" s="13"/>
      <c r="I47" s="13"/>
      <c r="J47" s="13"/>
      <c r="K47" s="13"/>
      <c r="L47" s="13"/>
      <c r="M47" s="13"/>
      <c r="N47" s="13"/>
      <c r="O47" s="13"/>
      <c r="P47" s="13"/>
    </row>
    <row r="48" spans="1:16">
      <c r="A48" s="12"/>
      <c r="B48" s="13"/>
      <c r="C48" s="13"/>
      <c r="D48" s="13"/>
      <c r="E48" s="13"/>
      <c r="F48" s="13"/>
      <c r="G48" s="13"/>
      <c r="H48" s="13"/>
      <c r="I48" s="13"/>
      <c r="J48" s="13"/>
      <c r="K48" s="13"/>
      <c r="L48" s="13"/>
      <c r="M48" s="13"/>
      <c r="N48" s="13"/>
      <c r="O48" s="13"/>
      <c r="P48" s="13"/>
    </row>
    <row r="49" spans="1:16">
      <c r="A49" s="12"/>
      <c r="B49" s="13"/>
      <c r="C49" s="13"/>
      <c r="D49" s="13"/>
      <c r="E49" s="13"/>
      <c r="F49" s="13"/>
      <c r="G49" s="13"/>
      <c r="H49" s="13"/>
      <c r="I49" s="13"/>
      <c r="J49" s="13"/>
      <c r="K49" s="13"/>
      <c r="L49" s="13"/>
      <c r="M49" s="13"/>
      <c r="N49" s="13"/>
      <c r="O49" s="13"/>
      <c r="P49" s="13"/>
    </row>
    <row r="50" spans="1:16">
      <c r="A50" s="12"/>
      <c r="B50" s="13"/>
      <c r="C50" s="13"/>
      <c r="D50" s="13"/>
      <c r="E50" s="13"/>
      <c r="F50" s="13"/>
      <c r="G50" s="13"/>
      <c r="H50" s="13"/>
      <c r="I50" s="13"/>
      <c r="J50" s="13"/>
      <c r="K50" s="13"/>
      <c r="L50" s="13"/>
      <c r="M50" s="13"/>
      <c r="N50" s="13"/>
      <c r="O50" s="13"/>
      <c r="P50" s="13"/>
    </row>
    <row r="51" spans="1:16">
      <c r="A51" s="12"/>
      <c r="B51" s="13"/>
      <c r="C51" s="13"/>
      <c r="D51" s="13"/>
      <c r="E51" s="13"/>
      <c r="F51" s="13"/>
      <c r="G51" s="13"/>
      <c r="H51" s="13"/>
      <c r="I51" s="13"/>
      <c r="J51" s="13"/>
      <c r="K51" s="13"/>
      <c r="L51" s="13"/>
      <c r="M51" s="13"/>
      <c r="N51" s="13"/>
      <c r="O51" s="13"/>
      <c r="P51" s="13"/>
    </row>
    <row r="52" spans="1:16">
      <c r="A52" s="12"/>
      <c r="B52" s="13"/>
      <c r="C52" s="13"/>
      <c r="D52" s="13"/>
      <c r="E52" s="13"/>
      <c r="F52" s="13"/>
      <c r="G52" s="13"/>
      <c r="H52" s="13"/>
      <c r="I52" s="13"/>
      <c r="J52" s="13"/>
      <c r="K52" s="13"/>
      <c r="L52" s="13"/>
      <c r="M52" s="13"/>
      <c r="N52" s="13"/>
      <c r="O52" s="13"/>
      <c r="P52" s="13"/>
    </row>
    <row r="53" spans="1:16">
      <c r="A53" s="12"/>
      <c r="B53" s="13"/>
      <c r="C53" s="13"/>
      <c r="D53" s="13"/>
      <c r="E53" s="13"/>
      <c r="F53" s="13"/>
      <c r="G53" s="13"/>
      <c r="H53" s="13"/>
      <c r="I53" s="13"/>
      <c r="J53" s="13"/>
      <c r="K53" s="13"/>
      <c r="L53" s="13"/>
      <c r="M53" s="13"/>
      <c r="N53" s="13"/>
      <c r="O53" s="13"/>
      <c r="P53" s="13"/>
    </row>
    <row r="54" spans="1:16">
      <c r="A54" s="12"/>
      <c r="B54" s="13"/>
      <c r="C54" s="13"/>
      <c r="D54" s="13"/>
      <c r="E54" s="13"/>
      <c r="F54" s="13"/>
      <c r="G54" s="13"/>
      <c r="H54" s="13"/>
      <c r="I54" s="13"/>
      <c r="J54" s="13"/>
      <c r="K54" s="13"/>
      <c r="L54" s="13"/>
      <c r="M54" s="13"/>
      <c r="N54" s="13"/>
      <c r="O54" s="13"/>
      <c r="P54" s="13"/>
    </row>
    <row r="55" spans="1:16">
      <c r="A55" s="12"/>
      <c r="B55" s="13"/>
      <c r="C55" s="13"/>
      <c r="D55" s="13"/>
      <c r="E55" s="13"/>
      <c r="F55" s="13"/>
      <c r="G55" s="13"/>
      <c r="H55" s="13"/>
      <c r="I55" s="13"/>
      <c r="J55" s="13"/>
      <c r="K55" s="13"/>
      <c r="L55" s="13"/>
      <c r="M55" s="13"/>
      <c r="N55" s="13"/>
      <c r="O55" s="13"/>
      <c r="P55" s="13"/>
    </row>
    <row r="56" spans="1:16">
      <c r="A56" s="12"/>
      <c r="B56" s="13"/>
      <c r="C56" s="13"/>
      <c r="D56" s="13"/>
      <c r="E56" s="13"/>
      <c r="F56" s="13"/>
      <c r="G56" s="13"/>
      <c r="H56" s="13"/>
      <c r="I56" s="13"/>
      <c r="J56" s="13"/>
      <c r="K56" s="13"/>
      <c r="L56" s="13"/>
      <c r="M56" s="13"/>
      <c r="N56" s="13"/>
      <c r="O56" s="13"/>
      <c r="P56" s="13"/>
    </row>
    <row r="57" spans="1:16">
      <c r="A57" s="12"/>
      <c r="B57" s="13"/>
      <c r="C57" s="13"/>
      <c r="D57" s="13"/>
      <c r="E57" s="13"/>
      <c r="F57" s="13"/>
      <c r="G57" s="13"/>
      <c r="H57" s="13"/>
      <c r="I57" s="13"/>
      <c r="J57" s="13"/>
      <c r="K57" s="13"/>
      <c r="L57" s="13"/>
      <c r="M57" s="13"/>
      <c r="N57" s="13"/>
      <c r="O57" s="13"/>
      <c r="P57" s="13"/>
    </row>
    <row r="58" spans="1:16">
      <c r="A58" s="12"/>
      <c r="B58" s="13"/>
      <c r="C58" s="13"/>
      <c r="D58" s="13"/>
      <c r="E58" s="13"/>
      <c r="F58" s="13"/>
      <c r="G58" s="13"/>
      <c r="H58" s="13"/>
      <c r="I58" s="13"/>
      <c r="J58" s="13"/>
      <c r="K58" s="13"/>
      <c r="L58" s="13"/>
      <c r="M58" s="13"/>
      <c r="N58" s="13"/>
      <c r="O58" s="13"/>
      <c r="P58" s="13"/>
    </row>
    <row r="59" spans="1:16">
      <c r="A59" s="12"/>
      <c r="B59" s="13"/>
      <c r="C59" s="13"/>
      <c r="D59" s="13"/>
      <c r="E59" s="13"/>
      <c r="F59" s="13"/>
      <c r="G59" s="13"/>
      <c r="H59" s="13"/>
      <c r="I59" s="13"/>
      <c r="J59" s="13"/>
      <c r="K59" s="13"/>
      <c r="L59" s="13"/>
      <c r="M59" s="13"/>
      <c r="N59" s="13"/>
      <c r="O59" s="13"/>
      <c r="P59" s="13"/>
    </row>
    <row r="60" spans="1:16">
      <c r="A60" s="12"/>
      <c r="B60" s="13"/>
      <c r="C60" s="13"/>
      <c r="D60" s="13"/>
      <c r="E60" s="13"/>
      <c r="F60" s="13"/>
      <c r="G60" s="13"/>
      <c r="H60" s="13"/>
      <c r="I60" s="13"/>
      <c r="J60" s="13"/>
      <c r="K60" s="13"/>
      <c r="L60" s="13"/>
      <c r="M60" s="13"/>
      <c r="N60" s="13"/>
      <c r="O60" s="13"/>
      <c r="P60" s="13"/>
    </row>
    <row r="61" spans="1:16">
      <c r="A61" s="12"/>
      <c r="B61" s="13"/>
      <c r="C61" s="13"/>
      <c r="D61" s="13"/>
      <c r="E61" s="13"/>
      <c r="F61" s="13"/>
      <c r="G61" s="13"/>
      <c r="H61" s="13"/>
      <c r="I61" s="13"/>
      <c r="J61" s="13"/>
      <c r="K61" s="13"/>
      <c r="L61" s="13"/>
      <c r="M61" s="13"/>
      <c r="N61" s="13"/>
      <c r="O61" s="13"/>
      <c r="P61" s="13"/>
    </row>
    <row r="62" spans="1:16">
      <c r="A62" s="12"/>
      <c r="B62" s="13"/>
      <c r="C62" s="13"/>
      <c r="D62" s="13"/>
      <c r="E62" s="13"/>
      <c r="F62" s="13"/>
      <c r="G62" s="13"/>
      <c r="H62" s="13"/>
      <c r="I62" s="13"/>
      <c r="J62" s="13"/>
      <c r="K62" s="13"/>
      <c r="L62" s="13"/>
      <c r="M62" s="13"/>
      <c r="N62" s="13"/>
      <c r="O62" s="13"/>
      <c r="P62" s="13"/>
    </row>
    <row r="63" spans="1:16">
      <c r="A63" s="12"/>
      <c r="B63" s="13"/>
      <c r="C63" s="13"/>
      <c r="D63" s="13"/>
      <c r="E63" s="13"/>
      <c r="F63" s="13"/>
      <c r="G63" s="13"/>
      <c r="H63" s="13"/>
      <c r="I63" s="13"/>
      <c r="J63" s="13"/>
      <c r="K63" s="13"/>
      <c r="L63" s="13"/>
      <c r="M63" s="13"/>
      <c r="N63" s="13"/>
      <c r="O63" s="13"/>
      <c r="P63" s="13"/>
    </row>
    <row r="64" spans="1:16">
      <c r="A64" s="12"/>
      <c r="B64" s="13"/>
      <c r="C64" s="13"/>
      <c r="D64" s="13"/>
      <c r="E64" s="13"/>
      <c r="F64" s="13"/>
      <c r="G64" s="13"/>
      <c r="H64" s="13"/>
      <c r="I64" s="13"/>
      <c r="J64" s="13"/>
      <c r="K64" s="13"/>
      <c r="L64" s="13"/>
      <c r="M64" s="13"/>
      <c r="N64" s="13"/>
      <c r="O64" s="13"/>
      <c r="P64" s="13"/>
    </row>
    <row r="65" spans="1:16">
      <c r="A65" s="12"/>
      <c r="B65" s="13"/>
      <c r="C65" s="13"/>
      <c r="D65" s="13"/>
      <c r="E65" s="13"/>
      <c r="F65" s="13"/>
      <c r="G65" s="13"/>
      <c r="H65" s="13"/>
      <c r="I65" s="13"/>
      <c r="J65" s="13"/>
      <c r="K65" s="13"/>
      <c r="L65" s="13"/>
      <c r="M65" s="13"/>
      <c r="N65" s="13"/>
      <c r="O65" s="13"/>
      <c r="P65" s="13"/>
    </row>
    <row r="66" spans="1:16">
      <c r="A66" s="12"/>
      <c r="B66" s="13"/>
      <c r="C66" s="13"/>
      <c r="D66" s="13"/>
      <c r="E66" s="13"/>
      <c r="F66" s="13"/>
      <c r="G66" s="13"/>
      <c r="H66" s="13"/>
      <c r="I66" s="13"/>
      <c r="J66" s="13"/>
      <c r="K66" s="13"/>
      <c r="L66" s="13"/>
      <c r="M66" s="13"/>
      <c r="N66" s="13"/>
      <c r="O66" s="13"/>
      <c r="P66" s="13"/>
    </row>
    <row r="67" spans="1:16">
      <c r="A67" s="12"/>
      <c r="B67" s="13"/>
      <c r="C67" s="13"/>
      <c r="D67" s="13"/>
      <c r="E67" s="13"/>
      <c r="F67" s="13"/>
      <c r="G67" s="13"/>
      <c r="H67" s="13"/>
      <c r="I67" s="13"/>
      <c r="J67" s="13"/>
      <c r="K67" s="13"/>
      <c r="L67" s="13"/>
      <c r="M67" s="13"/>
      <c r="N67" s="13"/>
      <c r="O67" s="13"/>
      <c r="P67" s="13"/>
    </row>
    <row r="68" spans="1:16">
      <c r="A68" s="12"/>
      <c r="B68" s="13"/>
      <c r="C68" s="13"/>
      <c r="D68" s="13"/>
      <c r="E68" s="13"/>
      <c r="F68" s="13"/>
      <c r="G68" s="13"/>
      <c r="H68" s="13"/>
      <c r="I68" s="13"/>
      <c r="J68" s="13"/>
      <c r="K68" s="13"/>
      <c r="L68" s="13"/>
      <c r="M68" s="13"/>
      <c r="N68" s="13"/>
      <c r="O68" s="13"/>
      <c r="P68" s="13"/>
    </row>
    <row r="69" spans="1:16">
      <c r="A69" s="12"/>
      <c r="B69" s="13"/>
      <c r="C69" s="13"/>
      <c r="D69" s="13"/>
      <c r="E69" s="13"/>
      <c r="F69" s="13"/>
      <c r="G69" s="13"/>
      <c r="H69" s="13"/>
      <c r="I69" s="13"/>
      <c r="J69" s="13"/>
      <c r="K69" s="13"/>
      <c r="L69" s="13"/>
      <c r="M69" s="13"/>
      <c r="N69" s="13"/>
      <c r="O69" s="13"/>
      <c r="P69" s="13"/>
    </row>
    <row r="70" spans="1:16">
      <c r="A70" s="12"/>
      <c r="B70" s="13"/>
      <c r="C70" s="13"/>
      <c r="D70" s="13"/>
      <c r="E70" s="13"/>
      <c r="F70" s="13"/>
      <c r="G70" s="13"/>
      <c r="H70" s="13"/>
      <c r="I70" s="13"/>
      <c r="J70" s="13"/>
      <c r="K70" s="13"/>
      <c r="L70" s="13"/>
      <c r="M70" s="13"/>
      <c r="N70" s="13"/>
      <c r="O70" s="13"/>
      <c r="P70" s="13"/>
    </row>
    <row r="71" spans="1:16">
      <c r="A71" s="12"/>
      <c r="B71" s="13"/>
      <c r="C71" s="13"/>
      <c r="D71" s="13"/>
      <c r="E71" s="13"/>
      <c r="F71" s="13"/>
      <c r="G71" s="13"/>
      <c r="H71" s="13"/>
      <c r="I71" s="13"/>
      <c r="J71" s="13"/>
      <c r="K71" s="13"/>
      <c r="L71" s="13"/>
      <c r="M71" s="13"/>
      <c r="N71" s="13"/>
      <c r="O71" s="13"/>
      <c r="P71" s="13"/>
    </row>
    <row r="72" spans="1:16">
      <c r="A72" s="12"/>
      <c r="B72" s="13"/>
      <c r="C72" s="13"/>
      <c r="D72" s="13"/>
      <c r="E72" s="13"/>
      <c r="F72" s="13"/>
      <c r="G72" s="13"/>
      <c r="H72" s="13"/>
      <c r="I72" s="13"/>
      <c r="J72" s="13"/>
      <c r="K72" s="13"/>
      <c r="L72" s="13"/>
      <c r="M72" s="13"/>
      <c r="N72" s="13"/>
      <c r="O72" s="13"/>
      <c r="P72" s="13"/>
    </row>
    <row r="73" spans="1:16">
      <c r="A73" s="12"/>
      <c r="B73" s="13"/>
      <c r="C73" s="13"/>
      <c r="D73" s="13"/>
      <c r="E73" s="13"/>
      <c r="F73" s="13"/>
      <c r="G73" s="13"/>
      <c r="H73" s="13"/>
      <c r="I73" s="13"/>
      <c r="J73" s="13"/>
      <c r="K73" s="13"/>
      <c r="L73" s="13"/>
      <c r="M73" s="13"/>
      <c r="N73" s="13"/>
      <c r="O73" s="13"/>
      <c r="P73" s="13"/>
    </row>
    <row r="74" spans="1:16">
      <c r="A74" s="12"/>
      <c r="B74" s="13"/>
      <c r="C74" s="13"/>
      <c r="D74" s="13"/>
      <c r="E74" s="13"/>
      <c r="F74" s="13"/>
      <c r="G74" s="13"/>
      <c r="H74" s="13"/>
      <c r="I74" s="13"/>
      <c r="J74" s="13"/>
      <c r="K74" s="13"/>
      <c r="L74" s="13"/>
      <c r="M74" s="13"/>
      <c r="N74" s="13"/>
      <c r="O74" s="13"/>
      <c r="P74" s="13"/>
    </row>
    <row r="75" spans="1:16">
      <c r="A75" s="12"/>
      <c r="B75" s="13"/>
      <c r="C75" s="13"/>
      <c r="D75" s="13"/>
      <c r="E75" s="13"/>
      <c r="F75" s="13"/>
      <c r="G75" s="13"/>
      <c r="H75" s="13"/>
      <c r="I75" s="13"/>
      <c r="J75" s="13"/>
      <c r="K75" s="13"/>
      <c r="L75" s="13"/>
      <c r="M75" s="13"/>
      <c r="N75" s="13"/>
      <c r="O75" s="13"/>
      <c r="P75" s="13"/>
    </row>
    <row r="76" spans="1:16">
      <c r="A76" s="12"/>
      <c r="B76" s="13"/>
      <c r="C76" s="13"/>
      <c r="D76" s="13"/>
      <c r="E76" s="13"/>
      <c r="F76" s="13"/>
      <c r="G76" s="13"/>
      <c r="H76" s="13"/>
      <c r="I76" s="13"/>
      <c r="J76" s="13"/>
      <c r="K76" s="13"/>
      <c r="L76" s="13"/>
      <c r="M76" s="13"/>
      <c r="N76" s="13"/>
      <c r="O76" s="13"/>
      <c r="P76" s="13"/>
    </row>
    <row r="77" spans="1:16">
      <c r="A77" s="12"/>
      <c r="B77" s="13"/>
      <c r="C77" s="13"/>
      <c r="D77" s="13"/>
      <c r="E77" s="13"/>
      <c r="F77" s="13"/>
      <c r="G77" s="13"/>
      <c r="H77" s="13"/>
      <c r="I77" s="13"/>
      <c r="J77" s="13"/>
      <c r="K77" s="13"/>
      <c r="L77" s="13"/>
      <c r="M77" s="13"/>
      <c r="N77" s="13"/>
      <c r="O77" s="13"/>
      <c r="P77" s="13"/>
    </row>
    <row r="78" spans="1:16">
      <c r="A78" s="12"/>
      <c r="B78" s="13"/>
      <c r="C78" s="13"/>
      <c r="D78" s="13"/>
      <c r="E78" s="13"/>
      <c r="F78" s="13"/>
      <c r="G78" s="13"/>
      <c r="H78" s="13"/>
      <c r="I78" s="13"/>
      <c r="J78" s="13"/>
      <c r="K78" s="13"/>
      <c r="L78" s="13"/>
      <c r="M78" s="13"/>
      <c r="N78" s="13"/>
      <c r="O78" s="13"/>
      <c r="P78" s="13"/>
    </row>
    <row r="79" spans="1:16">
      <c r="A79" s="12"/>
      <c r="B79" s="13"/>
      <c r="C79" s="13"/>
      <c r="D79" s="13"/>
      <c r="E79" s="13"/>
      <c r="F79" s="13"/>
      <c r="G79" s="13"/>
      <c r="H79" s="13"/>
      <c r="I79" s="13"/>
      <c r="J79" s="13"/>
      <c r="K79" s="13"/>
      <c r="L79" s="13"/>
      <c r="M79" s="13"/>
      <c r="N79" s="13"/>
      <c r="O79" s="13"/>
      <c r="P79" s="13"/>
    </row>
    <row r="80" spans="1:16">
      <c r="A80" s="12"/>
      <c r="B80" s="13"/>
      <c r="C80" s="13"/>
      <c r="D80" s="13"/>
      <c r="E80" s="13"/>
      <c r="F80" s="13"/>
      <c r="G80" s="13"/>
      <c r="H80" s="13"/>
      <c r="I80" s="13"/>
      <c r="J80" s="13"/>
      <c r="K80" s="13"/>
      <c r="L80" s="13"/>
      <c r="M80" s="13"/>
      <c r="N80" s="13"/>
      <c r="O80" s="13"/>
      <c r="P80" s="13"/>
    </row>
    <row r="81" spans="1:16">
      <c r="A81" s="12"/>
      <c r="B81" s="13"/>
      <c r="C81" s="13"/>
      <c r="D81" s="13"/>
      <c r="E81" s="13"/>
      <c r="F81" s="13"/>
      <c r="G81" s="13"/>
      <c r="H81" s="13"/>
      <c r="I81" s="13"/>
      <c r="J81" s="13"/>
      <c r="K81" s="13"/>
      <c r="L81" s="13"/>
      <c r="M81" s="13"/>
      <c r="N81" s="13"/>
      <c r="O81" s="13"/>
      <c r="P81" s="13"/>
    </row>
    <row r="82" spans="1:16">
      <c r="A82" s="12"/>
      <c r="B82" s="13"/>
      <c r="C82" s="13"/>
      <c r="D82" s="13"/>
      <c r="E82" s="13"/>
      <c r="F82" s="13"/>
      <c r="G82" s="13"/>
      <c r="H82" s="13"/>
      <c r="I82" s="13"/>
      <c r="J82" s="13"/>
      <c r="K82" s="13"/>
      <c r="L82" s="13"/>
      <c r="M82" s="13"/>
      <c r="N82" s="13"/>
      <c r="O82" s="13"/>
      <c r="P82" s="13"/>
    </row>
    <row r="83" spans="1:16">
      <c r="A83" s="12"/>
      <c r="B83" s="13"/>
      <c r="C83" s="13"/>
      <c r="D83" s="13"/>
      <c r="E83" s="13"/>
      <c r="F83" s="13"/>
      <c r="G83" s="13"/>
      <c r="H83" s="13"/>
      <c r="I83" s="13"/>
      <c r="J83" s="13"/>
      <c r="K83" s="13"/>
      <c r="L83" s="13"/>
      <c r="M83" s="13"/>
      <c r="N83" s="13"/>
      <c r="O83" s="13"/>
      <c r="P83" s="13"/>
    </row>
    <row r="84" spans="1:16">
      <c r="A84" s="12"/>
      <c r="B84" s="13"/>
      <c r="C84" s="13"/>
      <c r="D84" s="13"/>
      <c r="E84" s="13"/>
      <c r="F84" s="13"/>
      <c r="G84" s="13"/>
      <c r="H84" s="13"/>
      <c r="I84" s="13"/>
      <c r="J84" s="13"/>
      <c r="K84" s="13"/>
      <c r="L84" s="13"/>
      <c r="M84" s="13"/>
      <c r="N84" s="13"/>
      <c r="O84" s="13"/>
      <c r="P84" s="13"/>
    </row>
    <row r="85" spans="1:16">
      <c r="A85" s="12"/>
      <c r="B85" s="13"/>
      <c r="C85" s="13"/>
      <c r="D85" s="13"/>
      <c r="E85" s="13"/>
      <c r="F85" s="13"/>
      <c r="G85" s="13"/>
      <c r="H85" s="13"/>
      <c r="I85" s="13"/>
      <c r="J85" s="13"/>
      <c r="K85" s="13"/>
      <c r="L85" s="13"/>
      <c r="M85" s="13"/>
      <c r="N85" s="13"/>
      <c r="O85" s="13"/>
      <c r="P85" s="13"/>
    </row>
    <row r="86" spans="1:16">
      <c r="A86" s="12"/>
      <c r="B86" s="13"/>
      <c r="C86" s="13"/>
      <c r="D86" s="13"/>
      <c r="E86" s="13"/>
      <c r="F86" s="13"/>
      <c r="G86" s="13"/>
      <c r="H86" s="13"/>
      <c r="I86" s="13"/>
      <c r="J86" s="13"/>
      <c r="K86" s="13"/>
      <c r="L86" s="13"/>
      <c r="M86" s="13"/>
      <c r="N86" s="13"/>
      <c r="O86" s="13"/>
      <c r="P86" s="13"/>
    </row>
    <row r="87" spans="1:16">
      <c r="A87" s="12"/>
      <c r="B87" s="13"/>
      <c r="C87" s="13"/>
      <c r="D87" s="13"/>
      <c r="E87" s="13"/>
      <c r="F87" s="13"/>
      <c r="G87" s="13"/>
      <c r="H87" s="13"/>
      <c r="I87" s="13"/>
      <c r="J87" s="13"/>
      <c r="K87" s="13"/>
      <c r="L87" s="13"/>
      <c r="M87" s="13"/>
      <c r="N87" s="13"/>
      <c r="O87" s="13"/>
      <c r="P87" s="13"/>
    </row>
    <row r="88" spans="1:16">
      <c r="A88" s="12"/>
      <c r="B88" s="13"/>
      <c r="C88" s="13"/>
      <c r="D88" s="13"/>
      <c r="E88" s="13"/>
      <c r="F88" s="13"/>
      <c r="G88" s="13"/>
      <c r="H88" s="13"/>
      <c r="I88" s="13"/>
      <c r="J88" s="13"/>
      <c r="K88" s="13"/>
      <c r="L88" s="13"/>
      <c r="M88" s="13"/>
      <c r="N88" s="13"/>
      <c r="O88" s="13"/>
      <c r="P88" s="13"/>
    </row>
    <row r="89" spans="1:16">
      <c r="A89" s="12"/>
      <c r="B89" s="13"/>
      <c r="C89" s="13"/>
      <c r="D89" s="13"/>
      <c r="E89" s="13"/>
      <c r="F89" s="13"/>
      <c r="G89" s="13"/>
      <c r="H89" s="13"/>
      <c r="I89" s="13"/>
      <c r="J89" s="13"/>
      <c r="K89" s="13"/>
      <c r="L89" s="13"/>
      <c r="M89" s="13"/>
      <c r="N89" s="13"/>
      <c r="O89" s="13"/>
      <c r="P89" s="13"/>
    </row>
    <row r="90" spans="1:16">
      <c r="A90" s="12"/>
      <c r="B90" s="13"/>
      <c r="C90" s="13"/>
      <c r="D90" s="13"/>
      <c r="E90" s="13"/>
      <c r="F90" s="13"/>
      <c r="G90" s="13"/>
      <c r="H90" s="13"/>
      <c r="I90" s="13"/>
      <c r="J90" s="13"/>
      <c r="K90" s="13"/>
      <c r="L90" s="13"/>
      <c r="M90" s="13"/>
      <c r="N90" s="13"/>
      <c r="O90" s="13"/>
      <c r="P90" s="13"/>
    </row>
    <row r="91" spans="1:16">
      <c r="A91" s="12"/>
      <c r="B91" s="13"/>
      <c r="C91" s="13"/>
      <c r="D91" s="13"/>
      <c r="E91" s="13"/>
      <c r="F91" s="13"/>
      <c r="G91" s="13"/>
      <c r="H91" s="13"/>
      <c r="I91" s="13"/>
      <c r="J91" s="13"/>
      <c r="K91" s="13"/>
      <c r="L91" s="13"/>
      <c r="M91" s="13"/>
      <c r="N91" s="13"/>
      <c r="O91" s="13"/>
      <c r="P91" s="13"/>
    </row>
    <row r="92" spans="1:16">
      <c r="A92" s="12"/>
      <c r="B92" s="13"/>
      <c r="C92" s="13"/>
      <c r="D92" s="13"/>
      <c r="E92" s="13"/>
      <c r="F92" s="13"/>
      <c r="G92" s="13"/>
      <c r="H92" s="13"/>
      <c r="I92" s="13"/>
      <c r="J92" s="13"/>
      <c r="K92" s="13"/>
      <c r="L92" s="13"/>
      <c r="M92" s="13"/>
      <c r="N92" s="13"/>
      <c r="O92" s="13"/>
      <c r="P92" s="13"/>
    </row>
    <row r="93" spans="1:16">
      <c r="A93" s="12"/>
      <c r="B93" s="13"/>
      <c r="C93" s="13"/>
      <c r="D93" s="13"/>
      <c r="E93" s="13"/>
      <c r="F93" s="13"/>
      <c r="G93" s="13"/>
      <c r="H93" s="13"/>
      <c r="I93" s="13"/>
      <c r="J93" s="13"/>
      <c r="K93" s="13"/>
      <c r="L93" s="13"/>
      <c r="M93" s="13"/>
      <c r="N93" s="13"/>
      <c r="O93" s="13"/>
      <c r="P93" s="13"/>
    </row>
    <row r="94" spans="1:16">
      <c r="A94" s="12"/>
      <c r="B94" s="13"/>
      <c r="C94" s="13"/>
      <c r="D94" s="13"/>
      <c r="E94" s="13"/>
      <c r="F94" s="13"/>
      <c r="G94" s="13"/>
      <c r="H94" s="13"/>
      <c r="I94" s="13"/>
      <c r="J94" s="13"/>
      <c r="K94" s="13"/>
      <c r="L94" s="13"/>
      <c r="M94" s="13"/>
      <c r="N94" s="13"/>
      <c r="O94" s="13"/>
      <c r="P94" s="13"/>
    </row>
    <row r="95" spans="1:16">
      <c r="A95" s="12"/>
      <c r="B95" s="13"/>
      <c r="C95" s="13"/>
      <c r="D95" s="13"/>
      <c r="E95" s="13"/>
      <c r="F95" s="13"/>
      <c r="G95" s="13"/>
      <c r="H95" s="13"/>
      <c r="I95" s="13"/>
      <c r="J95" s="13"/>
      <c r="K95" s="13"/>
      <c r="L95" s="13"/>
      <c r="M95" s="13"/>
      <c r="N95" s="13"/>
      <c r="O95" s="13"/>
      <c r="P95" s="13"/>
    </row>
    <row r="96" spans="1:16">
      <c r="A96" s="12"/>
      <c r="B96" s="13"/>
      <c r="C96" s="13"/>
      <c r="D96" s="13"/>
      <c r="E96" s="13"/>
      <c r="F96" s="13"/>
      <c r="G96" s="13"/>
      <c r="H96" s="13"/>
      <c r="I96" s="13"/>
      <c r="J96" s="13"/>
      <c r="K96" s="13"/>
      <c r="L96" s="13"/>
      <c r="M96" s="13"/>
      <c r="N96" s="13"/>
      <c r="O96" s="13"/>
      <c r="P96" s="13"/>
    </row>
    <row r="97" spans="1:16">
      <c r="A97" s="12"/>
      <c r="B97" s="13"/>
      <c r="C97" s="13"/>
      <c r="D97" s="13"/>
      <c r="E97" s="13"/>
      <c r="F97" s="13"/>
      <c r="G97" s="13"/>
      <c r="H97" s="13"/>
      <c r="I97" s="13"/>
      <c r="J97" s="13"/>
      <c r="K97" s="13"/>
      <c r="L97" s="13"/>
      <c r="M97" s="13"/>
      <c r="N97" s="13"/>
      <c r="O97" s="13"/>
      <c r="P97" s="13"/>
    </row>
    <row r="98" spans="1:16">
      <c r="A98" s="12"/>
      <c r="B98" s="13"/>
      <c r="C98" s="13"/>
      <c r="D98" s="13"/>
      <c r="E98" s="13"/>
      <c r="F98" s="13"/>
      <c r="G98" s="13"/>
      <c r="H98" s="13"/>
      <c r="I98" s="13"/>
      <c r="J98" s="13"/>
      <c r="K98" s="13"/>
      <c r="L98" s="13"/>
      <c r="M98" s="13"/>
      <c r="N98" s="13"/>
      <c r="O98" s="13"/>
      <c r="P98" s="13"/>
    </row>
    <row r="99" spans="1:16">
      <c r="A99" s="12"/>
      <c r="B99" s="13"/>
      <c r="C99" s="13"/>
      <c r="D99" s="13"/>
      <c r="E99" s="13"/>
      <c r="F99" s="13"/>
      <c r="G99" s="13"/>
      <c r="H99" s="13"/>
      <c r="I99" s="13"/>
      <c r="J99" s="13"/>
      <c r="K99" s="13"/>
      <c r="L99" s="13"/>
      <c r="M99" s="13"/>
      <c r="N99" s="13"/>
      <c r="O99" s="13"/>
      <c r="P99" s="13"/>
    </row>
    <row r="100" spans="1:16">
      <c r="A100" s="12"/>
      <c r="B100" s="13"/>
      <c r="C100" s="13"/>
      <c r="D100" s="13"/>
      <c r="E100" s="13"/>
      <c r="F100" s="13"/>
      <c r="G100" s="13"/>
      <c r="H100" s="13"/>
      <c r="I100" s="13"/>
      <c r="J100" s="13"/>
      <c r="K100" s="13"/>
      <c r="L100" s="13"/>
      <c r="M100" s="13"/>
      <c r="N100" s="13"/>
      <c r="O100" s="13"/>
      <c r="P100" s="13"/>
    </row>
    <row r="101" spans="1:16">
      <c r="A101" s="12"/>
      <c r="B101" s="13"/>
      <c r="C101" s="13"/>
      <c r="D101" s="13"/>
      <c r="E101" s="13"/>
      <c r="F101" s="13"/>
      <c r="G101" s="13"/>
      <c r="H101" s="13"/>
      <c r="I101" s="13"/>
      <c r="J101" s="13"/>
      <c r="K101" s="13"/>
      <c r="L101" s="13"/>
      <c r="M101" s="13"/>
      <c r="N101" s="13"/>
      <c r="O101" s="13"/>
      <c r="P101" s="13"/>
    </row>
    <row r="102" spans="1:16">
      <c r="A102" s="12"/>
      <c r="B102" s="13"/>
      <c r="C102" s="13"/>
      <c r="D102" s="13"/>
      <c r="E102" s="13"/>
      <c r="F102" s="13"/>
      <c r="G102" s="13"/>
      <c r="H102" s="13"/>
      <c r="I102" s="13"/>
      <c r="J102" s="13"/>
      <c r="K102" s="13"/>
      <c r="L102" s="13"/>
      <c r="M102" s="13"/>
      <c r="N102" s="13"/>
      <c r="O102" s="13"/>
      <c r="P102" s="13"/>
    </row>
    <row r="103" spans="1:16">
      <c r="A103" s="12"/>
      <c r="B103" s="13"/>
      <c r="C103" s="13"/>
      <c r="D103" s="13"/>
      <c r="E103" s="13"/>
      <c r="F103" s="13"/>
      <c r="G103" s="13"/>
      <c r="H103" s="13"/>
      <c r="I103" s="13"/>
      <c r="J103" s="13"/>
      <c r="K103" s="13"/>
      <c r="L103" s="13"/>
      <c r="M103" s="13"/>
      <c r="N103" s="13"/>
      <c r="O103" s="13"/>
      <c r="P103" s="13"/>
    </row>
    <row r="104" spans="1:16">
      <c r="A104" s="12"/>
      <c r="B104" s="13"/>
      <c r="C104" s="13"/>
      <c r="D104" s="13"/>
      <c r="E104" s="13"/>
      <c r="F104" s="13"/>
      <c r="G104" s="13"/>
      <c r="H104" s="13"/>
      <c r="I104" s="13"/>
      <c r="J104" s="13"/>
      <c r="K104" s="13"/>
      <c r="L104" s="13"/>
    </row>
    <row r="105" spans="1:16">
      <c r="A105" s="12"/>
      <c r="B105" s="13"/>
      <c r="C105" s="13"/>
      <c r="D105" s="13"/>
      <c r="E105" s="13"/>
      <c r="F105" s="13"/>
      <c r="G105" s="13"/>
      <c r="H105" s="13"/>
      <c r="I105" s="13"/>
      <c r="J105" s="13"/>
      <c r="K105" s="13"/>
      <c r="L105" s="13"/>
    </row>
    <row r="106" spans="1:16">
      <c r="A106" s="12"/>
      <c r="B106" s="13"/>
      <c r="C106" s="13"/>
      <c r="D106" s="13"/>
      <c r="E106" s="13"/>
      <c r="F106" s="13"/>
      <c r="G106" s="13"/>
      <c r="H106" s="13"/>
      <c r="I106" s="13"/>
      <c r="J106" s="13"/>
      <c r="K106" s="13"/>
      <c r="L106" s="13"/>
    </row>
    <row r="107" spans="1:16">
      <c r="A107" s="12"/>
      <c r="B107" s="13"/>
      <c r="C107" s="13"/>
      <c r="D107" s="13"/>
      <c r="E107" s="13"/>
      <c r="F107" s="13"/>
      <c r="G107" s="13"/>
      <c r="H107" s="13"/>
      <c r="I107" s="13"/>
      <c r="J107" s="13"/>
      <c r="K107" s="13"/>
      <c r="L107" s="13"/>
    </row>
    <row r="108" spans="1:16">
      <c r="A108" s="12"/>
      <c r="B108" s="13"/>
      <c r="C108" s="13"/>
      <c r="D108" s="13"/>
      <c r="E108" s="13"/>
      <c r="F108" s="13"/>
      <c r="G108" s="13"/>
      <c r="H108" s="13"/>
      <c r="I108" s="13"/>
      <c r="J108" s="13"/>
      <c r="K108" s="13"/>
      <c r="L108" s="13"/>
    </row>
    <row r="109" spans="1:16">
      <c r="A109" s="12"/>
      <c r="B109" s="13"/>
      <c r="C109" s="13"/>
      <c r="D109" s="13"/>
      <c r="E109" s="13"/>
      <c r="F109" s="13"/>
      <c r="G109" s="13"/>
      <c r="H109" s="13"/>
      <c r="I109" s="13"/>
      <c r="J109" s="13"/>
      <c r="K109" s="13"/>
      <c r="L109" s="13"/>
    </row>
    <row r="110" spans="1:16">
      <c r="A110" s="12"/>
      <c r="B110" s="13"/>
      <c r="C110" s="13"/>
      <c r="D110" s="13"/>
      <c r="E110" s="13"/>
      <c r="F110" s="13"/>
      <c r="G110" s="13"/>
      <c r="H110" s="13"/>
      <c r="I110" s="13"/>
      <c r="J110" s="13"/>
      <c r="K110" s="13"/>
      <c r="L110" s="13"/>
    </row>
    <row r="111" spans="1:16">
      <c r="A111" s="12"/>
      <c r="B111" s="13"/>
      <c r="C111" s="13"/>
      <c r="D111" s="13"/>
      <c r="E111" s="13"/>
      <c r="F111" s="13"/>
      <c r="G111" s="13"/>
      <c r="H111" s="13"/>
      <c r="I111" s="13"/>
      <c r="J111" s="13"/>
      <c r="K111" s="13"/>
      <c r="L111" s="13"/>
    </row>
    <row r="112" spans="1:16">
      <c r="A112" s="12"/>
      <c r="B112" s="13"/>
      <c r="C112" s="13"/>
      <c r="D112" s="13"/>
      <c r="E112" s="13"/>
      <c r="F112" s="13"/>
      <c r="G112" s="13"/>
      <c r="H112" s="13"/>
      <c r="I112" s="13"/>
      <c r="J112" s="13"/>
      <c r="K112" s="13"/>
      <c r="L112" s="13"/>
    </row>
    <row r="113" spans="1:12">
      <c r="A113" s="12"/>
      <c r="B113" s="13"/>
      <c r="C113" s="13"/>
      <c r="D113" s="13"/>
      <c r="E113" s="13"/>
      <c r="F113" s="13"/>
      <c r="G113" s="13"/>
      <c r="H113" s="13"/>
      <c r="I113" s="13"/>
      <c r="J113" s="13"/>
      <c r="K113" s="13"/>
      <c r="L113" s="13"/>
    </row>
    <row r="114" spans="1:12">
      <c r="A114" s="12"/>
      <c r="B114" s="13"/>
      <c r="C114" s="13"/>
      <c r="D114" s="13"/>
      <c r="E114" s="13"/>
      <c r="F114" s="13"/>
      <c r="G114" s="13"/>
      <c r="H114" s="13"/>
      <c r="I114" s="13"/>
      <c r="J114" s="13"/>
      <c r="K114" s="13"/>
      <c r="L114" s="13"/>
    </row>
    <row r="115" spans="1:12">
      <c r="A115" s="12"/>
      <c r="B115" s="13"/>
      <c r="C115" s="13"/>
      <c r="D115" s="13"/>
      <c r="E115" s="13"/>
      <c r="F115" s="13"/>
      <c r="G115" s="13"/>
      <c r="H115" s="13"/>
      <c r="I115" s="13"/>
      <c r="J115" s="13"/>
      <c r="K115" s="13"/>
      <c r="L115" s="13"/>
    </row>
  </sheetData>
  <conditionalFormatting sqref="A5:P5">
    <cfRule type="expression" dxfId="3" priority="2">
      <formula>IF(A5&lt;(A1/2),1,0)</formula>
    </cfRule>
  </conditionalFormatting>
  <conditionalFormatting sqref="A4:P4">
    <cfRule type="expression" dxfId="2" priority="1">
      <formula>IF(A4&lt;(A1048576/2),1,0)</formula>
    </cfRule>
  </conditionalFormatting>
  <dataValidations count="4">
    <dataValidation allowBlank="1" showInputMessage="1" showErrorMessage="1" promptTitle="Gewicht onderdeel" prompt="Vul in deze rij het gewicht in van elk onderdeel van het examen. De punten zullen herrekend worden vanaf het maximum tot het gewicht opgegeven in deze  rij. Indien geen maximum wordt opgegeven, wordt het gewicht als maximum opgenomen." sqref="A1:P1"/>
    <dataValidation allowBlank="1" showInputMessage="1" showErrorMessage="1" promptTitle="Maximum onderdeel (optioneel)" prompt="Vul in deze rij het maximum in dat kan behaald worden op dit onderdeel (dus geen enkele fout). De punten zullen herrekend worden vanaf dit maximum tot het gewicht opgegeven in de eerste rij." sqref="A2:P2"/>
    <dataValidation allowBlank="1" showInputMessage="1" showErrorMessage="1" promptTitle="Naam onderdeel (optioneel)" prompt="Geef een naam in van het onderdeel uit het examen, bv 'Theorie' of 'Oefeningen'." sqref="A3:P4"/>
    <dataValidation allowBlank="1" showInputMessage="1" showErrorMessage="1" promptTitle="Fouten" prompt="Fouten gemaakt in elk onderdeel worden in iedere kolom opgelijst. Deze zullen verminderd worden van het maximum. Iedere fout kan eenvoudig ingebracht worden met de toetsen 'h', 'j' en 'k'. De lijst kan gewist worden met de toetsen 'c' of 'n'." sqref="A6:P101"/>
  </dataValidations>
  <pageMargins left="0.7" right="0.7" top="0.75" bottom="0.75" header="0.3" footer="0.3"/>
  <pageSetup paperSize="0" orientation="portrait" r:id="rId1"/>
</worksheet>
</file>

<file path=xl/worksheets/sheet2.xml><?xml version="1.0" encoding="utf-8"?>
<worksheet xmlns="http://schemas.openxmlformats.org/spreadsheetml/2006/main" xmlns:r="http://schemas.openxmlformats.org/officeDocument/2006/relationships">
  <sheetPr codeName="Sheet4"/>
  <dimension ref="A1:U102"/>
  <sheetViews>
    <sheetView workbookViewId="0">
      <pane xSplit="4" ySplit="2" topLeftCell="E3" activePane="bottomRight" state="frozenSplit"/>
      <selection pane="topRight" activeCell="E1" sqref="E1"/>
      <selection pane="bottomLeft" activeCell="A3" sqref="A3"/>
      <selection pane="bottomRight" activeCell="E3" sqref="E3"/>
    </sheetView>
  </sheetViews>
  <sheetFormatPr defaultRowHeight="15" outlineLevelCol="1"/>
  <cols>
    <col min="1" max="1" width="4" bestFit="1" customWidth="1"/>
    <col min="2" max="2" width="15.42578125" customWidth="1" outlineLevel="1"/>
    <col min="3" max="3" width="12" style="8" customWidth="1"/>
    <col min="4" max="4" width="10.140625" style="9" customWidth="1"/>
    <col min="5" max="5" width="10.5703125" style="4" customWidth="1"/>
    <col min="13" max="20" width="9.140625" customWidth="1" outlineLevel="1"/>
    <col min="21" max="21" width="105.42578125" style="4" customWidth="1"/>
  </cols>
  <sheetData>
    <row r="1" spans="1:21">
      <c r="A1" s="7" t="str">
        <f>studentnrlabel</f>
        <v>#</v>
      </c>
      <c r="B1" s="7" t="str">
        <f>studentnaamlabel</f>
        <v>Student naam</v>
      </c>
      <c r="C1" s="8" t="str">
        <f>Config!B13</f>
        <v>Totaal 100</v>
      </c>
      <c r="D1" s="9" t="str">
        <f>subtotaallabel</f>
        <v>Subtotaal</v>
      </c>
      <c r="E1" s="4" t="str">
        <f>IF('Punten teller'!A3="","A",'Punten teller'!A3)</f>
        <v>A</v>
      </c>
      <c r="F1" s="7" t="str">
        <f>IF('Punten teller'!B3="","B",'Punten teller'!B3)</f>
        <v>B</v>
      </c>
      <c r="G1" s="7" t="str">
        <f>IF('Punten teller'!C3="","C",'Punten teller'!C3)</f>
        <v>C</v>
      </c>
      <c r="H1" s="7" t="str">
        <f>IF('Punten teller'!D3="","D",'Punten teller'!D3)</f>
        <v>D</v>
      </c>
      <c r="I1" s="7" t="str">
        <f>IF('Punten teller'!E3="","E",'Punten teller'!E3)</f>
        <v>E</v>
      </c>
      <c r="J1" s="7" t="str">
        <f>IF('Punten teller'!F3="","F",'Punten teller'!F3)</f>
        <v>F</v>
      </c>
      <c r="K1" s="7" t="str">
        <f>IF('Punten teller'!G3="","G",'Punten teller'!G3)</f>
        <v>G</v>
      </c>
      <c r="L1" s="7" t="str">
        <f>IF('Punten teller'!H3="","H",'Punten teller'!H3)</f>
        <v>H</v>
      </c>
      <c r="M1" s="7" t="str">
        <f>IF('Punten teller'!I3="","I",'Punten teller'!I3)</f>
        <v>I</v>
      </c>
      <c r="N1" s="7" t="str">
        <f>IF('Punten teller'!J3="","J",'Punten teller'!J3)</f>
        <v>J</v>
      </c>
      <c r="O1" s="7" t="str">
        <f>IF('Punten teller'!K3="","K",'Punten teller'!K3)</f>
        <v>K</v>
      </c>
      <c r="P1" s="7" t="str">
        <f>IF('Punten teller'!L3="","L",'Punten teller'!L3)</f>
        <v>L</v>
      </c>
      <c r="Q1" s="7" t="str">
        <f>IF('Punten teller'!M3="","M",'Punten teller'!M3)</f>
        <v>M</v>
      </c>
      <c r="R1" s="7" t="str">
        <f>IF('Punten teller'!N3="","N",'Punten teller'!N3)</f>
        <v>N</v>
      </c>
      <c r="S1" s="7" t="str">
        <f>IF('Punten teller'!O3="","O",'Punten teller'!O3)</f>
        <v>O</v>
      </c>
      <c r="T1" s="20" t="str">
        <f>IF('Punten teller'!P3="","P",'Punten teller'!P3)</f>
        <v>P</v>
      </c>
      <c r="U1" s="4" t="str">
        <f>commentaarlabel</f>
        <v>Commentaar</v>
      </c>
    </row>
    <row r="2" spans="1:21" s="1" customFormat="1">
      <c r="C2" s="24">
        <v>100</v>
      </c>
      <c r="D2" s="10">
        <f t="shared" ref="D2:D33" si="0">SUM(E2:T2)</f>
        <v>0</v>
      </c>
      <c r="E2" s="6">
        <f>'Punten teller'!A1</f>
        <v>0</v>
      </c>
      <c r="F2" s="1">
        <f>'Punten teller'!B1</f>
        <v>0</v>
      </c>
      <c r="G2" s="1">
        <f>'Punten teller'!C1</f>
        <v>0</v>
      </c>
      <c r="H2" s="1">
        <f>'Punten teller'!D1</f>
        <v>0</v>
      </c>
      <c r="I2" s="1">
        <f>'Punten teller'!E1</f>
        <v>0</v>
      </c>
      <c r="J2" s="1">
        <f>'Punten teller'!F1</f>
        <v>0</v>
      </c>
      <c r="K2" s="1">
        <f>'Punten teller'!G1</f>
        <v>0</v>
      </c>
      <c r="L2" s="1">
        <f>'Punten teller'!H1</f>
        <v>0</v>
      </c>
      <c r="M2" s="1">
        <f>'Punten teller'!I1</f>
        <v>0</v>
      </c>
      <c r="N2" s="1">
        <f>'Punten teller'!J1</f>
        <v>0</v>
      </c>
      <c r="O2" s="1">
        <f>'Punten teller'!K1</f>
        <v>0</v>
      </c>
      <c r="P2" s="1">
        <f>'Punten teller'!L1</f>
        <v>0</v>
      </c>
      <c r="Q2" s="1">
        <f>'Punten teller'!M1</f>
        <v>0</v>
      </c>
      <c r="R2" s="1">
        <f>'Punten teller'!N1</f>
        <v>0</v>
      </c>
      <c r="S2" s="1">
        <f>'Punten teller'!O1</f>
        <v>0</v>
      </c>
      <c r="T2" s="21">
        <f>'Punten teller'!P1</f>
        <v>0</v>
      </c>
      <c r="U2" s="6"/>
    </row>
    <row r="3" spans="1:21">
      <c r="A3">
        <v>1</v>
      </c>
      <c r="B3" s="13"/>
      <c r="C3" s="11" t="e">
        <f t="shared" ref="C3:C33" si="1">(D3/$D$2)*totaalop</f>
        <v>#DIV/0!</v>
      </c>
      <c r="D3" s="9">
        <f t="shared" si="0"/>
        <v>0</v>
      </c>
      <c r="E3" s="16"/>
      <c r="F3" s="13"/>
      <c r="G3" s="13"/>
      <c r="H3" s="13"/>
      <c r="I3" s="13"/>
      <c r="J3" s="13"/>
      <c r="K3" s="13"/>
      <c r="L3" s="13"/>
      <c r="M3" s="13"/>
      <c r="N3" s="13"/>
      <c r="O3" s="13"/>
      <c r="P3" s="13"/>
      <c r="Q3" s="13"/>
      <c r="R3" s="13"/>
      <c r="S3" s="13"/>
      <c r="T3" s="13"/>
      <c r="U3" s="16"/>
    </row>
    <row r="4" spans="1:21">
      <c r="A4">
        <v>2</v>
      </c>
      <c r="B4" s="13"/>
      <c r="C4" s="11" t="e">
        <f t="shared" si="1"/>
        <v>#DIV/0!</v>
      </c>
      <c r="D4" s="9">
        <f t="shared" si="0"/>
        <v>0</v>
      </c>
      <c r="E4" s="16"/>
      <c r="F4" s="13"/>
      <c r="G4" s="13"/>
      <c r="H4" s="13"/>
      <c r="I4" s="13"/>
      <c r="J4" s="13"/>
      <c r="K4" s="13"/>
      <c r="L4" s="13"/>
      <c r="M4" s="13"/>
      <c r="N4" s="13"/>
      <c r="O4" s="13"/>
      <c r="P4" s="13"/>
      <c r="Q4" s="13"/>
      <c r="R4" s="13"/>
      <c r="S4" s="13"/>
      <c r="T4" s="13"/>
      <c r="U4" s="16"/>
    </row>
    <row r="5" spans="1:21">
      <c r="A5">
        <v>3</v>
      </c>
      <c r="B5" s="13"/>
      <c r="C5" s="11" t="e">
        <f t="shared" si="1"/>
        <v>#DIV/0!</v>
      </c>
      <c r="D5" s="9">
        <f t="shared" si="0"/>
        <v>0</v>
      </c>
      <c r="E5" s="16"/>
      <c r="F5" s="13"/>
      <c r="G5" s="13"/>
      <c r="H5" s="13"/>
      <c r="I5" s="13"/>
      <c r="J5" s="13"/>
      <c r="K5" s="13"/>
      <c r="L5" s="13"/>
      <c r="M5" s="13"/>
      <c r="N5" s="13"/>
      <c r="O5" s="13"/>
      <c r="P5" s="13"/>
      <c r="Q5" s="13"/>
      <c r="R5" s="13"/>
      <c r="S5" s="13"/>
      <c r="T5" s="13"/>
      <c r="U5" s="16"/>
    </row>
    <row r="6" spans="1:21">
      <c r="A6">
        <v>4</v>
      </c>
      <c r="B6" s="13"/>
      <c r="C6" s="11" t="e">
        <f t="shared" si="1"/>
        <v>#DIV/0!</v>
      </c>
      <c r="D6" s="9">
        <f t="shared" si="0"/>
        <v>0</v>
      </c>
      <c r="E6" s="16"/>
      <c r="F6" s="13"/>
      <c r="G6" s="13"/>
      <c r="H6" s="13"/>
      <c r="I6" s="13"/>
      <c r="J6" s="13"/>
      <c r="K6" s="13"/>
      <c r="L6" s="13"/>
      <c r="M6" s="13"/>
      <c r="N6" s="13"/>
      <c r="O6" s="13"/>
      <c r="P6" s="13"/>
      <c r="Q6" s="13"/>
      <c r="R6" s="13"/>
      <c r="S6" s="13"/>
      <c r="T6" s="13"/>
      <c r="U6" s="16"/>
    </row>
    <row r="7" spans="1:21">
      <c r="A7">
        <v>5</v>
      </c>
      <c r="B7" s="13"/>
      <c r="C7" s="11" t="e">
        <f t="shared" si="1"/>
        <v>#DIV/0!</v>
      </c>
      <c r="D7" s="9">
        <f t="shared" si="0"/>
        <v>0</v>
      </c>
      <c r="E7" s="16"/>
      <c r="F7" s="13"/>
      <c r="G7" s="13"/>
      <c r="H7" s="13"/>
      <c r="I7" s="13"/>
      <c r="J7" s="13"/>
      <c r="K7" s="13"/>
      <c r="L7" s="13"/>
      <c r="M7" s="13"/>
      <c r="N7" s="13"/>
      <c r="O7" s="13"/>
      <c r="P7" s="13"/>
      <c r="Q7" s="13"/>
      <c r="R7" s="13"/>
      <c r="S7" s="13"/>
      <c r="T7" s="13"/>
      <c r="U7" s="16"/>
    </row>
    <row r="8" spans="1:21">
      <c r="A8">
        <v>6</v>
      </c>
      <c r="B8" s="13"/>
      <c r="C8" s="11" t="e">
        <f t="shared" si="1"/>
        <v>#DIV/0!</v>
      </c>
      <c r="D8" s="9">
        <f t="shared" si="0"/>
        <v>0</v>
      </c>
      <c r="E8" s="16"/>
      <c r="F8" s="13"/>
      <c r="G8" s="13"/>
      <c r="H8" s="13"/>
      <c r="I8" s="13"/>
      <c r="J8" s="13"/>
      <c r="K8" s="13"/>
      <c r="L8" s="13"/>
      <c r="M8" s="13"/>
      <c r="N8" s="13"/>
      <c r="O8" s="13"/>
      <c r="P8" s="13"/>
      <c r="Q8" s="13"/>
      <c r="R8" s="13"/>
      <c r="S8" s="13"/>
      <c r="T8" s="13"/>
      <c r="U8" s="16"/>
    </row>
    <row r="9" spans="1:21">
      <c r="A9">
        <v>7</v>
      </c>
      <c r="B9" s="13"/>
      <c r="C9" s="11" t="e">
        <f t="shared" si="1"/>
        <v>#DIV/0!</v>
      </c>
      <c r="D9" s="9">
        <f t="shared" si="0"/>
        <v>0</v>
      </c>
      <c r="E9" s="16"/>
      <c r="F9" s="13"/>
      <c r="G9" s="13"/>
      <c r="H9" s="13"/>
      <c r="I9" s="13"/>
      <c r="J9" s="13"/>
      <c r="K9" s="13"/>
      <c r="L9" s="13"/>
      <c r="M9" s="13"/>
      <c r="N9" s="13"/>
      <c r="O9" s="13"/>
      <c r="P9" s="13"/>
      <c r="Q9" s="13"/>
      <c r="R9" s="13"/>
      <c r="S9" s="13"/>
      <c r="T9" s="13"/>
      <c r="U9" s="16"/>
    </row>
    <row r="10" spans="1:21">
      <c r="A10">
        <v>8</v>
      </c>
      <c r="B10" s="13"/>
      <c r="C10" s="11" t="e">
        <f t="shared" si="1"/>
        <v>#DIV/0!</v>
      </c>
      <c r="D10" s="9">
        <f t="shared" si="0"/>
        <v>0</v>
      </c>
      <c r="E10" s="16"/>
      <c r="F10" s="13"/>
      <c r="G10" s="13"/>
      <c r="H10" s="13"/>
      <c r="I10" s="13"/>
      <c r="J10" s="13"/>
      <c r="K10" s="13"/>
      <c r="L10" s="13"/>
      <c r="M10" s="13"/>
      <c r="N10" s="13"/>
      <c r="O10" s="13"/>
      <c r="P10" s="13"/>
      <c r="Q10" s="13"/>
      <c r="R10" s="13"/>
      <c r="S10" s="13"/>
      <c r="T10" s="13"/>
      <c r="U10" s="16"/>
    </row>
    <row r="11" spans="1:21">
      <c r="A11">
        <v>9</v>
      </c>
      <c r="B11" s="13"/>
      <c r="C11" s="11" t="e">
        <f t="shared" si="1"/>
        <v>#DIV/0!</v>
      </c>
      <c r="D11" s="9">
        <f t="shared" si="0"/>
        <v>0</v>
      </c>
      <c r="E11" s="16"/>
      <c r="F11" s="13"/>
      <c r="G11" s="13"/>
      <c r="H11" s="13"/>
      <c r="I11" s="13"/>
      <c r="J11" s="13"/>
      <c r="K11" s="13"/>
      <c r="L11" s="13"/>
      <c r="M11" s="13"/>
      <c r="N11" s="13"/>
      <c r="O11" s="13"/>
      <c r="P11" s="13"/>
      <c r="Q11" s="13"/>
      <c r="R11" s="13"/>
      <c r="S11" s="13"/>
      <c r="T11" s="13"/>
      <c r="U11" s="16"/>
    </row>
    <row r="12" spans="1:21">
      <c r="A12">
        <v>10</v>
      </c>
      <c r="B12" s="13"/>
      <c r="C12" s="11" t="e">
        <f t="shared" si="1"/>
        <v>#DIV/0!</v>
      </c>
      <c r="D12" s="9">
        <f t="shared" si="0"/>
        <v>0</v>
      </c>
      <c r="E12" s="16"/>
      <c r="F12" s="13"/>
      <c r="G12" s="13"/>
      <c r="H12" s="13"/>
      <c r="I12" s="13"/>
      <c r="J12" s="13"/>
      <c r="K12" s="13"/>
      <c r="L12" s="13"/>
      <c r="M12" s="13"/>
      <c r="N12" s="13"/>
      <c r="O12" s="13"/>
      <c r="P12" s="13"/>
      <c r="Q12" s="13"/>
      <c r="R12" s="13"/>
      <c r="S12" s="13"/>
      <c r="T12" s="13"/>
      <c r="U12" s="16"/>
    </row>
    <row r="13" spans="1:21">
      <c r="A13">
        <v>11</v>
      </c>
      <c r="B13" s="13"/>
      <c r="C13" s="11" t="e">
        <f t="shared" si="1"/>
        <v>#DIV/0!</v>
      </c>
      <c r="D13" s="9">
        <f t="shared" si="0"/>
        <v>0</v>
      </c>
      <c r="E13" s="16"/>
      <c r="F13" s="13"/>
      <c r="G13" s="13"/>
      <c r="H13" s="13"/>
      <c r="I13" s="13"/>
      <c r="J13" s="13"/>
      <c r="K13" s="13"/>
      <c r="L13" s="13"/>
      <c r="M13" s="13"/>
      <c r="N13" s="13"/>
      <c r="O13" s="13"/>
      <c r="P13" s="13"/>
      <c r="Q13" s="13"/>
      <c r="R13" s="13"/>
      <c r="S13" s="13"/>
      <c r="T13" s="13"/>
      <c r="U13" s="16"/>
    </row>
    <row r="14" spans="1:21">
      <c r="A14">
        <v>12</v>
      </c>
      <c r="B14" s="13"/>
      <c r="C14" s="11" t="e">
        <f t="shared" si="1"/>
        <v>#DIV/0!</v>
      </c>
      <c r="D14" s="9">
        <f t="shared" si="0"/>
        <v>0</v>
      </c>
      <c r="E14" s="16"/>
      <c r="F14" s="13"/>
      <c r="G14" s="13"/>
      <c r="H14" s="13"/>
      <c r="I14" s="13"/>
      <c r="J14" s="13"/>
      <c r="K14" s="13"/>
      <c r="L14" s="13"/>
      <c r="M14" s="13"/>
      <c r="N14" s="13"/>
      <c r="O14" s="13"/>
      <c r="P14" s="13"/>
      <c r="Q14" s="13"/>
      <c r="R14" s="13"/>
      <c r="S14" s="13"/>
      <c r="T14" s="13"/>
      <c r="U14" s="16"/>
    </row>
    <row r="15" spans="1:21">
      <c r="A15">
        <v>13</v>
      </c>
      <c r="B15" s="13"/>
      <c r="C15" s="11" t="e">
        <f t="shared" si="1"/>
        <v>#DIV/0!</v>
      </c>
      <c r="D15" s="9">
        <f t="shared" si="0"/>
        <v>0</v>
      </c>
      <c r="E15" s="16"/>
      <c r="F15" s="13"/>
      <c r="G15" s="13"/>
      <c r="H15" s="13"/>
      <c r="I15" s="13"/>
      <c r="J15" s="13"/>
      <c r="K15" s="13"/>
      <c r="L15" s="13"/>
      <c r="M15" s="13"/>
      <c r="N15" s="13"/>
      <c r="O15" s="13"/>
      <c r="P15" s="13"/>
      <c r="Q15" s="13"/>
      <c r="R15" s="13"/>
      <c r="S15" s="13"/>
      <c r="T15" s="13"/>
      <c r="U15" s="16"/>
    </row>
    <row r="16" spans="1:21">
      <c r="A16">
        <v>14</v>
      </c>
      <c r="B16" s="13"/>
      <c r="C16" s="11" t="e">
        <f t="shared" si="1"/>
        <v>#DIV/0!</v>
      </c>
      <c r="D16" s="9">
        <f t="shared" si="0"/>
        <v>0</v>
      </c>
      <c r="E16" s="16"/>
      <c r="F16" s="13"/>
      <c r="G16" s="13"/>
      <c r="H16" s="13"/>
      <c r="I16" s="13"/>
      <c r="J16" s="13"/>
      <c r="K16" s="13"/>
      <c r="L16" s="13"/>
      <c r="M16" s="13"/>
      <c r="N16" s="13"/>
      <c r="O16" s="13"/>
      <c r="P16" s="13"/>
      <c r="Q16" s="13"/>
      <c r="R16" s="13"/>
      <c r="S16" s="13"/>
      <c r="T16" s="13"/>
      <c r="U16" s="16"/>
    </row>
    <row r="17" spans="1:21">
      <c r="A17">
        <v>15</v>
      </c>
      <c r="B17" s="13"/>
      <c r="C17" s="11" t="e">
        <f t="shared" si="1"/>
        <v>#DIV/0!</v>
      </c>
      <c r="D17" s="9">
        <f t="shared" si="0"/>
        <v>0</v>
      </c>
      <c r="E17" s="16"/>
      <c r="F17" s="13"/>
      <c r="G17" s="13"/>
      <c r="H17" s="13"/>
      <c r="I17" s="13"/>
      <c r="J17" s="13"/>
      <c r="K17" s="13"/>
      <c r="L17" s="13"/>
      <c r="M17" s="13"/>
      <c r="N17" s="13"/>
      <c r="O17" s="13"/>
      <c r="P17" s="13"/>
      <c r="Q17" s="13"/>
      <c r="R17" s="13"/>
      <c r="S17" s="13"/>
      <c r="T17" s="13"/>
      <c r="U17" s="16"/>
    </row>
    <row r="18" spans="1:21">
      <c r="A18">
        <v>16</v>
      </c>
      <c r="B18" s="13"/>
      <c r="C18" s="11" t="e">
        <f t="shared" si="1"/>
        <v>#DIV/0!</v>
      </c>
      <c r="D18" s="9">
        <f t="shared" si="0"/>
        <v>0</v>
      </c>
      <c r="E18" s="16"/>
      <c r="F18" s="13"/>
      <c r="G18" s="13"/>
      <c r="H18" s="13"/>
      <c r="I18" s="13"/>
      <c r="J18" s="13"/>
      <c r="K18" s="13"/>
      <c r="L18" s="13"/>
      <c r="M18" s="13"/>
      <c r="N18" s="13"/>
      <c r="O18" s="13"/>
      <c r="P18" s="13"/>
      <c r="Q18" s="13"/>
      <c r="R18" s="13"/>
      <c r="S18" s="13"/>
      <c r="T18" s="13"/>
      <c r="U18" s="16"/>
    </row>
    <row r="19" spans="1:21">
      <c r="A19">
        <v>17</v>
      </c>
      <c r="B19" s="13"/>
      <c r="C19" s="11" t="e">
        <f t="shared" si="1"/>
        <v>#DIV/0!</v>
      </c>
      <c r="D19" s="9">
        <f t="shared" si="0"/>
        <v>0</v>
      </c>
      <c r="E19" s="16"/>
      <c r="F19" s="13"/>
      <c r="G19" s="13"/>
      <c r="H19" s="13"/>
      <c r="I19" s="13"/>
      <c r="J19" s="13"/>
      <c r="K19" s="13"/>
      <c r="L19" s="13"/>
      <c r="M19" s="13"/>
      <c r="N19" s="13"/>
      <c r="O19" s="13"/>
      <c r="P19" s="13"/>
      <c r="Q19" s="13"/>
      <c r="R19" s="13"/>
      <c r="S19" s="13"/>
      <c r="T19" s="13"/>
      <c r="U19" s="16"/>
    </row>
    <row r="20" spans="1:21">
      <c r="A20">
        <v>18</v>
      </c>
      <c r="B20" s="13"/>
      <c r="C20" s="11" t="e">
        <f t="shared" si="1"/>
        <v>#DIV/0!</v>
      </c>
      <c r="D20" s="9">
        <f t="shared" si="0"/>
        <v>0</v>
      </c>
      <c r="E20" s="16"/>
      <c r="F20" s="13"/>
      <c r="G20" s="13"/>
      <c r="H20" s="13"/>
      <c r="I20" s="13"/>
      <c r="J20" s="13"/>
      <c r="K20" s="13"/>
      <c r="L20" s="13"/>
      <c r="M20" s="13"/>
      <c r="N20" s="13"/>
      <c r="O20" s="13"/>
      <c r="P20" s="13"/>
      <c r="Q20" s="13"/>
      <c r="R20" s="13"/>
      <c r="S20" s="13"/>
      <c r="T20" s="13"/>
      <c r="U20" s="16"/>
    </row>
    <row r="21" spans="1:21">
      <c r="A21">
        <v>19</v>
      </c>
      <c r="B21" s="13"/>
      <c r="C21" s="11" t="e">
        <f t="shared" si="1"/>
        <v>#DIV/0!</v>
      </c>
      <c r="D21" s="9">
        <f t="shared" si="0"/>
        <v>0</v>
      </c>
      <c r="E21" s="16"/>
      <c r="F21" s="13"/>
      <c r="G21" s="13"/>
      <c r="H21" s="13"/>
      <c r="I21" s="13"/>
      <c r="J21" s="13"/>
      <c r="K21" s="13"/>
      <c r="L21" s="13"/>
      <c r="M21" s="13"/>
      <c r="N21" s="13"/>
      <c r="O21" s="13"/>
      <c r="P21" s="13"/>
      <c r="Q21" s="13"/>
      <c r="R21" s="13"/>
      <c r="S21" s="13"/>
      <c r="T21" s="13"/>
      <c r="U21" s="16"/>
    </row>
    <row r="22" spans="1:21">
      <c r="A22">
        <v>20</v>
      </c>
      <c r="B22" s="13"/>
      <c r="C22" s="11" t="e">
        <f t="shared" si="1"/>
        <v>#DIV/0!</v>
      </c>
      <c r="D22" s="9">
        <f t="shared" si="0"/>
        <v>0</v>
      </c>
      <c r="E22" s="16"/>
      <c r="F22" s="13"/>
      <c r="G22" s="13"/>
      <c r="H22" s="13"/>
      <c r="I22" s="13"/>
      <c r="J22" s="13"/>
      <c r="K22" s="13"/>
      <c r="L22" s="13"/>
      <c r="M22" s="13"/>
      <c r="N22" s="13"/>
      <c r="O22" s="13"/>
      <c r="P22" s="13"/>
      <c r="Q22" s="13"/>
      <c r="R22" s="13"/>
      <c r="S22" s="13"/>
      <c r="T22" s="13"/>
      <c r="U22" s="16"/>
    </row>
    <row r="23" spans="1:21">
      <c r="A23">
        <v>21</v>
      </c>
      <c r="B23" s="13"/>
      <c r="C23" s="11" t="e">
        <f t="shared" si="1"/>
        <v>#DIV/0!</v>
      </c>
      <c r="D23" s="9">
        <f t="shared" si="0"/>
        <v>0</v>
      </c>
      <c r="E23" s="16"/>
      <c r="F23" s="13"/>
      <c r="G23" s="13"/>
      <c r="H23" s="13"/>
      <c r="I23" s="13"/>
      <c r="J23" s="13"/>
      <c r="K23" s="13"/>
      <c r="L23" s="13"/>
      <c r="M23" s="13"/>
      <c r="N23" s="13"/>
      <c r="O23" s="13"/>
      <c r="P23" s="13"/>
      <c r="Q23" s="13"/>
      <c r="R23" s="13"/>
      <c r="S23" s="13"/>
      <c r="T23" s="13"/>
      <c r="U23" s="16"/>
    </row>
    <row r="24" spans="1:21">
      <c r="A24">
        <v>22</v>
      </c>
      <c r="B24" s="13"/>
      <c r="C24" s="11" t="e">
        <f t="shared" si="1"/>
        <v>#DIV/0!</v>
      </c>
      <c r="D24" s="9">
        <f t="shared" si="0"/>
        <v>0</v>
      </c>
      <c r="E24" s="16"/>
      <c r="F24" s="13"/>
      <c r="G24" s="13"/>
      <c r="H24" s="13"/>
      <c r="I24" s="13"/>
      <c r="J24" s="13"/>
      <c r="K24" s="13"/>
      <c r="L24" s="13"/>
      <c r="M24" s="13"/>
      <c r="N24" s="13"/>
      <c r="O24" s="13"/>
      <c r="P24" s="13"/>
      <c r="Q24" s="13"/>
      <c r="R24" s="13"/>
      <c r="S24" s="13"/>
      <c r="T24" s="13"/>
      <c r="U24" s="16"/>
    </row>
    <row r="25" spans="1:21">
      <c r="A25">
        <v>23</v>
      </c>
      <c r="B25" s="13"/>
      <c r="C25" s="11" t="e">
        <f t="shared" si="1"/>
        <v>#DIV/0!</v>
      </c>
      <c r="D25" s="9">
        <f t="shared" si="0"/>
        <v>0</v>
      </c>
      <c r="E25" s="16"/>
      <c r="F25" s="13"/>
      <c r="G25" s="13"/>
      <c r="H25" s="13"/>
      <c r="I25" s="13"/>
      <c r="J25" s="13"/>
      <c r="K25" s="13"/>
      <c r="L25" s="13"/>
      <c r="M25" s="13"/>
      <c r="N25" s="13"/>
      <c r="O25" s="13"/>
      <c r="P25" s="13"/>
      <c r="Q25" s="13"/>
      <c r="R25" s="13"/>
      <c r="S25" s="13"/>
      <c r="T25" s="13"/>
      <c r="U25" s="16"/>
    </row>
    <row r="26" spans="1:21">
      <c r="A26">
        <v>24</v>
      </c>
      <c r="B26" s="13"/>
      <c r="C26" s="11" t="e">
        <f t="shared" si="1"/>
        <v>#DIV/0!</v>
      </c>
      <c r="D26" s="9">
        <f t="shared" si="0"/>
        <v>0</v>
      </c>
      <c r="E26" s="16"/>
      <c r="F26" s="13"/>
      <c r="G26" s="13"/>
      <c r="H26" s="13"/>
      <c r="I26" s="13"/>
      <c r="J26" s="13"/>
      <c r="K26" s="13"/>
      <c r="L26" s="13"/>
      <c r="M26" s="13"/>
      <c r="N26" s="13"/>
      <c r="O26" s="13"/>
      <c r="P26" s="13"/>
      <c r="Q26" s="13"/>
      <c r="R26" s="13"/>
      <c r="S26" s="13"/>
      <c r="T26" s="13"/>
      <c r="U26" s="16"/>
    </row>
    <row r="27" spans="1:21">
      <c r="A27">
        <v>25</v>
      </c>
      <c r="B27" s="13"/>
      <c r="C27" s="11" t="e">
        <f t="shared" si="1"/>
        <v>#DIV/0!</v>
      </c>
      <c r="D27" s="9">
        <f t="shared" si="0"/>
        <v>0</v>
      </c>
      <c r="E27" s="16"/>
      <c r="F27" s="13"/>
      <c r="G27" s="13"/>
      <c r="H27" s="13"/>
      <c r="I27" s="13"/>
      <c r="J27" s="13"/>
      <c r="K27" s="13"/>
      <c r="L27" s="13"/>
      <c r="M27" s="13"/>
      <c r="N27" s="13"/>
      <c r="O27" s="13"/>
      <c r="P27" s="13"/>
      <c r="Q27" s="13"/>
      <c r="R27" s="13"/>
      <c r="S27" s="13"/>
      <c r="T27" s="13"/>
      <c r="U27" s="16"/>
    </row>
    <row r="28" spans="1:21">
      <c r="A28">
        <v>26</v>
      </c>
      <c r="B28" s="13"/>
      <c r="C28" s="11" t="e">
        <f t="shared" si="1"/>
        <v>#DIV/0!</v>
      </c>
      <c r="D28" s="9">
        <f t="shared" si="0"/>
        <v>0</v>
      </c>
      <c r="E28" s="16"/>
      <c r="F28" s="13"/>
      <c r="G28" s="13"/>
      <c r="H28" s="13"/>
      <c r="I28" s="13"/>
      <c r="J28" s="13"/>
      <c r="K28" s="13"/>
      <c r="L28" s="13"/>
      <c r="M28" s="13"/>
      <c r="N28" s="13"/>
      <c r="O28" s="13"/>
      <c r="P28" s="13"/>
      <c r="Q28" s="13"/>
      <c r="R28" s="13"/>
      <c r="S28" s="13"/>
      <c r="T28" s="13"/>
      <c r="U28" s="16"/>
    </row>
    <row r="29" spans="1:21">
      <c r="A29">
        <v>27</v>
      </c>
      <c r="B29" s="13"/>
      <c r="C29" s="11" t="e">
        <f t="shared" si="1"/>
        <v>#DIV/0!</v>
      </c>
      <c r="D29" s="9">
        <f t="shared" si="0"/>
        <v>0</v>
      </c>
      <c r="E29" s="16"/>
      <c r="F29" s="13"/>
      <c r="G29" s="13"/>
      <c r="H29" s="13"/>
      <c r="I29" s="13"/>
      <c r="J29" s="13"/>
      <c r="K29" s="13"/>
      <c r="L29" s="13"/>
      <c r="M29" s="13"/>
      <c r="N29" s="13"/>
      <c r="O29" s="13"/>
      <c r="P29" s="13"/>
      <c r="Q29" s="13"/>
      <c r="R29" s="13"/>
      <c r="S29" s="13"/>
      <c r="T29" s="13"/>
      <c r="U29" s="16"/>
    </row>
    <row r="30" spans="1:21">
      <c r="A30">
        <v>28</v>
      </c>
      <c r="B30" s="13"/>
      <c r="C30" s="11" t="e">
        <f t="shared" si="1"/>
        <v>#DIV/0!</v>
      </c>
      <c r="D30" s="9">
        <f t="shared" si="0"/>
        <v>0</v>
      </c>
      <c r="E30" s="16"/>
      <c r="F30" s="13"/>
      <c r="G30" s="13"/>
      <c r="H30" s="13"/>
      <c r="I30" s="13"/>
      <c r="J30" s="13"/>
      <c r="K30" s="13"/>
      <c r="L30" s="13"/>
      <c r="M30" s="13"/>
      <c r="N30" s="13"/>
      <c r="O30" s="13"/>
      <c r="P30" s="13"/>
      <c r="Q30" s="13"/>
      <c r="R30" s="13"/>
      <c r="S30" s="13"/>
      <c r="T30" s="13"/>
      <c r="U30" s="16"/>
    </row>
    <row r="31" spans="1:21">
      <c r="A31">
        <v>29</v>
      </c>
      <c r="B31" s="13"/>
      <c r="C31" s="11" t="e">
        <f t="shared" si="1"/>
        <v>#DIV/0!</v>
      </c>
      <c r="D31" s="9">
        <f t="shared" si="0"/>
        <v>0</v>
      </c>
      <c r="E31" s="16"/>
      <c r="F31" s="13"/>
      <c r="G31" s="13"/>
      <c r="H31" s="13"/>
      <c r="I31" s="13"/>
      <c r="J31" s="13"/>
      <c r="K31" s="13"/>
      <c r="L31" s="13"/>
      <c r="M31" s="13"/>
      <c r="N31" s="13"/>
      <c r="O31" s="13"/>
      <c r="P31" s="13"/>
      <c r="Q31" s="13"/>
      <c r="R31" s="13"/>
      <c r="S31" s="13"/>
      <c r="T31" s="13"/>
      <c r="U31" s="16"/>
    </row>
    <row r="32" spans="1:21">
      <c r="A32">
        <v>30</v>
      </c>
      <c r="B32" s="13"/>
      <c r="C32" s="11" t="e">
        <f t="shared" si="1"/>
        <v>#DIV/0!</v>
      </c>
      <c r="D32" s="9">
        <f t="shared" si="0"/>
        <v>0</v>
      </c>
      <c r="E32" s="16"/>
      <c r="F32" s="13"/>
      <c r="G32" s="13"/>
      <c r="H32" s="13"/>
      <c r="I32" s="13"/>
      <c r="J32" s="13"/>
      <c r="K32" s="13"/>
      <c r="L32" s="13"/>
      <c r="M32" s="13"/>
      <c r="N32" s="13"/>
      <c r="O32" s="13"/>
      <c r="P32" s="13"/>
      <c r="Q32" s="13"/>
      <c r="R32" s="13"/>
      <c r="S32" s="13"/>
      <c r="T32" s="13"/>
      <c r="U32" s="16"/>
    </row>
    <row r="33" spans="1:21">
      <c r="A33">
        <v>31</v>
      </c>
      <c r="B33" s="13"/>
      <c r="C33" s="11" t="e">
        <f t="shared" si="1"/>
        <v>#DIV/0!</v>
      </c>
      <c r="D33" s="9">
        <f t="shared" si="0"/>
        <v>0</v>
      </c>
      <c r="E33" s="16"/>
      <c r="F33" s="13"/>
      <c r="G33" s="13"/>
      <c r="H33" s="13"/>
      <c r="I33" s="13"/>
      <c r="J33" s="13"/>
      <c r="K33" s="13"/>
      <c r="L33" s="13"/>
      <c r="M33" s="13"/>
      <c r="N33" s="13"/>
      <c r="O33" s="13"/>
      <c r="P33" s="13"/>
      <c r="Q33" s="13"/>
      <c r="R33" s="13"/>
      <c r="S33" s="13"/>
      <c r="T33" s="13"/>
      <c r="U33" s="16"/>
    </row>
    <row r="34" spans="1:21">
      <c r="A34">
        <v>32</v>
      </c>
      <c r="B34" s="13"/>
      <c r="C34" s="11" t="e">
        <f t="shared" ref="C34:C65" si="2">(D34/$D$2)*totaalop</f>
        <v>#DIV/0!</v>
      </c>
      <c r="D34" s="9">
        <f t="shared" ref="D34:D65" si="3">SUM(E34:T34)</f>
        <v>0</v>
      </c>
      <c r="E34" s="16"/>
      <c r="F34" s="13"/>
      <c r="G34" s="13"/>
      <c r="H34" s="13"/>
      <c r="I34" s="13"/>
      <c r="J34" s="13"/>
      <c r="K34" s="13"/>
      <c r="L34" s="13"/>
      <c r="M34" s="13"/>
      <c r="N34" s="13"/>
      <c r="O34" s="13"/>
      <c r="P34" s="13"/>
      <c r="Q34" s="13"/>
      <c r="R34" s="13"/>
      <c r="S34" s="13"/>
      <c r="T34" s="13"/>
      <c r="U34" s="16"/>
    </row>
    <row r="35" spans="1:21">
      <c r="A35">
        <v>33</v>
      </c>
      <c r="B35" s="13"/>
      <c r="C35" s="11" t="e">
        <f t="shared" si="2"/>
        <v>#DIV/0!</v>
      </c>
      <c r="D35" s="9">
        <f t="shared" si="3"/>
        <v>0</v>
      </c>
      <c r="E35" s="16"/>
      <c r="F35" s="13"/>
      <c r="G35" s="13"/>
      <c r="H35" s="13"/>
      <c r="I35" s="13"/>
      <c r="J35" s="13"/>
      <c r="K35" s="13"/>
      <c r="L35" s="13"/>
      <c r="M35" s="13"/>
      <c r="N35" s="13"/>
      <c r="O35" s="13"/>
      <c r="P35" s="13"/>
      <c r="Q35" s="13"/>
      <c r="R35" s="13"/>
      <c r="S35" s="13"/>
      <c r="T35" s="13"/>
      <c r="U35" s="16"/>
    </row>
    <row r="36" spans="1:21">
      <c r="A36">
        <v>34</v>
      </c>
      <c r="B36" s="13"/>
      <c r="C36" s="11" t="e">
        <f t="shared" si="2"/>
        <v>#DIV/0!</v>
      </c>
      <c r="D36" s="9">
        <f t="shared" si="3"/>
        <v>0</v>
      </c>
      <c r="E36" s="16"/>
      <c r="F36" s="13"/>
      <c r="G36" s="13"/>
      <c r="H36" s="13"/>
      <c r="I36" s="13"/>
      <c r="J36" s="13"/>
      <c r="K36" s="13"/>
      <c r="L36" s="13"/>
      <c r="M36" s="13"/>
      <c r="N36" s="13"/>
      <c r="O36" s="13"/>
      <c r="P36" s="13"/>
      <c r="Q36" s="13"/>
      <c r="R36" s="13"/>
      <c r="S36" s="13"/>
      <c r="T36" s="13"/>
      <c r="U36" s="16"/>
    </row>
    <row r="37" spans="1:21">
      <c r="A37">
        <v>35</v>
      </c>
      <c r="B37" s="13"/>
      <c r="C37" s="11" t="e">
        <f t="shared" si="2"/>
        <v>#DIV/0!</v>
      </c>
      <c r="D37" s="9">
        <f t="shared" si="3"/>
        <v>0</v>
      </c>
      <c r="E37" s="16"/>
      <c r="F37" s="13"/>
      <c r="G37" s="13"/>
      <c r="H37" s="13"/>
      <c r="I37" s="13"/>
      <c r="J37" s="13"/>
      <c r="K37" s="13"/>
      <c r="L37" s="13"/>
      <c r="M37" s="13"/>
      <c r="N37" s="13"/>
      <c r="O37" s="13"/>
      <c r="P37" s="13"/>
      <c r="Q37" s="13"/>
      <c r="R37" s="13"/>
      <c r="S37" s="13"/>
      <c r="T37" s="13"/>
      <c r="U37" s="16"/>
    </row>
    <row r="38" spans="1:21">
      <c r="A38">
        <v>36</v>
      </c>
      <c r="B38" s="13"/>
      <c r="C38" s="11" t="e">
        <f t="shared" si="2"/>
        <v>#DIV/0!</v>
      </c>
      <c r="D38" s="9">
        <f t="shared" si="3"/>
        <v>0</v>
      </c>
      <c r="E38" s="16"/>
      <c r="F38" s="13"/>
      <c r="G38" s="13"/>
      <c r="H38" s="13"/>
      <c r="I38" s="13"/>
      <c r="J38" s="13"/>
      <c r="K38" s="13"/>
      <c r="L38" s="13"/>
      <c r="M38" s="13"/>
      <c r="N38" s="13"/>
      <c r="O38" s="13"/>
      <c r="P38" s="13"/>
      <c r="Q38" s="13"/>
      <c r="R38" s="13"/>
      <c r="S38" s="13"/>
      <c r="T38" s="13"/>
      <c r="U38" s="16"/>
    </row>
    <row r="39" spans="1:21">
      <c r="A39">
        <v>37</v>
      </c>
      <c r="B39" s="13"/>
      <c r="C39" s="11" t="e">
        <f t="shared" si="2"/>
        <v>#DIV/0!</v>
      </c>
      <c r="D39" s="9">
        <f t="shared" si="3"/>
        <v>0</v>
      </c>
      <c r="E39" s="16"/>
      <c r="F39" s="13"/>
      <c r="G39" s="13"/>
      <c r="H39" s="13"/>
      <c r="I39" s="13"/>
      <c r="J39" s="13"/>
      <c r="K39" s="13"/>
      <c r="L39" s="13"/>
      <c r="M39" s="13"/>
      <c r="N39" s="13"/>
      <c r="O39" s="13"/>
      <c r="P39" s="13"/>
      <c r="Q39" s="13"/>
      <c r="R39" s="13"/>
      <c r="S39" s="13"/>
      <c r="T39" s="13"/>
      <c r="U39" s="16"/>
    </row>
    <row r="40" spans="1:21">
      <c r="A40">
        <v>38</v>
      </c>
      <c r="B40" s="13"/>
      <c r="C40" s="11" t="e">
        <f t="shared" si="2"/>
        <v>#DIV/0!</v>
      </c>
      <c r="D40" s="9">
        <f t="shared" si="3"/>
        <v>0</v>
      </c>
      <c r="E40" s="16"/>
      <c r="F40" s="13"/>
      <c r="G40" s="13"/>
      <c r="H40" s="13"/>
      <c r="I40" s="13"/>
      <c r="J40" s="13"/>
      <c r="K40" s="13"/>
      <c r="L40" s="13"/>
      <c r="M40" s="13"/>
      <c r="N40" s="13"/>
      <c r="O40" s="13"/>
      <c r="P40" s="13"/>
      <c r="Q40" s="13"/>
      <c r="R40" s="13"/>
      <c r="S40" s="13"/>
      <c r="T40" s="13"/>
      <c r="U40" s="16"/>
    </row>
    <row r="41" spans="1:21">
      <c r="A41">
        <v>39</v>
      </c>
      <c r="B41" s="13"/>
      <c r="C41" s="11" t="e">
        <f t="shared" si="2"/>
        <v>#DIV/0!</v>
      </c>
      <c r="D41" s="9">
        <f t="shared" si="3"/>
        <v>0</v>
      </c>
      <c r="E41" s="16"/>
      <c r="F41" s="13"/>
      <c r="G41" s="13"/>
      <c r="H41" s="13"/>
      <c r="I41" s="13"/>
      <c r="J41" s="13"/>
      <c r="K41" s="13"/>
      <c r="L41" s="13"/>
      <c r="M41" s="13"/>
      <c r="N41" s="13"/>
      <c r="O41" s="13"/>
      <c r="P41" s="13"/>
      <c r="Q41" s="13"/>
      <c r="R41" s="13"/>
      <c r="S41" s="13"/>
      <c r="T41" s="13"/>
      <c r="U41" s="16"/>
    </row>
    <row r="42" spans="1:21">
      <c r="A42">
        <v>40</v>
      </c>
      <c r="B42" s="13"/>
      <c r="C42" s="11" t="e">
        <f t="shared" si="2"/>
        <v>#DIV/0!</v>
      </c>
      <c r="D42" s="9">
        <f t="shared" si="3"/>
        <v>0</v>
      </c>
      <c r="E42" s="16"/>
      <c r="F42" s="13"/>
      <c r="G42" s="13"/>
      <c r="H42" s="13"/>
      <c r="I42" s="13"/>
      <c r="J42" s="13"/>
      <c r="K42" s="13"/>
      <c r="L42" s="13"/>
      <c r="M42" s="13"/>
      <c r="N42" s="13"/>
      <c r="O42" s="13"/>
      <c r="P42" s="13"/>
      <c r="Q42" s="13"/>
      <c r="R42" s="13"/>
      <c r="S42" s="13"/>
      <c r="T42" s="13"/>
      <c r="U42" s="16"/>
    </row>
    <row r="43" spans="1:21">
      <c r="A43">
        <v>41</v>
      </c>
      <c r="B43" s="13"/>
      <c r="C43" s="11" t="e">
        <f t="shared" si="2"/>
        <v>#DIV/0!</v>
      </c>
      <c r="D43" s="9">
        <f t="shared" si="3"/>
        <v>0</v>
      </c>
      <c r="E43" s="16"/>
      <c r="F43" s="13"/>
      <c r="G43" s="13"/>
      <c r="H43" s="13"/>
      <c r="I43" s="13"/>
      <c r="J43" s="13"/>
      <c r="K43" s="13"/>
      <c r="L43" s="13"/>
      <c r="M43" s="13"/>
      <c r="N43" s="13"/>
      <c r="O43" s="13"/>
      <c r="P43" s="13"/>
      <c r="Q43" s="13"/>
      <c r="R43" s="13"/>
      <c r="S43" s="13"/>
      <c r="T43" s="13"/>
      <c r="U43" s="16"/>
    </row>
    <row r="44" spans="1:21">
      <c r="A44">
        <v>42</v>
      </c>
      <c r="B44" s="13"/>
      <c r="C44" s="11" t="e">
        <f t="shared" si="2"/>
        <v>#DIV/0!</v>
      </c>
      <c r="D44" s="9">
        <f t="shared" si="3"/>
        <v>0</v>
      </c>
      <c r="E44" s="16"/>
      <c r="F44" s="13"/>
      <c r="G44" s="13"/>
      <c r="H44" s="13"/>
      <c r="I44" s="13"/>
      <c r="J44" s="13"/>
      <c r="K44" s="13"/>
      <c r="L44" s="13"/>
      <c r="M44" s="13"/>
      <c r="N44" s="13"/>
      <c r="O44" s="13"/>
      <c r="P44" s="13"/>
      <c r="Q44" s="13"/>
      <c r="R44" s="13"/>
      <c r="S44" s="13"/>
      <c r="T44" s="13"/>
      <c r="U44" s="16"/>
    </row>
    <row r="45" spans="1:21">
      <c r="A45">
        <v>43</v>
      </c>
      <c r="B45" s="13"/>
      <c r="C45" s="11" t="e">
        <f t="shared" si="2"/>
        <v>#DIV/0!</v>
      </c>
      <c r="D45" s="9">
        <f t="shared" si="3"/>
        <v>0</v>
      </c>
      <c r="E45" s="16"/>
      <c r="F45" s="13"/>
      <c r="G45" s="13"/>
      <c r="H45" s="13"/>
      <c r="I45" s="13"/>
      <c r="J45" s="13"/>
      <c r="K45" s="13"/>
      <c r="L45" s="13"/>
      <c r="M45" s="13"/>
      <c r="N45" s="13"/>
      <c r="O45" s="13"/>
      <c r="P45" s="13"/>
      <c r="Q45" s="13"/>
      <c r="R45" s="13"/>
      <c r="S45" s="13"/>
      <c r="T45" s="13"/>
      <c r="U45" s="16"/>
    </row>
    <row r="46" spans="1:21">
      <c r="A46">
        <v>44</v>
      </c>
      <c r="B46" s="13"/>
      <c r="C46" s="11" t="e">
        <f t="shared" si="2"/>
        <v>#DIV/0!</v>
      </c>
      <c r="D46" s="9">
        <f t="shared" si="3"/>
        <v>0</v>
      </c>
      <c r="E46" s="16"/>
      <c r="F46" s="13"/>
      <c r="G46" s="13"/>
      <c r="H46" s="13"/>
      <c r="I46" s="13"/>
      <c r="J46" s="13"/>
      <c r="K46" s="13"/>
      <c r="L46" s="13"/>
      <c r="M46" s="13"/>
      <c r="N46" s="13"/>
      <c r="O46" s="13"/>
      <c r="P46" s="13"/>
      <c r="Q46" s="13"/>
      <c r="R46" s="13"/>
      <c r="S46" s="13"/>
      <c r="T46" s="13"/>
      <c r="U46" s="16"/>
    </row>
    <row r="47" spans="1:21">
      <c r="A47">
        <v>45</v>
      </c>
      <c r="B47" s="13"/>
      <c r="C47" s="11" t="e">
        <f t="shared" si="2"/>
        <v>#DIV/0!</v>
      </c>
      <c r="D47" s="9">
        <f t="shared" si="3"/>
        <v>0</v>
      </c>
      <c r="E47" s="16"/>
      <c r="F47" s="13"/>
      <c r="G47" s="13"/>
      <c r="H47" s="13"/>
      <c r="I47" s="13"/>
      <c r="J47" s="13"/>
      <c r="K47" s="13"/>
      <c r="L47" s="13"/>
      <c r="M47" s="13"/>
      <c r="N47" s="13"/>
      <c r="O47" s="13"/>
      <c r="P47" s="13"/>
      <c r="Q47" s="13"/>
      <c r="R47" s="13"/>
      <c r="S47" s="13"/>
      <c r="T47" s="13"/>
      <c r="U47" s="16"/>
    </row>
    <row r="48" spans="1:21">
      <c r="A48">
        <v>46</v>
      </c>
      <c r="B48" s="13"/>
      <c r="C48" s="11" t="e">
        <f t="shared" si="2"/>
        <v>#DIV/0!</v>
      </c>
      <c r="D48" s="9">
        <f t="shared" si="3"/>
        <v>0</v>
      </c>
      <c r="E48" s="16"/>
      <c r="F48" s="13"/>
      <c r="G48" s="13"/>
      <c r="H48" s="13"/>
      <c r="I48" s="13"/>
      <c r="J48" s="13"/>
      <c r="K48" s="13"/>
      <c r="L48" s="13"/>
      <c r="M48" s="13"/>
      <c r="N48" s="13"/>
      <c r="O48" s="13"/>
      <c r="P48" s="13"/>
      <c r="Q48" s="13"/>
      <c r="R48" s="13"/>
      <c r="S48" s="13"/>
      <c r="T48" s="13"/>
      <c r="U48" s="16"/>
    </row>
    <row r="49" spans="1:21">
      <c r="A49">
        <v>47</v>
      </c>
      <c r="B49" s="13"/>
      <c r="C49" s="11" t="e">
        <f t="shared" si="2"/>
        <v>#DIV/0!</v>
      </c>
      <c r="D49" s="9">
        <f t="shared" si="3"/>
        <v>0</v>
      </c>
      <c r="E49" s="16"/>
      <c r="F49" s="13"/>
      <c r="G49" s="13"/>
      <c r="H49" s="13"/>
      <c r="I49" s="13"/>
      <c r="J49" s="13"/>
      <c r="K49" s="13"/>
      <c r="L49" s="13"/>
      <c r="M49" s="13"/>
      <c r="N49" s="13"/>
      <c r="O49" s="13"/>
      <c r="P49" s="13"/>
      <c r="Q49" s="13"/>
      <c r="R49" s="13"/>
      <c r="S49" s="13"/>
      <c r="T49" s="13"/>
      <c r="U49" s="16"/>
    </row>
    <row r="50" spans="1:21">
      <c r="A50">
        <v>48</v>
      </c>
      <c r="B50" s="13"/>
      <c r="C50" s="11" t="e">
        <f t="shared" si="2"/>
        <v>#DIV/0!</v>
      </c>
      <c r="D50" s="9">
        <f t="shared" si="3"/>
        <v>0</v>
      </c>
      <c r="E50" s="16"/>
      <c r="F50" s="13"/>
      <c r="G50" s="13"/>
      <c r="H50" s="13"/>
      <c r="I50" s="13"/>
      <c r="J50" s="13"/>
      <c r="K50" s="13"/>
      <c r="L50" s="13"/>
      <c r="M50" s="13"/>
      <c r="N50" s="13"/>
      <c r="O50" s="13"/>
      <c r="P50" s="13"/>
      <c r="Q50" s="13"/>
      <c r="R50" s="13"/>
      <c r="S50" s="13"/>
      <c r="T50" s="13"/>
      <c r="U50" s="16"/>
    </row>
    <row r="51" spans="1:21">
      <c r="A51">
        <v>49</v>
      </c>
      <c r="B51" s="13"/>
      <c r="C51" s="11" t="e">
        <f t="shared" si="2"/>
        <v>#DIV/0!</v>
      </c>
      <c r="D51" s="9">
        <f t="shared" si="3"/>
        <v>0</v>
      </c>
      <c r="E51" s="16"/>
      <c r="F51" s="13"/>
      <c r="G51" s="13"/>
      <c r="H51" s="13"/>
      <c r="I51" s="13"/>
      <c r="J51" s="13"/>
      <c r="K51" s="13"/>
      <c r="L51" s="13"/>
      <c r="M51" s="13"/>
      <c r="N51" s="13"/>
      <c r="O51" s="13"/>
      <c r="P51" s="13"/>
      <c r="Q51" s="13"/>
      <c r="R51" s="13"/>
      <c r="S51" s="13"/>
      <c r="T51" s="13"/>
      <c r="U51" s="16"/>
    </row>
    <row r="52" spans="1:21">
      <c r="A52">
        <v>50</v>
      </c>
      <c r="B52" s="13"/>
      <c r="C52" s="11" t="e">
        <f t="shared" si="2"/>
        <v>#DIV/0!</v>
      </c>
      <c r="D52" s="9">
        <f t="shared" si="3"/>
        <v>0</v>
      </c>
      <c r="E52" s="16"/>
      <c r="F52" s="13"/>
      <c r="G52" s="13"/>
      <c r="H52" s="13"/>
      <c r="I52" s="13"/>
      <c r="J52" s="13"/>
      <c r="K52" s="13"/>
      <c r="L52" s="13"/>
      <c r="M52" s="13"/>
      <c r="N52" s="13"/>
      <c r="O52" s="13"/>
      <c r="P52" s="13"/>
      <c r="Q52" s="13"/>
      <c r="R52" s="13"/>
      <c r="S52" s="13"/>
      <c r="T52" s="13"/>
      <c r="U52" s="16"/>
    </row>
    <row r="53" spans="1:21">
      <c r="A53">
        <v>51</v>
      </c>
      <c r="B53" s="13"/>
      <c r="C53" s="11" t="e">
        <f t="shared" si="2"/>
        <v>#DIV/0!</v>
      </c>
      <c r="D53" s="9">
        <f t="shared" si="3"/>
        <v>0</v>
      </c>
      <c r="E53" s="16"/>
      <c r="F53" s="13"/>
      <c r="G53" s="13"/>
      <c r="H53" s="13"/>
      <c r="I53" s="13"/>
      <c r="J53" s="13"/>
      <c r="K53" s="13"/>
      <c r="L53" s="13"/>
      <c r="M53" s="13"/>
      <c r="N53" s="13"/>
      <c r="O53" s="13"/>
      <c r="P53" s="13"/>
      <c r="Q53" s="13"/>
      <c r="R53" s="13"/>
      <c r="S53" s="13"/>
      <c r="T53" s="13"/>
      <c r="U53" s="16"/>
    </row>
    <row r="54" spans="1:21">
      <c r="A54">
        <v>52</v>
      </c>
      <c r="B54" s="13"/>
      <c r="C54" s="11" t="e">
        <f t="shared" si="2"/>
        <v>#DIV/0!</v>
      </c>
      <c r="D54" s="9">
        <f t="shared" si="3"/>
        <v>0</v>
      </c>
      <c r="E54" s="16"/>
      <c r="F54" s="13"/>
      <c r="G54" s="13"/>
      <c r="H54" s="13"/>
      <c r="I54" s="13"/>
      <c r="J54" s="13"/>
      <c r="K54" s="13"/>
      <c r="L54" s="13"/>
      <c r="M54" s="13"/>
      <c r="N54" s="13"/>
      <c r="O54" s="13"/>
      <c r="P54" s="13"/>
      <c r="Q54" s="13"/>
      <c r="R54" s="13"/>
      <c r="S54" s="13"/>
      <c r="T54" s="13"/>
      <c r="U54" s="16"/>
    </row>
    <row r="55" spans="1:21">
      <c r="A55">
        <v>53</v>
      </c>
      <c r="B55" s="13"/>
      <c r="C55" s="11" t="e">
        <f t="shared" si="2"/>
        <v>#DIV/0!</v>
      </c>
      <c r="D55" s="9">
        <f t="shared" si="3"/>
        <v>0</v>
      </c>
      <c r="E55" s="16"/>
      <c r="F55" s="13"/>
      <c r="G55" s="13"/>
      <c r="H55" s="13"/>
      <c r="I55" s="13"/>
      <c r="J55" s="13"/>
      <c r="K55" s="13"/>
      <c r="L55" s="13"/>
      <c r="M55" s="13"/>
      <c r="N55" s="13"/>
      <c r="O55" s="13"/>
      <c r="P55" s="13"/>
      <c r="Q55" s="13"/>
      <c r="R55" s="13"/>
      <c r="S55" s="13"/>
      <c r="T55" s="13"/>
      <c r="U55" s="16"/>
    </row>
    <row r="56" spans="1:21">
      <c r="A56">
        <v>54</v>
      </c>
      <c r="B56" s="13"/>
      <c r="C56" s="11" t="e">
        <f t="shared" si="2"/>
        <v>#DIV/0!</v>
      </c>
      <c r="D56" s="9">
        <f t="shared" si="3"/>
        <v>0</v>
      </c>
      <c r="E56" s="16"/>
      <c r="F56" s="13"/>
      <c r="G56" s="13"/>
      <c r="H56" s="13"/>
      <c r="I56" s="13"/>
      <c r="J56" s="13"/>
      <c r="K56" s="13"/>
      <c r="L56" s="13"/>
      <c r="M56" s="13"/>
      <c r="N56" s="13"/>
      <c r="O56" s="13"/>
      <c r="P56" s="13"/>
      <c r="Q56" s="13"/>
      <c r="R56" s="13"/>
      <c r="S56" s="13"/>
      <c r="T56" s="13"/>
      <c r="U56" s="16"/>
    </row>
    <row r="57" spans="1:21">
      <c r="A57">
        <v>55</v>
      </c>
      <c r="B57" s="13"/>
      <c r="C57" s="11" t="e">
        <f t="shared" si="2"/>
        <v>#DIV/0!</v>
      </c>
      <c r="D57" s="9">
        <f t="shared" si="3"/>
        <v>0</v>
      </c>
      <c r="E57" s="16"/>
      <c r="F57" s="13"/>
      <c r="G57" s="13"/>
      <c r="H57" s="13"/>
      <c r="I57" s="13"/>
      <c r="J57" s="13"/>
      <c r="K57" s="13"/>
      <c r="L57" s="13"/>
      <c r="M57" s="13"/>
      <c r="N57" s="13"/>
      <c r="O57" s="13"/>
      <c r="P57" s="13"/>
      <c r="Q57" s="13"/>
      <c r="R57" s="13"/>
      <c r="S57" s="13"/>
      <c r="T57" s="13"/>
      <c r="U57" s="16"/>
    </row>
    <row r="58" spans="1:21">
      <c r="A58">
        <v>56</v>
      </c>
      <c r="B58" s="13"/>
      <c r="C58" s="11" t="e">
        <f t="shared" si="2"/>
        <v>#DIV/0!</v>
      </c>
      <c r="D58" s="9">
        <f t="shared" si="3"/>
        <v>0</v>
      </c>
      <c r="E58" s="16"/>
      <c r="F58" s="13"/>
      <c r="G58" s="13"/>
      <c r="H58" s="13"/>
      <c r="I58" s="13"/>
      <c r="J58" s="13"/>
      <c r="K58" s="13"/>
      <c r="L58" s="13"/>
      <c r="M58" s="13"/>
      <c r="N58" s="13"/>
      <c r="O58" s="13"/>
      <c r="P58" s="13"/>
      <c r="Q58" s="13"/>
      <c r="R58" s="13"/>
      <c r="S58" s="13"/>
      <c r="T58" s="13"/>
      <c r="U58" s="16"/>
    </row>
    <row r="59" spans="1:21">
      <c r="A59">
        <v>57</v>
      </c>
      <c r="B59" s="13"/>
      <c r="C59" s="11" t="e">
        <f t="shared" si="2"/>
        <v>#DIV/0!</v>
      </c>
      <c r="D59" s="9">
        <f t="shared" si="3"/>
        <v>0</v>
      </c>
      <c r="E59" s="16"/>
      <c r="F59" s="13"/>
      <c r="G59" s="13"/>
      <c r="H59" s="13"/>
      <c r="I59" s="13"/>
      <c r="J59" s="13"/>
      <c r="K59" s="13"/>
      <c r="L59" s="13"/>
      <c r="M59" s="13"/>
      <c r="N59" s="13"/>
      <c r="O59" s="13"/>
      <c r="P59" s="13"/>
      <c r="Q59" s="13"/>
      <c r="R59" s="13"/>
      <c r="S59" s="13"/>
      <c r="T59" s="13"/>
      <c r="U59" s="16"/>
    </row>
    <row r="60" spans="1:21">
      <c r="A60">
        <v>58</v>
      </c>
      <c r="B60" s="13"/>
      <c r="C60" s="11" t="e">
        <f t="shared" si="2"/>
        <v>#DIV/0!</v>
      </c>
      <c r="D60" s="9">
        <f t="shared" si="3"/>
        <v>0</v>
      </c>
      <c r="E60" s="16"/>
      <c r="F60" s="13"/>
      <c r="G60" s="13"/>
      <c r="H60" s="13"/>
      <c r="I60" s="13"/>
      <c r="J60" s="13"/>
      <c r="K60" s="13"/>
      <c r="L60" s="13"/>
      <c r="M60" s="13"/>
      <c r="N60" s="13"/>
      <c r="O60" s="13"/>
      <c r="P60" s="13"/>
      <c r="Q60" s="13"/>
      <c r="R60" s="13"/>
      <c r="S60" s="13"/>
      <c r="T60" s="13"/>
      <c r="U60" s="16"/>
    </row>
    <row r="61" spans="1:21">
      <c r="A61">
        <v>59</v>
      </c>
      <c r="B61" s="13"/>
      <c r="C61" s="11" t="e">
        <f t="shared" si="2"/>
        <v>#DIV/0!</v>
      </c>
      <c r="D61" s="9">
        <f t="shared" si="3"/>
        <v>0</v>
      </c>
      <c r="E61" s="16"/>
      <c r="F61" s="13"/>
      <c r="G61" s="13"/>
      <c r="H61" s="13"/>
      <c r="I61" s="13"/>
      <c r="J61" s="13"/>
      <c r="K61" s="13"/>
      <c r="L61" s="13"/>
      <c r="M61" s="13"/>
      <c r="N61" s="13"/>
      <c r="O61" s="13"/>
      <c r="P61" s="13"/>
      <c r="Q61" s="13"/>
      <c r="R61" s="13"/>
      <c r="S61" s="13"/>
      <c r="T61" s="13"/>
      <c r="U61" s="16"/>
    </row>
    <row r="62" spans="1:21">
      <c r="A62">
        <v>60</v>
      </c>
      <c r="B62" s="13"/>
      <c r="C62" s="11" t="e">
        <f t="shared" si="2"/>
        <v>#DIV/0!</v>
      </c>
      <c r="D62" s="9">
        <f t="shared" si="3"/>
        <v>0</v>
      </c>
      <c r="E62" s="16"/>
      <c r="F62" s="13"/>
      <c r="G62" s="13"/>
      <c r="H62" s="13"/>
      <c r="I62" s="13"/>
      <c r="J62" s="13"/>
      <c r="K62" s="13"/>
      <c r="L62" s="13"/>
      <c r="M62" s="13"/>
      <c r="N62" s="13"/>
      <c r="O62" s="13"/>
      <c r="P62" s="13"/>
      <c r="Q62" s="13"/>
      <c r="R62" s="13"/>
      <c r="S62" s="13"/>
      <c r="T62" s="13"/>
      <c r="U62" s="16"/>
    </row>
    <row r="63" spans="1:21">
      <c r="A63">
        <v>61</v>
      </c>
      <c r="B63" s="13"/>
      <c r="C63" s="11" t="e">
        <f t="shared" si="2"/>
        <v>#DIV/0!</v>
      </c>
      <c r="D63" s="9">
        <f t="shared" si="3"/>
        <v>0</v>
      </c>
      <c r="E63" s="16"/>
      <c r="F63" s="13"/>
      <c r="G63" s="13"/>
      <c r="H63" s="13"/>
      <c r="I63" s="13"/>
      <c r="J63" s="13"/>
      <c r="K63" s="13"/>
      <c r="L63" s="13"/>
      <c r="M63" s="13"/>
      <c r="N63" s="13"/>
      <c r="O63" s="13"/>
      <c r="P63" s="13"/>
      <c r="Q63" s="13"/>
      <c r="R63" s="13"/>
      <c r="S63" s="13"/>
      <c r="T63" s="13"/>
      <c r="U63" s="16"/>
    </row>
    <row r="64" spans="1:21">
      <c r="A64">
        <v>62</v>
      </c>
      <c r="B64" s="13"/>
      <c r="C64" s="11" t="e">
        <f t="shared" si="2"/>
        <v>#DIV/0!</v>
      </c>
      <c r="D64" s="9">
        <f t="shared" si="3"/>
        <v>0</v>
      </c>
      <c r="E64" s="16"/>
      <c r="F64" s="13"/>
      <c r="G64" s="13"/>
      <c r="H64" s="13"/>
      <c r="I64" s="13"/>
      <c r="J64" s="13"/>
      <c r="K64" s="13"/>
      <c r="L64" s="13"/>
      <c r="M64" s="13"/>
      <c r="N64" s="13"/>
      <c r="O64" s="13"/>
      <c r="P64" s="13"/>
      <c r="Q64" s="13"/>
      <c r="R64" s="13"/>
      <c r="S64" s="13"/>
      <c r="T64" s="13"/>
      <c r="U64" s="16"/>
    </row>
    <row r="65" spans="1:21">
      <c r="A65">
        <v>63</v>
      </c>
      <c r="B65" s="13"/>
      <c r="C65" s="11" t="e">
        <f t="shared" si="2"/>
        <v>#DIV/0!</v>
      </c>
      <c r="D65" s="9">
        <f t="shared" si="3"/>
        <v>0</v>
      </c>
      <c r="E65" s="16"/>
      <c r="F65" s="13"/>
      <c r="G65" s="13"/>
      <c r="H65" s="13"/>
      <c r="I65" s="13"/>
      <c r="J65" s="13"/>
      <c r="K65" s="13"/>
      <c r="L65" s="13"/>
      <c r="M65" s="13"/>
      <c r="N65" s="13"/>
      <c r="O65" s="13"/>
      <c r="P65" s="13"/>
      <c r="Q65" s="13"/>
      <c r="R65" s="13"/>
      <c r="S65" s="13"/>
      <c r="T65" s="13"/>
      <c r="U65" s="16"/>
    </row>
    <row r="66" spans="1:21">
      <c r="A66">
        <v>64</v>
      </c>
      <c r="B66" s="13"/>
      <c r="C66" s="11" t="e">
        <f t="shared" ref="C66:C97" si="4">(D66/$D$2)*totaalop</f>
        <v>#DIV/0!</v>
      </c>
      <c r="D66" s="9">
        <f t="shared" ref="D66:D97" si="5">SUM(E66:T66)</f>
        <v>0</v>
      </c>
      <c r="E66" s="16"/>
      <c r="F66" s="13"/>
      <c r="G66" s="13"/>
      <c r="H66" s="13"/>
      <c r="I66" s="13"/>
      <c r="J66" s="13"/>
      <c r="K66" s="13"/>
      <c r="L66" s="13"/>
      <c r="M66" s="13"/>
      <c r="N66" s="13"/>
      <c r="O66" s="13"/>
      <c r="P66" s="13"/>
      <c r="Q66" s="13"/>
      <c r="R66" s="13"/>
      <c r="S66" s="13"/>
      <c r="T66" s="13"/>
      <c r="U66" s="16"/>
    </row>
    <row r="67" spans="1:21">
      <c r="A67">
        <v>65</v>
      </c>
      <c r="B67" s="13"/>
      <c r="C67" s="11" t="e">
        <f t="shared" si="4"/>
        <v>#DIV/0!</v>
      </c>
      <c r="D67" s="9">
        <f t="shared" si="5"/>
        <v>0</v>
      </c>
      <c r="E67" s="16"/>
      <c r="F67" s="13"/>
      <c r="G67" s="13"/>
      <c r="H67" s="13"/>
      <c r="I67" s="13"/>
      <c r="J67" s="13"/>
      <c r="K67" s="13"/>
      <c r="L67" s="13"/>
      <c r="M67" s="13"/>
      <c r="N67" s="13"/>
      <c r="O67" s="13"/>
      <c r="P67" s="13"/>
      <c r="Q67" s="13"/>
      <c r="R67" s="13"/>
      <c r="S67" s="13"/>
      <c r="T67" s="13"/>
      <c r="U67" s="16"/>
    </row>
    <row r="68" spans="1:21">
      <c r="A68">
        <v>66</v>
      </c>
      <c r="B68" s="13"/>
      <c r="C68" s="11" t="e">
        <f t="shared" si="4"/>
        <v>#DIV/0!</v>
      </c>
      <c r="D68" s="9">
        <f t="shared" si="5"/>
        <v>0</v>
      </c>
      <c r="E68" s="16"/>
      <c r="F68" s="13"/>
      <c r="G68" s="13"/>
      <c r="H68" s="13"/>
      <c r="I68" s="13"/>
      <c r="J68" s="13"/>
      <c r="K68" s="13"/>
      <c r="L68" s="13"/>
      <c r="M68" s="13"/>
      <c r="N68" s="13"/>
      <c r="O68" s="13"/>
      <c r="P68" s="13"/>
      <c r="Q68" s="13"/>
      <c r="R68" s="13"/>
      <c r="S68" s="13"/>
      <c r="T68" s="13"/>
      <c r="U68" s="16"/>
    </row>
    <row r="69" spans="1:21">
      <c r="A69">
        <v>67</v>
      </c>
      <c r="B69" s="13"/>
      <c r="C69" s="11" t="e">
        <f t="shared" si="4"/>
        <v>#DIV/0!</v>
      </c>
      <c r="D69" s="9">
        <f t="shared" si="5"/>
        <v>0</v>
      </c>
      <c r="E69" s="16"/>
      <c r="F69" s="13"/>
      <c r="G69" s="13"/>
      <c r="H69" s="13"/>
      <c r="I69" s="13"/>
      <c r="J69" s="13"/>
      <c r="K69" s="13"/>
      <c r="L69" s="13"/>
      <c r="M69" s="13"/>
      <c r="N69" s="13"/>
      <c r="O69" s="13"/>
      <c r="P69" s="13"/>
      <c r="Q69" s="13"/>
      <c r="R69" s="13"/>
      <c r="S69" s="13"/>
      <c r="T69" s="13"/>
      <c r="U69" s="16"/>
    </row>
    <row r="70" spans="1:21">
      <c r="A70">
        <v>68</v>
      </c>
      <c r="B70" s="13"/>
      <c r="C70" s="11" t="e">
        <f t="shared" si="4"/>
        <v>#DIV/0!</v>
      </c>
      <c r="D70" s="9">
        <f t="shared" si="5"/>
        <v>0</v>
      </c>
      <c r="E70" s="16"/>
      <c r="F70" s="13"/>
      <c r="G70" s="13"/>
      <c r="H70" s="13"/>
      <c r="I70" s="13"/>
      <c r="J70" s="13"/>
      <c r="K70" s="13"/>
      <c r="L70" s="13"/>
      <c r="M70" s="13"/>
      <c r="N70" s="13"/>
      <c r="O70" s="13"/>
      <c r="P70" s="13"/>
      <c r="Q70" s="13"/>
      <c r="R70" s="13"/>
      <c r="S70" s="13"/>
      <c r="T70" s="13"/>
      <c r="U70" s="16"/>
    </row>
    <row r="71" spans="1:21">
      <c r="A71">
        <v>69</v>
      </c>
      <c r="B71" s="13"/>
      <c r="C71" s="11" t="e">
        <f t="shared" si="4"/>
        <v>#DIV/0!</v>
      </c>
      <c r="D71" s="9">
        <f t="shared" si="5"/>
        <v>0</v>
      </c>
      <c r="E71" s="16"/>
      <c r="F71" s="13"/>
      <c r="G71" s="13"/>
      <c r="H71" s="13"/>
      <c r="I71" s="13"/>
      <c r="J71" s="13"/>
      <c r="K71" s="13"/>
      <c r="L71" s="13"/>
      <c r="M71" s="13"/>
      <c r="N71" s="13"/>
      <c r="O71" s="13"/>
      <c r="P71" s="13"/>
      <c r="Q71" s="13"/>
      <c r="R71" s="13"/>
      <c r="S71" s="13"/>
      <c r="T71" s="13"/>
      <c r="U71" s="16"/>
    </row>
    <row r="72" spans="1:21">
      <c r="A72">
        <v>70</v>
      </c>
      <c r="B72" s="13"/>
      <c r="C72" s="11" t="e">
        <f t="shared" si="4"/>
        <v>#DIV/0!</v>
      </c>
      <c r="D72" s="9">
        <f t="shared" si="5"/>
        <v>0</v>
      </c>
      <c r="E72" s="16"/>
      <c r="F72" s="13"/>
      <c r="G72" s="13"/>
      <c r="H72" s="13"/>
      <c r="I72" s="13"/>
      <c r="J72" s="13"/>
      <c r="K72" s="13"/>
      <c r="L72" s="13"/>
      <c r="M72" s="13"/>
      <c r="N72" s="13"/>
      <c r="O72" s="13"/>
      <c r="P72" s="13"/>
      <c r="Q72" s="13"/>
      <c r="R72" s="13"/>
      <c r="S72" s="13"/>
      <c r="T72" s="13"/>
      <c r="U72" s="16"/>
    </row>
    <row r="73" spans="1:21">
      <c r="A73">
        <v>71</v>
      </c>
      <c r="B73" s="13"/>
      <c r="C73" s="11" t="e">
        <f t="shared" si="4"/>
        <v>#DIV/0!</v>
      </c>
      <c r="D73" s="9">
        <f t="shared" si="5"/>
        <v>0</v>
      </c>
      <c r="E73" s="16"/>
      <c r="F73" s="13"/>
      <c r="G73" s="13"/>
      <c r="H73" s="13"/>
      <c r="I73" s="13"/>
      <c r="J73" s="13"/>
      <c r="K73" s="13"/>
      <c r="L73" s="13"/>
      <c r="M73" s="13"/>
      <c r="N73" s="13"/>
      <c r="O73" s="13"/>
      <c r="P73" s="13"/>
      <c r="Q73" s="13"/>
      <c r="R73" s="13"/>
      <c r="S73" s="13"/>
      <c r="T73" s="13"/>
      <c r="U73" s="16"/>
    </row>
    <row r="74" spans="1:21">
      <c r="A74">
        <v>72</v>
      </c>
      <c r="B74" s="13"/>
      <c r="C74" s="11" t="e">
        <f t="shared" si="4"/>
        <v>#DIV/0!</v>
      </c>
      <c r="D74" s="9">
        <f t="shared" si="5"/>
        <v>0</v>
      </c>
      <c r="E74" s="16"/>
      <c r="F74" s="13"/>
      <c r="G74" s="13"/>
      <c r="H74" s="13"/>
      <c r="I74" s="13"/>
      <c r="J74" s="13"/>
      <c r="K74" s="13"/>
      <c r="L74" s="13"/>
      <c r="M74" s="13"/>
      <c r="N74" s="13"/>
      <c r="O74" s="13"/>
      <c r="P74" s="13"/>
      <c r="Q74" s="13"/>
      <c r="R74" s="13"/>
      <c r="S74" s="13"/>
      <c r="T74" s="13"/>
      <c r="U74" s="16"/>
    </row>
    <row r="75" spans="1:21">
      <c r="A75">
        <v>73</v>
      </c>
      <c r="B75" s="13"/>
      <c r="C75" s="11" t="e">
        <f t="shared" si="4"/>
        <v>#DIV/0!</v>
      </c>
      <c r="D75" s="9">
        <f t="shared" si="5"/>
        <v>0</v>
      </c>
      <c r="E75" s="16"/>
      <c r="F75" s="13"/>
      <c r="G75" s="13"/>
      <c r="H75" s="13"/>
      <c r="I75" s="13"/>
      <c r="J75" s="13"/>
      <c r="K75" s="13"/>
      <c r="L75" s="13"/>
      <c r="M75" s="13"/>
      <c r="N75" s="13"/>
      <c r="O75" s="13"/>
      <c r="P75" s="13"/>
      <c r="Q75" s="13"/>
      <c r="R75" s="13"/>
      <c r="S75" s="13"/>
      <c r="T75" s="13"/>
      <c r="U75" s="16"/>
    </row>
    <row r="76" spans="1:21">
      <c r="A76">
        <v>74</v>
      </c>
      <c r="B76" s="13"/>
      <c r="C76" s="11" t="e">
        <f t="shared" si="4"/>
        <v>#DIV/0!</v>
      </c>
      <c r="D76" s="9">
        <f t="shared" si="5"/>
        <v>0</v>
      </c>
      <c r="E76" s="16"/>
      <c r="F76" s="13"/>
      <c r="G76" s="13"/>
      <c r="H76" s="13"/>
      <c r="I76" s="13"/>
      <c r="J76" s="13"/>
      <c r="K76" s="13"/>
      <c r="L76" s="13"/>
      <c r="M76" s="13"/>
      <c r="N76" s="13"/>
      <c r="O76" s="13"/>
      <c r="P76" s="13"/>
      <c r="Q76" s="13"/>
      <c r="R76" s="13"/>
      <c r="S76" s="13"/>
      <c r="T76" s="13"/>
      <c r="U76" s="16"/>
    </row>
    <row r="77" spans="1:21">
      <c r="A77">
        <v>75</v>
      </c>
      <c r="B77" s="13"/>
      <c r="C77" s="11" t="e">
        <f t="shared" si="4"/>
        <v>#DIV/0!</v>
      </c>
      <c r="D77" s="9">
        <f t="shared" si="5"/>
        <v>0</v>
      </c>
      <c r="E77" s="16"/>
      <c r="F77" s="13"/>
      <c r="G77" s="13"/>
      <c r="H77" s="13"/>
      <c r="I77" s="13"/>
      <c r="J77" s="13"/>
      <c r="K77" s="13"/>
      <c r="L77" s="13"/>
      <c r="M77" s="13"/>
      <c r="N77" s="13"/>
      <c r="O77" s="13"/>
      <c r="P77" s="13"/>
      <c r="Q77" s="13"/>
      <c r="R77" s="13"/>
      <c r="S77" s="13"/>
      <c r="T77" s="13"/>
      <c r="U77" s="16"/>
    </row>
    <row r="78" spans="1:21">
      <c r="A78">
        <v>76</v>
      </c>
      <c r="B78" s="13"/>
      <c r="C78" s="11" t="e">
        <f t="shared" si="4"/>
        <v>#DIV/0!</v>
      </c>
      <c r="D78" s="9">
        <f t="shared" si="5"/>
        <v>0</v>
      </c>
      <c r="E78" s="16"/>
      <c r="F78" s="13"/>
      <c r="G78" s="13"/>
      <c r="H78" s="13"/>
      <c r="I78" s="13"/>
      <c r="J78" s="13"/>
      <c r="K78" s="13"/>
      <c r="L78" s="13"/>
      <c r="M78" s="13"/>
      <c r="N78" s="13"/>
      <c r="O78" s="13"/>
      <c r="P78" s="13"/>
      <c r="Q78" s="13"/>
      <c r="R78" s="13"/>
      <c r="S78" s="13"/>
      <c r="T78" s="13"/>
      <c r="U78" s="16"/>
    </row>
    <row r="79" spans="1:21">
      <c r="A79">
        <v>77</v>
      </c>
      <c r="B79" s="13"/>
      <c r="C79" s="11" t="e">
        <f t="shared" si="4"/>
        <v>#DIV/0!</v>
      </c>
      <c r="D79" s="9">
        <f t="shared" si="5"/>
        <v>0</v>
      </c>
      <c r="E79" s="16"/>
      <c r="F79" s="13"/>
      <c r="G79" s="13"/>
      <c r="H79" s="13"/>
      <c r="I79" s="13"/>
      <c r="J79" s="13"/>
      <c r="K79" s="13"/>
      <c r="L79" s="13"/>
      <c r="M79" s="13"/>
      <c r="N79" s="13"/>
      <c r="O79" s="13"/>
      <c r="P79" s="13"/>
      <c r="Q79" s="13"/>
      <c r="R79" s="13"/>
      <c r="S79" s="13"/>
      <c r="T79" s="13"/>
      <c r="U79" s="16"/>
    </row>
    <row r="80" spans="1:21">
      <c r="A80">
        <v>78</v>
      </c>
      <c r="B80" s="13"/>
      <c r="C80" s="11" t="e">
        <f t="shared" si="4"/>
        <v>#DIV/0!</v>
      </c>
      <c r="D80" s="9">
        <f t="shared" si="5"/>
        <v>0</v>
      </c>
      <c r="E80" s="16"/>
      <c r="F80" s="13"/>
      <c r="G80" s="13"/>
      <c r="H80" s="13"/>
      <c r="I80" s="13"/>
      <c r="J80" s="13"/>
      <c r="K80" s="13"/>
      <c r="L80" s="13"/>
      <c r="M80" s="13"/>
      <c r="N80" s="13"/>
      <c r="O80" s="13"/>
      <c r="P80" s="13"/>
      <c r="Q80" s="13"/>
      <c r="R80" s="13"/>
      <c r="S80" s="13"/>
      <c r="T80" s="13"/>
      <c r="U80" s="16"/>
    </row>
    <row r="81" spans="1:21">
      <c r="A81">
        <v>79</v>
      </c>
      <c r="B81" s="13"/>
      <c r="C81" s="11" t="e">
        <f t="shared" si="4"/>
        <v>#DIV/0!</v>
      </c>
      <c r="D81" s="9">
        <f t="shared" si="5"/>
        <v>0</v>
      </c>
      <c r="E81" s="16"/>
      <c r="F81" s="13"/>
      <c r="G81" s="13"/>
      <c r="H81" s="13"/>
      <c r="I81" s="13"/>
      <c r="J81" s="13"/>
      <c r="K81" s="13"/>
      <c r="L81" s="13"/>
      <c r="M81" s="13"/>
      <c r="N81" s="13"/>
      <c r="O81" s="13"/>
      <c r="P81" s="13"/>
      <c r="Q81" s="13"/>
      <c r="R81" s="13"/>
      <c r="S81" s="13"/>
      <c r="T81" s="13"/>
      <c r="U81" s="16"/>
    </row>
    <row r="82" spans="1:21">
      <c r="A82">
        <v>80</v>
      </c>
      <c r="B82" s="13"/>
      <c r="C82" s="11" t="e">
        <f t="shared" si="4"/>
        <v>#DIV/0!</v>
      </c>
      <c r="D82" s="9">
        <f t="shared" si="5"/>
        <v>0</v>
      </c>
      <c r="E82" s="16"/>
      <c r="F82" s="13"/>
      <c r="G82" s="13"/>
      <c r="H82" s="13"/>
      <c r="I82" s="13"/>
      <c r="J82" s="13"/>
      <c r="K82" s="13"/>
      <c r="L82" s="13"/>
      <c r="M82" s="13"/>
      <c r="N82" s="13"/>
      <c r="O82" s="13"/>
      <c r="P82" s="13"/>
      <c r="Q82" s="13"/>
      <c r="R82" s="13"/>
      <c r="S82" s="13"/>
      <c r="T82" s="13"/>
      <c r="U82" s="16"/>
    </row>
    <row r="83" spans="1:21">
      <c r="A83">
        <v>81</v>
      </c>
      <c r="B83" s="13"/>
      <c r="C83" s="11" t="e">
        <f t="shared" si="4"/>
        <v>#DIV/0!</v>
      </c>
      <c r="D83" s="9">
        <f t="shared" si="5"/>
        <v>0</v>
      </c>
      <c r="E83" s="16"/>
      <c r="F83" s="13"/>
      <c r="G83" s="13"/>
      <c r="H83" s="13"/>
      <c r="I83" s="13"/>
      <c r="J83" s="13"/>
      <c r="K83" s="13"/>
      <c r="L83" s="13"/>
      <c r="M83" s="13"/>
      <c r="N83" s="13"/>
      <c r="O83" s="13"/>
      <c r="P83" s="13"/>
      <c r="Q83" s="13"/>
      <c r="R83" s="13"/>
      <c r="S83" s="13"/>
      <c r="T83" s="13"/>
      <c r="U83" s="16"/>
    </row>
    <row r="84" spans="1:21">
      <c r="A84">
        <v>82</v>
      </c>
      <c r="B84" s="13"/>
      <c r="C84" s="11" t="e">
        <f t="shared" si="4"/>
        <v>#DIV/0!</v>
      </c>
      <c r="D84" s="9">
        <f t="shared" si="5"/>
        <v>0</v>
      </c>
      <c r="E84" s="16"/>
      <c r="F84" s="13"/>
      <c r="G84" s="13"/>
      <c r="H84" s="13"/>
      <c r="I84" s="13"/>
      <c r="J84" s="13"/>
      <c r="K84" s="13"/>
      <c r="L84" s="13"/>
      <c r="M84" s="13"/>
      <c r="N84" s="13"/>
      <c r="O84" s="13"/>
      <c r="P84" s="13"/>
      <c r="Q84" s="13"/>
      <c r="R84" s="13"/>
      <c r="S84" s="13"/>
      <c r="T84" s="13"/>
      <c r="U84" s="16"/>
    </row>
    <row r="85" spans="1:21">
      <c r="A85">
        <v>83</v>
      </c>
      <c r="B85" s="13"/>
      <c r="C85" s="11" t="e">
        <f t="shared" si="4"/>
        <v>#DIV/0!</v>
      </c>
      <c r="D85" s="9">
        <f t="shared" si="5"/>
        <v>0</v>
      </c>
      <c r="E85" s="16"/>
      <c r="F85" s="13"/>
      <c r="G85" s="13"/>
      <c r="H85" s="13"/>
      <c r="I85" s="13"/>
      <c r="J85" s="13"/>
      <c r="K85" s="13"/>
      <c r="L85" s="13"/>
      <c r="M85" s="13"/>
      <c r="N85" s="13"/>
      <c r="O85" s="13"/>
      <c r="P85" s="13"/>
      <c r="Q85" s="13"/>
      <c r="R85" s="13"/>
      <c r="S85" s="13"/>
      <c r="T85" s="13"/>
      <c r="U85" s="16"/>
    </row>
    <row r="86" spans="1:21">
      <c r="A86">
        <v>84</v>
      </c>
      <c r="B86" s="13"/>
      <c r="C86" s="11" t="e">
        <f t="shared" si="4"/>
        <v>#DIV/0!</v>
      </c>
      <c r="D86" s="9">
        <f t="shared" si="5"/>
        <v>0</v>
      </c>
      <c r="E86" s="16"/>
      <c r="F86" s="13"/>
      <c r="G86" s="13"/>
      <c r="H86" s="13"/>
      <c r="I86" s="13"/>
      <c r="J86" s="13"/>
      <c r="K86" s="13"/>
      <c r="L86" s="13"/>
      <c r="M86" s="13"/>
      <c r="N86" s="13"/>
      <c r="O86" s="13"/>
      <c r="P86" s="13"/>
      <c r="Q86" s="13"/>
      <c r="R86" s="13"/>
      <c r="S86" s="13"/>
      <c r="T86" s="13"/>
      <c r="U86" s="16"/>
    </row>
    <row r="87" spans="1:21">
      <c r="A87">
        <v>85</v>
      </c>
      <c r="B87" s="13"/>
      <c r="C87" s="11" t="e">
        <f t="shared" si="4"/>
        <v>#DIV/0!</v>
      </c>
      <c r="D87" s="9">
        <f t="shared" si="5"/>
        <v>0</v>
      </c>
      <c r="E87" s="16"/>
      <c r="F87" s="13"/>
      <c r="G87" s="13"/>
      <c r="H87" s="13"/>
      <c r="I87" s="13"/>
      <c r="J87" s="13"/>
      <c r="K87" s="13"/>
      <c r="L87" s="13"/>
      <c r="M87" s="13"/>
      <c r="N87" s="13"/>
      <c r="O87" s="13"/>
      <c r="P87" s="13"/>
      <c r="Q87" s="13"/>
      <c r="R87" s="13"/>
      <c r="S87" s="13"/>
      <c r="T87" s="13"/>
      <c r="U87" s="16"/>
    </row>
    <row r="88" spans="1:21">
      <c r="A88">
        <v>86</v>
      </c>
      <c r="B88" s="13"/>
      <c r="C88" s="11" t="e">
        <f t="shared" si="4"/>
        <v>#DIV/0!</v>
      </c>
      <c r="D88" s="9">
        <f t="shared" si="5"/>
        <v>0</v>
      </c>
      <c r="E88" s="16"/>
      <c r="F88" s="13"/>
      <c r="G88" s="13"/>
      <c r="H88" s="13"/>
      <c r="I88" s="13"/>
      <c r="J88" s="13"/>
      <c r="K88" s="13"/>
      <c r="L88" s="13"/>
      <c r="M88" s="13"/>
      <c r="N88" s="13"/>
      <c r="O88" s="13"/>
      <c r="P88" s="13"/>
      <c r="Q88" s="13"/>
      <c r="R88" s="13"/>
      <c r="S88" s="13"/>
      <c r="T88" s="13"/>
      <c r="U88" s="16"/>
    </row>
    <row r="89" spans="1:21">
      <c r="A89">
        <v>87</v>
      </c>
      <c r="B89" s="13"/>
      <c r="C89" s="11" t="e">
        <f t="shared" si="4"/>
        <v>#DIV/0!</v>
      </c>
      <c r="D89" s="9">
        <f t="shared" si="5"/>
        <v>0</v>
      </c>
      <c r="E89" s="16"/>
      <c r="F89" s="13"/>
      <c r="G89" s="13"/>
      <c r="H89" s="13"/>
      <c r="I89" s="13"/>
      <c r="J89" s="13"/>
      <c r="K89" s="13"/>
      <c r="L89" s="13"/>
      <c r="M89" s="13"/>
      <c r="N89" s="13"/>
      <c r="O89" s="13"/>
      <c r="P89" s="13"/>
      <c r="Q89" s="13"/>
      <c r="R89" s="13"/>
      <c r="S89" s="13"/>
      <c r="T89" s="13"/>
      <c r="U89" s="16"/>
    </row>
    <row r="90" spans="1:21">
      <c r="A90">
        <v>88</v>
      </c>
      <c r="B90" s="13"/>
      <c r="C90" s="11" t="e">
        <f t="shared" si="4"/>
        <v>#DIV/0!</v>
      </c>
      <c r="D90" s="9">
        <f t="shared" si="5"/>
        <v>0</v>
      </c>
      <c r="E90" s="16"/>
      <c r="F90" s="13"/>
      <c r="G90" s="13"/>
      <c r="H90" s="13"/>
      <c r="I90" s="13"/>
      <c r="J90" s="13"/>
      <c r="K90" s="13"/>
      <c r="L90" s="13"/>
      <c r="M90" s="13"/>
      <c r="N90" s="13"/>
      <c r="O90" s="13"/>
      <c r="P90" s="13"/>
      <c r="Q90" s="13"/>
      <c r="R90" s="13"/>
      <c r="S90" s="13"/>
      <c r="T90" s="13"/>
      <c r="U90" s="16"/>
    </row>
    <row r="91" spans="1:21">
      <c r="A91">
        <v>89</v>
      </c>
      <c r="B91" s="13"/>
      <c r="C91" s="11" t="e">
        <f t="shared" si="4"/>
        <v>#DIV/0!</v>
      </c>
      <c r="D91" s="9">
        <f t="shared" si="5"/>
        <v>0</v>
      </c>
      <c r="E91" s="16"/>
      <c r="F91" s="13"/>
      <c r="G91" s="13"/>
      <c r="H91" s="13"/>
      <c r="I91" s="13"/>
      <c r="J91" s="13"/>
      <c r="K91" s="13"/>
      <c r="L91" s="13"/>
      <c r="M91" s="13"/>
      <c r="N91" s="13"/>
      <c r="O91" s="13"/>
      <c r="P91" s="13"/>
      <c r="Q91" s="13"/>
      <c r="R91" s="13"/>
      <c r="S91" s="13"/>
      <c r="T91" s="13"/>
      <c r="U91" s="16"/>
    </row>
    <row r="92" spans="1:21">
      <c r="A92">
        <v>90</v>
      </c>
      <c r="B92" s="13"/>
      <c r="C92" s="11" t="e">
        <f t="shared" si="4"/>
        <v>#DIV/0!</v>
      </c>
      <c r="D92" s="9">
        <f t="shared" si="5"/>
        <v>0</v>
      </c>
      <c r="E92" s="16"/>
      <c r="F92" s="13"/>
      <c r="G92" s="13"/>
      <c r="H92" s="13"/>
      <c r="I92" s="13"/>
      <c r="J92" s="13"/>
      <c r="K92" s="13"/>
      <c r="L92" s="13"/>
      <c r="M92" s="13"/>
      <c r="N92" s="13"/>
      <c r="O92" s="13"/>
      <c r="P92" s="13"/>
      <c r="Q92" s="13"/>
      <c r="R92" s="13"/>
      <c r="S92" s="13"/>
      <c r="T92" s="13"/>
      <c r="U92" s="16"/>
    </row>
    <row r="93" spans="1:21">
      <c r="A93">
        <v>91</v>
      </c>
      <c r="B93" s="13"/>
      <c r="C93" s="11" t="e">
        <f t="shared" si="4"/>
        <v>#DIV/0!</v>
      </c>
      <c r="D93" s="9">
        <f t="shared" si="5"/>
        <v>0</v>
      </c>
      <c r="E93" s="16"/>
      <c r="F93" s="13"/>
      <c r="G93" s="13"/>
      <c r="H93" s="13"/>
      <c r="I93" s="13"/>
      <c r="J93" s="13"/>
      <c r="K93" s="13"/>
      <c r="L93" s="13"/>
      <c r="M93" s="13"/>
      <c r="N93" s="13"/>
      <c r="O93" s="13"/>
      <c r="P93" s="13"/>
      <c r="Q93" s="13"/>
      <c r="R93" s="13"/>
      <c r="S93" s="13"/>
      <c r="T93" s="13"/>
      <c r="U93" s="16"/>
    </row>
    <row r="94" spans="1:21">
      <c r="A94">
        <v>92</v>
      </c>
      <c r="B94" s="13"/>
      <c r="C94" s="11" t="e">
        <f t="shared" si="4"/>
        <v>#DIV/0!</v>
      </c>
      <c r="D94" s="9">
        <f t="shared" si="5"/>
        <v>0</v>
      </c>
      <c r="E94" s="16"/>
      <c r="F94" s="13"/>
      <c r="G94" s="13"/>
      <c r="H94" s="13"/>
      <c r="I94" s="13"/>
      <c r="J94" s="13"/>
      <c r="K94" s="13"/>
      <c r="L94" s="13"/>
      <c r="M94" s="13"/>
      <c r="N94" s="13"/>
      <c r="O94" s="13"/>
      <c r="P94" s="13"/>
      <c r="Q94" s="13"/>
      <c r="R94" s="13"/>
      <c r="S94" s="13"/>
      <c r="T94" s="13"/>
      <c r="U94" s="16"/>
    </row>
    <row r="95" spans="1:21">
      <c r="A95">
        <v>93</v>
      </c>
      <c r="B95" s="13"/>
      <c r="C95" s="11" t="e">
        <f t="shared" si="4"/>
        <v>#DIV/0!</v>
      </c>
      <c r="D95" s="9">
        <f t="shared" si="5"/>
        <v>0</v>
      </c>
      <c r="E95" s="16"/>
      <c r="F95" s="13"/>
      <c r="G95" s="13"/>
      <c r="H95" s="13"/>
      <c r="I95" s="13"/>
      <c r="J95" s="13"/>
      <c r="K95" s="13"/>
      <c r="L95" s="13"/>
      <c r="M95" s="13"/>
      <c r="N95" s="13"/>
      <c r="O95" s="13"/>
      <c r="P95" s="13"/>
      <c r="Q95" s="13"/>
      <c r="R95" s="13"/>
      <c r="S95" s="13"/>
      <c r="T95" s="13"/>
      <c r="U95" s="16"/>
    </row>
    <row r="96" spans="1:21">
      <c r="A96">
        <v>94</v>
      </c>
      <c r="B96" s="13"/>
      <c r="C96" s="11" t="e">
        <f t="shared" si="4"/>
        <v>#DIV/0!</v>
      </c>
      <c r="D96" s="9">
        <f t="shared" si="5"/>
        <v>0</v>
      </c>
      <c r="E96" s="16"/>
      <c r="F96" s="13"/>
      <c r="G96" s="13"/>
      <c r="H96" s="13"/>
      <c r="I96" s="13"/>
      <c r="J96" s="13"/>
      <c r="K96" s="13"/>
      <c r="L96" s="13"/>
      <c r="M96" s="13"/>
      <c r="N96" s="13"/>
      <c r="O96" s="13"/>
      <c r="P96" s="13"/>
      <c r="Q96" s="13"/>
      <c r="R96" s="13"/>
      <c r="S96" s="13"/>
      <c r="T96" s="13"/>
      <c r="U96" s="16"/>
    </row>
    <row r="97" spans="1:21">
      <c r="A97">
        <v>95</v>
      </c>
      <c r="B97" s="13"/>
      <c r="C97" s="11" t="e">
        <f t="shared" si="4"/>
        <v>#DIV/0!</v>
      </c>
      <c r="D97" s="9">
        <f t="shared" si="5"/>
        <v>0</v>
      </c>
      <c r="E97" s="16"/>
      <c r="F97" s="13"/>
      <c r="G97" s="13"/>
      <c r="H97" s="13"/>
      <c r="I97" s="13"/>
      <c r="J97" s="13"/>
      <c r="K97" s="13"/>
      <c r="L97" s="13"/>
      <c r="M97" s="13"/>
      <c r="N97" s="13"/>
      <c r="O97" s="13"/>
      <c r="P97" s="13"/>
      <c r="Q97" s="13"/>
      <c r="R97" s="13"/>
      <c r="S97" s="13"/>
      <c r="T97" s="13"/>
      <c r="U97" s="16"/>
    </row>
    <row r="98" spans="1:21">
      <c r="A98">
        <v>96</v>
      </c>
      <c r="B98" s="13"/>
      <c r="C98" s="11" t="e">
        <f t="shared" ref="C98:C102" si="6">(D98/$D$2)*totaalop</f>
        <v>#DIV/0!</v>
      </c>
      <c r="D98" s="9">
        <f t="shared" ref="D98:D102" si="7">SUM(E98:T98)</f>
        <v>0</v>
      </c>
      <c r="E98" s="16"/>
      <c r="F98" s="13"/>
      <c r="G98" s="13"/>
      <c r="H98" s="13"/>
      <c r="I98" s="13"/>
      <c r="J98" s="13"/>
      <c r="K98" s="13"/>
      <c r="L98" s="13"/>
      <c r="M98" s="13"/>
      <c r="N98" s="13"/>
      <c r="O98" s="13"/>
      <c r="P98" s="13"/>
      <c r="Q98" s="13"/>
      <c r="R98" s="13"/>
      <c r="S98" s="13"/>
      <c r="T98" s="13"/>
      <c r="U98" s="16"/>
    </row>
    <row r="99" spans="1:21">
      <c r="A99">
        <v>97</v>
      </c>
      <c r="B99" s="13"/>
      <c r="C99" s="11" t="e">
        <f t="shared" si="6"/>
        <v>#DIV/0!</v>
      </c>
      <c r="D99" s="9">
        <f t="shared" si="7"/>
        <v>0</v>
      </c>
      <c r="E99" s="16"/>
      <c r="F99" s="13"/>
      <c r="G99" s="13"/>
      <c r="H99" s="13"/>
      <c r="I99" s="13"/>
      <c r="J99" s="13"/>
      <c r="K99" s="13"/>
      <c r="L99" s="13"/>
      <c r="M99" s="13"/>
      <c r="N99" s="13"/>
      <c r="O99" s="13"/>
      <c r="P99" s="13"/>
      <c r="Q99" s="13"/>
      <c r="R99" s="13"/>
      <c r="S99" s="13"/>
      <c r="T99" s="13"/>
      <c r="U99" s="16"/>
    </row>
    <row r="100" spans="1:21">
      <c r="A100">
        <v>98</v>
      </c>
      <c r="B100" s="13"/>
      <c r="C100" s="11" t="e">
        <f t="shared" si="6"/>
        <v>#DIV/0!</v>
      </c>
      <c r="D100" s="9">
        <f t="shared" si="7"/>
        <v>0</v>
      </c>
      <c r="E100" s="16"/>
      <c r="F100" s="13"/>
      <c r="G100" s="13"/>
      <c r="H100" s="13"/>
      <c r="I100" s="13"/>
      <c r="J100" s="13"/>
      <c r="K100" s="13"/>
      <c r="L100" s="13"/>
      <c r="M100" s="13"/>
      <c r="N100" s="13"/>
      <c r="O100" s="13"/>
      <c r="P100" s="13"/>
      <c r="Q100" s="13"/>
      <c r="R100" s="13"/>
      <c r="S100" s="13"/>
      <c r="T100" s="13"/>
      <c r="U100" s="16"/>
    </row>
    <row r="101" spans="1:21">
      <c r="A101">
        <v>99</v>
      </c>
      <c r="B101" s="13"/>
      <c r="C101" s="11" t="e">
        <f t="shared" si="6"/>
        <v>#DIV/0!</v>
      </c>
      <c r="D101" s="9">
        <f t="shared" si="7"/>
        <v>0</v>
      </c>
      <c r="E101" s="16"/>
      <c r="F101" s="13"/>
      <c r="G101" s="13"/>
      <c r="H101" s="13"/>
      <c r="I101" s="13"/>
      <c r="J101" s="13"/>
      <c r="K101" s="13"/>
      <c r="L101" s="13"/>
      <c r="M101" s="13"/>
      <c r="N101" s="13"/>
      <c r="O101" s="13"/>
      <c r="P101" s="13"/>
      <c r="Q101" s="13"/>
      <c r="R101" s="13"/>
      <c r="S101" s="13"/>
      <c r="T101" s="13"/>
      <c r="U101" s="16"/>
    </row>
    <row r="102" spans="1:21">
      <c r="A102">
        <v>100</v>
      </c>
      <c r="B102" s="13"/>
      <c r="C102" s="11" t="e">
        <f t="shared" si="6"/>
        <v>#DIV/0!</v>
      </c>
      <c r="D102" s="9">
        <f t="shared" si="7"/>
        <v>0</v>
      </c>
      <c r="E102" s="16"/>
      <c r="F102" s="13"/>
      <c r="G102" s="13"/>
      <c r="H102" s="13"/>
      <c r="I102" s="13"/>
      <c r="J102" s="13"/>
      <c r="K102" s="13"/>
      <c r="L102" s="13"/>
      <c r="M102" s="13"/>
      <c r="N102" s="13"/>
      <c r="O102" s="13"/>
      <c r="P102" s="13"/>
      <c r="Q102" s="13"/>
      <c r="R102" s="13"/>
      <c r="S102" s="13"/>
      <c r="T102" s="13"/>
      <c r="U102" s="16"/>
    </row>
  </sheetData>
  <sheetProtection sheet="1" objects="1" scenarios="1"/>
  <dataConsolidate/>
  <conditionalFormatting sqref="C3:T102">
    <cfRule type="expression" dxfId="1" priority="1">
      <formula>IF(C3&gt;C$2,1,0)</formula>
    </cfRule>
    <cfRule type="expression" dxfId="0" priority="2">
      <formula>IF(C3&lt;(C$2/2),1,0)</formula>
    </cfRule>
  </conditionalFormatting>
  <dataValidations count="6">
    <dataValidation allowBlank="1" showInputMessage="1" showErrorMessage="1" promptTitle="Student naam (optioneel)" prompt="Vul de naam in van iedere student." sqref="B3:B102"/>
    <dataValidation allowBlank="1" showInputMessage="1" showErrorMessage="1" promptTitle="Gewicht onderdeel" prompt="Het gewicht van ieder onderdeel. Dit gewicht kan aangepast worden in het vorige tabblad 'Punten teller'." sqref="E2:T2"/>
    <dataValidation allowBlank="1" showInputMessage="1" showErrorMessage="1" promptTitle="Naam onderdeel" prompt="De naam van ieder onderdeel. Deze naam kan aangepast worden in het vorige tabblad 'Punten teller'." sqref="E1:T1"/>
    <dataValidation allowBlank="1" showInputMessage="1" showErrorMessage="1" promptTitle="Subtotaal" prompt="Het subtotaal van al de onderdelen samen." sqref="D2"/>
    <dataValidation allowBlank="1" showInputMessage="1" showErrorMessage="1" promptTitle="Totaal" prompt="Het subtotaal wordt herrekend naar dit gewicht (kan aangepast worden)." sqref="C2"/>
    <dataValidation allowBlank="1" showInputMessage="1" showErrorMessage="1" promptTitle="Commentaar (optioneel)" prompt="Voor iedere student kan een afzonderlijke commentaar ingegeven worden betreffende het examen." sqref="U3:U102"/>
  </dataValidations>
  <pageMargins left="0.7" right="0.7" top="0.75" bottom="0.75" header="0.3" footer="0.3"/>
  <pageSetup paperSize="0" orientation="portrait" r:id="rId1"/>
</worksheet>
</file>

<file path=xl/worksheets/sheet3.xml><?xml version="1.0" encoding="utf-8"?>
<worksheet xmlns="http://schemas.openxmlformats.org/spreadsheetml/2006/main" xmlns:r="http://schemas.openxmlformats.org/officeDocument/2006/relationships">
  <sheetPr codeName="Sheet2">
    <tabColor theme="1"/>
  </sheetPr>
  <dimension ref="A1:B32"/>
  <sheetViews>
    <sheetView topLeftCell="A7" workbookViewId="0">
      <selection activeCell="B29" sqref="B29"/>
    </sheetView>
  </sheetViews>
  <sheetFormatPr defaultRowHeight="15"/>
  <cols>
    <col min="1" max="1" width="30.85546875" customWidth="1"/>
    <col min="2" max="2" width="18.140625" style="13" customWidth="1"/>
  </cols>
  <sheetData>
    <row r="1" spans="1:2">
      <c r="A1" t="s">
        <v>11</v>
      </c>
      <c r="B1" s="13" t="s">
        <v>10</v>
      </c>
    </row>
    <row r="2" spans="1:2">
      <c r="A2" t="s">
        <v>29</v>
      </c>
      <c r="B2" s="13" t="s">
        <v>12</v>
      </c>
    </row>
    <row r="3" spans="1:2">
      <c r="A3" t="s">
        <v>13</v>
      </c>
      <c r="B3" s="13" t="s">
        <v>0</v>
      </c>
    </row>
    <row r="4" spans="1:2">
      <c r="A4" t="s">
        <v>56</v>
      </c>
      <c r="B4" s="13" t="s">
        <v>55</v>
      </c>
    </row>
    <row r="5" spans="1:2">
      <c r="A5" t="s">
        <v>41</v>
      </c>
      <c r="B5" s="13" t="s">
        <v>42</v>
      </c>
    </row>
    <row r="6" spans="1:2">
      <c r="A6" t="s">
        <v>14</v>
      </c>
      <c r="B6" s="13" t="s">
        <v>5</v>
      </c>
    </row>
    <row r="7" spans="1:2">
      <c r="A7" t="s">
        <v>15</v>
      </c>
      <c r="B7" s="13" t="s">
        <v>9</v>
      </c>
    </row>
    <row r="8" spans="1:2">
      <c r="A8" t="s">
        <v>16</v>
      </c>
      <c r="B8" s="13" t="s">
        <v>38</v>
      </c>
    </row>
    <row r="9" spans="1:2">
      <c r="A9" t="s">
        <v>17</v>
      </c>
      <c r="B9" s="13" t="s">
        <v>39</v>
      </c>
    </row>
    <row r="10" spans="1:2">
      <c r="A10" t="s">
        <v>18</v>
      </c>
      <c r="B10" s="13" t="s">
        <v>40</v>
      </c>
    </row>
    <row r="11" spans="1:2">
      <c r="A11" t="s">
        <v>19</v>
      </c>
      <c r="B11" s="13" t="s">
        <v>48</v>
      </c>
    </row>
    <row r="12" spans="1:2">
      <c r="A12" t="s">
        <v>43</v>
      </c>
      <c r="B12" s="13" t="s">
        <v>44</v>
      </c>
    </row>
    <row r="13" spans="1:2">
      <c r="A13" t="s">
        <v>20</v>
      </c>
      <c r="B13" s="13" t="str">
        <f>"Totaal "&amp;totaalop</f>
        <v>Totaal 100</v>
      </c>
    </row>
    <row r="14" spans="1:2">
      <c r="A14" t="s">
        <v>21</v>
      </c>
      <c r="B14" s="15">
        <f>Totaal!C2</f>
        <v>100</v>
      </c>
    </row>
    <row r="15" spans="1:2">
      <c r="A15" t="s">
        <v>22</v>
      </c>
      <c r="B15" s="13" t="s">
        <v>7</v>
      </c>
    </row>
    <row r="16" spans="1:2">
      <c r="A16" t="s">
        <v>45</v>
      </c>
      <c r="B16" s="13" t="s">
        <v>46</v>
      </c>
    </row>
    <row r="17" spans="1:2">
      <c r="A17" t="s">
        <v>32</v>
      </c>
      <c r="B17" s="13" t="s">
        <v>33</v>
      </c>
    </row>
    <row r="18" spans="1:2">
      <c r="A18" t="s">
        <v>36</v>
      </c>
      <c r="B18" s="13" t="s">
        <v>34</v>
      </c>
    </row>
    <row r="19" spans="1:2">
      <c r="A19" t="s">
        <v>52</v>
      </c>
      <c r="B19" s="13" t="s">
        <v>51</v>
      </c>
    </row>
    <row r="20" spans="1:2">
      <c r="A20" t="s">
        <v>53</v>
      </c>
      <c r="B20" s="13" t="s">
        <v>54</v>
      </c>
    </row>
    <row r="21" spans="1:2">
      <c r="A21" t="s">
        <v>35</v>
      </c>
      <c r="B21" s="13" t="s">
        <v>37</v>
      </c>
    </row>
    <row r="22" spans="1:2">
      <c r="A22" t="s">
        <v>23</v>
      </c>
      <c r="B22" s="13" t="str">
        <f>"&lt;punten&gt;/&lt;max&gt; voor student &lt;studentnr&gt; (&lt;studentname&gt;) voor deel &lt;deel&gt; toegevoegd in totalen lijst."</f>
        <v>&lt;punten&gt;/&lt;max&gt; voor student &lt;studentnr&gt; (&lt;studentname&gt;) voor deel &lt;deel&gt; toegevoegd in totalen lijst.</v>
      </c>
    </row>
    <row r="23" spans="1:2">
      <c r="A23" t="s">
        <v>24</v>
      </c>
      <c r="B23" s="13">
        <v>6</v>
      </c>
    </row>
    <row r="24" spans="1:2">
      <c r="A24" t="s">
        <v>25</v>
      </c>
      <c r="B24" s="13">
        <f>100+puntentellerdatastartrow</f>
        <v>106</v>
      </c>
    </row>
    <row r="25" spans="1:2">
      <c r="A25" t="s">
        <v>26</v>
      </c>
      <c r="B25" s="13">
        <v>4</v>
      </c>
    </row>
    <row r="26" spans="1:2">
      <c r="A26" t="s">
        <v>31</v>
      </c>
      <c r="B26" s="13">
        <v>1</v>
      </c>
    </row>
    <row r="27" spans="1:2">
      <c r="A27" t="s">
        <v>27</v>
      </c>
      <c r="B27" s="13">
        <v>3</v>
      </c>
    </row>
    <row r="28" spans="1:2">
      <c r="A28" t="s">
        <v>28</v>
      </c>
      <c r="B28" s="13">
        <f>100+totaldatastartrow</f>
        <v>103</v>
      </c>
    </row>
    <row r="29" spans="1:2">
      <c r="A29" t="s">
        <v>30</v>
      </c>
      <c r="B29" s="13">
        <v>5</v>
      </c>
    </row>
    <row r="30" spans="1:2">
      <c r="A30" t="s">
        <v>47</v>
      </c>
      <c r="B30" s="13">
        <v>21</v>
      </c>
    </row>
    <row r="31" spans="1:2">
      <c r="A31" t="s">
        <v>49</v>
      </c>
      <c r="B31" s="13">
        <v>1</v>
      </c>
    </row>
    <row r="32" spans="1:2">
      <c r="A32" t="s">
        <v>50</v>
      </c>
      <c r="B32" s="13">
        <v>2</v>
      </c>
    </row>
  </sheetData>
  <pageMargins left="0.7" right="0.7" top="0.75" bottom="0.75" header="0.3" footer="0.3"/>
  <pageSetup paperSize="0" orientation="portrait" r:id="rId1"/>
</worksheet>
</file>

<file path=xl/worksheets/sheet4.xml><?xml version="1.0" encoding="utf-8"?>
<worksheet xmlns="http://schemas.openxmlformats.org/spreadsheetml/2006/main" xmlns:r="http://schemas.openxmlformats.org/officeDocument/2006/relationships">
  <sheetPr codeName="Sheet3">
    <tabColor theme="4"/>
  </sheetPr>
  <dimension ref="A1:BR102"/>
  <sheetViews>
    <sheetView workbookViewId="0">
      <selection activeCell="G1" sqref="G1"/>
    </sheetView>
  </sheetViews>
  <sheetFormatPr defaultRowHeight="15"/>
  <cols>
    <col min="2" max="2" width="9.140625" style="22"/>
    <col min="3" max="3" width="9.140625" style="8"/>
    <col min="4" max="4" width="17" customWidth="1"/>
    <col min="5" max="5" width="16.5703125" style="8" customWidth="1"/>
    <col min="6" max="8" width="16.5703125" customWidth="1"/>
    <col min="9" max="9" width="18" bestFit="1" customWidth="1"/>
    <col min="10" max="12" width="16.5703125" customWidth="1"/>
    <col min="13" max="13" width="10.7109375" bestFit="1" customWidth="1"/>
    <col min="14" max="16" width="16.5703125" customWidth="1"/>
    <col min="17" max="17" width="10.7109375" bestFit="1" customWidth="1"/>
    <col min="18" max="20" width="16.5703125" customWidth="1"/>
    <col min="21" max="21" width="10.85546875" bestFit="1" customWidth="1"/>
    <col min="22" max="24" width="16.5703125" customWidth="1"/>
    <col min="25" max="25" width="10.5703125" bestFit="1" customWidth="1"/>
    <col min="26" max="28" width="16.5703125" customWidth="1"/>
    <col min="29" max="29" width="10.5703125" bestFit="1" customWidth="1"/>
    <col min="30" max="32" width="16.5703125" customWidth="1"/>
    <col min="33" max="33" width="10.85546875" bestFit="1" customWidth="1"/>
    <col min="34" max="36" width="16.5703125" customWidth="1"/>
    <col min="37" max="37" width="10.85546875" bestFit="1" customWidth="1"/>
    <col min="38" max="40" width="16.5703125" customWidth="1"/>
    <col min="41" max="41" width="10.140625" bestFit="1" customWidth="1"/>
    <col min="42" max="44" width="16.5703125" customWidth="1"/>
    <col min="45" max="45" width="10.28515625" bestFit="1" customWidth="1"/>
    <col min="46" max="48" width="16.5703125" customWidth="1"/>
    <col min="49" max="49" width="10.7109375" bestFit="1" customWidth="1"/>
    <col min="50" max="52" width="16.5703125" customWidth="1"/>
    <col min="53" max="53" width="10.42578125" bestFit="1" customWidth="1"/>
    <col min="54" max="56" width="16.5703125" customWidth="1"/>
    <col min="57" max="57" width="11.28515625" bestFit="1" customWidth="1"/>
    <col min="58" max="58" width="12.28515625" customWidth="1"/>
    <col min="59" max="60" width="16.5703125" customWidth="1"/>
    <col min="61" max="61" width="11" bestFit="1" customWidth="1"/>
    <col min="62" max="64" width="16.5703125" customWidth="1"/>
    <col min="65" max="65" width="11" bestFit="1" customWidth="1"/>
    <col min="66" max="68" width="16.5703125" customWidth="1"/>
    <col min="69" max="69" width="10.7109375" bestFit="1" customWidth="1"/>
    <col min="70" max="70" width="14.28515625" customWidth="1"/>
  </cols>
  <sheetData>
    <row r="1" spans="1:70">
      <c r="A1" t="s">
        <v>57</v>
      </c>
      <c r="B1" s="22" t="s">
        <v>58</v>
      </c>
      <c r="C1" s="8" t="s">
        <v>12</v>
      </c>
      <c r="D1" t="s">
        <v>59</v>
      </c>
      <c r="E1" s="8" t="s">
        <v>60</v>
      </c>
      <c r="F1" t="s">
        <v>62</v>
      </c>
      <c r="G1" t="s">
        <v>61</v>
      </c>
      <c r="H1" t="s">
        <v>63</v>
      </c>
      <c r="I1" t="s">
        <v>64</v>
      </c>
      <c r="J1" t="s">
        <v>65</v>
      </c>
      <c r="K1" t="s">
        <v>66</v>
      </c>
      <c r="L1" t="s">
        <v>67</v>
      </c>
      <c r="M1" t="s">
        <v>68</v>
      </c>
      <c r="N1" t="s">
        <v>69</v>
      </c>
      <c r="O1" t="s">
        <v>70</v>
      </c>
      <c r="P1" t="s">
        <v>71</v>
      </c>
      <c r="Q1" t="s">
        <v>72</v>
      </c>
      <c r="R1" t="s">
        <v>73</v>
      </c>
      <c r="S1" t="s">
        <v>74</v>
      </c>
      <c r="T1" t="s">
        <v>75</v>
      </c>
      <c r="U1" t="s">
        <v>76</v>
      </c>
      <c r="V1" t="s">
        <v>77</v>
      </c>
      <c r="W1" t="s">
        <v>78</v>
      </c>
      <c r="X1" t="s">
        <v>79</v>
      </c>
      <c r="Y1" t="s">
        <v>80</v>
      </c>
      <c r="Z1" t="s">
        <v>81</v>
      </c>
      <c r="AA1" t="s">
        <v>82</v>
      </c>
      <c r="AB1" t="s">
        <v>83</v>
      </c>
      <c r="AC1" t="s">
        <v>84</v>
      </c>
      <c r="AD1" t="s">
        <v>85</v>
      </c>
      <c r="AE1" t="s">
        <v>86</v>
      </c>
      <c r="AF1" t="s">
        <v>87</v>
      </c>
      <c r="AG1" t="s">
        <v>88</v>
      </c>
      <c r="AH1" t="s">
        <v>89</v>
      </c>
      <c r="AI1" t="s">
        <v>90</v>
      </c>
      <c r="AJ1" t="s">
        <v>91</v>
      </c>
      <c r="AK1" t="s">
        <v>92</v>
      </c>
      <c r="AL1" t="s">
        <v>93</v>
      </c>
      <c r="AM1" t="s">
        <v>94</v>
      </c>
      <c r="AN1" t="s">
        <v>95</v>
      </c>
      <c r="AO1" t="s">
        <v>96</v>
      </c>
      <c r="AP1" t="s">
        <v>97</v>
      </c>
      <c r="AQ1" t="s">
        <v>98</v>
      </c>
      <c r="AR1" t="s">
        <v>99</v>
      </c>
      <c r="AS1" t="s">
        <v>100</v>
      </c>
      <c r="AT1" t="s">
        <v>101</v>
      </c>
      <c r="AU1" t="s">
        <v>102</v>
      </c>
      <c r="AV1" t="s">
        <v>103</v>
      </c>
      <c r="AW1" t="s">
        <v>104</v>
      </c>
      <c r="AX1" t="s">
        <v>105</v>
      </c>
      <c r="AY1" t="s">
        <v>106</v>
      </c>
      <c r="AZ1" t="s">
        <v>107</v>
      </c>
      <c r="BA1" t="s">
        <v>108</v>
      </c>
      <c r="BB1" t="s">
        <v>109</v>
      </c>
      <c r="BC1" t="s">
        <v>110</v>
      </c>
      <c r="BD1" t="s">
        <v>111</v>
      </c>
      <c r="BE1" t="s">
        <v>112</v>
      </c>
      <c r="BF1" t="s">
        <v>113</v>
      </c>
      <c r="BG1" t="s">
        <v>114</v>
      </c>
      <c r="BH1" t="s">
        <v>115</v>
      </c>
      <c r="BI1" t="s">
        <v>116</v>
      </c>
      <c r="BJ1" t="s">
        <v>117</v>
      </c>
      <c r="BK1" t="s">
        <v>118</v>
      </c>
      <c r="BL1" t="s">
        <v>119</v>
      </c>
      <c r="BM1" t="s">
        <v>120</v>
      </c>
      <c r="BN1" t="s">
        <v>121</v>
      </c>
      <c r="BO1" t="s">
        <v>122</v>
      </c>
      <c r="BP1" t="s">
        <v>123</v>
      </c>
      <c r="BQ1" t="s">
        <v>124</v>
      </c>
      <c r="BR1" t="s">
        <v>46</v>
      </c>
    </row>
    <row r="2" spans="1:70" s="1" customFormat="1">
      <c r="B2" s="23"/>
      <c r="C2" s="5"/>
      <c r="E2" s="5"/>
    </row>
    <row r="3" spans="1:70">
      <c r="A3">
        <f>Totaal!A3</f>
        <v>1</v>
      </c>
      <c r="B3" s="22" t="str">
        <f>IF(Totaal!B3="","",Totaal!B3)</f>
        <v/>
      </c>
      <c r="C3" s="8" t="e">
        <f>TEXT(TEXT(Totaal!C3,"0,0"),"Standaard")</f>
        <v>#DIV/0!</v>
      </c>
      <c r="D3" s="8" t="str">
        <f>TEXT(Totaal!C$2,"0")</f>
        <v>100</v>
      </c>
      <c r="E3" s="22" t="e">
        <f>TEXT(TEXT(SUM(Totaal!C$3:C$102)/COUNTIF(Totaal!C$3:C$102,"&lt;&gt;0"),"0,0"),"Standaard")</f>
        <v>#DIV/0!</v>
      </c>
      <c r="F3" t="str">
        <f>Totaal!E$1</f>
        <v>A</v>
      </c>
      <c r="G3" t="str">
        <f>TEXT(TEXT(Totaal!E3,"0,0"),"Standaard")</f>
        <v>0</v>
      </c>
      <c r="H3" t="str">
        <f>TEXT(Totaal!E$2,"0")</f>
        <v>0</v>
      </c>
      <c r="I3" t="e">
        <f>TEXT(TEXT(MEDIAN(Totaal!E$3:E$102),"0,0"),"Standaard")</f>
        <v>#NUM!</v>
      </c>
      <c r="J3" t="str">
        <f>Totaal!F$1</f>
        <v>B</v>
      </c>
      <c r="K3" t="str">
        <f>TEXT(TEXT(Totaal!$F3,"0,0"),"Standaard")</f>
        <v>0</v>
      </c>
      <c r="L3" t="str">
        <f>TEXT(Totaal!F$2,"0")</f>
        <v>0</v>
      </c>
      <c r="M3" t="e">
        <f>TEXT(TEXT(MEDIAN(Totaal!$F$3:$F$102),"0,0"),"Standaard")</f>
        <v>#NUM!</v>
      </c>
      <c r="N3" t="str">
        <f>Totaal!G$1</f>
        <v>C</v>
      </c>
      <c r="O3" t="str">
        <f>TEXT(TEXT(Totaal!$G3,"0,0"),"Standaard")</f>
        <v>0</v>
      </c>
      <c r="P3" t="str">
        <f>TEXT(Totaal!$G$2,"0")</f>
        <v>0</v>
      </c>
      <c r="Q3" t="e">
        <f>TEXT(TEXT(MEDIAN(Totaal!$G$3:$G$102),"0,0"),"Standaard")</f>
        <v>#NUM!</v>
      </c>
      <c r="R3" t="str">
        <f>Totaal!H$1</f>
        <v>D</v>
      </c>
      <c r="S3" t="str">
        <f>TEXT(TEXT(Totaal!$H3,"0,0"),"Standaard")</f>
        <v>0</v>
      </c>
      <c r="T3" t="str">
        <f>TEXT(Totaal!$H$2,"0")</f>
        <v>0</v>
      </c>
      <c r="U3" t="e">
        <f>TEXT(TEXT(MEDIAN(Totaal!$H$3:$H$102),"0,0"),"Standaard")</f>
        <v>#NUM!</v>
      </c>
      <c r="V3" t="str">
        <f>Totaal!I$1</f>
        <v>E</v>
      </c>
      <c r="W3" t="str">
        <f>TEXT(TEXT(Totaal!$I3,"0,0"),"Standaard")</f>
        <v>0</v>
      </c>
      <c r="X3" t="str">
        <f>TEXT(Totaal!$I$2,"0")</f>
        <v>0</v>
      </c>
      <c r="Y3" t="e">
        <f>TEXT(TEXT(MEDIAN(Totaal!$I$3:$I$102),"0,0"),"Standaard")</f>
        <v>#NUM!</v>
      </c>
      <c r="Z3" t="str">
        <f>Totaal!J$1</f>
        <v>F</v>
      </c>
      <c r="AA3" t="str">
        <f>TEXT(TEXT(Totaal!$J3,"0,0"),"Standaard")</f>
        <v>0</v>
      </c>
      <c r="AB3" t="str">
        <f>TEXT(Totaal!$J$2,"0")</f>
        <v>0</v>
      </c>
      <c r="AC3" t="e">
        <f>TEXT(TEXT(MEDIAN(Totaal!$J$3:$J$102),"0,0"),"Standaard")</f>
        <v>#NUM!</v>
      </c>
      <c r="AD3" t="str">
        <f>Totaal!K$1</f>
        <v>G</v>
      </c>
      <c r="AE3" t="str">
        <f>TEXT(TEXT(Totaal!$K3,"0,0"),"Standaard")</f>
        <v>0</v>
      </c>
      <c r="AF3" t="str">
        <f>TEXT(Totaal!$K$2,"0")</f>
        <v>0</v>
      </c>
      <c r="AG3" t="e">
        <f>TEXT(TEXT(MEDIAN(Totaal!$K$3:$K$102),"0,0"),"Standaard")</f>
        <v>#NUM!</v>
      </c>
      <c r="AH3" t="str">
        <f>Totaal!L$1</f>
        <v>H</v>
      </c>
      <c r="AI3" t="str">
        <f>TEXT(TEXT(Totaal!$L3,"0,0"),"Standaard")</f>
        <v>0</v>
      </c>
      <c r="AJ3" t="str">
        <f>TEXT(Totaal!$L$2,"0")</f>
        <v>0</v>
      </c>
      <c r="AK3" t="e">
        <f>TEXT(TEXT(MEDIAN(Totaal!$L$3:$L$102),"0,0"),"Standaard")</f>
        <v>#NUM!</v>
      </c>
      <c r="AL3" t="str">
        <f>Totaal!M$1</f>
        <v>I</v>
      </c>
      <c r="AM3" t="str">
        <f>TEXT(TEXT(Totaal!$M3,"0,0"),"Standaard")</f>
        <v>0</v>
      </c>
      <c r="AN3" t="str">
        <f>TEXT(Totaal!$M$2,"0")</f>
        <v>0</v>
      </c>
      <c r="AO3" t="e">
        <f>TEXT(TEXT(MEDIAN(Totaal!$M$3:$M$102),"0,0"),"Standaard")</f>
        <v>#NUM!</v>
      </c>
      <c r="AP3" t="str">
        <f>Totaal!N$1</f>
        <v>J</v>
      </c>
      <c r="AQ3" t="str">
        <f>TEXT(TEXT(Totaal!$N3,"0,0"),"Standaard")</f>
        <v>0</v>
      </c>
      <c r="AR3" t="str">
        <f>TEXT(Totaal!$N$2,"0")</f>
        <v>0</v>
      </c>
      <c r="AS3" t="e">
        <f>TEXT(TEXT(MEDIAN(Totaal!$N$3:$N$102),"0,0"),"Standaard")</f>
        <v>#NUM!</v>
      </c>
      <c r="AT3" t="str">
        <f>Totaal!O$1</f>
        <v>K</v>
      </c>
      <c r="AU3" t="str">
        <f>TEXT(TEXT(Totaal!$O3,"0,0"),"Standaard")</f>
        <v>0</v>
      </c>
      <c r="AV3" t="str">
        <f>TEXT(Totaal!$O$2,"0")</f>
        <v>0</v>
      </c>
      <c r="AW3" t="e">
        <f>TEXT(TEXT(MEDIAN(Totaal!$O$3:$O$102),"0,0"),"Standaard")</f>
        <v>#NUM!</v>
      </c>
      <c r="AX3" t="str">
        <f>Totaal!P$1</f>
        <v>L</v>
      </c>
      <c r="AY3" t="str">
        <f>TEXT(TEXT(Totaal!$P3,"0,0"),"Standaard")</f>
        <v>0</v>
      </c>
      <c r="AZ3" t="str">
        <f>TEXT(Totaal!$P$2,"0")</f>
        <v>0</v>
      </c>
      <c r="BA3" t="e">
        <f>TEXT(TEXT(MEDIAN(Totaal!$P$3:$P$102),"0,0"),"Standaard")</f>
        <v>#NUM!</v>
      </c>
      <c r="BB3" t="str">
        <f>Totaal!Q$1</f>
        <v>M</v>
      </c>
      <c r="BC3" t="str">
        <f>TEXT(TEXT(Totaal!$Q3,"0,0"),"Standaard")</f>
        <v>0</v>
      </c>
      <c r="BD3" t="str">
        <f>TEXT(Totaal!$Q$2,"0")</f>
        <v>0</v>
      </c>
      <c r="BE3" t="e">
        <f>TEXT(TEXT(MEDIAN(Totaal!$Q$3:$Q$102),"0,0"),"Standaard")</f>
        <v>#NUM!</v>
      </c>
      <c r="BF3" t="str">
        <f>Totaal!R$1</f>
        <v>N</v>
      </c>
      <c r="BG3" t="str">
        <f>TEXT(TEXT(Totaal!$R3,"0,0"),"Standaard")</f>
        <v>0</v>
      </c>
      <c r="BH3" t="str">
        <f>TEXT(Totaal!$R$2,"0")</f>
        <v>0</v>
      </c>
      <c r="BI3" t="e">
        <f>TEXT(TEXT(MEDIAN(Totaal!$R$3:$R$102),"0,0"),"Standaard")</f>
        <v>#NUM!</v>
      </c>
      <c r="BJ3" t="str">
        <f>Totaal!S$1</f>
        <v>O</v>
      </c>
      <c r="BK3" t="str">
        <f>TEXT(TEXT(Totaal!$S3,"0,0"),"Standaard")</f>
        <v>0</v>
      </c>
      <c r="BL3" t="str">
        <f>TEXT(Totaal!$S$2,"0")</f>
        <v>0</v>
      </c>
      <c r="BM3" t="e">
        <f>TEXT(TEXT(MEDIAN(Totaal!$S$3:$S$102),"0,0"),"Standaard")</f>
        <v>#NUM!</v>
      </c>
      <c r="BN3" t="str">
        <f>Totaal!T$1</f>
        <v>P</v>
      </c>
      <c r="BO3" t="str">
        <f>TEXT(TEXT(Totaal!$T3,"0,0"),"Standaard")</f>
        <v>0</v>
      </c>
      <c r="BP3" t="str">
        <f>TEXT(Totaal!$T$2,"0")</f>
        <v>0</v>
      </c>
      <c r="BQ3" t="e">
        <f>TEXT(TEXT(MEDIAN(Totaal!$T$3:$T$102),"0,0"),"Standaard")</f>
        <v>#NUM!</v>
      </c>
      <c r="BR3" t="str">
        <f>IF(Totaal!U3="","",Totaal!U3)</f>
        <v/>
      </c>
    </row>
    <row r="4" spans="1:70">
      <c r="A4">
        <f>Totaal!A4</f>
        <v>2</v>
      </c>
      <c r="B4" s="22" t="str">
        <f>IF(Totaal!B4="","",Totaal!B4)</f>
        <v/>
      </c>
      <c r="C4" s="8" t="e">
        <f>TEXT(TEXT(Totaal!C4,"0,0"),"Standaard")</f>
        <v>#DIV/0!</v>
      </c>
      <c r="D4" s="8" t="str">
        <f>TEXT(Totaal!C$2,"0")</f>
        <v>100</v>
      </c>
      <c r="E4" s="22" t="e">
        <f>TEXT(TEXT(SUM(Totaal!C$3:C$102)/COUNTIF(Totaal!C$3:C$102,"&lt;&gt;0"),"0,0"),"Standaard")</f>
        <v>#DIV/0!</v>
      </c>
      <c r="F4" t="str">
        <f>Totaal!E$1</f>
        <v>A</v>
      </c>
      <c r="G4" t="str">
        <f>TEXT(TEXT(Totaal!E4,"0,0"),"Standaard")</f>
        <v>0</v>
      </c>
      <c r="H4" t="str">
        <f>TEXT(Totaal!E$2,"0")</f>
        <v>0</v>
      </c>
      <c r="I4" t="e">
        <f>TEXT(TEXT(MEDIAN(Totaal!E$3:E$102),"0,0"),"Standaard")</f>
        <v>#NUM!</v>
      </c>
      <c r="J4" t="str">
        <f>Totaal!F$1</f>
        <v>B</v>
      </c>
      <c r="K4" t="str">
        <f>TEXT(TEXT(Totaal!$F4,"0,0"),"Standaard")</f>
        <v>0</v>
      </c>
      <c r="L4" t="str">
        <f>TEXT(Totaal!F$2,"0")</f>
        <v>0</v>
      </c>
      <c r="M4" t="e">
        <f>TEXT(TEXT(MEDIAN(Totaal!$F$3:$F$102),"0,0"),"Standaard")</f>
        <v>#NUM!</v>
      </c>
      <c r="N4" t="str">
        <f>Totaal!G$1</f>
        <v>C</v>
      </c>
      <c r="O4" t="str">
        <f>TEXT(TEXT(Totaal!$G4,"0,0"),"Standaard")</f>
        <v>0</v>
      </c>
      <c r="P4" t="str">
        <f>TEXT(Totaal!$G$2,"0")</f>
        <v>0</v>
      </c>
      <c r="Q4" t="e">
        <f>TEXT(TEXT(MEDIAN(Totaal!$G$3:$G$102),"0,0"),"Standaard")</f>
        <v>#NUM!</v>
      </c>
      <c r="R4" t="str">
        <f>Totaal!H$1</f>
        <v>D</v>
      </c>
      <c r="S4" t="str">
        <f>TEXT(TEXT(Totaal!$H4,"0,0"),"Standaard")</f>
        <v>0</v>
      </c>
      <c r="T4" t="str">
        <f>TEXT(Totaal!$H$2,"0")</f>
        <v>0</v>
      </c>
      <c r="U4" t="e">
        <f>TEXT(TEXT(MEDIAN(Totaal!$H$3:$H$102),"0,0"),"Standaard")</f>
        <v>#NUM!</v>
      </c>
      <c r="V4" t="str">
        <f>Totaal!I$1</f>
        <v>E</v>
      </c>
      <c r="W4" t="str">
        <f>TEXT(TEXT(Totaal!$I4,"0,0"),"Standaard")</f>
        <v>0</v>
      </c>
      <c r="X4" t="str">
        <f>TEXT(Totaal!$I$2,"0")</f>
        <v>0</v>
      </c>
      <c r="Y4" t="e">
        <f>TEXT(TEXT(MEDIAN(Totaal!$I$3:$I$102),"0,0"),"Standaard")</f>
        <v>#NUM!</v>
      </c>
      <c r="Z4" t="str">
        <f>Totaal!J$1</f>
        <v>F</v>
      </c>
      <c r="AA4" t="str">
        <f>TEXT(TEXT(Totaal!$J4,"0,0"),"Standaard")</f>
        <v>0</v>
      </c>
      <c r="AB4" t="str">
        <f>TEXT(Totaal!$J$2,"0")</f>
        <v>0</v>
      </c>
      <c r="AC4" t="e">
        <f>TEXT(TEXT(MEDIAN(Totaal!$J$3:$J$102),"0,0"),"Standaard")</f>
        <v>#NUM!</v>
      </c>
      <c r="AD4" t="str">
        <f>Totaal!K$1</f>
        <v>G</v>
      </c>
      <c r="AE4" t="str">
        <f>TEXT(TEXT(Totaal!$K4,"0,0"),"Standaard")</f>
        <v>0</v>
      </c>
      <c r="AF4" t="str">
        <f>TEXT(Totaal!$K$2,"0")</f>
        <v>0</v>
      </c>
      <c r="AG4" t="e">
        <f>TEXT(TEXT(MEDIAN(Totaal!$K$3:$K$102),"0,0"),"Standaard")</f>
        <v>#NUM!</v>
      </c>
      <c r="AH4" t="str">
        <f>Totaal!L$1</f>
        <v>H</v>
      </c>
      <c r="AI4" t="str">
        <f>TEXT(TEXT(Totaal!$L4,"0,0"),"Standaard")</f>
        <v>0</v>
      </c>
      <c r="AJ4" t="str">
        <f>TEXT(Totaal!$L$2,"0")</f>
        <v>0</v>
      </c>
      <c r="AK4" t="e">
        <f>TEXT(TEXT(MEDIAN(Totaal!$L$3:$L$102),"0,0"),"Standaard")</f>
        <v>#NUM!</v>
      </c>
      <c r="AL4" t="str">
        <f>Totaal!M$1</f>
        <v>I</v>
      </c>
      <c r="AM4" t="str">
        <f>TEXT(TEXT(Totaal!$M4,"0,0"),"Standaard")</f>
        <v>0</v>
      </c>
      <c r="AN4" t="str">
        <f>TEXT(Totaal!$M$2,"0")</f>
        <v>0</v>
      </c>
      <c r="AO4" t="e">
        <f>TEXT(TEXT(MEDIAN(Totaal!$M$3:$M$102),"0,0"),"Standaard")</f>
        <v>#NUM!</v>
      </c>
      <c r="AP4" t="str">
        <f>Totaal!N$1</f>
        <v>J</v>
      </c>
      <c r="AQ4" t="str">
        <f>TEXT(TEXT(Totaal!$N4,"0,0"),"Standaard")</f>
        <v>0</v>
      </c>
      <c r="AR4" t="str">
        <f>TEXT(Totaal!$N$2,"0")</f>
        <v>0</v>
      </c>
      <c r="AS4" t="e">
        <f>TEXT(TEXT(MEDIAN(Totaal!$N$3:$N$102),"0,0"),"Standaard")</f>
        <v>#NUM!</v>
      </c>
      <c r="AT4" t="str">
        <f>Totaal!O$1</f>
        <v>K</v>
      </c>
      <c r="AU4" t="str">
        <f>TEXT(TEXT(Totaal!$O4,"0,0"),"Standaard")</f>
        <v>0</v>
      </c>
      <c r="AV4" t="str">
        <f>TEXT(Totaal!$O$2,"0")</f>
        <v>0</v>
      </c>
      <c r="AW4" t="e">
        <f>TEXT(TEXT(MEDIAN(Totaal!$O$3:$O$102),"0,0"),"Standaard")</f>
        <v>#NUM!</v>
      </c>
      <c r="AX4" t="str">
        <f>Totaal!P$1</f>
        <v>L</v>
      </c>
      <c r="AY4" t="str">
        <f>TEXT(TEXT(Totaal!$P4,"0,0"),"Standaard")</f>
        <v>0</v>
      </c>
      <c r="AZ4" t="str">
        <f>TEXT(Totaal!$P$2,"0")</f>
        <v>0</v>
      </c>
      <c r="BA4" t="e">
        <f>TEXT(TEXT(MEDIAN(Totaal!$P$3:$P$102),"0,0"),"Standaard")</f>
        <v>#NUM!</v>
      </c>
      <c r="BB4" t="str">
        <f>Totaal!Q$1</f>
        <v>M</v>
      </c>
      <c r="BC4" t="str">
        <f>TEXT(TEXT(Totaal!$Q4,"0,0"),"Standaard")</f>
        <v>0</v>
      </c>
      <c r="BD4" t="str">
        <f>TEXT(Totaal!$Q$2,"0")</f>
        <v>0</v>
      </c>
      <c r="BE4" t="e">
        <f>TEXT(TEXT(MEDIAN(Totaal!$Q$3:$Q$102),"0,0"),"Standaard")</f>
        <v>#NUM!</v>
      </c>
      <c r="BF4" t="str">
        <f>Totaal!R$1</f>
        <v>N</v>
      </c>
      <c r="BG4" t="str">
        <f>TEXT(TEXT(Totaal!$R4,"0,0"),"Standaard")</f>
        <v>0</v>
      </c>
      <c r="BH4" t="str">
        <f>TEXT(Totaal!$R$2,"0")</f>
        <v>0</v>
      </c>
      <c r="BI4" t="e">
        <f>TEXT(TEXT(MEDIAN(Totaal!$R$3:$R$102),"0,0"),"Standaard")</f>
        <v>#NUM!</v>
      </c>
      <c r="BJ4" t="str">
        <f>Totaal!S$1</f>
        <v>O</v>
      </c>
      <c r="BK4" t="str">
        <f>TEXT(TEXT(Totaal!$S4,"0,0"),"Standaard")</f>
        <v>0</v>
      </c>
      <c r="BL4" t="str">
        <f>TEXT(Totaal!$S$2,"0")</f>
        <v>0</v>
      </c>
      <c r="BM4" t="e">
        <f>TEXT(TEXT(MEDIAN(Totaal!$S$3:$S$102),"0,0"),"Standaard")</f>
        <v>#NUM!</v>
      </c>
      <c r="BN4" t="str">
        <f>Totaal!T$1</f>
        <v>P</v>
      </c>
      <c r="BO4" t="str">
        <f>TEXT(TEXT(Totaal!$T4,"0,0"),"Standaard")</f>
        <v>0</v>
      </c>
      <c r="BP4" t="str">
        <f>TEXT(Totaal!$T$2,"0")</f>
        <v>0</v>
      </c>
      <c r="BQ4" t="e">
        <f>TEXT(TEXT(MEDIAN(Totaal!$T$3:$T$102),"0,0"),"Standaard")</f>
        <v>#NUM!</v>
      </c>
      <c r="BR4" t="str">
        <f>IF(Totaal!U4="","",Totaal!U4)</f>
        <v/>
      </c>
    </row>
    <row r="5" spans="1:70">
      <c r="A5">
        <f>Totaal!A5</f>
        <v>3</v>
      </c>
      <c r="B5" s="22" t="str">
        <f>IF(Totaal!B5="","",Totaal!B5)</f>
        <v/>
      </c>
      <c r="C5" s="8" t="e">
        <f>TEXT(TEXT(Totaal!C5,"0,0"),"Standaard")</f>
        <v>#DIV/0!</v>
      </c>
      <c r="D5" s="8" t="str">
        <f>TEXT(Totaal!C$2,"0")</f>
        <v>100</v>
      </c>
      <c r="E5" s="22" t="e">
        <f>TEXT(TEXT(SUM(Totaal!C$3:C$102)/COUNTIF(Totaal!C$3:C$102,"&lt;&gt;0"),"0,0"),"Standaard")</f>
        <v>#DIV/0!</v>
      </c>
      <c r="F5" t="str">
        <f>Totaal!E$1</f>
        <v>A</v>
      </c>
      <c r="G5" t="str">
        <f>TEXT(TEXT(Totaal!E5,"0,0"),"Standaard")</f>
        <v>0</v>
      </c>
      <c r="H5" t="str">
        <f>TEXT(Totaal!E$2,"0")</f>
        <v>0</v>
      </c>
      <c r="I5" t="e">
        <f>TEXT(TEXT(MEDIAN(Totaal!E$3:E$102),"0,0"),"Standaard")</f>
        <v>#NUM!</v>
      </c>
      <c r="J5" t="str">
        <f>Totaal!F$1</f>
        <v>B</v>
      </c>
      <c r="K5" t="str">
        <f>TEXT(TEXT(Totaal!$F5,"0,0"),"Standaard")</f>
        <v>0</v>
      </c>
      <c r="L5" t="str">
        <f>TEXT(Totaal!F$2,"0")</f>
        <v>0</v>
      </c>
      <c r="M5" t="e">
        <f>TEXT(TEXT(MEDIAN(Totaal!$F$3:$F$102),"0,0"),"Standaard")</f>
        <v>#NUM!</v>
      </c>
      <c r="N5" t="str">
        <f>Totaal!G$1</f>
        <v>C</v>
      </c>
      <c r="O5" t="str">
        <f>TEXT(TEXT(Totaal!$G5,"0,0"),"Standaard")</f>
        <v>0</v>
      </c>
      <c r="P5" t="str">
        <f>TEXT(Totaal!$G$2,"0")</f>
        <v>0</v>
      </c>
      <c r="Q5" t="e">
        <f>TEXT(TEXT(MEDIAN(Totaal!$G$3:$G$102),"0,0"),"Standaard")</f>
        <v>#NUM!</v>
      </c>
      <c r="R5" t="str">
        <f>Totaal!H$1</f>
        <v>D</v>
      </c>
      <c r="S5" t="str">
        <f>TEXT(TEXT(Totaal!$H5,"0,0"),"Standaard")</f>
        <v>0</v>
      </c>
      <c r="T5" t="str">
        <f>TEXT(Totaal!$H$2,"0")</f>
        <v>0</v>
      </c>
      <c r="U5" t="e">
        <f>TEXT(TEXT(MEDIAN(Totaal!$H$3:$H$102),"0,0"),"Standaard")</f>
        <v>#NUM!</v>
      </c>
      <c r="V5" t="str">
        <f>Totaal!I$1</f>
        <v>E</v>
      </c>
      <c r="W5" t="str">
        <f>TEXT(TEXT(Totaal!$I5,"0,0"),"Standaard")</f>
        <v>0</v>
      </c>
      <c r="X5" t="str">
        <f>TEXT(Totaal!$I$2,"0")</f>
        <v>0</v>
      </c>
      <c r="Y5" t="e">
        <f>TEXT(TEXT(MEDIAN(Totaal!$I$3:$I$102),"0,0"),"Standaard")</f>
        <v>#NUM!</v>
      </c>
      <c r="Z5" t="str">
        <f>Totaal!J$1</f>
        <v>F</v>
      </c>
      <c r="AA5" t="str">
        <f>TEXT(TEXT(Totaal!$J5,"0,0"),"Standaard")</f>
        <v>0</v>
      </c>
      <c r="AB5" t="str">
        <f>TEXT(Totaal!$J$2,"0")</f>
        <v>0</v>
      </c>
      <c r="AC5" t="e">
        <f>TEXT(TEXT(MEDIAN(Totaal!$J$3:$J$102),"0,0"),"Standaard")</f>
        <v>#NUM!</v>
      </c>
      <c r="AD5" t="str">
        <f>Totaal!K$1</f>
        <v>G</v>
      </c>
      <c r="AE5" t="str">
        <f>TEXT(TEXT(Totaal!$K5,"0,0"),"Standaard")</f>
        <v>0</v>
      </c>
      <c r="AF5" t="str">
        <f>TEXT(Totaal!$K$2,"0")</f>
        <v>0</v>
      </c>
      <c r="AG5" t="e">
        <f>TEXT(TEXT(MEDIAN(Totaal!$K$3:$K$102),"0,0"),"Standaard")</f>
        <v>#NUM!</v>
      </c>
      <c r="AH5" t="str">
        <f>Totaal!L$1</f>
        <v>H</v>
      </c>
      <c r="AI5" t="str">
        <f>TEXT(TEXT(Totaal!$L5,"0,0"),"Standaard")</f>
        <v>0</v>
      </c>
      <c r="AJ5" t="str">
        <f>TEXT(Totaal!$L$2,"0")</f>
        <v>0</v>
      </c>
      <c r="AK5" t="e">
        <f>TEXT(TEXT(MEDIAN(Totaal!$L$3:$L$102),"0,0"),"Standaard")</f>
        <v>#NUM!</v>
      </c>
      <c r="AL5" t="str">
        <f>Totaal!M$1</f>
        <v>I</v>
      </c>
      <c r="AM5" t="str">
        <f>TEXT(TEXT(Totaal!$M5,"0,0"),"Standaard")</f>
        <v>0</v>
      </c>
      <c r="AN5" t="str">
        <f>TEXT(Totaal!$M$2,"0")</f>
        <v>0</v>
      </c>
      <c r="AO5" t="e">
        <f>TEXT(TEXT(MEDIAN(Totaal!$M$3:$M$102),"0,0"),"Standaard")</f>
        <v>#NUM!</v>
      </c>
      <c r="AP5" t="str">
        <f>Totaal!N$1</f>
        <v>J</v>
      </c>
      <c r="AQ5" t="str">
        <f>TEXT(TEXT(Totaal!$N5,"0,0"),"Standaard")</f>
        <v>0</v>
      </c>
      <c r="AR5" t="str">
        <f>TEXT(Totaal!$N$2,"0")</f>
        <v>0</v>
      </c>
      <c r="AS5" t="e">
        <f>TEXT(TEXT(MEDIAN(Totaal!$N$3:$N$102),"0,0"),"Standaard")</f>
        <v>#NUM!</v>
      </c>
      <c r="AT5" t="str">
        <f>Totaal!O$1</f>
        <v>K</v>
      </c>
      <c r="AU5" t="str">
        <f>TEXT(TEXT(Totaal!$O5,"0,0"),"Standaard")</f>
        <v>0</v>
      </c>
      <c r="AV5" t="str">
        <f>TEXT(Totaal!$O$2,"0")</f>
        <v>0</v>
      </c>
      <c r="AW5" t="e">
        <f>TEXT(TEXT(MEDIAN(Totaal!$O$3:$O$102),"0,0"),"Standaard")</f>
        <v>#NUM!</v>
      </c>
      <c r="AX5" t="str">
        <f>Totaal!P$1</f>
        <v>L</v>
      </c>
      <c r="AY5" t="str">
        <f>TEXT(TEXT(Totaal!$P5,"0,0"),"Standaard")</f>
        <v>0</v>
      </c>
      <c r="AZ5" t="str">
        <f>TEXT(Totaal!$P$2,"0")</f>
        <v>0</v>
      </c>
      <c r="BA5" t="e">
        <f>TEXT(TEXT(MEDIAN(Totaal!$P$3:$P$102),"0,0"),"Standaard")</f>
        <v>#NUM!</v>
      </c>
      <c r="BB5" t="str">
        <f>Totaal!Q$1</f>
        <v>M</v>
      </c>
      <c r="BC5" t="str">
        <f>TEXT(TEXT(Totaal!$Q5,"0,0"),"Standaard")</f>
        <v>0</v>
      </c>
      <c r="BD5" t="str">
        <f>TEXT(Totaal!$Q$2,"0")</f>
        <v>0</v>
      </c>
      <c r="BE5" t="e">
        <f>TEXT(TEXT(MEDIAN(Totaal!$Q$3:$Q$102),"0,0"),"Standaard")</f>
        <v>#NUM!</v>
      </c>
      <c r="BF5" t="str">
        <f>Totaal!R$1</f>
        <v>N</v>
      </c>
      <c r="BG5" t="str">
        <f>TEXT(TEXT(Totaal!$R5,"0,0"),"Standaard")</f>
        <v>0</v>
      </c>
      <c r="BH5" t="str">
        <f>TEXT(Totaal!$R$2,"0")</f>
        <v>0</v>
      </c>
      <c r="BI5" t="e">
        <f>TEXT(TEXT(MEDIAN(Totaal!$R$3:$R$102),"0,0"),"Standaard")</f>
        <v>#NUM!</v>
      </c>
      <c r="BJ5" t="str">
        <f>Totaal!S$1</f>
        <v>O</v>
      </c>
      <c r="BK5" t="str">
        <f>TEXT(TEXT(Totaal!$S5,"0,0"),"Standaard")</f>
        <v>0</v>
      </c>
      <c r="BL5" t="str">
        <f>TEXT(Totaal!$S$2,"0")</f>
        <v>0</v>
      </c>
      <c r="BM5" t="e">
        <f>TEXT(TEXT(MEDIAN(Totaal!$S$3:$S$102),"0,0"),"Standaard")</f>
        <v>#NUM!</v>
      </c>
      <c r="BN5" t="str">
        <f>Totaal!T$1</f>
        <v>P</v>
      </c>
      <c r="BO5" t="str">
        <f>TEXT(TEXT(Totaal!$T5,"0,0"),"Standaard")</f>
        <v>0</v>
      </c>
      <c r="BP5" t="str">
        <f>TEXT(Totaal!$T$2,"0")</f>
        <v>0</v>
      </c>
      <c r="BQ5" t="e">
        <f>TEXT(TEXT(MEDIAN(Totaal!$T$3:$T$102),"0,0"),"Standaard")</f>
        <v>#NUM!</v>
      </c>
      <c r="BR5" t="str">
        <f>IF(Totaal!U5="","",Totaal!U5)</f>
        <v/>
      </c>
    </row>
    <row r="6" spans="1:70">
      <c r="A6">
        <f>Totaal!A6</f>
        <v>4</v>
      </c>
      <c r="B6" s="22" t="str">
        <f>IF(Totaal!B6="","",Totaal!B6)</f>
        <v/>
      </c>
      <c r="C6" s="8" t="e">
        <f>TEXT(TEXT(Totaal!C6,"0,0"),"Standaard")</f>
        <v>#DIV/0!</v>
      </c>
      <c r="D6" s="8" t="str">
        <f>TEXT(Totaal!C$2,"0")</f>
        <v>100</v>
      </c>
      <c r="E6" s="22" t="e">
        <f>TEXT(TEXT(SUM(Totaal!C$3:C$102)/COUNTIF(Totaal!C$3:C$102,"&lt;&gt;0"),"0,0"),"Standaard")</f>
        <v>#DIV/0!</v>
      </c>
      <c r="F6" t="str">
        <f>Totaal!E$1</f>
        <v>A</v>
      </c>
      <c r="G6" t="str">
        <f>TEXT(TEXT(Totaal!E6,"0,0"),"Standaard")</f>
        <v>0</v>
      </c>
      <c r="H6" t="str">
        <f>TEXT(Totaal!E$2,"0")</f>
        <v>0</v>
      </c>
      <c r="I6" t="e">
        <f>TEXT(TEXT(MEDIAN(Totaal!E$3:E$102),"0,0"),"Standaard")</f>
        <v>#NUM!</v>
      </c>
      <c r="J6" t="str">
        <f>Totaal!F$1</f>
        <v>B</v>
      </c>
      <c r="K6" t="str">
        <f>TEXT(TEXT(Totaal!$F6,"0,0"),"Standaard")</f>
        <v>0</v>
      </c>
      <c r="L6" t="str">
        <f>TEXT(Totaal!F$2,"0")</f>
        <v>0</v>
      </c>
      <c r="M6" t="e">
        <f>TEXT(TEXT(MEDIAN(Totaal!$F$3:$F$102),"0,0"),"Standaard")</f>
        <v>#NUM!</v>
      </c>
      <c r="N6" t="str">
        <f>Totaal!G$1</f>
        <v>C</v>
      </c>
      <c r="O6" t="str">
        <f>TEXT(TEXT(Totaal!$G6,"0,0"),"Standaard")</f>
        <v>0</v>
      </c>
      <c r="P6" t="str">
        <f>TEXT(Totaal!$G$2,"0")</f>
        <v>0</v>
      </c>
      <c r="Q6" t="e">
        <f>TEXT(TEXT(MEDIAN(Totaal!$G$3:$G$102),"0,0"),"Standaard")</f>
        <v>#NUM!</v>
      </c>
      <c r="R6" t="str">
        <f>Totaal!H$1</f>
        <v>D</v>
      </c>
      <c r="S6" t="str">
        <f>TEXT(TEXT(Totaal!$H6,"0,0"),"Standaard")</f>
        <v>0</v>
      </c>
      <c r="T6" t="str">
        <f>TEXT(Totaal!$H$2,"0")</f>
        <v>0</v>
      </c>
      <c r="U6" t="e">
        <f>TEXT(TEXT(MEDIAN(Totaal!$H$3:$H$102),"0,0"),"Standaard")</f>
        <v>#NUM!</v>
      </c>
      <c r="V6" t="str">
        <f>Totaal!I$1</f>
        <v>E</v>
      </c>
      <c r="W6" t="str">
        <f>TEXT(TEXT(Totaal!$I6,"0,0"),"Standaard")</f>
        <v>0</v>
      </c>
      <c r="X6" t="str">
        <f>TEXT(Totaal!$I$2,"0")</f>
        <v>0</v>
      </c>
      <c r="Y6" t="e">
        <f>TEXT(TEXT(MEDIAN(Totaal!$I$3:$I$102),"0,0"),"Standaard")</f>
        <v>#NUM!</v>
      </c>
      <c r="Z6" t="str">
        <f>Totaal!J$1</f>
        <v>F</v>
      </c>
      <c r="AA6" t="str">
        <f>TEXT(TEXT(Totaal!$J6,"0,0"),"Standaard")</f>
        <v>0</v>
      </c>
      <c r="AB6" t="str">
        <f>TEXT(Totaal!$J$2,"0")</f>
        <v>0</v>
      </c>
      <c r="AC6" t="e">
        <f>TEXT(TEXT(MEDIAN(Totaal!$J$3:$J$102),"0,0"),"Standaard")</f>
        <v>#NUM!</v>
      </c>
      <c r="AD6" t="str">
        <f>Totaal!K$1</f>
        <v>G</v>
      </c>
      <c r="AE6" t="str">
        <f>TEXT(TEXT(Totaal!$K6,"0,0"),"Standaard")</f>
        <v>0</v>
      </c>
      <c r="AF6" t="str">
        <f>TEXT(Totaal!$K$2,"0")</f>
        <v>0</v>
      </c>
      <c r="AG6" t="e">
        <f>TEXT(TEXT(MEDIAN(Totaal!$K$3:$K$102),"0,0"),"Standaard")</f>
        <v>#NUM!</v>
      </c>
      <c r="AH6" t="str">
        <f>Totaal!L$1</f>
        <v>H</v>
      </c>
      <c r="AI6" t="str">
        <f>TEXT(TEXT(Totaal!$L6,"0,0"),"Standaard")</f>
        <v>0</v>
      </c>
      <c r="AJ6" t="str">
        <f>TEXT(Totaal!$L$2,"0")</f>
        <v>0</v>
      </c>
      <c r="AK6" t="e">
        <f>TEXT(TEXT(MEDIAN(Totaal!$L$3:$L$102),"0,0"),"Standaard")</f>
        <v>#NUM!</v>
      </c>
      <c r="AL6" t="str">
        <f>Totaal!M$1</f>
        <v>I</v>
      </c>
      <c r="AM6" t="str">
        <f>TEXT(TEXT(Totaal!$M6,"0,0"),"Standaard")</f>
        <v>0</v>
      </c>
      <c r="AN6" t="str">
        <f>TEXT(Totaal!$M$2,"0")</f>
        <v>0</v>
      </c>
      <c r="AO6" t="e">
        <f>TEXT(TEXT(MEDIAN(Totaal!$M$3:$M$102),"0,0"),"Standaard")</f>
        <v>#NUM!</v>
      </c>
      <c r="AP6" t="str">
        <f>Totaal!N$1</f>
        <v>J</v>
      </c>
      <c r="AQ6" t="str">
        <f>TEXT(TEXT(Totaal!$N6,"0,0"),"Standaard")</f>
        <v>0</v>
      </c>
      <c r="AR6" t="str">
        <f>TEXT(Totaal!$N$2,"0")</f>
        <v>0</v>
      </c>
      <c r="AS6" t="e">
        <f>TEXT(TEXT(MEDIAN(Totaal!$N$3:$N$102),"0,0"),"Standaard")</f>
        <v>#NUM!</v>
      </c>
      <c r="AT6" t="str">
        <f>Totaal!O$1</f>
        <v>K</v>
      </c>
      <c r="AU6" t="str">
        <f>TEXT(TEXT(Totaal!$O6,"0,0"),"Standaard")</f>
        <v>0</v>
      </c>
      <c r="AV6" t="str">
        <f>TEXT(Totaal!$O$2,"0")</f>
        <v>0</v>
      </c>
      <c r="AW6" t="e">
        <f>TEXT(TEXT(MEDIAN(Totaal!$O$3:$O$102),"0,0"),"Standaard")</f>
        <v>#NUM!</v>
      </c>
      <c r="AX6" t="str">
        <f>Totaal!P$1</f>
        <v>L</v>
      </c>
      <c r="AY6" t="str">
        <f>TEXT(TEXT(Totaal!$P6,"0,0"),"Standaard")</f>
        <v>0</v>
      </c>
      <c r="AZ6" t="str">
        <f>TEXT(Totaal!$P$2,"0")</f>
        <v>0</v>
      </c>
      <c r="BA6" t="e">
        <f>TEXT(TEXT(MEDIAN(Totaal!$P$3:$P$102),"0,0"),"Standaard")</f>
        <v>#NUM!</v>
      </c>
      <c r="BB6" t="str">
        <f>Totaal!Q$1</f>
        <v>M</v>
      </c>
      <c r="BC6" t="str">
        <f>TEXT(TEXT(Totaal!$Q6,"0,0"),"Standaard")</f>
        <v>0</v>
      </c>
      <c r="BD6" t="str">
        <f>TEXT(Totaal!$Q$2,"0")</f>
        <v>0</v>
      </c>
      <c r="BE6" t="e">
        <f>TEXT(TEXT(MEDIAN(Totaal!$Q$3:$Q$102),"0,0"),"Standaard")</f>
        <v>#NUM!</v>
      </c>
      <c r="BF6" t="str">
        <f>Totaal!R$1</f>
        <v>N</v>
      </c>
      <c r="BG6" t="str">
        <f>TEXT(TEXT(Totaal!$R6,"0,0"),"Standaard")</f>
        <v>0</v>
      </c>
      <c r="BH6" t="str">
        <f>TEXT(Totaal!$R$2,"0")</f>
        <v>0</v>
      </c>
      <c r="BI6" t="e">
        <f>TEXT(TEXT(MEDIAN(Totaal!$R$3:$R$102),"0,0"),"Standaard")</f>
        <v>#NUM!</v>
      </c>
      <c r="BJ6" t="str">
        <f>Totaal!S$1</f>
        <v>O</v>
      </c>
      <c r="BK6" t="str">
        <f>TEXT(TEXT(Totaal!$S6,"0,0"),"Standaard")</f>
        <v>0</v>
      </c>
      <c r="BL6" t="str">
        <f>TEXT(Totaal!$S$2,"0")</f>
        <v>0</v>
      </c>
      <c r="BM6" t="e">
        <f>TEXT(TEXT(MEDIAN(Totaal!$S$3:$S$102),"0,0"),"Standaard")</f>
        <v>#NUM!</v>
      </c>
      <c r="BN6" t="str">
        <f>Totaal!T$1</f>
        <v>P</v>
      </c>
      <c r="BO6" t="str">
        <f>TEXT(TEXT(Totaal!$T6,"0,0"),"Standaard")</f>
        <v>0</v>
      </c>
      <c r="BP6" t="str">
        <f>TEXT(Totaal!$T$2,"0")</f>
        <v>0</v>
      </c>
      <c r="BQ6" t="e">
        <f>TEXT(TEXT(MEDIAN(Totaal!$T$3:$T$102),"0,0"),"Standaard")</f>
        <v>#NUM!</v>
      </c>
      <c r="BR6" t="str">
        <f>IF(Totaal!U6="","",Totaal!U6)</f>
        <v/>
      </c>
    </row>
    <row r="7" spans="1:70">
      <c r="A7">
        <f>Totaal!A7</f>
        <v>5</v>
      </c>
      <c r="B7" s="22" t="str">
        <f>IF(Totaal!B7="","",Totaal!B7)</f>
        <v/>
      </c>
      <c r="C7" s="8" t="e">
        <f>TEXT(TEXT(Totaal!C7,"0,0"),"Standaard")</f>
        <v>#DIV/0!</v>
      </c>
      <c r="D7" s="8" t="str">
        <f>TEXT(Totaal!C$2,"0")</f>
        <v>100</v>
      </c>
      <c r="E7" s="22" t="e">
        <f>TEXT(TEXT(SUM(Totaal!C$3:C$102)/COUNTIF(Totaal!C$3:C$102,"&lt;&gt;0"),"0,0"),"Standaard")</f>
        <v>#DIV/0!</v>
      </c>
      <c r="F7" t="str">
        <f>Totaal!E$1</f>
        <v>A</v>
      </c>
      <c r="G7" t="str">
        <f>TEXT(TEXT(Totaal!E7,"0,0"),"Standaard")</f>
        <v>0</v>
      </c>
      <c r="H7" t="str">
        <f>TEXT(Totaal!E$2,"0")</f>
        <v>0</v>
      </c>
      <c r="I7" t="e">
        <f>TEXT(TEXT(MEDIAN(Totaal!E$3:E$102),"0,0"),"Standaard")</f>
        <v>#NUM!</v>
      </c>
      <c r="J7" t="str">
        <f>Totaal!F$1</f>
        <v>B</v>
      </c>
      <c r="K7" t="str">
        <f>TEXT(TEXT(Totaal!$F7,"0,0"),"Standaard")</f>
        <v>0</v>
      </c>
      <c r="L7" t="str">
        <f>TEXT(Totaal!F$2,"0")</f>
        <v>0</v>
      </c>
      <c r="M7" t="e">
        <f>TEXT(TEXT(MEDIAN(Totaal!$F$3:$F$102),"0,0"),"Standaard")</f>
        <v>#NUM!</v>
      </c>
      <c r="N7" t="str">
        <f>Totaal!G$1</f>
        <v>C</v>
      </c>
      <c r="O7" t="str">
        <f>TEXT(TEXT(Totaal!$G7,"0,0"),"Standaard")</f>
        <v>0</v>
      </c>
      <c r="P7" t="str">
        <f>TEXT(Totaal!$G$2,"0")</f>
        <v>0</v>
      </c>
      <c r="Q7" t="e">
        <f>TEXT(TEXT(MEDIAN(Totaal!$G$3:$G$102),"0,0"),"Standaard")</f>
        <v>#NUM!</v>
      </c>
      <c r="R7" t="str">
        <f>Totaal!H$1</f>
        <v>D</v>
      </c>
      <c r="S7" t="str">
        <f>TEXT(TEXT(Totaal!$H7,"0,0"),"Standaard")</f>
        <v>0</v>
      </c>
      <c r="T7" t="str">
        <f>TEXT(Totaal!$H$2,"0")</f>
        <v>0</v>
      </c>
      <c r="U7" t="e">
        <f>TEXT(TEXT(MEDIAN(Totaal!$H$3:$H$102),"0,0"),"Standaard")</f>
        <v>#NUM!</v>
      </c>
      <c r="V7" t="str">
        <f>Totaal!I$1</f>
        <v>E</v>
      </c>
      <c r="W7" t="str">
        <f>TEXT(TEXT(Totaal!$I7,"0,0"),"Standaard")</f>
        <v>0</v>
      </c>
      <c r="X7" t="str">
        <f>TEXT(Totaal!$I$2,"0")</f>
        <v>0</v>
      </c>
      <c r="Y7" t="e">
        <f>TEXT(TEXT(MEDIAN(Totaal!$I$3:$I$102),"0,0"),"Standaard")</f>
        <v>#NUM!</v>
      </c>
      <c r="Z7" t="str">
        <f>Totaal!J$1</f>
        <v>F</v>
      </c>
      <c r="AA7" t="str">
        <f>TEXT(TEXT(Totaal!$J7,"0,0"),"Standaard")</f>
        <v>0</v>
      </c>
      <c r="AB7" t="str">
        <f>TEXT(Totaal!$J$2,"0")</f>
        <v>0</v>
      </c>
      <c r="AC7" t="e">
        <f>TEXT(TEXT(MEDIAN(Totaal!$J$3:$J$102),"0,0"),"Standaard")</f>
        <v>#NUM!</v>
      </c>
      <c r="AD7" t="str">
        <f>Totaal!K$1</f>
        <v>G</v>
      </c>
      <c r="AE7" t="str">
        <f>TEXT(TEXT(Totaal!$K7,"0,0"),"Standaard")</f>
        <v>0</v>
      </c>
      <c r="AF7" t="str">
        <f>TEXT(Totaal!$K$2,"0")</f>
        <v>0</v>
      </c>
      <c r="AG7" t="e">
        <f>TEXT(TEXT(MEDIAN(Totaal!$K$3:$K$102),"0,0"),"Standaard")</f>
        <v>#NUM!</v>
      </c>
      <c r="AH7" t="str">
        <f>Totaal!L$1</f>
        <v>H</v>
      </c>
      <c r="AI7" t="str">
        <f>TEXT(TEXT(Totaal!$L7,"0,0"),"Standaard")</f>
        <v>0</v>
      </c>
      <c r="AJ7" t="str">
        <f>TEXT(Totaal!$L$2,"0")</f>
        <v>0</v>
      </c>
      <c r="AK7" t="e">
        <f>TEXT(TEXT(MEDIAN(Totaal!$L$3:$L$102),"0,0"),"Standaard")</f>
        <v>#NUM!</v>
      </c>
      <c r="AL7" t="str">
        <f>Totaal!M$1</f>
        <v>I</v>
      </c>
      <c r="AM7" t="str">
        <f>TEXT(TEXT(Totaal!$M7,"0,0"),"Standaard")</f>
        <v>0</v>
      </c>
      <c r="AN7" t="str">
        <f>TEXT(Totaal!$M$2,"0")</f>
        <v>0</v>
      </c>
      <c r="AO7" t="e">
        <f>TEXT(TEXT(MEDIAN(Totaal!$M$3:$M$102),"0,0"),"Standaard")</f>
        <v>#NUM!</v>
      </c>
      <c r="AP7" t="str">
        <f>Totaal!N$1</f>
        <v>J</v>
      </c>
      <c r="AQ7" t="str">
        <f>TEXT(TEXT(Totaal!$N7,"0,0"),"Standaard")</f>
        <v>0</v>
      </c>
      <c r="AR7" t="str">
        <f>TEXT(Totaal!$N$2,"0")</f>
        <v>0</v>
      </c>
      <c r="AS7" t="e">
        <f>TEXT(TEXT(MEDIAN(Totaal!$N$3:$N$102),"0,0"),"Standaard")</f>
        <v>#NUM!</v>
      </c>
      <c r="AT7" t="str">
        <f>Totaal!O$1</f>
        <v>K</v>
      </c>
      <c r="AU7" t="str">
        <f>TEXT(TEXT(Totaal!$O7,"0,0"),"Standaard")</f>
        <v>0</v>
      </c>
      <c r="AV7" t="str">
        <f>TEXT(Totaal!$O$2,"0")</f>
        <v>0</v>
      </c>
      <c r="AW7" t="e">
        <f>TEXT(TEXT(MEDIAN(Totaal!$O$3:$O$102),"0,0"),"Standaard")</f>
        <v>#NUM!</v>
      </c>
      <c r="AX7" t="str">
        <f>Totaal!P$1</f>
        <v>L</v>
      </c>
      <c r="AY7" t="str">
        <f>TEXT(TEXT(Totaal!$P7,"0,0"),"Standaard")</f>
        <v>0</v>
      </c>
      <c r="AZ7" t="str">
        <f>TEXT(Totaal!$P$2,"0")</f>
        <v>0</v>
      </c>
      <c r="BA7" t="e">
        <f>TEXT(TEXT(MEDIAN(Totaal!$P$3:$P$102),"0,0"),"Standaard")</f>
        <v>#NUM!</v>
      </c>
      <c r="BB7" t="str">
        <f>Totaal!Q$1</f>
        <v>M</v>
      </c>
      <c r="BC7" t="str">
        <f>TEXT(TEXT(Totaal!$Q7,"0,0"),"Standaard")</f>
        <v>0</v>
      </c>
      <c r="BD7" t="str">
        <f>TEXT(Totaal!$Q$2,"0")</f>
        <v>0</v>
      </c>
      <c r="BE7" t="e">
        <f>TEXT(TEXT(MEDIAN(Totaal!$Q$3:$Q$102),"0,0"),"Standaard")</f>
        <v>#NUM!</v>
      </c>
      <c r="BF7" t="str">
        <f>Totaal!R$1</f>
        <v>N</v>
      </c>
      <c r="BG7" t="str">
        <f>TEXT(TEXT(Totaal!$R7,"0,0"),"Standaard")</f>
        <v>0</v>
      </c>
      <c r="BH7" t="str">
        <f>TEXT(Totaal!$R$2,"0")</f>
        <v>0</v>
      </c>
      <c r="BI7" t="e">
        <f>TEXT(TEXT(MEDIAN(Totaal!$R$3:$R$102),"0,0"),"Standaard")</f>
        <v>#NUM!</v>
      </c>
      <c r="BJ7" t="str">
        <f>Totaal!S$1</f>
        <v>O</v>
      </c>
      <c r="BK7" t="str">
        <f>TEXT(TEXT(Totaal!$S7,"0,0"),"Standaard")</f>
        <v>0</v>
      </c>
      <c r="BL7" t="str">
        <f>TEXT(Totaal!$S$2,"0")</f>
        <v>0</v>
      </c>
      <c r="BM7" t="e">
        <f>TEXT(TEXT(MEDIAN(Totaal!$S$3:$S$102),"0,0"),"Standaard")</f>
        <v>#NUM!</v>
      </c>
      <c r="BN7" t="str">
        <f>Totaal!T$1</f>
        <v>P</v>
      </c>
      <c r="BO7" t="str">
        <f>TEXT(TEXT(Totaal!$T7,"0,0"),"Standaard")</f>
        <v>0</v>
      </c>
      <c r="BP7" t="str">
        <f>TEXT(Totaal!$T$2,"0")</f>
        <v>0</v>
      </c>
      <c r="BQ7" t="e">
        <f>TEXT(TEXT(MEDIAN(Totaal!$T$3:$T$102),"0,0"),"Standaard")</f>
        <v>#NUM!</v>
      </c>
      <c r="BR7" t="str">
        <f>IF(Totaal!U7="","",Totaal!U7)</f>
        <v/>
      </c>
    </row>
    <row r="8" spans="1:70">
      <c r="A8">
        <f>Totaal!A8</f>
        <v>6</v>
      </c>
      <c r="B8" s="22" t="str">
        <f>IF(Totaal!B8="","",Totaal!B8)</f>
        <v/>
      </c>
      <c r="C8" s="8" t="e">
        <f>TEXT(TEXT(Totaal!C8,"0,0"),"Standaard")</f>
        <v>#DIV/0!</v>
      </c>
      <c r="D8" s="8" t="str">
        <f>TEXT(Totaal!C$2,"0")</f>
        <v>100</v>
      </c>
      <c r="E8" s="22" t="e">
        <f>TEXT(TEXT(SUM(Totaal!C$3:C$102)/COUNTIF(Totaal!C$3:C$102,"&lt;&gt;0"),"0,0"),"Standaard")</f>
        <v>#DIV/0!</v>
      </c>
      <c r="F8" t="str">
        <f>Totaal!E$1</f>
        <v>A</v>
      </c>
      <c r="G8" t="str">
        <f>TEXT(TEXT(Totaal!E8,"0,0"),"Standaard")</f>
        <v>0</v>
      </c>
      <c r="H8" t="str">
        <f>TEXT(Totaal!E$2,"0")</f>
        <v>0</v>
      </c>
      <c r="I8" t="e">
        <f>TEXT(TEXT(MEDIAN(Totaal!E$3:E$102),"0,0"),"Standaard")</f>
        <v>#NUM!</v>
      </c>
      <c r="J8" t="str">
        <f>Totaal!F$1</f>
        <v>B</v>
      </c>
      <c r="K8" t="str">
        <f>TEXT(TEXT(Totaal!$F8,"0,0"),"Standaard")</f>
        <v>0</v>
      </c>
      <c r="L8" t="str">
        <f>TEXT(Totaal!F$2,"0")</f>
        <v>0</v>
      </c>
      <c r="M8" t="e">
        <f>TEXT(TEXT(MEDIAN(Totaal!$F$3:$F$102),"0,0"),"Standaard")</f>
        <v>#NUM!</v>
      </c>
      <c r="N8" t="str">
        <f>Totaal!G$1</f>
        <v>C</v>
      </c>
      <c r="O8" t="str">
        <f>TEXT(TEXT(Totaal!$G8,"0,0"),"Standaard")</f>
        <v>0</v>
      </c>
      <c r="P8" t="str">
        <f>TEXT(Totaal!$G$2,"0")</f>
        <v>0</v>
      </c>
      <c r="Q8" t="e">
        <f>TEXT(TEXT(MEDIAN(Totaal!$G$3:$G$102),"0,0"),"Standaard")</f>
        <v>#NUM!</v>
      </c>
      <c r="R8" t="str">
        <f>Totaal!H$1</f>
        <v>D</v>
      </c>
      <c r="S8" t="str">
        <f>TEXT(TEXT(Totaal!$H8,"0,0"),"Standaard")</f>
        <v>0</v>
      </c>
      <c r="T8" t="str">
        <f>TEXT(Totaal!$H$2,"0")</f>
        <v>0</v>
      </c>
      <c r="U8" t="e">
        <f>TEXT(TEXT(MEDIAN(Totaal!$H$3:$H$102),"0,0"),"Standaard")</f>
        <v>#NUM!</v>
      </c>
      <c r="V8" t="str">
        <f>Totaal!I$1</f>
        <v>E</v>
      </c>
      <c r="W8" t="str">
        <f>TEXT(TEXT(Totaal!$I8,"0,0"),"Standaard")</f>
        <v>0</v>
      </c>
      <c r="X8" t="str">
        <f>TEXT(Totaal!$I$2,"0")</f>
        <v>0</v>
      </c>
      <c r="Y8" t="e">
        <f>TEXT(TEXT(MEDIAN(Totaal!$I$3:$I$102),"0,0"),"Standaard")</f>
        <v>#NUM!</v>
      </c>
      <c r="Z8" t="str">
        <f>Totaal!J$1</f>
        <v>F</v>
      </c>
      <c r="AA8" t="str">
        <f>TEXT(TEXT(Totaal!$J8,"0,0"),"Standaard")</f>
        <v>0</v>
      </c>
      <c r="AB8" t="str">
        <f>TEXT(Totaal!$J$2,"0")</f>
        <v>0</v>
      </c>
      <c r="AC8" t="e">
        <f>TEXT(TEXT(MEDIAN(Totaal!$J$3:$J$102),"0,0"),"Standaard")</f>
        <v>#NUM!</v>
      </c>
      <c r="AD8" t="str">
        <f>Totaal!K$1</f>
        <v>G</v>
      </c>
      <c r="AE8" t="str">
        <f>TEXT(TEXT(Totaal!$K8,"0,0"),"Standaard")</f>
        <v>0</v>
      </c>
      <c r="AF8" t="str">
        <f>TEXT(Totaal!$K$2,"0")</f>
        <v>0</v>
      </c>
      <c r="AG8" t="e">
        <f>TEXT(TEXT(MEDIAN(Totaal!$K$3:$K$102),"0,0"),"Standaard")</f>
        <v>#NUM!</v>
      </c>
      <c r="AH8" t="str">
        <f>Totaal!L$1</f>
        <v>H</v>
      </c>
      <c r="AI8" t="str">
        <f>TEXT(TEXT(Totaal!$L8,"0,0"),"Standaard")</f>
        <v>0</v>
      </c>
      <c r="AJ8" t="str">
        <f>TEXT(Totaal!$L$2,"0")</f>
        <v>0</v>
      </c>
      <c r="AK8" t="e">
        <f>TEXT(TEXT(MEDIAN(Totaal!$L$3:$L$102),"0,0"),"Standaard")</f>
        <v>#NUM!</v>
      </c>
      <c r="AL8" t="str">
        <f>Totaal!M$1</f>
        <v>I</v>
      </c>
      <c r="AM8" t="str">
        <f>TEXT(TEXT(Totaal!$M8,"0,0"),"Standaard")</f>
        <v>0</v>
      </c>
      <c r="AN8" t="str">
        <f>TEXT(Totaal!$M$2,"0")</f>
        <v>0</v>
      </c>
      <c r="AO8" t="e">
        <f>TEXT(TEXT(MEDIAN(Totaal!$M$3:$M$102),"0,0"),"Standaard")</f>
        <v>#NUM!</v>
      </c>
      <c r="AP8" t="str">
        <f>Totaal!N$1</f>
        <v>J</v>
      </c>
      <c r="AQ8" t="str">
        <f>TEXT(TEXT(Totaal!$N8,"0,0"),"Standaard")</f>
        <v>0</v>
      </c>
      <c r="AR8" t="str">
        <f>TEXT(Totaal!$N$2,"0")</f>
        <v>0</v>
      </c>
      <c r="AS8" t="e">
        <f>TEXT(TEXT(MEDIAN(Totaal!$N$3:$N$102),"0,0"),"Standaard")</f>
        <v>#NUM!</v>
      </c>
      <c r="AT8" t="str">
        <f>Totaal!O$1</f>
        <v>K</v>
      </c>
      <c r="AU8" t="str">
        <f>TEXT(TEXT(Totaal!$O8,"0,0"),"Standaard")</f>
        <v>0</v>
      </c>
      <c r="AV8" t="str">
        <f>TEXT(Totaal!$O$2,"0")</f>
        <v>0</v>
      </c>
      <c r="AW8" t="e">
        <f>TEXT(TEXT(MEDIAN(Totaal!$O$3:$O$102),"0,0"),"Standaard")</f>
        <v>#NUM!</v>
      </c>
      <c r="AX8" t="str">
        <f>Totaal!P$1</f>
        <v>L</v>
      </c>
      <c r="AY8" t="str">
        <f>TEXT(TEXT(Totaal!$P8,"0,0"),"Standaard")</f>
        <v>0</v>
      </c>
      <c r="AZ8" t="str">
        <f>TEXT(Totaal!$P$2,"0")</f>
        <v>0</v>
      </c>
      <c r="BA8" t="e">
        <f>TEXT(TEXT(MEDIAN(Totaal!$P$3:$P$102),"0,0"),"Standaard")</f>
        <v>#NUM!</v>
      </c>
      <c r="BB8" t="str">
        <f>Totaal!Q$1</f>
        <v>M</v>
      </c>
      <c r="BC8" t="str">
        <f>TEXT(TEXT(Totaal!$Q8,"0,0"),"Standaard")</f>
        <v>0</v>
      </c>
      <c r="BD8" t="str">
        <f>TEXT(Totaal!$Q$2,"0")</f>
        <v>0</v>
      </c>
      <c r="BE8" t="e">
        <f>TEXT(TEXT(MEDIAN(Totaal!$Q$3:$Q$102),"0,0"),"Standaard")</f>
        <v>#NUM!</v>
      </c>
      <c r="BF8" t="str">
        <f>Totaal!R$1</f>
        <v>N</v>
      </c>
      <c r="BG8" t="str">
        <f>TEXT(TEXT(Totaal!$R8,"0,0"),"Standaard")</f>
        <v>0</v>
      </c>
      <c r="BH8" t="str">
        <f>TEXT(Totaal!$R$2,"0")</f>
        <v>0</v>
      </c>
      <c r="BI8" t="e">
        <f>TEXT(TEXT(MEDIAN(Totaal!$R$3:$R$102),"0,0"),"Standaard")</f>
        <v>#NUM!</v>
      </c>
      <c r="BJ8" t="str">
        <f>Totaal!S$1</f>
        <v>O</v>
      </c>
      <c r="BK8" t="str">
        <f>TEXT(TEXT(Totaal!$S8,"0,0"),"Standaard")</f>
        <v>0</v>
      </c>
      <c r="BL8" t="str">
        <f>TEXT(Totaal!$S$2,"0")</f>
        <v>0</v>
      </c>
      <c r="BM8" t="e">
        <f>TEXT(TEXT(MEDIAN(Totaal!$S$3:$S$102),"0,0"),"Standaard")</f>
        <v>#NUM!</v>
      </c>
      <c r="BN8" t="str">
        <f>Totaal!T$1</f>
        <v>P</v>
      </c>
      <c r="BO8" t="str">
        <f>TEXT(TEXT(Totaal!$T8,"0,0"),"Standaard")</f>
        <v>0</v>
      </c>
      <c r="BP8" t="str">
        <f>TEXT(Totaal!$T$2,"0")</f>
        <v>0</v>
      </c>
      <c r="BQ8" t="e">
        <f>TEXT(TEXT(MEDIAN(Totaal!$T$3:$T$102),"0,0"),"Standaard")</f>
        <v>#NUM!</v>
      </c>
      <c r="BR8" t="str">
        <f>IF(Totaal!U8="","",Totaal!U8)</f>
        <v/>
      </c>
    </row>
    <row r="9" spans="1:70">
      <c r="A9">
        <f>Totaal!A9</f>
        <v>7</v>
      </c>
      <c r="B9" s="22" t="str">
        <f>IF(Totaal!B9="","",Totaal!B9)</f>
        <v/>
      </c>
      <c r="C9" s="8" t="e">
        <f>TEXT(TEXT(Totaal!C9,"0,0"),"Standaard")</f>
        <v>#DIV/0!</v>
      </c>
      <c r="D9" s="8" t="str">
        <f>TEXT(Totaal!C$2,"0")</f>
        <v>100</v>
      </c>
      <c r="E9" s="22" t="e">
        <f>TEXT(TEXT(SUM(Totaal!C$3:C$102)/COUNTIF(Totaal!C$3:C$102,"&lt;&gt;0"),"0,0"),"Standaard")</f>
        <v>#DIV/0!</v>
      </c>
      <c r="F9" t="str">
        <f>Totaal!E$1</f>
        <v>A</v>
      </c>
      <c r="G9" t="str">
        <f>TEXT(TEXT(Totaal!E9,"0,0"),"Standaard")</f>
        <v>0</v>
      </c>
      <c r="H9" t="str">
        <f>TEXT(Totaal!E$2,"0")</f>
        <v>0</v>
      </c>
      <c r="I9" t="e">
        <f>TEXT(TEXT(MEDIAN(Totaal!E$3:E$102),"0,0"),"Standaard")</f>
        <v>#NUM!</v>
      </c>
      <c r="J9" t="str">
        <f>Totaal!F$1</f>
        <v>B</v>
      </c>
      <c r="K9" t="str">
        <f>TEXT(TEXT(Totaal!$F9,"0,0"),"Standaard")</f>
        <v>0</v>
      </c>
      <c r="L9" t="str">
        <f>TEXT(Totaal!F$2,"0")</f>
        <v>0</v>
      </c>
      <c r="M9" t="e">
        <f>TEXT(TEXT(MEDIAN(Totaal!$F$3:$F$102),"0,0"),"Standaard")</f>
        <v>#NUM!</v>
      </c>
      <c r="N9" t="str">
        <f>Totaal!G$1</f>
        <v>C</v>
      </c>
      <c r="O9" t="str">
        <f>TEXT(TEXT(Totaal!$G9,"0,0"),"Standaard")</f>
        <v>0</v>
      </c>
      <c r="P9" t="str">
        <f>TEXT(Totaal!$G$2,"0")</f>
        <v>0</v>
      </c>
      <c r="Q9" t="e">
        <f>TEXT(TEXT(MEDIAN(Totaal!$G$3:$G$102),"0,0"),"Standaard")</f>
        <v>#NUM!</v>
      </c>
      <c r="R9" t="str">
        <f>Totaal!H$1</f>
        <v>D</v>
      </c>
      <c r="S9" t="str">
        <f>TEXT(TEXT(Totaal!$H9,"0,0"),"Standaard")</f>
        <v>0</v>
      </c>
      <c r="T9" t="str">
        <f>TEXT(Totaal!$H$2,"0")</f>
        <v>0</v>
      </c>
      <c r="U9" t="e">
        <f>TEXT(TEXT(MEDIAN(Totaal!$H$3:$H$102),"0,0"),"Standaard")</f>
        <v>#NUM!</v>
      </c>
      <c r="V9" t="str">
        <f>Totaal!I$1</f>
        <v>E</v>
      </c>
      <c r="W9" t="str">
        <f>TEXT(TEXT(Totaal!$I9,"0,0"),"Standaard")</f>
        <v>0</v>
      </c>
      <c r="X9" t="str">
        <f>TEXT(Totaal!$I$2,"0")</f>
        <v>0</v>
      </c>
      <c r="Y9" t="e">
        <f>TEXT(TEXT(MEDIAN(Totaal!$I$3:$I$102),"0,0"),"Standaard")</f>
        <v>#NUM!</v>
      </c>
      <c r="Z9" t="str">
        <f>Totaal!J$1</f>
        <v>F</v>
      </c>
      <c r="AA9" t="str">
        <f>TEXT(TEXT(Totaal!$J9,"0,0"),"Standaard")</f>
        <v>0</v>
      </c>
      <c r="AB9" t="str">
        <f>TEXT(Totaal!$J$2,"0")</f>
        <v>0</v>
      </c>
      <c r="AC9" t="e">
        <f>TEXT(TEXT(MEDIAN(Totaal!$J$3:$J$102),"0,0"),"Standaard")</f>
        <v>#NUM!</v>
      </c>
      <c r="AD9" t="str">
        <f>Totaal!K$1</f>
        <v>G</v>
      </c>
      <c r="AE9" t="str">
        <f>TEXT(TEXT(Totaal!$K9,"0,0"),"Standaard")</f>
        <v>0</v>
      </c>
      <c r="AF9" t="str">
        <f>TEXT(Totaal!$K$2,"0")</f>
        <v>0</v>
      </c>
      <c r="AG9" t="e">
        <f>TEXT(TEXT(MEDIAN(Totaal!$K$3:$K$102),"0,0"),"Standaard")</f>
        <v>#NUM!</v>
      </c>
      <c r="AH9" t="str">
        <f>Totaal!L$1</f>
        <v>H</v>
      </c>
      <c r="AI9" t="str">
        <f>TEXT(TEXT(Totaal!$L9,"0,0"),"Standaard")</f>
        <v>0</v>
      </c>
      <c r="AJ9" t="str">
        <f>TEXT(Totaal!$L$2,"0")</f>
        <v>0</v>
      </c>
      <c r="AK9" t="e">
        <f>TEXT(TEXT(MEDIAN(Totaal!$L$3:$L$102),"0,0"),"Standaard")</f>
        <v>#NUM!</v>
      </c>
      <c r="AL9" t="str">
        <f>Totaal!M$1</f>
        <v>I</v>
      </c>
      <c r="AM9" t="str">
        <f>TEXT(TEXT(Totaal!$M9,"0,0"),"Standaard")</f>
        <v>0</v>
      </c>
      <c r="AN9" t="str">
        <f>TEXT(Totaal!$M$2,"0")</f>
        <v>0</v>
      </c>
      <c r="AO9" t="e">
        <f>TEXT(TEXT(MEDIAN(Totaal!$M$3:$M$102),"0,0"),"Standaard")</f>
        <v>#NUM!</v>
      </c>
      <c r="AP9" t="str">
        <f>Totaal!N$1</f>
        <v>J</v>
      </c>
      <c r="AQ9" t="str">
        <f>TEXT(TEXT(Totaal!$N9,"0,0"),"Standaard")</f>
        <v>0</v>
      </c>
      <c r="AR9" t="str">
        <f>TEXT(Totaal!$N$2,"0")</f>
        <v>0</v>
      </c>
      <c r="AS9" t="e">
        <f>TEXT(TEXT(MEDIAN(Totaal!$N$3:$N$102),"0,0"),"Standaard")</f>
        <v>#NUM!</v>
      </c>
      <c r="AT9" t="str">
        <f>Totaal!O$1</f>
        <v>K</v>
      </c>
      <c r="AU9" t="str">
        <f>TEXT(TEXT(Totaal!$O9,"0,0"),"Standaard")</f>
        <v>0</v>
      </c>
      <c r="AV9" t="str">
        <f>TEXT(Totaal!$O$2,"0")</f>
        <v>0</v>
      </c>
      <c r="AW9" t="e">
        <f>TEXT(TEXT(MEDIAN(Totaal!$O$3:$O$102),"0,0"),"Standaard")</f>
        <v>#NUM!</v>
      </c>
      <c r="AX9" t="str">
        <f>Totaal!P$1</f>
        <v>L</v>
      </c>
      <c r="AY9" t="str">
        <f>TEXT(TEXT(Totaal!$P9,"0,0"),"Standaard")</f>
        <v>0</v>
      </c>
      <c r="AZ9" t="str">
        <f>TEXT(Totaal!$P$2,"0")</f>
        <v>0</v>
      </c>
      <c r="BA9" t="e">
        <f>TEXT(TEXT(MEDIAN(Totaal!$P$3:$P$102),"0,0"),"Standaard")</f>
        <v>#NUM!</v>
      </c>
      <c r="BB9" t="str">
        <f>Totaal!Q$1</f>
        <v>M</v>
      </c>
      <c r="BC9" t="str">
        <f>TEXT(TEXT(Totaal!$Q9,"0,0"),"Standaard")</f>
        <v>0</v>
      </c>
      <c r="BD9" t="str">
        <f>TEXT(Totaal!$Q$2,"0")</f>
        <v>0</v>
      </c>
      <c r="BE9" t="e">
        <f>TEXT(TEXT(MEDIAN(Totaal!$Q$3:$Q$102),"0,0"),"Standaard")</f>
        <v>#NUM!</v>
      </c>
      <c r="BF9" t="str">
        <f>Totaal!R$1</f>
        <v>N</v>
      </c>
      <c r="BG9" t="str">
        <f>TEXT(TEXT(Totaal!$R9,"0,0"),"Standaard")</f>
        <v>0</v>
      </c>
      <c r="BH9" t="str">
        <f>TEXT(Totaal!$R$2,"0")</f>
        <v>0</v>
      </c>
      <c r="BI9" t="e">
        <f>TEXT(TEXT(MEDIAN(Totaal!$R$3:$R$102),"0,0"),"Standaard")</f>
        <v>#NUM!</v>
      </c>
      <c r="BJ9" t="str">
        <f>Totaal!S$1</f>
        <v>O</v>
      </c>
      <c r="BK9" t="str">
        <f>TEXT(TEXT(Totaal!$S9,"0,0"),"Standaard")</f>
        <v>0</v>
      </c>
      <c r="BL9" t="str">
        <f>TEXT(Totaal!$S$2,"0")</f>
        <v>0</v>
      </c>
      <c r="BM9" t="e">
        <f>TEXT(TEXT(MEDIAN(Totaal!$S$3:$S$102),"0,0"),"Standaard")</f>
        <v>#NUM!</v>
      </c>
      <c r="BN9" t="str">
        <f>Totaal!T$1</f>
        <v>P</v>
      </c>
      <c r="BO9" t="str">
        <f>TEXT(TEXT(Totaal!$T9,"0,0"),"Standaard")</f>
        <v>0</v>
      </c>
      <c r="BP9" t="str">
        <f>TEXT(Totaal!$T$2,"0")</f>
        <v>0</v>
      </c>
      <c r="BQ9" t="e">
        <f>TEXT(TEXT(MEDIAN(Totaal!$T$3:$T$102),"0,0"),"Standaard")</f>
        <v>#NUM!</v>
      </c>
      <c r="BR9" t="str">
        <f>IF(Totaal!U9="","",Totaal!U9)</f>
        <v/>
      </c>
    </row>
    <row r="10" spans="1:70">
      <c r="A10">
        <f>Totaal!A10</f>
        <v>8</v>
      </c>
      <c r="B10" s="22" t="str">
        <f>IF(Totaal!B10="","",Totaal!B10)</f>
        <v/>
      </c>
      <c r="C10" s="8" t="e">
        <f>TEXT(TEXT(Totaal!C10,"0,0"),"Standaard")</f>
        <v>#DIV/0!</v>
      </c>
      <c r="D10" s="8" t="str">
        <f>TEXT(Totaal!C$2,"0")</f>
        <v>100</v>
      </c>
      <c r="E10" s="22" t="e">
        <f>TEXT(TEXT(SUM(Totaal!C$3:C$102)/COUNTIF(Totaal!C$3:C$102,"&lt;&gt;0"),"0,0"),"Standaard")</f>
        <v>#DIV/0!</v>
      </c>
      <c r="F10" t="str">
        <f>Totaal!E$1</f>
        <v>A</v>
      </c>
      <c r="G10" t="str">
        <f>TEXT(TEXT(Totaal!E10,"0,0"),"Standaard")</f>
        <v>0</v>
      </c>
      <c r="H10" t="str">
        <f>TEXT(Totaal!E$2,"0")</f>
        <v>0</v>
      </c>
      <c r="I10" t="e">
        <f>TEXT(TEXT(MEDIAN(Totaal!E$3:E$102),"0,0"),"Standaard")</f>
        <v>#NUM!</v>
      </c>
      <c r="J10" t="str">
        <f>Totaal!F$1</f>
        <v>B</v>
      </c>
      <c r="K10" t="str">
        <f>TEXT(TEXT(Totaal!$F10,"0,0"),"Standaard")</f>
        <v>0</v>
      </c>
      <c r="L10" t="str">
        <f>TEXT(Totaal!F$2,"0")</f>
        <v>0</v>
      </c>
      <c r="M10" t="e">
        <f>TEXT(TEXT(MEDIAN(Totaal!$F$3:$F$102),"0,0"),"Standaard")</f>
        <v>#NUM!</v>
      </c>
      <c r="N10" t="str">
        <f>Totaal!G$1</f>
        <v>C</v>
      </c>
      <c r="O10" t="str">
        <f>TEXT(TEXT(Totaal!$G10,"0,0"),"Standaard")</f>
        <v>0</v>
      </c>
      <c r="P10" t="str">
        <f>TEXT(Totaal!$G$2,"0")</f>
        <v>0</v>
      </c>
      <c r="Q10" t="e">
        <f>TEXT(TEXT(MEDIAN(Totaal!$G$3:$G$102),"0,0"),"Standaard")</f>
        <v>#NUM!</v>
      </c>
      <c r="R10" t="str">
        <f>Totaal!H$1</f>
        <v>D</v>
      </c>
      <c r="S10" t="str">
        <f>TEXT(TEXT(Totaal!$H10,"0,0"),"Standaard")</f>
        <v>0</v>
      </c>
      <c r="T10" t="str">
        <f>TEXT(Totaal!$H$2,"0")</f>
        <v>0</v>
      </c>
      <c r="U10" t="e">
        <f>TEXT(TEXT(MEDIAN(Totaal!$H$3:$H$102),"0,0"),"Standaard")</f>
        <v>#NUM!</v>
      </c>
      <c r="V10" t="str">
        <f>Totaal!I$1</f>
        <v>E</v>
      </c>
      <c r="W10" t="str">
        <f>TEXT(TEXT(Totaal!$I10,"0,0"),"Standaard")</f>
        <v>0</v>
      </c>
      <c r="X10" t="str">
        <f>TEXT(Totaal!$I$2,"0")</f>
        <v>0</v>
      </c>
      <c r="Y10" t="e">
        <f>TEXT(TEXT(MEDIAN(Totaal!$I$3:$I$102),"0,0"),"Standaard")</f>
        <v>#NUM!</v>
      </c>
      <c r="Z10" t="str">
        <f>Totaal!J$1</f>
        <v>F</v>
      </c>
      <c r="AA10" t="str">
        <f>TEXT(TEXT(Totaal!$J10,"0,0"),"Standaard")</f>
        <v>0</v>
      </c>
      <c r="AB10" t="str">
        <f>TEXT(Totaal!$J$2,"0")</f>
        <v>0</v>
      </c>
      <c r="AC10" t="e">
        <f>TEXT(TEXT(MEDIAN(Totaal!$J$3:$J$102),"0,0"),"Standaard")</f>
        <v>#NUM!</v>
      </c>
      <c r="AD10" t="str">
        <f>Totaal!K$1</f>
        <v>G</v>
      </c>
      <c r="AE10" t="str">
        <f>TEXT(TEXT(Totaal!$K10,"0,0"),"Standaard")</f>
        <v>0</v>
      </c>
      <c r="AF10" t="str">
        <f>TEXT(Totaal!$K$2,"0")</f>
        <v>0</v>
      </c>
      <c r="AG10" t="e">
        <f>TEXT(TEXT(MEDIAN(Totaal!$K$3:$K$102),"0,0"),"Standaard")</f>
        <v>#NUM!</v>
      </c>
      <c r="AH10" t="str">
        <f>Totaal!L$1</f>
        <v>H</v>
      </c>
      <c r="AI10" t="str">
        <f>TEXT(TEXT(Totaal!$L10,"0,0"),"Standaard")</f>
        <v>0</v>
      </c>
      <c r="AJ10" t="str">
        <f>TEXT(Totaal!$L$2,"0")</f>
        <v>0</v>
      </c>
      <c r="AK10" t="e">
        <f>TEXT(TEXT(MEDIAN(Totaal!$L$3:$L$102),"0,0"),"Standaard")</f>
        <v>#NUM!</v>
      </c>
      <c r="AL10" t="str">
        <f>Totaal!M$1</f>
        <v>I</v>
      </c>
      <c r="AM10" t="str">
        <f>TEXT(TEXT(Totaal!$M10,"0,0"),"Standaard")</f>
        <v>0</v>
      </c>
      <c r="AN10" t="str">
        <f>TEXT(Totaal!$M$2,"0")</f>
        <v>0</v>
      </c>
      <c r="AO10" t="e">
        <f>TEXT(TEXT(MEDIAN(Totaal!$M$3:$M$102),"0,0"),"Standaard")</f>
        <v>#NUM!</v>
      </c>
      <c r="AP10" t="str">
        <f>Totaal!N$1</f>
        <v>J</v>
      </c>
      <c r="AQ10" t="str">
        <f>TEXT(TEXT(Totaal!$N10,"0,0"),"Standaard")</f>
        <v>0</v>
      </c>
      <c r="AR10" t="str">
        <f>TEXT(Totaal!$N$2,"0")</f>
        <v>0</v>
      </c>
      <c r="AS10" t="e">
        <f>TEXT(TEXT(MEDIAN(Totaal!$N$3:$N$102),"0,0"),"Standaard")</f>
        <v>#NUM!</v>
      </c>
      <c r="AT10" t="str">
        <f>Totaal!O$1</f>
        <v>K</v>
      </c>
      <c r="AU10" t="str">
        <f>TEXT(TEXT(Totaal!$O10,"0,0"),"Standaard")</f>
        <v>0</v>
      </c>
      <c r="AV10" t="str">
        <f>TEXT(Totaal!$O$2,"0")</f>
        <v>0</v>
      </c>
      <c r="AW10" t="e">
        <f>TEXT(TEXT(MEDIAN(Totaal!$O$3:$O$102),"0,0"),"Standaard")</f>
        <v>#NUM!</v>
      </c>
      <c r="AX10" t="str">
        <f>Totaal!P$1</f>
        <v>L</v>
      </c>
      <c r="AY10" t="str">
        <f>TEXT(TEXT(Totaal!$P10,"0,0"),"Standaard")</f>
        <v>0</v>
      </c>
      <c r="AZ10" t="str">
        <f>TEXT(Totaal!$P$2,"0")</f>
        <v>0</v>
      </c>
      <c r="BA10" t="e">
        <f>TEXT(TEXT(MEDIAN(Totaal!$P$3:$P$102),"0,0"),"Standaard")</f>
        <v>#NUM!</v>
      </c>
      <c r="BB10" t="str">
        <f>Totaal!Q$1</f>
        <v>M</v>
      </c>
      <c r="BC10" t="str">
        <f>TEXT(TEXT(Totaal!$Q10,"0,0"),"Standaard")</f>
        <v>0</v>
      </c>
      <c r="BD10" t="str">
        <f>TEXT(Totaal!$Q$2,"0")</f>
        <v>0</v>
      </c>
      <c r="BE10" t="e">
        <f>TEXT(TEXT(MEDIAN(Totaal!$Q$3:$Q$102),"0,0"),"Standaard")</f>
        <v>#NUM!</v>
      </c>
      <c r="BF10" t="str">
        <f>Totaal!R$1</f>
        <v>N</v>
      </c>
      <c r="BG10" t="str">
        <f>TEXT(TEXT(Totaal!$R10,"0,0"),"Standaard")</f>
        <v>0</v>
      </c>
      <c r="BH10" t="str">
        <f>TEXT(Totaal!$R$2,"0")</f>
        <v>0</v>
      </c>
      <c r="BI10" t="e">
        <f>TEXT(TEXT(MEDIAN(Totaal!$R$3:$R$102),"0,0"),"Standaard")</f>
        <v>#NUM!</v>
      </c>
      <c r="BJ10" t="str">
        <f>Totaal!S$1</f>
        <v>O</v>
      </c>
      <c r="BK10" t="str">
        <f>TEXT(TEXT(Totaal!$S10,"0,0"),"Standaard")</f>
        <v>0</v>
      </c>
      <c r="BL10" t="str">
        <f>TEXT(Totaal!$S$2,"0")</f>
        <v>0</v>
      </c>
      <c r="BM10" t="e">
        <f>TEXT(TEXT(MEDIAN(Totaal!$S$3:$S$102),"0,0"),"Standaard")</f>
        <v>#NUM!</v>
      </c>
      <c r="BN10" t="str">
        <f>Totaal!T$1</f>
        <v>P</v>
      </c>
      <c r="BO10" t="str">
        <f>TEXT(TEXT(Totaal!$T10,"0,0"),"Standaard")</f>
        <v>0</v>
      </c>
      <c r="BP10" t="str">
        <f>TEXT(Totaal!$T$2,"0")</f>
        <v>0</v>
      </c>
      <c r="BQ10" t="e">
        <f>TEXT(TEXT(MEDIAN(Totaal!$T$3:$T$102),"0,0"),"Standaard")</f>
        <v>#NUM!</v>
      </c>
      <c r="BR10" t="str">
        <f>IF(Totaal!U10="","",Totaal!U10)</f>
        <v/>
      </c>
    </row>
    <row r="11" spans="1:70">
      <c r="A11">
        <f>Totaal!A11</f>
        <v>9</v>
      </c>
      <c r="B11" s="22" t="str">
        <f>IF(Totaal!B11="","",Totaal!B11)</f>
        <v/>
      </c>
      <c r="C11" s="8" t="e">
        <f>TEXT(TEXT(Totaal!C11,"0,0"),"Standaard")</f>
        <v>#DIV/0!</v>
      </c>
      <c r="D11" s="8" t="str">
        <f>TEXT(Totaal!C$2,"0")</f>
        <v>100</v>
      </c>
      <c r="E11" s="22" t="e">
        <f>TEXT(TEXT(SUM(Totaal!C$3:C$102)/COUNTIF(Totaal!C$3:C$102,"&lt;&gt;0"),"0,0"),"Standaard")</f>
        <v>#DIV/0!</v>
      </c>
      <c r="F11" t="str">
        <f>Totaal!E$1</f>
        <v>A</v>
      </c>
      <c r="G11" t="str">
        <f>TEXT(TEXT(Totaal!E11,"0,0"),"Standaard")</f>
        <v>0</v>
      </c>
      <c r="H11" t="str">
        <f>TEXT(Totaal!E$2,"0")</f>
        <v>0</v>
      </c>
      <c r="I11" t="e">
        <f>TEXT(TEXT(MEDIAN(Totaal!E$3:E$102),"0,0"),"Standaard")</f>
        <v>#NUM!</v>
      </c>
      <c r="J11" t="str">
        <f>Totaal!F$1</f>
        <v>B</v>
      </c>
      <c r="K11" t="str">
        <f>TEXT(TEXT(Totaal!$F11,"0,0"),"Standaard")</f>
        <v>0</v>
      </c>
      <c r="L11" t="str">
        <f>TEXT(Totaal!F$2,"0")</f>
        <v>0</v>
      </c>
      <c r="M11" t="e">
        <f>TEXT(TEXT(MEDIAN(Totaal!$F$3:$F$102),"0,0"),"Standaard")</f>
        <v>#NUM!</v>
      </c>
      <c r="N11" t="str">
        <f>Totaal!G$1</f>
        <v>C</v>
      </c>
      <c r="O11" t="str">
        <f>TEXT(TEXT(Totaal!$G11,"0,0"),"Standaard")</f>
        <v>0</v>
      </c>
      <c r="P11" t="str">
        <f>TEXT(Totaal!$G$2,"0")</f>
        <v>0</v>
      </c>
      <c r="Q11" t="e">
        <f>TEXT(TEXT(MEDIAN(Totaal!$G$3:$G$102),"0,0"),"Standaard")</f>
        <v>#NUM!</v>
      </c>
      <c r="R11" t="str">
        <f>Totaal!H$1</f>
        <v>D</v>
      </c>
      <c r="S11" t="str">
        <f>TEXT(TEXT(Totaal!$H11,"0,0"),"Standaard")</f>
        <v>0</v>
      </c>
      <c r="T11" t="str">
        <f>TEXT(Totaal!$H$2,"0")</f>
        <v>0</v>
      </c>
      <c r="U11" t="e">
        <f>TEXT(TEXT(MEDIAN(Totaal!$H$3:$H$102),"0,0"),"Standaard")</f>
        <v>#NUM!</v>
      </c>
      <c r="V11" t="str">
        <f>Totaal!I$1</f>
        <v>E</v>
      </c>
      <c r="W11" t="str">
        <f>TEXT(TEXT(Totaal!$I11,"0,0"),"Standaard")</f>
        <v>0</v>
      </c>
      <c r="X11" t="str">
        <f>TEXT(Totaal!$I$2,"0")</f>
        <v>0</v>
      </c>
      <c r="Y11" t="e">
        <f>TEXT(TEXT(MEDIAN(Totaal!$I$3:$I$102),"0,0"),"Standaard")</f>
        <v>#NUM!</v>
      </c>
      <c r="Z11" t="str">
        <f>Totaal!J$1</f>
        <v>F</v>
      </c>
      <c r="AA11" t="str">
        <f>TEXT(TEXT(Totaal!$J11,"0,0"),"Standaard")</f>
        <v>0</v>
      </c>
      <c r="AB11" t="str">
        <f>TEXT(Totaal!$J$2,"0")</f>
        <v>0</v>
      </c>
      <c r="AC11" t="e">
        <f>TEXT(TEXT(MEDIAN(Totaal!$J$3:$J$102),"0,0"),"Standaard")</f>
        <v>#NUM!</v>
      </c>
      <c r="AD11" t="str">
        <f>Totaal!K$1</f>
        <v>G</v>
      </c>
      <c r="AE11" t="str">
        <f>TEXT(TEXT(Totaal!$K11,"0,0"),"Standaard")</f>
        <v>0</v>
      </c>
      <c r="AF11" t="str">
        <f>TEXT(Totaal!$K$2,"0")</f>
        <v>0</v>
      </c>
      <c r="AG11" t="e">
        <f>TEXT(TEXT(MEDIAN(Totaal!$K$3:$K$102),"0,0"),"Standaard")</f>
        <v>#NUM!</v>
      </c>
      <c r="AH11" t="str">
        <f>Totaal!L$1</f>
        <v>H</v>
      </c>
      <c r="AI11" t="str">
        <f>TEXT(TEXT(Totaal!$L11,"0,0"),"Standaard")</f>
        <v>0</v>
      </c>
      <c r="AJ11" t="str">
        <f>TEXT(Totaal!$L$2,"0")</f>
        <v>0</v>
      </c>
      <c r="AK11" t="e">
        <f>TEXT(TEXT(MEDIAN(Totaal!$L$3:$L$102),"0,0"),"Standaard")</f>
        <v>#NUM!</v>
      </c>
      <c r="AL11" t="str">
        <f>Totaal!M$1</f>
        <v>I</v>
      </c>
      <c r="AM11" t="str">
        <f>TEXT(TEXT(Totaal!$M11,"0,0"),"Standaard")</f>
        <v>0</v>
      </c>
      <c r="AN11" t="str">
        <f>TEXT(Totaal!$M$2,"0")</f>
        <v>0</v>
      </c>
      <c r="AO11" t="e">
        <f>TEXT(TEXT(MEDIAN(Totaal!$M$3:$M$102),"0,0"),"Standaard")</f>
        <v>#NUM!</v>
      </c>
      <c r="AP11" t="str">
        <f>Totaal!N$1</f>
        <v>J</v>
      </c>
      <c r="AQ11" t="str">
        <f>TEXT(TEXT(Totaal!$N11,"0,0"),"Standaard")</f>
        <v>0</v>
      </c>
      <c r="AR11" t="str">
        <f>TEXT(Totaal!$N$2,"0")</f>
        <v>0</v>
      </c>
      <c r="AS11" t="e">
        <f>TEXT(TEXT(MEDIAN(Totaal!$N$3:$N$102),"0,0"),"Standaard")</f>
        <v>#NUM!</v>
      </c>
      <c r="AT11" t="str">
        <f>Totaal!O$1</f>
        <v>K</v>
      </c>
      <c r="AU11" t="str">
        <f>TEXT(TEXT(Totaal!$O11,"0,0"),"Standaard")</f>
        <v>0</v>
      </c>
      <c r="AV11" t="str">
        <f>TEXT(Totaal!$O$2,"0")</f>
        <v>0</v>
      </c>
      <c r="AW11" t="e">
        <f>TEXT(TEXT(MEDIAN(Totaal!$O$3:$O$102),"0,0"),"Standaard")</f>
        <v>#NUM!</v>
      </c>
      <c r="AX11" t="str">
        <f>Totaal!P$1</f>
        <v>L</v>
      </c>
      <c r="AY11" t="str">
        <f>TEXT(TEXT(Totaal!$P11,"0,0"),"Standaard")</f>
        <v>0</v>
      </c>
      <c r="AZ11" t="str">
        <f>TEXT(Totaal!$P$2,"0")</f>
        <v>0</v>
      </c>
      <c r="BA11" t="e">
        <f>TEXT(TEXT(MEDIAN(Totaal!$P$3:$P$102),"0,0"),"Standaard")</f>
        <v>#NUM!</v>
      </c>
      <c r="BB11" t="str">
        <f>Totaal!Q$1</f>
        <v>M</v>
      </c>
      <c r="BC11" t="str">
        <f>TEXT(TEXT(Totaal!$Q11,"0,0"),"Standaard")</f>
        <v>0</v>
      </c>
      <c r="BD11" t="str">
        <f>TEXT(Totaal!$Q$2,"0")</f>
        <v>0</v>
      </c>
      <c r="BE11" t="e">
        <f>TEXT(TEXT(MEDIAN(Totaal!$Q$3:$Q$102),"0,0"),"Standaard")</f>
        <v>#NUM!</v>
      </c>
      <c r="BF11" t="str">
        <f>Totaal!R$1</f>
        <v>N</v>
      </c>
      <c r="BG11" t="str">
        <f>TEXT(TEXT(Totaal!$R11,"0,0"),"Standaard")</f>
        <v>0</v>
      </c>
      <c r="BH11" t="str">
        <f>TEXT(Totaal!$R$2,"0")</f>
        <v>0</v>
      </c>
      <c r="BI11" t="e">
        <f>TEXT(TEXT(MEDIAN(Totaal!$R$3:$R$102),"0,0"),"Standaard")</f>
        <v>#NUM!</v>
      </c>
      <c r="BJ11" t="str">
        <f>Totaal!S$1</f>
        <v>O</v>
      </c>
      <c r="BK11" t="str">
        <f>TEXT(TEXT(Totaal!$S11,"0,0"),"Standaard")</f>
        <v>0</v>
      </c>
      <c r="BL11" t="str">
        <f>TEXT(Totaal!$S$2,"0")</f>
        <v>0</v>
      </c>
      <c r="BM11" t="e">
        <f>TEXT(TEXT(MEDIAN(Totaal!$S$3:$S$102),"0,0"),"Standaard")</f>
        <v>#NUM!</v>
      </c>
      <c r="BN11" t="str">
        <f>Totaal!T$1</f>
        <v>P</v>
      </c>
      <c r="BO11" t="str">
        <f>TEXT(TEXT(Totaal!$T11,"0,0"),"Standaard")</f>
        <v>0</v>
      </c>
      <c r="BP11" t="str">
        <f>TEXT(Totaal!$T$2,"0")</f>
        <v>0</v>
      </c>
      <c r="BQ11" t="e">
        <f>TEXT(TEXT(MEDIAN(Totaal!$T$3:$T$102),"0,0"),"Standaard")</f>
        <v>#NUM!</v>
      </c>
      <c r="BR11" t="str">
        <f>IF(Totaal!U11="","",Totaal!U11)</f>
        <v/>
      </c>
    </row>
    <row r="12" spans="1:70">
      <c r="A12">
        <f>Totaal!A12</f>
        <v>10</v>
      </c>
      <c r="B12" s="22" t="str">
        <f>IF(Totaal!B12="","",Totaal!B12)</f>
        <v/>
      </c>
      <c r="C12" s="8" t="e">
        <f>TEXT(TEXT(Totaal!C12,"0,0"),"Standaard")</f>
        <v>#DIV/0!</v>
      </c>
      <c r="D12" s="8" t="str">
        <f>TEXT(Totaal!C$2,"0")</f>
        <v>100</v>
      </c>
      <c r="E12" s="22" t="e">
        <f>TEXT(TEXT(SUM(Totaal!C$3:C$102)/COUNTIF(Totaal!C$3:C$102,"&lt;&gt;0"),"0,0"),"Standaard")</f>
        <v>#DIV/0!</v>
      </c>
      <c r="F12" t="str">
        <f>Totaal!E$1</f>
        <v>A</v>
      </c>
      <c r="G12" t="str">
        <f>TEXT(TEXT(Totaal!E12,"0,0"),"Standaard")</f>
        <v>0</v>
      </c>
      <c r="H12" t="str">
        <f>TEXT(Totaal!E$2,"0")</f>
        <v>0</v>
      </c>
      <c r="I12" t="e">
        <f>TEXT(TEXT(MEDIAN(Totaal!E$3:E$102),"0,0"),"Standaard")</f>
        <v>#NUM!</v>
      </c>
      <c r="J12" t="str">
        <f>Totaal!F$1</f>
        <v>B</v>
      </c>
      <c r="K12" t="str">
        <f>TEXT(TEXT(Totaal!$F12,"0,0"),"Standaard")</f>
        <v>0</v>
      </c>
      <c r="L12" t="str">
        <f>TEXT(Totaal!F$2,"0")</f>
        <v>0</v>
      </c>
      <c r="M12" t="e">
        <f>TEXT(TEXT(MEDIAN(Totaal!$F$3:$F$102),"0,0"),"Standaard")</f>
        <v>#NUM!</v>
      </c>
      <c r="N12" t="str">
        <f>Totaal!G$1</f>
        <v>C</v>
      </c>
      <c r="O12" t="str">
        <f>TEXT(TEXT(Totaal!$G12,"0,0"),"Standaard")</f>
        <v>0</v>
      </c>
      <c r="P12" t="str">
        <f>TEXT(Totaal!$G$2,"0")</f>
        <v>0</v>
      </c>
      <c r="Q12" t="e">
        <f>TEXT(TEXT(MEDIAN(Totaal!$G$3:$G$102),"0,0"),"Standaard")</f>
        <v>#NUM!</v>
      </c>
      <c r="R12" t="str">
        <f>Totaal!H$1</f>
        <v>D</v>
      </c>
      <c r="S12" t="str">
        <f>TEXT(TEXT(Totaal!$H12,"0,0"),"Standaard")</f>
        <v>0</v>
      </c>
      <c r="T12" t="str">
        <f>TEXT(Totaal!$H$2,"0")</f>
        <v>0</v>
      </c>
      <c r="U12" t="e">
        <f>TEXT(TEXT(MEDIAN(Totaal!$H$3:$H$102),"0,0"),"Standaard")</f>
        <v>#NUM!</v>
      </c>
      <c r="V12" t="str">
        <f>Totaal!I$1</f>
        <v>E</v>
      </c>
      <c r="W12" t="str">
        <f>TEXT(TEXT(Totaal!$I12,"0,0"),"Standaard")</f>
        <v>0</v>
      </c>
      <c r="X12" t="str">
        <f>TEXT(Totaal!$I$2,"0")</f>
        <v>0</v>
      </c>
      <c r="Y12" t="e">
        <f>TEXT(TEXT(MEDIAN(Totaal!$I$3:$I$102),"0,0"),"Standaard")</f>
        <v>#NUM!</v>
      </c>
      <c r="Z12" t="str">
        <f>Totaal!J$1</f>
        <v>F</v>
      </c>
      <c r="AA12" t="str">
        <f>TEXT(TEXT(Totaal!$J12,"0,0"),"Standaard")</f>
        <v>0</v>
      </c>
      <c r="AB12" t="str">
        <f>TEXT(Totaal!$J$2,"0")</f>
        <v>0</v>
      </c>
      <c r="AC12" t="e">
        <f>TEXT(TEXT(MEDIAN(Totaal!$J$3:$J$102),"0,0"),"Standaard")</f>
        <v>#NUM!</v>
      </c>
      <c r="AD12" t="str">
        <f>Totaal!K$1</f>
        <v>G</v>
      </c>
      <c r="AE12" t="str">
        <f>TEXT(TEXT(Totaal!$K12,"0,0"),"Standaard")</f>
        <v>0</v>
      </c>
      <c r="AF12" t="str">
        <f>TEXT(Totaal!$K$2,"0")</f>
        <v>0</v>
      </c>
      <c r="AG12" t="e">
        <f>TEXT(TEXT(MEDIAN(Totaal!$K$3:$K$102),"0,0"),"Standaard")</f>
        <v>#NUM!</v>
      </c>
      <c r="AH12" t="str">
        <f>Totaal!L$1</f>
        <v>H</v>
      </c>
      <c r="AI12" t="str">
        <f>TEXT(TEXT(Totaal!$L12,"0,0"),"Standaard")</f>
        <v>0</v>
      </c>
      <c r="AJ12" t="str">
        <f>TEXT(Totaal!$L$2,"0")</f>
        <v>0</v>
      </c>
      <c r="AK12" t="e">
        <f>TEXT(TEXT(MEDIAN(Totaal!$L$3:$L$102),"0,0"),"Standaard")</f>
        <v>#NUM!</v>
      </c>
      <c r="AL12" t="str">
        <f>Totaal!M$1</f>
        <v>I</v>
      </c>
      <c r="AM12" t="str">
        <f>TEXT(TEXT(Totaal!$M12,"0,0"),"Standaard")</f>
        <v>0</v>
      </c>
      <c r="AN12" t="str">
        <f>TEXT(Totaal!$M$2,"0")</f>
        <v>0</v>
      </c>
      <c r="AO12" t="e">
        <f>TEXT(TEXT(MEDIAN(Totaal!$M$3:$M$102),"0,0"),"Standaard")</f>
        <v>#NUM!</v>
      </c>
      <c r="AP12" t="str">
        <f>Totaal!N$1</f>
        <v>J</v>
      </c>
      <c r="AQ12" t="str">
        <f>TEXT(TEXT(Totaal!$N12,"0,0"),"Standaard")</f>
        <v>0</v>
      </c>
      <c r="AR12" t="str">
        <f>TEXT(Totaal!$N$2,"0")</f>
        <v>0</v>
      </c>
      <c r="AS12" t="e">
        <f>TEXT(TEXT(MEDIAN(Totaal!$N$3:$N$102),"0,0"),"Standaard")</f>
        <v>#NUM!</v>
      </c>
      <c r="AT12" t="str">
        <f>Totaal!O$1</f>
        <v>K</v>
      </c>
      <c r="AU12" t="str">
        <f>TEXT(TEXT(Totaal!$O12,"0,0"),"Standaard")</f>
        <v>0</v>
      </c>
      <c r="AV12" t="str">
        <f>TEXT(Totaal!$O$2,"0")</f>
        <v>0</v>
      </c>
      <c r="AW12" t="e">
        <f>TEXT(TEXT(MEDIAN(Totaal!$O$3:$O$102),"0,0"),"Standaard")</f>
        <v>#NUM!</v>
      </c>
      <c r="AX12" t="str">
        <f>Totaal!P$1</f>
        <v>L</v>
      </c>
      <c r="AY12" t="str">
        <f>TEXT(TEXT(Totaal!$P12,"0,0"),"Standaard")</f>
        <v>0</v>
      </c>
      <c r="AZ12" t="str">
        <f>TEXT(Totaal!$P$2,"0")</f>
        <v>0</v>
      </c>
      <c r="BA12" t="e">
        <f>TEXT(TEXT(MEDIAN(Totaal!$P$3:$P$102),"0,0"),"Standaard")</f>
        <v>#NUM!</v>
      </c>
      <c r="BB12" t="str">
        <f>Totaal!Q$1</f>
        <v>M</v>
      </c>
      <c r="BC12" t="str">
        <f>TEXT(TEXT(Totaal!$Q12,"0,0"),"Standaard")</f>
        <v>0</v>
      </c>
      <c r="BD12" t="str">
        <f>TEXT(Totaal!$Q$2,"0")</f>
        <v>0</v>
      </c>
      <c r="BE12" t="e">
        <f>TEXT(TEXT(MEDIAN(Totaal!$Q$3:$Q$102),"0,0"),"Standaard")</f>
        <v>#NUM!</v>
      </c>
      <c r="BF12" t="str">
        <f>Totaal!R$1</f>
        <v>N</v>
      </c>
      <c r="BG12" t="str">
        <f>TEXT(TEXT(Totaal!$R12,"0,0"),"Standaard")</f>
        <v>0</v>
      </c>
      <c r="BH12" t="str">
        <f>TEXT(Totaal!$R$2,"0")</f>
        <v>0</v>
      </c>
      <c r="BI12" t="e">
        <f>TEXT(TEXT(MEDIAN(Totaal!$R$3:$R$102),"0,0"),"Standaard")</f>
        <v>#NUM!</v>
      </c>
      <c r="BJ12" t="str">
        <f>Totaal!S$1</f>
        <v>O</v>
      </c>
      <c r="BK12" t="str">
        <f>TEXT(TEXT(Totaal!$S12,"0,0"),"Standaard")</f>
        <v>0</v>
      </c>
      <c r="BL12" t="str">
        <f>TEXT(Totaal!$S$2,"0")</f>
        <v>0</v>
      </c>
      <c r="BM12" t="e">
        <f>TEXT(TEXT(MEDIAN(Totaal!$S$3:$S$102),"0,0"),"Standaard")</f>
        <v>#NUM!</v>
      </c>
      <c r="BN12" t="str">
        <f>Totaal!T$1</f>
        <v>P</v>
      </c>
      <c r="BO12" t="str">
        <f>TEXT(TEXT(Totaal!$T12,"0,0"),"Standaard")</f>
        <v>0</v>
      </c>
      <c r="BP12" t="str">
        <f>TEXT(Totaal!$T$2,"0")</f>
        <v>0</v>
      </c>
      <c r="BQ12" t="e">
        <f>TEXT(TEXT(MEDIAN(Totaal!$T$3:$T$102),"0,0"),"Standaard")</f>
        <v>#NUM!</v>
      </c>
      <c r="BR12" t="str">
        <f>IF(Totaal!U12="","",Totaal!U12)</f>
        <v/>
      </c>
    </row>
    <row r="13" spans="1:70">
      <c r="A13">
        <f>Totaal!A13</f>
        <v>11</v>
      </c>
      <c r="B13" s="22" t="str">
        <f>IF(Totaal!B13="","",Totaal!B13)</f>
        <v/>
      </c>
      <c r="C13" s="8" t="e">
        <f>TEXT(TEXT(Totaal!C13,"0,0"),"Standaard")</f>
        <v>#DIV/0!</v>
      </c>
      <c r="D13" s="8" t="str">
        <f>TEXT(Totaal!C$2,"0")</f>
        <v>100</v>
      </c>
      <c r="E13" s="22" t="e">
        <f>TEXT(TEXT(SUM(Totaal!C$3:C$102)/COUNTIF(Totaal!C$3:C$102,"&lt;&gt;0"),"0,0"),"Standaard")</f>
        <v>#DIV/0!</v>
      </c>
      <c r="F13" t="str">
        <f>Totaal!E$1</f>
        <v>A</v>
      </c>
      <c r="G13" t="str">
        <f>TEXT(TEXT(Totaal!E13,"0,0"),"Standaard")</f>
        <v>0</v>
      </c>
      <c r="H13" t="str">
        <f>TEXT(Totaal!E$2,"0")</f>
        <v>0</v>
      </c>
      <c r="I13" t="e">
        <f>TEXT(TEXT(MEDIAN(Totaal!E$3:E$102),"0,0"),"Standaard")</f>
        <v>#NUM!</v>
      </c>
      <c r="J13" t="str">
        <f>Totaal!F$1</f>
        <v>B</v>
      </c>
      <c r="K13" t="str">
        <f>TEXT(TEXT(Totaal!$F13,"0,0"),"Standaard")</f>
        <v>0</v>
      </c>
      <c r="L13" t="str">
        <f>TEXT(Totaal!F$2,"0")</f>
        <v>0</v>
      </c>
      <c r="M13" t="e">
        <f>TEXT(TEXT(MEDIAN(Totaal!$F$3:$F$102),"0,0"),"Standaard")</f>
        <v>#NUM!</v>
      </c>
      <c r="N13" t="str">
        <f>Totaal!G$1</f>
        <v>C</v>
      </c>
      <c r="O13" t="str">
        <f>TEXT(TEXT(Totaal!$G13,"0,0"),"Standaard")</f>
        <v>0</v>
      </c>
      <c r="P13" t="str">
        <f>TEXT(Totaal!$G$2,"0")</f>
        <v>0</v>
      </c>
      <c r="Q13" t="e">
        <f>TEXT(TEXT(MEDIAN(Totaal!$G$3:$G$102),"0,0"),"Standaard")</f>
        <v>#NUM!</v>
      </c>
      <c r="R13" t="str">
        <f>Totaal!H$1</f>
        <v>D</v>
      </c>
      <c r="S13" t="str">
        <f>TEXT(TEXT(Totaal!$H13,"0,0"),"Standaard")</f>
        <v>0</v>
      </c>
      <c r="T13" t="str">
        <f>TEXT(Totaal!$H$2,"0")</f>
        <v>0</v>
      </c>
      <c r="U13" t="e">
        <f>TEXT(TEXT(MEDIAN(Totaal!$H$3:$H$102),"0,0"),"Standaard")</f>
        <v>#NUM!</v>
      </c>
      <c r="V13" t="str">
        <f>Totaal!I$1</f>
        <v>E</v>
      </c>
      <c r="W13" t="str">
        <f>TEXT(TEXT(Totaal!$I13,"0,0"),"Standaard")</f>
        <v>0</v>
      </c>
      <c r="X13" t="str">
        <f>TEXT(Totaal!$I$2,"0")</f>
        <v>0</v>
      </c>
      <c r="Y13" t="e">
        <f>TEXT(TEXT(MEDIAN(Totaal!$I$3:$I$102),"0,0"),"Standaard")</f>
        <v>#NUM!</v>
      </c>
      <c r="Z13" t="str">
        <f>Totaal!J$1</f>
        <v>F</v>
      </c>
      <c r="AA13" t="str">
        <f>TEXT(TEXT(Totaal!$J13,"0,0"),"Standaard")</f>
        <v>0</v>
      </c>
      <c r="AB13" t="str">
        <f>TEXT(Totaal!$J$2,"0")</f>
        <v>0</v>
      </c>
      <c r="AC13" t="e">
        <f>TEXT(TEXT(MEDIAN(Totaal!$J$3:$J$102),"0,0"),"Standaard")</f>
        <v>#NUM!</v>
      </c>
      <c r="AD13" t="str">
        <f>Totaal!K$1</f>
        <v>G</v>
      </c>
      <c r="AE13" t="str">
        <f>TEXT(TEXT(Totaal!$K13,"0,0"),"Standaard")</f>
        <v>0</v>
      </c>
      <c r="AF13" t="str">
        <f>TEXT(Totaal!$K$2,"0")</f>
        <v>0</v>
      </c>
      <c r="AG13" t="e">
        <f>TEXT(TEXT(MEDIAN(Totaal!$K$3:$K$102),"0,0"),"Standaard")</f>
        <v>#NUM!</v>
      </c>
      <c r="AH13" t="str">
        <f>Totaal!L$1</f>
        <v>H</v>
      </c>
      <c r="AI13" t="str">
        <f>TEXT(TEXT(Totaal!$L13,"0,0"),"Standaard")</f>
        <v>0</v>
      </c>
      <c r="AJ13" t="str">
        <f>TEXT(Totaal!$L$2,"0")</f>
        <v>0</v>
      </c>
      <c r="AK13" t="e">
        <f>TEXT(TEXT(MEDIAN(Totaal!$L$3:$L$102),"0,0"),"Standaard")</f>
        <v>#NUM!</v>
      </c>
      <c r="AL13" t="str">
        <f>Totaal!M$1</f>
        <v>I</v>
      </c>
      <c r="AM13" t="str">
        <f>TEXT(TEXT(Totaal!$M13,"0,0"),"Standaard")</f>
        <v>0</v>
      </c>
      <c r="AN13" t="str">
        <f>TEXT(Totaal!$M$2,"0")</f>
        <v>0</v>
      </c>
      <c r="AO13" t="e">
        <f>TEXT(TEXT(MEDIAN(Totaal!$M$3:$M$102),"0,0"),"Standaard")</f>
        <v>#NUM!</v>
      </c>
      <c r="AP13" t="str">
        <f>Totaal!N$1</f>
        <v>J</v>
      </c>
      <c r="AQ13" t="str">
        <f>TEXT(TEXT(Totaal!$N13,"0,0"),"Standaard")</f>
        <v>0</v>
      </c>
      <c r="AR13" t="str">
        <f>TEXT(Totaal!$N$2,"0")</f>
        <v>0</v>
      </c>
      <c r="AS13" t="e">
        <f>TEXT(TEXT(MEDIAN(Totaal!$N$3:$N$102),"0,0"),"Standaard")</f>
        <v>#NUM!</v>
      </c>
      <c r="AT13" t="str">
        <f>Totaal!O$1</f>
        <v>K</v>
      </c>
      <c r="AU13" t="str">
        <f>TEXT(TEXT(Totaal!$O13,"0,0"),"Standaard")</f>
        <v>0</v>
      </c>
      <c r="AV13" t="str">
        <f>TEXT(Totaal!$O$2,"0")</f>
        <v>0</v>
      </c>
      <c r="AW13" t="e">
        <f>TEXT(TEXT(MEDIAN(Totaal!$O$3:$O$102),"0,0"),"Standaard")</f>
        <v>#NUM!</v>
      </c>
      <c r="AX13" t="str">
        <f>Totaal!P$1</f>
        <v>L</v>
      </c>
      <c r="AY13" t="str">
        <f>TEXT(TEXT(Totaal!$P13,"0,0"),"Standaard")</f>
        <v>0</v>
      </c>
      <c r="AZ13" t="str">
        <f>TEXT(Totaal!$P$2,"0")</f>
        <v>0</v>
      </c>
      <c r="BA13" t="e">
        <f>TEXT(TEXT(MEDIAN(Totaal!$P$3:$P$102),"0,0"),"Standaard")</f>
        <v>#NUM!</v>
      </c>
      <c r="BB13" t="str">
        <f>Totaal!Q$1</f>
        <v>M</v>
      </c>
      <c r="BC13" t="str">
        <f>TEXT(TEXT(Totaal!$Q13,"0,0"),"Standaard")</f>
        <v>0</v>
      </c>
      <c r="BD13" t="str">
        <f>TEXT(Totaal!$Q$2,"0")</f>
        <v>0</v>
      </c>
      <c r="BE13" t="e">
        <f>TEXT(TEXT(MEDIAN(Totaal!$Q$3:$Q$102),"0,0"),"Standaard")</f>
        <v>#NUM!</v>
      </c>
      <c r="BF13" t="str">
        <f>Totaal!R$1</f>
        <v>N</v>
      </c>
      <c r="BG13" t="str">
        <f>TEXT(TEXT(Totaal!$R13,"0,0"),"Standaard")</f>
        <v>0</v>
      </c>
      <c r="BH13" t="str">
        <f>TEXT(Totaal!$R$2,"0")</f>
        <v>0</v>
      </c>
      <c r="BI13" t="e">
        <f>TEXT(TEXT(MEDIAN(Totaal!$R$3:$R$102),"0,0"),"Standaard")</f>
        <v>#NUM!</v>
      </c>
      <c r="BJ13" t="str">
        <f>Totaal!S$1</f>
        <v>O</v>
      </c>
      <c r="BK13" t="str">
        <f>TEXT(TEXT(Totaal!$S13,"0,0"),"Standaard")</f>
        <v>0</v>
      </c>
      <c r="BL13" t="str">
        <f>TEXT(Totaal!$S$2,"0")</f>
        <v>0</v>
      </c>
      <c r="BM13" t="e">
        <f>TEXT(TEXT(MEDIAN(Totaal!$S$3:$S$102),"0,0"),"Standaard")</f>
        <v>#NUM!</v>
      </c>
      <c r="BN13" t="str">
        <f>Totaal!T$1</f>
        <v>P</v>
      </c>
      <c r="BO13" t="str">
        <f>TEXT(TEXT(Totaal!$T13,"0,0"),"Standaard")</f>
        <v>0</v>
      </c>
      <c r="BP13" t="str">
        <f>TEXT(Totaal!$T$2,"0")</f>
        <v>0</v>
      </c>
      <c r="BQ13" t="e">
        <f>TEXT(TEXT(MEDIAN(Totaal!$T$3:$T$102),"0,0"),"Standaard")</f>
        <v>#NUM!</v>
      </c>
      <c r="BR13" t="str">
        <f>IF(Totaal!U13="","",Totaal!U13)</f>
        <v/>
      </c>
    </row>
    <row r="14" spans="1:70">
      <c r="A14">
        <f>Totaal!A14</f>
        <v>12</v>
      </c>
      <c r="B14" s="22" t="str">
        <f>IF(Totaal!B14="","",Totaal!B14)</f>
        <v/>
      </c>
      <c r="C14" s="8" t="e">
        <f>TEXT(TEXT(Totaal!C14,"0,0"),"Standaard")</f>
        <v>#DIV/0!</v>
      </c>
      <c r="D14" s="8" t="str">
        <f>TEXT(Totaal!C$2,"0")</f>
        <v>100</v>
      </c>
      <c r="E14" s="22" t="e">
        <f>TEXT(TEXT(SUM(Totaal!C$3:C$102)/COUNTIF(Totaal!C$3:C$102,"&lt;&gt;0"),"0,0"),"Standaard")</f>
        <v>#DIV/0!</v>
      </c>
      <c r="F14" t="str">
        <f>Totaal!E$1</f>
        <v>A</v>
      </c>
      <c r="G14" t="str">
        <f>TEXT(TEXT(Totaal!E14,"0,0"),"Standaard")</f>
        <v>0</v>
      </c>
      <c r="H14" t="str">
        <f>TEXT(Totaal!E$2,"0")</f>
        <v>0</v>
      </c>
      <c r="I14" t="e">
        <f>TEXT(TEXT(MEDIAN(Totaal!E$3:E$102),"0,0"),"Standaard")</f>
        <v>#NUM!</v>
      </c>
      <c r="J14" t="str">
        <f>Totaal!F$1</f>
        <v>B</v>
      </c>
      <c r="K14" t="str">
        <f>TEXT(TEXT(Totaal!$F14,"0,0"),"Standaard")</f>
        <v>0</v>
      </c>
      <c r="L14" t="str">
        <f>TEXT(Totaal!F$2,"0")</f>
        <v>0</v>
      </c>
      <c r="M14" t="e">
        <f>TEXT(TEXT(MEDIAN(Totaal!$F$3:$F$102),"0,0"),"Standaard")</f>
        <v>#NUM!</v>
      </c>
      <c r="N14" t="str">
        <f>Totaal!G$1</f>
        <v>C</v>
      </c>
      <c r="O14" t="str">
        <f>TEXT(TEXT(Totaal!$G14,"0,0"),"Standaard")</f>
        <v>0</v>
      </c>
      <c r="P14" t="str">
        <f>TEXT(Totaal!$G$2,"0")</f>
        <v>0</v>
      </c>
      <c r="Q14" t="e">
        <f>TEXT(TEXT(MEDIAN(Totaal!$G$3:$G$102),"0,0"),"Standaard")</f>
        <v>#NUM!</v>
      </c>
      <c r="R14" t="str">
        <f>Totaal!H$1</f>
        <v>D</v>
      </c>
      <c r="S14" t="str">
        <f>TEXT(TEXT(Totaal!$H14,"0,0"),"Standaard")</f>
        <v>0</v>
      </c>
      <c r="T14" t="str">
        <f>TEXT(Totaal!$H$2,"0")</f>
        <v>0</v>
      </c>
      <c r="U14" t="e">
        <f>TEXT(TEXT(MEDIAN(Totaal!$H$3:$H$102),"0,0"),"Standaard")</f>
        <v>#NUM!</v>
      </c>
      <c r="V14" t="str">
        <f>Totaal!I$1</f>
        <v>E</v>
      </c>
      <c r="W14" t="str">
        <f>TEXT(TEXT(Totaal!$I14,"0,0"),"Standaard")</f>
        <v>0</v>
      </c>
      <c r="X14" t="str">
        <f>TEXT(Totaal!$I$2,"0")</f>
        <v>0</v>
      </c>
      <c r="Y14" t="e">
        <f>TEXT(TEXT(MEDIAN(Totaal!$I$3:$I$102),"0,0"),"Standaard")</f>
        <v>#NUM!</v>
      </c>
      <c r="Z14" t="str">
        <f>Totaal!J$1</f>
        <v>F</v>
      </c>
      <c r="AA14" t="str">
        <f>TEXT(TEXT(Totaal!$J14,"0,0"),"Standaard")</f>
        <v>0</v>
      </c>
      <c r="AB14" t="str">
        <f>TEXT(Totaal!$J$2,"0")</f>
        <v>0</v>
      </c>
      <c r="AC14" t="e">
        <f>TEXT(TEXT(MEDIAN(Totaal!$J$3:$J$102),"0,0"),"Standaard")</f>
        <v>#NUM!</v>
      </c>
      <c r="AD14" t="str">
        <f>Totaal!K$1</f>
        <v>G</v>
      </c>
      <c r="AE14" t="str">
        <f>TEXT(TEXT(Totaal!$K14,"0,0"),"Standaard")</f>
        <v>0</v>
      </c>
      <c r="AF14" t="str">
        <f>TEXT(Totaal!$K$2,"0")</f>
        <v>0</v>
      </c>
      <c r="AG14" t="e">
        <f>TEXT(TEXT(MEDIAN(Totaal!$K$3:$K$102),"0,0"),"Standaard")</f>
        <v>#NUM!</v>
      </c>
      <c r="AH14" t="str">
        <f>Totaal!L$1</f>
        <v>H</v>
      </c>
      <c r="AI14" t="str">
        <f>TEXT(TEXT(Totaal!$L14,"0,0"),"Standaard")</f>
        <v>0</v>
      </c>
      <c r="AJ14" t="str">
        <f>TEXT(Totaal!$L$2,"0")</f>
        <v>0</v>
      </c>
      <c r="AK14" t="e">
        <f>TEXT(TEXT(MEDIAN(Totaal!$L$3:$L$102),"0,0"),"Standaard")</f>
        <v>#NUM!</v>
      </c>
      <c r="AL14" t="str">
        <f>Totaal!M$1</f>
        <v>I</v>
      </c>
      <c r="AM14" t="str">
        <f>TEXT(TEXT(Totaal!$M14,"0,0"),"Standaard")</f>
        <v>0</v>
      </c>
      <c r="AN14" t="str">
        <f>TEXT(Totaal!$M$2,"0")</f>
        <v>0</v>
      </c>
      <c r="AO14" t="e">
        <f>TEXT(TEXT(MEDIAN(Totaal!$M$3:$M$102),"0,0"),"Standaard")</f>
        <v>#NUM!</v>
      </c>
      <c r="AP14" t="str">
        <f>Totaal!N$1</f>
        <v>J</v>
      </c>
      <c r="AQ14" t="str">
        <f>TEXT(TEXT(Totaal!$N14,"0,0"),"Standaard")</f>
        <v>0</v>
      </c>
      <c r="AR14" t="str">
        <f>TEXT(Totaal!$N$2,"0")</f>
        <v>0</v>
      </c>
      <c r="AS14" t="e">
        <f>TEXT(TEXT(MEDIAN(Totaal!$N$3:$N$102),"0,0"),"Standaard")</f>
        <v>#NUM!</v>
      </c>
      <c r="AT14" t="str">
        <f>Totaal!O$1</f>
        <v>K</v>
      </c>
      <c r="AU14" t="str">
        <f>TEXT(TEXT(Totaal!$O14,"0,0"),"Standaard")</f>
        <v>0</v>
      </c>
      <c r="AV14" t="str">
        <f>TEXT(Totaal!$O$2,"0")</f>
        <v>0</v>
      </c>
      <c r="AW14" t="e">
        <f>TEXT(TEXT(MEDIAN(Totaal!$O$3:$O$102),"0,0"),"Standaard")</f>
        <v>#NUM!</v>
      </c>
      <c r="AX14" t="str">
        <f>Totaal!P$1</f>
        <v>L</v>
      </c>
      <c r="AY14" t="str">
        <f>TEXT(TEXT(Totaal!$P14,"0,0"),"Standaard")</f>
        <v>0</v>
      </c>
      <c r="AZ14" t="str">
        <f>TEXT(Totaal!$P$2,"0")</f>
        <v>0</v>
      </c>
      <c r="BA14" t="e">
        <f>TEXT(TEXT(MEDIAN(Totaal!$P$3:$P$102),"0,0"),"Standaard")</f>
        <v>#NUM!</v>
      </c>
      <c r="BB14" t="str">
        <f>Totaal!Q$1</f>
        <v>M</v>
      </c>
      <c r="BC14" t="str">
        <f>TEXT(TEXT(Totaal!$Q14,"0,0"),"Standaard")</f>
        <v>0</v>
      </c>
      <c r="BD14" t="str">
        <f>TEXT(Totaal!$Q$2,"0")</f>
        <v>0</v>
      </c>
      <c r="BE14" t="e">
        <f>TEXT(TEXT(MEDIAN(Totaal!$Q$3:$Q$102),"0,0"),"Standaard")</f>
        <v>#NUM!</v>
      </c>
      <c r="BF14" t="str">
        <f>Totaal!R$1</f>
        <v>N</v>
      </c>
      <c r="BG14" t="str">
        <f>TEXT(TEXT(Totaal!$R14,"0,0"),"Standaard")</f>
        <v>0</v>
      </c>
      <c r="BH14" t="str">
        <f>TEXT(Totaal!$R$2,"0")</f>
        <v>0</v>
      </c>
      <c r="BI14" t="e">
        <f>TEXT(TEXT(MEDIAN(Totaal!$R$3:$R$102),"0,0"),"Standaard")</f>
        <v>#NUM!</v>
      </c>
      <c r="BJ14" t="str">
        <f>Totaal!S$1</f>
        <v>O</v>
      </c>
      <c r="BK14" t="str">
        <f>TEXT(TEXT(Totaal!$S14,"0,0"),"Standaard")</f>
        <v>0</v>
      </c>
      <c r="BL14" t="str">
        <f>TEXT(Totaal!$S$2,"0")</f>
        <v>0</v>
      </c>
      <c r="BM14" t="e">
        <f>TEXT(TEXT(MEDIAN(Totaal!$S$3:$S$102),"0,0"),"Standaard")</f>
        <v>#NUM!</v>
      </c>
      <c r="BN14" t="str">
        <f>Totaal!T$1</f>
        <v>P</v>
      </c>
      <c r="BO14" t="str">
        <f>TEXT(TEXT(Totaal!$T14,"0,0"),"Standaard")</f>
        <v>0</v>
      </c>
      <c r="BP14" t="str">
        <f>TEXT(Totaal!$T$2,"0")</f>
        <v>0</v>
      </c>
      <c r="BQ14" t="e">
        <f>TEXT(TEXT(MEDIAN(Totaal!$T$3:$T$102),"0,0"),"Standaard")</f>
        <v>#NUM!</v>
      </c>
      <c r="BR14" t="str">
        <f>IF(Totaal!U14="","",Totaal!U14)</f>
        <v/>
      </c>
    </row>
    <row r="15" spans="1:70">
      <c r="A15">
        <f>Totaal!A15</f>
        <v>13</v>
      </c>
      <c r="B15" s="22" t="str">
        <f>IF(Totaal!B15="","",Totaal!B15)</f>
        <v/>
      </c>
      <c r="C15" s="8" t="e">
        <f>TEXT(TEXT(Totaal!C15,"0,0"),"Standaard")</f>
        <v>#DIV/0!</v>
      </c>
      <c r="D15" s="8" t="str">
        <f>TEXT(Totaal!C$2,"0")</f>
        <v>100</v>
      </c>
      <c r="E15" s="22" t="e">
        <f>TEXT(TEXT(SUM(Totaal!C$3:C$102)/COUNTIF(Totaal!C$3:C$102,"&lt;&gt;0"),"0,0"),"Standaard")</f>
        <v>#DIV/0!</v>
      </c>
      <c r="F15" t="str">
        <f>Totaal!E$1</f>
        <v>A</v>
      </c>
      <c r="G15" t="str">
        <f>TEXT(TEXT(Totaal!E15,"0,0"),"Standaard")</f>
        <v>0</v>
      </c>
      <c r="H15" t="str">
        <f>TEXT(Totaal!E$2,"0")</f>
        <v>0</v>
      </c>
      <c r="I15" t="e">
        <f>TEXT(TEXT(MEDIAN(Totaal!E$3:E$102),"0,0"),"Standaard")</f>
        <v>#NUM!</v>
      </c>
      <c r="J15" t="str">
        <f>Totaal!F$1</f>
        <v>B</v>
      </c>
      <c r="K15" t="str">
        <f>TEXT(TEXT(Totaal!$F15,"0,0"),"Standaard")</f>
        <v>0</v>
      </c>
      <c r="L15" t="str">
        <f>TEXT(Totaal!F$2,"0")</f>
        <v>0</v>
      </c>
      <c r="M15" t="e">
        <f>TEXT(TEXT(MEDIAN(Totaal!$F$3:$F$102),"0,0"),"Standaard")</f>
        <v>#NUM!</v>
      </c>
      <c r="N15" t="str">
        <f>Totaal!G$1</f>
        <v>C</v>
      </c>
      <c r="O15" t="str">
        <f>TEXT(TEXT(Totaal!$G15,"0,0"),"Standaard")</f>
        <v>0</v>
      </c>
      <c r="P15" t="str">
        <f>TEXT(Totaal!$G$2,"0")</f>
        <v>0</v>
      </c>
      <c r="Q15" t="e">
        <f>TEXT(TEXT(MEDIAN(Totaal!$G$3:$G$102),"0,0"),"Standaard")</f>
        <v>#NUM!</v>
      </c>
      <c r="R15" t="str">
        <f>Totaal!H$1</f>
        <v>D</v>
      </c>
      <c r="S15" t="str">
        <f>TEXT(TEXT(Totaal!$H15,"0,0"),"Standaard")</f>
        <v>0</v>
      </c>
      <c r="T15" t="str">
        <f>TEXT(Totaal!$H$2,"0")</f>
        <v>0</v>
      </c>
      <c r="U15" t="e">
        <f>TEXT(TEXT(MEDIAN(Totaal!$H$3:$H$102),"0,0"),"Standaard")</f>
        <v>#NUM!</v>
      </c>
      <c r="V15" t="str">
        <f>Totaal!I$1</f>
        <v>E</v>
      </c>
      <c r="W15" t="str">
        <f>TEXT(TEXT(Totaal!$I15,"0,0"),"Standaard")</f>
        <v>0</v>
      </c>
      <c r="X15" t="str">
        <f>TEXT(Totaal!$I$2,"0")</f>
        <v>0</v>
      </c>
      <c r="Y15" t="e">
        <f>TEXT(TEXT(MEDIAN(Totaal!$I$3:$I$102),"0,0"),"Standaard")</f>
        <v>#NUM!</v>
      </c>
      <c r="Z15" t="str">
        <f>Totaal!J$1</f>
        <v>F</v>
      </c>
      <c r="AA15" t="str">
        <f>TEXT(TEXT(Totaal!$J15,"0,0"),"Standaard")</f>
        <v>0</v>
      </c>
      <c r="AB15" t="str">
        <f>TEXT(Totaal!$J$2,"0")</f>
        <v>0</v>
      </c>
      <c r="AC15" t="e">
        <f>TEXT(TEXT(MEDIAN(Totaal!$J$3:$J$102),"0,0"),"Standaard")</f>
        <v>#NUM!</v>
      </c>
      <c r="AD15" t="str">
        <f>Totaal!K$1</f>
        <v>G</v>
      </c>
      <c r="AE15" t="str">
        <f>TEXT(TEXT(Totaal!$K15,"0,0"),"Standaard")</f>
        <v>0</v>
      </c>
      <c r="AF15" t="str">
        <f>TEXT(Totaal!$K$2,"0")</f>
        <v>0</v>
      </c>
      <c r="AG15" t="e">
        <f>TEXT(TEXT(MEDIAN(Totaal!$K$3:$K$102),"0,0"),"Standaard")</f>
        <v>#NUM!</v>
      </c>
      <c r="AH15" t="str">
        <f>Totaal!L$1</f>
        <v>H</v>
      </c>
      <c r="AI15" t="str">
        <f>TEXT(TEXT(Totaal!$L15,"0,0"),"Standaard")</f>
        <v>0</v>
      </c>
      <c r="AJ15" t="str">
        <f>TEXT(Totaal!$L$2,"0")</f>
        <v>0</v>
      </c>
      <c r="AK15" t="e">
        <f>TEXT(TEXT(MEDIAN(Totaal!$L$3:$L$102),"0,0"),"Standaard")</f>
        <v>#NUM!</v>
      </c>
      <c r="AL15" t="str">
        <f>Totaal!M$1</f>
        <v>I</v>
      </c>
      <c r="AM15" t="str">
        <f>TEXT(TEXT(Totaal!$M15,"0,0"),"Standaard")</f>
        <v>0</v>
      </c>
      <c r="AN15" t="str">
        <f>TEXT(Totaal!$M$2,"0")</f>
        <v>0</v>
      </c>
      <c r="AO15" t="e">
        <f>TEXT(TEXT(MEDIAN(Totaal!$M$3:$M$102),"0,0"),"Standaard")</f>
        <v>#NUM!</v>
      </c>
      <c r="AP15" t="str">
        <f>Totaal!N$1</f>
        <v>J</v>
      </c>
      <c r="AQ15" t="str">
        <f>TEXT(TEXT(Totaal!$N15,"0,0"),"Standaard")</f>
        <v>0</v>
      </c>
      <c r="AR15" t="str">
        <f>TEXT(Totaal!$N$2,"0")</f>
        <v>0</v>
      </c>
      <c r="AS15" t="e">
        <f>TEXT(TEXT(MEDIAN(Totaal!$N$3:$N$102),"0,0"),"Standaard")</f>
        <v>#NUM!</v>
      </c>
      <c r="AT15" t="str">
        <f>Totaal!O$1</f>
        <v>K</v>
      </c>
      <c r="AU15" t="str">
        <f>TEXT(TEXT(Totaal!$O15,"0,0"),"Standaard")</f>
        <v>0</v>
      </c>
      <c r="AV15" t="str">
        <f>TEXT(Totaal!$O$2,"0")</f>
        <v>0</v>
      </c>
      <c r="AW15" t="e">
        <f>TEXT(TEXT(MEDIAN(Totaal!$O$3:$O$102),"0,0"),"Standaard")</f>
        <v>#NUM!</v>
      </c>
      <c r="AX15" t="str">
        <f>Totaal!P$1</f>
        <v>L</v>
      </c>
      <c r="AY15" t="str">
        <f>TEXT(TEXT(Totaal!$P15,"0,0"),"Standaard")</f>
        <v>0</v>
      </c>
      <c r="AZ15" t="str">
        <f>TEXT(Totaal!$P$2,"0")</f>
        <v>0</v>
      </c>
      <c r="BA15" t="e">
        <f>TEXT(TEXT(MEDIAN(Totaal!$P$3:$P$102),"0,0"),"Standaard")</f>
        <v>#NUM!</v>
      </c>
      <c r="BB15" t="str">
        <f>Totaal!Q$1</f>
        <v>M</v>
      </c>
      <c r="BC15" t="str">
        <f>TEXT(TEXT(Totaal!$Q15,"0,0"),"Standaard")</f>
        <v>0</v>
      </c>
      <c r="BD15" t="str">
        <f>TEXT(Totaal!$Q$2,"0")</f>
        <v>0</v>
      </c>
      <c r="BE15" t="e">
        <f>TEXT(TEXT(MEDIAN(Totaal!$Q$3:$Q$102),"0,0"),"Standaard")</f>
        <v>#NUM!</v>
      </c>
      <c r="BF15" t="str">
        <f>Totaal!R$1</f>
        <v>N</v>
      </c>
      <c r="BG15" t="str">
        <f>TEXT(TEXT(Totaal!$R15,"0,0"),"Standaard")</f>
        <v>0</v>
      </c>
      <c r="BH15" t="str">
        <f>TEXT(Totaal!$R$2,"0")</f>
        <v>0</v>
      </c>
      <c r="BI15" t="e">
        <f>TEXT(TEXT(MEDIAN(Totaal!$R$3:$R$102),"0,0"),"Standaard")</f>
        <v>#NUM!</v>
      </c>
      <c r="BJ15" t="str">
        <f>Totaal!S$1</f>
        <v>O</v>
      </c>
      <c r="BK15" t="str">
        <f>TEXT(TEXT(Totaal!$S15,"0,0"),"Standaard")</f>
        <v>0</v>
      </c>
      <c r="BL15" t="str">
        <f>TEXT(Totaal!$S$2,"0")</f>
        <v>0</v>
      </c>
      <c r="BM15" t="e">
        <f>TEXT(TEXT(MEDIAN(Totaal!$S$3:$S$102),"0,0"),"Standaard")</f>
        <v>#NUM!</v>
      </c>
      <c r="BN15" t="str">
        <f>Totaal!T$1</f>
        <v>P</v>
      </c>
      <c r="BO15" t="str">
        <f>TEXT(TEXT(Totaal!$T15,"0,0"),"Standaard")</f>
        <v>0</v>
      </c>
      <c r="BP15" t="str">
        <f>TEXT(Totaal!$T$2,"0")</f>
        <v>0</v>
      </c>
      <c r="BQ15" t="e">
        <f>TEXT(TEXT(MEDIAN(Totaal!$T$3:$T$102),"0,0"),"Standaard")</f>
        <v>#NUM!</v>
      </c>
      <c r="BR15" t="str">
        <f>IF(Totaal!U15="","",Totaal!U15)</f>
        <v/>
      </c>
    </row>
    <row r="16" spans="1:70">
      <c r="A16">
        <f>Totaal!A16</f>
        <v>14</v>
      </c>
      <c r="B16" s="22" t="str">
        <f>IF(Totaal!B16="","",Totaal!B16)</f>
        <v/>
      </c>
      <c r="C16" s="8" t="e">
        <f>TEXT(TEXT(Totaal!C16,"0,0"),"Standaard")</f>
        <v>#DIV/0!</v>
      </c>
      <c r="D16" s="8" t="str">
        <f>TEXT(Totaal!C$2,"0")</f>
        <v>100</v>
      </c>
      <c r="E16" s="22" t="e">
        <f>TEXT(TEXT(SUM(Totaal!C$3:C$102)/COUNTIF(Totaal!C$3:C$102,"&lt;&gt;0"),"0,0"),"Standaard")</f>
        <v>#DIV/0!</v>
      </c>
      <c r="F16" t="str">
        <f>Totaal!E$1</f>
        <v>A</v>
      </c>
      <c r="G16" t="str">
        <f>TEXT(TEXT(Totaal!E16,"0,0"),"Standaard")</f>
        <v>0</v>
      </c>
      <c r="H16" t="str">
        <f>TEXT(Totaal!E$2,"0")</f>
        <v>0</v>
      </c>
      <c r="I16" t="e">
        <f>TEXT(TEXT(MEDIAN(Totaal!E$3:E$102),"0,0"),"Standaard")</f>
        <v>#NUM!</v>
      </c>
      <c r="J16" t="str">
        <f>Totaal!F$1</f>
        <v>B</v>
      </c>
      <c r="K16" t="str">
        <f>TEXT(TEXT(Totaal!$F16,"0,0"),"Standaard")</f>
        <v>0</v>
      </c>
      <c r="L16" t="str">
        <f>TEXT(Totaal!F$2,"0")</f>
        <v>0</v>
      </c>
      <c r="M16" t="e">
        <f>TEXT(TEXT(MEDIAN(Totaal!$F$3:$F$102),"0,0"),"Standaard")</f>
        <v>#NUM!</v>
      </c>
      <c r="N16" t="str">
        <f>Totaal!G$1</f>
        <v>C</v>
      </c>
      <c r="O16" t="str">
        <f>TEXT(TEXT(Totaal!$G16,"0,0"),"Standaard")</f>
        <v>0</v>
      </c>
      <c r="P16" t="str">
        <f>TEXT(Totaal!$G$2,"0")</f>
        <v>0</v>
      </c>
      <c r="Q16" t="e">
        <f>TEXT(TEXT(MEDIAN(Totaal!$G$3:$G$102),"0,0"),"Standaard")</f>
        <v>#NUM!</v>
      </c>
      <c r="R16" t="str">
        <f>Totaal!H$1</f>
        <v>D</v>
      </c>
      <c r="S16" t="str">
        <f>TEXT(TEXT(Totaal!$H16,"0,0"),"Standaard")</f>
        <v>0</v>
      </c>
      <c r="T16" t="str">
        <f>TEXT(Totaal!$H$2,"0")</f>
        <v>0</v>
      </c>
      <c r="U16" t="e">
        <f>TEXT(TEXT(MEDIAN(Totaal!$H$3:$H$102),"0,0"),"Standaard")</f>
        <v>#NUM!</v>
      </c>
      <c r="V16" t="str">
        <f>Totaal!I$1</f>
        <v>E</v>
      </c>
      <c r="W16" t="str">
        <f>TEXT(TEXT(Totaal!$I16,"0,0"),"Standaard")</f>
        <v>0</v>
      </c>
      <c r="X16" t="str">
        <f>TEXT(Totaal!$I$2,"0")</f>
        <v>0</v>
      </c>
      <c r="Y16" t="e">
        <f>TEXT(TEXT(MEDIAN(Totaal!$I$3:$I$102),"0,0"),"Standaard")</f>
        <v>#NUM!</v>
      </c>
      <c r="Z16" t="str">
        <f>Totaal!J$1</f>
        <v>F</v>
      </c>
      <c r="AA16" t="str">
        <f>TEXT(TEXT(Totaal!$J16,"0,0"),"Standaard")</f>
        <v>0</v>
      </c>
      <c r="AB16" t="str">
        <f>TEXT(Totaal!$J$2,"0")</f>
        <v>0</v>
      </c>
      <c r="AC16" t="e">
        <f>TEXT(TEXT(MEDIAN(Totaal!$J$3:$J$102),"0,0"),"Standaard")</f>
        <v>#NUM!</v>
      </c>
      <c r="AD16" t="str">
        <f>Totaal!K$1</f>
        <v>G</v>
      </c>
      <c r="AE16" t="str">
        <f>TEXT(TEXT(Totaal!$K16,"0,0"),"Standaard")</f>
        <v>0</v>
      </c>
      <c r="AF16" t="str">
        <f>TEXT(Totaal!$K$2,"0")</f>
        <v>0</v>
      </c>
      <c r="AG16" t="e">
        <f>TEXT(TEXT(MEDIAN(Totaal!$K$3:$K$102),"0,0"),"Standaard")</f>
        <v>#NUM!</v>
      </c>
      <c r="AH16" t="str">
        <f>Totaal!L$1</f>
        <v>H</v>
      </c>
      <c r="AI16" t="str">
        <f>TEXT(TEXT(Totaal!$L16,"0,0"),"Standaard")</f>
        <v>0</v>
      </c>
      <c r="AJ16" t="str">
        <f>TEXT(Totaal!$L$2,"0")</f>
        <v>0</v>
      </c>
      <c r="AK16" t="e">
        <f>TEXT(TEXT(MEDIAN(Totaal!$L$3:$L$102),"0,0"),"Standaard")</f>
        <v>#NUM!</v>
      </c>
      <c r="AL16" t="str">
        <f>Totaal!M$1</f>
        <v>I</v>
      </c>
      <c r="AM16" t="str">
        <f>TEXT(TEXT(Totaal!$M16,"0,0"),"Standaard")</f>
        <v>0</v>
      </c>
      <c r="AN16" t="str">
        <f>TEXT(Totaal!$M$2,"0")</f>
        <v>0</v>
      </c>
      <c r="AO16" t="e">
        <f>TEXT(TEXT(MEDIAN(Totaal!$M$3:$M$102),"0,0"),"Standaard")</f>
        <v>#NUM!</v>
      </c>
      <c r="AP16" t="str">
        <f>Totaal!N$1</f>
        <v>J</v>
      </c>
      <c r="AQ16" t="str">
        <f>TEXT(TEXT(Totaal!$N16,"0,0"),"Standaard")</f>
        <v>0</v>
      </c>
      <c r="AR16" t="str">
        <f>TEXT(Totaal!$N$2,"0")</f>
        <v>0</v>
      </c>
      <c r="AS16" t="e">
        <f>TEXT(TEXT(MEDIAN(Totaal!$N$3:$N$102),"0,0"),"Standaard")</f>
        <v>#NUM!</v>
      </c>
      <c r="AT16" t="str">
        <f>Totaal!O$1</f>
        <v>K</v>
      </c>
      <c r="AU16" t="str">
        <f>TEXT(TEXT(Totaal!$O16,"0,0"),"Standaard")</f>
        <v>0</v>
      </c>
      <c r="AV16" t="str">
        <f>TEXT(Totaal!$O$2,"0")</f>
        <v>0</v>
      </c>
      <c r="AW16" t="e">
        <f>TEXT(TEXT(MEDIAN(Totaal!$O$3:$O$102),"0,0"),"Standaard")</f>
        <v>#NUM!</v>
      </c>
      <c r="AX16" t="str">
        <f>Totaal!P$1</f>
        <v>L</v>
      </c>
      <c r="AY16" t="str">
        <f>TEXT(TEXT(Totaal!$P16,"0,0"),"Standaard")</f>
        <v>0</v>
      </c>
      <c r="AZ16" t="str">
        <f>TEXT(Totaal!$P$2,"0")</f>
        <v>0</v>
      </c>
      <c r="BA16" t="e">
        <f>TEXT(TEXT(MEDIAN(Totaal!$P$3:$P$102),"0,0"),"Standaard")</f>
        <v>#NUM!</v>
      </c>
      <c r="BB16" t="str">
        <f>Totaal!Q$1</f>
        <v>M</v>
      </c>
      <c r="BC16" t="str">
        <f>TEXT(TEXT(Totaal!$Q16,"0,0"),"Standaard")</f>
        <v>0</v>
      </c>
      <c r="BD16" t="str">
        <f>TEXT(Totaal!$Q$2,"0")</f>
        <v>0</v>
      </c>
      <c r="BE16" t="e">
        <f>TEXT(TEXT(MEDIAN(Totaal!$Q$3:$Q$102),"0,0"),"Standaard")</f>
        <v>#NUM!</v>
      </c>
      <c r="BF16" t="str">
        <f>Totaal!R$1</f>
        <v>N</v>
      </c>
      <c r="BG16" t="str">
        <f>TEXT(TEXT(Totaal!$R16,"0,0"),"Standaard")</f>
        <v>0</v>
      </c>
      <c r="BH16" t="str">
        <f>TEXT(Totaal!$R$2,"0")</f>
        <v>0</v>
      </c>
      <c r="BI16" t="e">
        <f>TEXT(TEXT(MEDIAN(Totaal!$R$3:$R$102),"0,0"),"Standaard")</f>
        <v>#NUM!</v>
      </c>
      <c r="BJ16" t="str">
        <f>Totaal!S$1</f>
        <v>O</v>
      </c>
      <c r="BK16" t="str">
        <f>TEXT(TEXT(Totaal!$S16,"0,0"),"Standaard")</f>
        <v>0</v>
      </c>
      <c r="BL16" t="str">
        <f>TEXT(Totaal!$S$2,"0")</f>
        <v>0</v>
      </c>
      <c r="BM16" t="e">
        <f>TEXT(TEXT(MEDIAN(Totaal!$S$3:$S$102),"0,0"),"Standaard")</f>
        <v>#NUM!</v>
      </c>
      <c r="BN16" t="str">
        <f>Totaal!T$1</f>
        <v>P</v>
      </c>
      <c r="BO16" t="str">
        <f>TEXT(TEXT(Totaal!$T16,"0,0"),"Standaard")</f>
        <v>0</v>
      </c>
      <c r="BP16" t="str">
        <f>TEXT(Totaal!$T$2,"0")</f>
        <v>0</v>
      </c>
      <c r="BQ16" t="e">
        <f>TEXT(TEXT(MEDIAN(Totaal!$T$3:$T$102),"0,0"),"Standaard")</f>
        <v>#NUM!</v>
      </c>
      <c r="BR16" t="str">
        <f>IF(Totaal!U16="","",Totaal!U16)</f>
        <v/>
      </c>
    </row>
    <row r="17" spans="1:70">
      <c r="A17">
        <f>Totaal!A17</f>
        <v>15</v>
      </c>
      <c r="B17" s="22" t="str">
        <f>IF(Totaal!B17="","",Totaal!B17)</f>
        <v/>
      </c>
      <c r="C17" s="8" t="e">
        <f>TEXT(TEXT(Totaal!C17,"0,0"),"Standaard")</f>
        <v>#DIV/0!</v>
      </c>
      <c r="D17" s="8" t="str">
        <f>TEXT(Totaal!C$2,"0")</f>
        <v>100</v>
      </c>
      <c r="E17" s="22" t="e">
        <f>TEXT(TEXT(SUM(Totaal!C$3:C$102)/COUNTIF(Totaal!C$3:C$102,"&lt;&gt;0"),"0,0"),"Standaard")</f>
        <v>#DIV/0!</v>
      </c>
      <c r="F17" t="str">
        <f>Totaal!E$1</f>
        <v>A</v>
      </c>
      <c r="G17" t="str">
        <f>TEXT(TEXT(Totaal!E17,"0,0"),"Standaard")</f>
        <v>0</v>
      </c>
      <c r="H17" t="str">
        <f>TEXT(Totaal!E$2,"0")</f>
        <v>0</v>
      </c>
      <c r="I17" t="e">
        <f>TEXT(TEXT(MEDIAN(Totaal!E$3:E$102),"0,0"),"Standaard")</f>
        <v>#NUM!</v>
      </c>
      <c r="J17" t="str">
        <f>Totaal!F$1</f>
        <v>B</v>
      </c>
      <c r="K17" t="str">
        <f>TEXT(TEXT(Totaal!$F17,"0,0"),"Standaard")</f>
        <v>0</v>
      </c>
      <c r="L17" t="str">
        <f>TEXT(Totaal!F$2,"0")</f>
        <v>0</v>
      </c>
      <c r="M17" t="e">
        <f>TEXT(TEXT(MEDIAN(Totaal!$F$3:$F$102),"0,0"),"Standaard")</f>
        <v>#NUM!</v>
      </c>
      <c r="N17" t="str">
        <f>Totaal!G$1</f>
        <v>C</v>
      </c>
      <c r="O17" t="str">
        <f>TEXT(TEXT(Totaal!$G17,"0,0"),"Standaard")</f>
        <v>0</v>
      </c>
      <c r="P17" t="str">
        <f>TEXT(Totaal!$G$2,"0")</f>
        <v>0</v>
      </c>
      <c r="Q17" t="e">
        <f>TEXT(TEXT(MEDIAN(Totaal!$G$3:$G$102),"0,0"),"Standaard")</f>
        <v>#NUM!</v>
      </c>
      <c r="R17" t="str">
        <f>Totaal!H$1</f>
        <v>D</v>
      </c>
      <c r="S17" t="str">
        <f>TEXT(TEXT(Totaal!$H17,"0,0"),"Standaard")</f>
        <v>0</v>
      </c>
      <c r="T17" t="str">
        <f>TEXT(Totaal!$H$2,"0")</f>
        <v>0</v>
      </c>
      <c r="U17" t="e">
        <f>TEXT(TEXT(MEDIAN(Totaal!$H$3:$H$102),"0,0"),"Standaard")</f>
        <v>#NUM!</v>
      </c>
      <c r="V17" t="str">
        <f>Totaal!I$1</f>
        <v>E</v>
      </c>
      <c r="W17" t="str">
        <f>TEXT(TEXT(Totaal!$I17,"0,0"),"Standaard")</f>
        <v>0</v>
      </c>
      <c r="X17" t="str">
        <f>TEXT(Totaal!$I$2,"0")</f>
        <v>0</v>
      </c>
      <c r="Y17" t="e">
        <f>TEXT(TEXT(MEDIAN(Totaal!$I$3:$I$102),"0,0"),"Standaard")</f>
        <v>#NUM!</v>
      </c>
      <c r="Z17" t="str">
        <f>Totaal!J$1</f>
        <v>F</v>
      </c>
      <c r="AA17" t="str">
        <f>TEXT(TEXT(Totaal!$J17,"0,0"),"Standaard")</f>
        <v>0</v>
      </c>
      <c r="AB17" t="str">
        <f>TEXT(Totaal!$J$2,"0")</f>
        <v>0</v>
      </c>
      <c r="AC17" t="e">
        <f>TEXT(TEXT(MEDIAN(Totaal!$J$3:$J$102),"0,0"),"Standaard")</f>
        <v>#NUM!</v>
      </c>
      <c r="AD17" t="str">
        <f>Totaal!K$1</f>
        <v>G</v>
      </c>
      <c r="AE17" t="str">
        <f>TEXT(TEXT(Totaal!$K17,"0,0"),"Standaard")</f>
        <v>0</v>
      </c>
      <c r="AF17" t="str">
        <f>TEXT(Totaal!$K$2,"0")</f>
        <v>0</v>
      </c>
      <c r="AG17" t="e">
        <f>TEXT(TEXT(MEDIAN(Totaal!$K$3:$K$102),"0,0"),"Standaard")</f>
        <v>#NUM!</v>
      </c>
      <c r="AH17" t="str">
        <f>Totaal!L$1</f>
        <v>H</v>
      </c>
      <c r="AI17" t="str">
        <f>TEXT(TEXT(Totaal!$L17,"0,0"),"Standaard")</f>
        <v>0</v>
      </c>
      <c r="AJ17" t="str">
        <f>TEXT(Totaal!$L$2,"0")</f>
        <v>0</v>
      </c>
      <c r="AK17" t="e">
        <f>TEXT(TEXT(MEDIAN(Totaal!$L$3:$L$102),"0,0"),"Standaard")</f>
        <v>#NUM!</v>
      </c>
      <c r="AL17" t="str">
        <f>Totaal!M$1</f>
        <v>I</v>
      </c>
      <c r="AM17" t="str">
        <f>TEXT(TEXT(Totaal!$M17,"0,0"),"Standaard")</f>
        <v>0</v>
      </c>
      <c r="AN17" t="str">
        <f>TEXT(Totaal!$M$2,"0")</f>
        <v>0</v>
      </c>
      <c r="AO17" t="e">
        <f>TEXT(TEXT(MEDIAN(Totaal!$M$3:$M$102),"0,0"),"Standaard")</f>
        <v>#NUM!</v>
      </c>
      <c r="AP17" t="str">
        <f>Totaal!N$1</f>
        <v>J</v>
      </c>
      <c r="AQ17" t="str">
        <f>TEXT(TEXT(Totaal!$N17,"0,0"),"Standaard")</f>
        <v>0</v>
      </c>
      <c r="AR17" t="str">
        <f>TEXT(Totaal!$N$2,"0")</f>
        <v>0</v>
      </c>
      <c r="AS17" t="e">
        <f>TEXT(TEXT(MEDIAN(Totaal!$N$3:$N$102),"0,0"),"Standaard")</f>
        <v>#NUM!</v>
      </c>
      <c r="AT17" t="str">
        <f>Totaal!O$1</f>
        <v>K</v>
      </c>
      <c r="AU17" t="str">
        <f>TEXT(TEXT(Totaal!$O17,"0,0"),"Standaard")</f>
        <v>0</v>
      </c>
      <c r="AV17" t="str">
        <f>TEXT(Totaal!$O$2,"0")</f>
        <v>0</v>
      </c>
      <c r="AW17" t="e">
        <f>TEXT(TEXT(MEDIAN(Totaal!$O$3:$O$102),"0,0"),"Standaard")</f>
        <v>#NUM!</v>
      </c>
      <c r="AX17" t="str">
        <f>Totaal!P$1</f>
        <v>L</v>
      </c>
      <c r="AY17" t="str">
        <f>TEXT(TEXT(Totaal!$P17,"0,0"),"Standaard")</f>
        <v>0</v>
      </c>
      <c r="AZ17" t="str">
        <f>TEXT(Totaal!$P$2,"0")</f>
        <v>0</v>
      </c>
      <c r="BA17" t="e">
        <f>TEXT(TEXT(MEDIAN(Totaal!$P$3:$P$102),"0,0"),"Standaard")</f>
        <v>#NUM!</v>
      </c>
      <c r="BB17" t="str">
        <f>Totaal!Q$1</f>
        <v>M</v>
      </c>
      <c r="BC17" t="str">
        <f>TEXT(TEXT(Totaal!$Q17,"0,0"),"Standaard")</f>
        <v>0</v>
      </c>
      <c r="BD17" t="str">
        <f>TEXT(Totaal!$Q$2,"0")</f>
        <v>0</v>
      </c>
      <c r="BE17" t="e">
        <f>TEXT(TEXT(MEDIAN(Totaal!$Q$3:$Q$102),"0,0"),"Standaard")</f>
        <v>#NUM!</v>
      </c>
      <c r="BF17" t="str">
        <f>Totaal!R$1</f>
        <v>N</v>
      </c>
      <c r="BG17" t="str">
        <f>TEXT(TEXT(Totaal!$R17,"0,0"),"Standaard")</f>
        <v>0</v>
      </c>
      <c r="BH17" t="str">
        <f>TEXT(Totaal!$R$2,"0")</f>
        <v>0</v>
      </c>
      <c r="BI17" t="e">
        <f>TEXT(TEXT(MEDIAN(Totaal!$R$3:$R$102),"0,0"),"Standaard")</f>
        <v>#NUM!</v>
      </c>
      <c r="BJ17" t="str">
        <f>Totaal!S$1</f>
        <v>O</v>
      </c>
      <c r="BK17" t="str">
        <f>TEXT(TEXT(Totaal!$S17,"0,0"),"Standaard")</f>
        <v>0</v>
      </c>
      <c r="BL17" t="str">
        <f>TEXT(Totaal!$S$2,"0")</f>
        <v>0</v>
      </c>
      <c r="BM17" t="e">
        <f>TEXT(TEXT(MEDIAN(Totaal!$S$3:$S$102),"0,0"),"Standaard")</f>
        <v>#NUM!</v>
      </c>
      <c r="BN17" t="str">
        <f>Totaal!T$1</f>
        <v>P</v>
      </c>
      <c r="BO17" t="str">
        <f>TEXT(TEXT(Totaal!$T17,"0,0"),"Standaard")</f>
        <v>0</v>
      </c>
      <c r="BP17" t="str">
        <f>TEXT(Totaal!$T$2,"0")</f>
        <v>0</v>
      </c>
      <c r="BQ17" t="e">
        <f>TEXT(TEXT(MEDIAN(Totaal!$T$3:$T$102),"0,0"),"Standaard")</f>
        <v>#NUM!</v>
      </c>
      <c r="BR17" t="str">
        <f>IF(Totaal!U17="","",Totaal!U17)</f>
        <v/>
      </c>
    </row>
    <row r="18" spans="1:70">
      <c r="A18">
        <f>Totaal!A18</f>
        <v>16</v>
      </c>
      <c r="B18" s="22" t="str">
        <f>IF(Totaal!B18="","",Totaal!B18)</f>
        <v/>
      </c>
      <c r="C18" s="8" t="e">
        <f>TEXT(TEXT(Totaal!C18,"0,0"),"Standaard")</f>
        <v>#DIV/0!</v>
      </c>
      <c r="D18" s="8" t="str">
        <f>TEXT(Totaal!C$2,"0")</f>
        <v>100</v>
      </c>
      <c r="E18" s="22" t="e">
        <f>TEXT(TEXT(SUM(Totaal!C$3:C$102)/COUNTIF(Totaal!C$3:C$102,"&lt;&gt;0"),"0,0"),"Standaard")</f>
        <v>#DIV/0!</v>
      </c>
      <c r="F18" t="str">
        <f>Totaal!E$1</f>
        <v>A</v>
      </c>
      <c r="G18" t="str">
        <f>TEXT(TEXT(Totaal!E18,"0,0"),"Standaard")</f>
        <v>0</v>
      </c>
      <c r="H18" t="str">
        <f>TEXT(Totaal!E$2,"0")</f>
        <v>0</v>
      </c>
      <c r="I18" t="e">
        <f>TEXT(TEXT(MEDIAN(Totaal!E$3:E$102),"0,0"),"Standaard")</f>
        <v>#NUM!</v>
      </c>
      <c r="J18" t="str">
        <f>Totaal!F$1</f>
        <v>B</v>
      </c>
      <c r="K18" t="str">
        <f>TEXT(TEXT(Totaal!$F18,"0,0"),"Standaard")</f>
        <v>0</v>
      </c>
      <c r="L18" t="str">
        <f>TEXT(Totaal!F$2,"0")</f>
        <v>0</v>
      </c>
      <c r="M18" t="e">
        <f>TEXT(TEXT(MEDIAN(Totaal!$F$3:$F$102),"0,0"),"Standaard")</f>
        <v>#NUM!</v>
      </c>
      <c r="N18" t="str">
        <f>Totaal!G$1</f>
        <v>C</v>
      </c>
      <c r="O18" t="str">
        <f>TEXT(TEXT(Totaal!$G18,"0,0"),"Standaard")</f>
        <v>0</v>
      </c>
      <c r="P18" t="str">
        <f>TEXT(Totaal!$G$2,"0")</f>
        <v>0</v>
      </c>
      <c r="Q18" t="e">
        <f>TEXT(TEXT(MEDIAN(Totaal!$G$3:$G$102),"0,0"),"Standaard")</f>
        <v>#NUM!</v>
      </c>
      <c r="R18" t="str">
        <f>Totaal!H$1</f>
        <v>D</v>
      </c>
      <c r="S18" t="str">
        <f>TEXT(TEXT(Totaal!$H18,"0,0"),"Standaard")</f>
        <v>0</v>
      </c>
      <c r="T18" t="str">
        <f>TEXT(Totaal!$H$2,"0")</f>
        <v>0</v>
      </c>
      <c r="U18" t="e">
        <f>TEXT(TEXT(MEDIAN(Totaal!$H$3:$H$102),"0,0"),"Standaard")</f>
        <v>#NUM!</v>
      </c>
      <c r="V18" t="str">
        <f>Totaal!I$1</f>
        <v>E</v>
      </c>
      <c r="W18" t="str">
        <f>TEXT(TEXT(Totaal!$I18,"0,0"),"Standaard")</f>
        <v>0</v>
      </c>
      <c r="X18" t="str">
        <f>TEXT(Totaal!$I$2,"0")</f>
        <v>0</v>
      </c>
      <c r="Y18" t="e">
        <f>TEXT(TEXT(MEDIAN(Totaal!$I$3:$I$102),"0,0"),"Standaard")</f>
        <v>#NUM!</v>
      </c>
      <c r="Z18" t="str">
        <f>Totaal!J$1</f>
        <v>F</v>
      </c>
      <c r="AA18" t="str">
        <f>TEXT(TEXT(Totaal!$J18,"0,0"),"Standaard")</f>
        <v>0</v>
      </c>
      <c r="AB18" t="str">
        <f>TEXT(Totaal!$J$2,"0")</f>
        <v>0</v>
      </c>
      <c r="AC18" t="e">
        <f>TEXT(TEXT(MEDIAN(Totaal!$J$3:$J$102),"0,0"),"Standaard")</f>
        <v>#NUM!</v>
      </c>
      <c r="AD18" t="str">
        <f>Totaal!K$1</f>
        <v>G</v>
      </c>
      <c r="AE18" t="str">
        <f>TEXT(TEXT(Totaal!$K18,"0,0"),"Standaard")</f>
        <v>0</v>
      </c>
      <c r="AF18" t="str">
        <f>TEXT(Totaal!$K$2,"0")</f>
        <v>0</v>
      </c>
      <c r="AG18" t="e">
        <f>TEXT(TEXT(MEDIAN(Totaal!$K$3:$K$102),"0,0"),"Standaard")</f>
        <v>#NUM!</v>
      </c>
      <c r="AH18" t="str">
        <f>Totaal!L$1</f>
        <v>H</v>
      </c>
      <c r="AI18" t="str">
        <f>TEXT(TEXT(Totaal!$L18,"0,0"),"Standaard")</f>
        <v>0</v>
      </c>
      <c r="AJ18" t="str">
        <f>TEXT(Totaal!$L$2,"0")</f>
        <v>0</v>
      </c>
      <c r="AK18" t="e">
        <f>TEXT(TEXT(MEDIAN(Totaal!$L$3:$L$102),"0,0"),"Standaard")</f>
        <v>#NUM!</v>
      </c>
      <c r="AL18" t="str">
        <f>Totaal!M$1</f>
        <v>I</v>
      </c>
      <c r="AM18" t="str">
        <f>TEXT(TEXT(Totaal!$M18,"0,0"),"Standaard")</f>
        <v>0</v>
      </c>
      <c r="AN18" t="str">
        <f>TEXT(Totaal!$M$2,"0")</f>
        <v>0</v>
      </c>
      <c r="AO18" t="e">
        <f>TEXT(TEXT(MEDIAN(Totaal!$M$3:$M$102),"0,0"),"Standaard")</f>
        <v>#NUM!</v>
      </c>
      <c r="AP18" t="str">
        <f>Totaal!N$1</f>
        <v>J</v>
      </c>
      <c r="AQ18" t="str">
        <f>TEXT(TEXT(Totaal!$N18,"0,0"),"Standaard")</f>
        <v>0</v>
      </c>
      <c r="AR18" t="str">
        <f>TEXT(Totaal!$N$2,"0")</f>
        <v>0</v>
      </c>
      <c r="AS18" t="e">
        <f>TEXT(TEXT(MEDIAN(Totaal!$N$3:$N$102),"0,0"),"Standaard")</f>
        <v>#NUM!</v>
      </c>
      <c r="AT18" t="str">
        <f>Totaal!O$1</f>
        <v>K</v>
      </c>
      <c r="AU18" t="str">
        <f>TEXT(TEXT(Totaal!$O18,"0,0"),"Standaard")</f>
        <v>0</v>
      </c>
      <c r="AV18" t="str">
        <f>TEXT(Totaal!$O$2,"0")</f>
        <v>0</v>
      </c>
      <c r="AW18" t="e">
        <f>TEXT(TEXT(MEDIAN(Totaal!$O$3:$O$102),"0,0"),"Standaard")</f>
        <v>#NUM!</v>
      </c>
      <c r="AX18" t="str">
        <f>Totaal!P$1</f>
        <v>L</v>
      </c>
      <c r="AY18" t="str">
        <f>TEXT(TEXT(Totaal!$P18,"0,0"),"Standaard")</f>
        <v>0</v>
      </c>
      <c r="AZ18" t="str">
        <f>TEXT(Totaal!$P$2,"0")</f>
        <v>0</v>
      </c>
      <c r="BA18" t="e">
        <f>TEXT(TEXT(MEDIAN(Totaal!$P$3:$P$102),"0,0"),"Standaard")</f>
        <v>#NUM!</v>
      </c>
      <c r="BB18" t="str">
        <f>Totaal!Q$1</f>
        <v>M</v>
      </c>
      <c r="BC18" t="str">
        <f>TEXT(TEXT(Totaal!$Q18,"0,0"),"Standaard")</f>
        <v>0</v>
      </c>
      <c r="BD18" t="str">
        <f>TEXT(Totaal!$Q$2,"0")</f>
        <v>0</v>
      </c>
      <c r="BE18" t="e">
        <f>TEXT(TEXT(MEDIAN(Totaal!$Q$3:$Q$102),"0,0"),"Standaard")</f>
        <v>#NUM!</v>
      </c>
      <c r="BF18" t="str">
        <f>Totaal!R$1</f>
        <v>N</v>
      </c>
      <c r="BG18" t="str">
        <f>TEXT(TEXT(Totaal!$R18,"0,0"),"Standaard")</f>
        <v>0</v>
      </c>
      <c r="BH18" t="str">
        <f>TEXT(Totaal!$R$2,"0")</f>
        <v>0</v>
      </c>
      <c r="BI18" t="e">
        <f>TEXT(TEXT(MEDIAN(Totaal!$R$3:$R$102),"0,0"),"Standaard")</f>
        <v>#NUM!</v>
      </c>
      <c r="BJ18" t="str">
        <f>Totaal!S$1</f>
        <v>O</v>
      </c>
      <c r="BK18" t="str">
        <f>TEXT(TEXT(Totaal!$S18,"0,0"),"Standaard")</f>
        <v>0</v>
      </c>
      <c r="BL18" t="str">
        <f>TEXT(Totaal!$S$2,"0")</f>
        <v>0</v>
      </c>
      <c r="BM18" t="e">
        <f>TEXT(TEXT(MEDIAN(Totaal!$S$3:$S$102),"0,0"),"Standaard")</f>
        <v>#NUM!</v>
      </c>
      <c r="BN18" t="str">
        <f>Totaal!T$1</f>
        <v>P</v>
      </c>
      <c r="BO18" t="str">
        <f>TEXT(TEXT(Totaal!$T18,"0,0"),"Standaard")</f>
        <v>0</v>
      </c>
      <c r="BP18" t="str">
        <f>TEXT(Totaal!$T$2,"0")</f>
        <v>0</v>
      </c>
      <c r="BQ18" t="e">
        <f>TEXT(TEXT(MEDIAN(Totaal!$T$3:$T$102),"0,0"),"Standaard")</f>
        <v>#NUM!</v>
      </c>
      <c r="BR18" t="str">
        <f>IF(Totaal!U18="","",Totaal!U18)</f>
        <v/>
      </c>
    </row>
    <row r="19" spans="1:70">
      <c r="A19">
        <f>Totaal!A19</f>
        <v>17</v>
      </c>
      <c r="B19" s="22" t="str">
        <f>IF(Totaal!B19="","",Totaal!B19)</f>
        <v/>
      </c>
      <c r="C19" s="8" t="e">
        <f>TEXT(TEXT(Totaal!C19,"0,0"),"Standaard")</f>
        <v>#DIV/0!</v>
      </c>
      <c r="D19" s="8" t="str">
        <f>TEXT(Totaal!C$2,"0")</f>
        <v>100</v>
      </c>
      <c r="E19" s="22" t="e">
        <f>TEXT(TEXT(SUM(Totaal!C$3:C$102)/COUNTIF(Totaal!C$3:C$102,"&lt;&gt;0"),"0,0"),"Standaard")</f>
        <v>#DIV/0!</v>
      </c>
      <c r="F19" t="str">
        <f>Totaal!E$1</f>
        <v>A</v>
      </c>
      <c r="G19" t="str">
        <f>TEXT(TEXT(Totaal!E19,"0,0"),"Standaard")</f>
        <v>0</v>
      </c>
      <c r="H19" t="str">
        <f>TEXT(Totaal!E$2,"0")</f>
        <v>0</v>
      </c>
      <c r="I19" t="e">
        <f>TEXT(TEXT(MEDIAN(Totaal!E$3:E$102),"0,0"),"Standaard")</f>
        <v>#NUM!</v>
      </c>
      <c r="J19" t="str">
        <f>Totaal!F$1</f>
        <v>B</v>
      </c>
      <c r="K19" t="str">
        <f>TEXT(TEXT(Totaal!$F19,"0,0"),"Standaard")</f>
        <v>0</v>
      </c>
      <c r="L19" t="str">
        <f>TEXT(Totaal!F$2,"0")</f>
        <v>0</v>
      </c>
      <c r="M19" t="e">
        <f>TEXT(TEXT(MEDIAN(Totaal!$F$3:$F$102),"0,0"),"Standaard")</f>
        <v>#NUM!</v>
      </c>
      <c r="N19" t="str">
        <f>Totaal!G$1</f>
        <v>C</v>
      </c>
      <c r="O19" t="str">
        <f>TEXT(TEXT(Totaal!$G19,"0,0"),"Standaard")</f>
        <v>0</v>
      </c>
      <c r="P19" t="str">
        <f>TEXT(Totaal!$G$2,"0")</f>
        <v>0</v>
      </c>
      <c r="Q19" t="e">
        <f>TEXT(TEXT(MEDIAN(Totaal!$G$3:$G$102),"0,0"),"Standaard")</f>
        <v>#NUM!</v>
      </c>
      <c r="R19" t="str">
        <f>Totaal!H$1</f>
        <v>D</v>
      </c>
      <c r="S19" t="str">
        <f>TEXT(TEXT(Totaal!$H19,"0,0"),"Standaard")</f>
        <v>0</v>
      </c>
      <c r="T19" t="str">
        <f>TEXT(Totaal!$H$2,"0")</f>
        <v>0</v>
      </c>
      <c r="U19" t="e">
        <f>TEXT(TEXT(MEDIAN(Totaal!$H$3:$H$102),"0,0"),"Standaard")</f>
        <v>#NUM!</v>
      </c>
      <c r="V19" t="str">
        <f>Totaal!I$1</f>
        <v>E</v>
      </c>
      <c r="W19" t="str">
        <f>TEXT(TEXT(Totaal!$I19,"0,0"),"Standaard")</f>
        <v>0</v>
      </c>
      <c r="X19" t="str">
        <f>TEXT(Totaal!$I$2,"0")</f>
        <v>0</v>
      </c>
      <c r="Y19" t="e">
        <f>TEXT(TEXT(MEDIAN(Totaal!$I$3:$I$102),"0,0"),"Standaard")</f>
        <v>#NUM!</v>
      </c>
      <c r="Z19" t="str">
        <f>Totaal!J$1</f>
        <v>F</v>
      </c>
      <c r="AA19" t="str">
        <f>TEXT(TEXT(Totaal!$J19,"0,0"),"Standaard")</f>
        <v>0</v>
      </c>
      <c r="AB19" t="str">
        <f>TEXT(Totaal!$J$2,"0")</f>
        <v>0</v>
      </c>
      <c r="AC19" t="e">
        <f>TEXT(TEXT(MEDIAN(Totaal!$J$3:$J$102),"0,0"),"Standaard")</f>
        <v>#NUM!</v>
      </c>
      <c r="AD19" t="str">
        <f>Totaal!K$1</f>
        <v>G</v>
      </c>
      <c r="AE19" t="str">
        <f>TEXT(TEXT(Totaal!$K19,"0,0"),"Standaard")</f>
        <v>0</v>
      </c>
      <c r="AF19" t="str">
        <f>TEXT(Totaal!$K$2,"0")</f>
        <v>0</v>
      </c>
      <c r="AG19" t="e">
        <f>TEXT(TEXT(MEDIAN(Totaal!$K$3:$K$102),"0,0"),"Standaard")</f>
        <v>#NUM!</v>
      </c>
      <c r="AH19" t="str">
        <f>Totaal!L$1</f>
        <v>H</v>
      </c>
      <c r="AI19" t="str">
        <f>TEXT(TEXT(Totaal!$L19,"0,0"),"Standaard")</f>
        <v>0</v>
      </c>
      <c r="AJ19" t="str">
        <f>TEXT(Totaal!$L$2,"0")</f>
        <v>0</v>
      </c>
      <c r="AK19" t="e">
        <f>TEXT(TEXT(MEDIAN(Totaal!$L$3:$L$102),"0,0"),"Standaard")</f>
        <v>#NUM!</v>
      </c>
      <c r="AL19" t="str">
        <f>Totaal!M$1</f>
        <v>I</v>
      </c>
      <c r="AM19" t="str">
        <f>TEXT(TEXT(Totaal!$M19,"0,0"),"Standaard")</f>
        <v>0</v>
      </c>
      <c r="AN19" t="str">
        <f>TEXT(Totaal!$M$2,"0")</f>
        <v>0</v>
      </c>
      <c r="AO19" t="e">
        <f>TEXT(TEXT(MEDIAN(Totaal!$M$3:$M$102),"0,0"),"Standaard")</f>
        <v>#NUM!</v>
      </c>
      <c r="AP19" t="str">
        <f>Totaal!N$1</f>
        <v>J</v>
      </c>
      <c r="AQ19" t="str">
        <f>TEXT(TEXT(Totaal!$N19,"0,0"),"Standaard")</f>
        <v>0</v>
      </c>
      <c r="AR19" t="str">
        <f>TEXT(Totaal!$N$2,"0")</f>
        <v>0</v>
      </c>
      <c r="AS19" t="e">
        <f>TEXT(TEXT(MEDIAN(Totaal!$N$3:$N$102),"0,0"),"Standaard")</f>
        <v>#NUM!</v>
      </c>
      <c r="AT19" t="str">
        <f>Totaal!O$1</f>
        <v>K</v>
      </c>
      <c r="AU19" t="str">
        <f>TEXT(TEXT(Totaal!$O19,"0,0"),"Standaard")</f>
        <v>0</v>
      </c>
      <c r="AV19" t="str">
        <f>TEXT(Totaal!$O$2,"0")</f>
        <v>0</v>
      </c>
      <c r="AW19" t="e">
        <f>TEXT(TEXT(MEDIAN(Totaal!$O$3:$O$102),"0,0"),"Standaard")</f>
        <v>#NUM!</v>
      </c>
      <c r="AX19" t="str">
        <f>Totaal!P$1</f>
        <v>L</v>
      </c>
      <c r="AY19" t="str">
        <f>TEXT(TEXT(Totaal!$P19,"0,0"),"Standaard")</f>
        <v>0</v>
      </c>
      <c r="AZ19" t="str">
        <f>TEXT(Totaal!$P$2,"0")</f>
        <v>0</v>
      </c>
      <c r="BA19" t="e">
        <f>TEXT(TEXT(MEDIAN(Totaal!$P$3:$P$102),"0,0"),"Standaard")</f>
        <v>#NUM!</v>
      </c>
      <c r="BB19" t="str">
        <f>Totaal!Q$1</f>
        <v>M</v>
      </c>
      <c r="BC19" t="str">
        <f>TEXT(TEXT(Totaal!$Q19,"0,0"),"Standaard")</f>
        <v>0</v>
      </c>
      <c r="BD19" t="str">
        <f>TEXT(Totaal!$Q$2,"0")</f>
        <v>0</v>
      </c>
      <c r="BE19" t="e">
        <f>TEXT(TEXT(MEDIAN(Totaal!$Q$3:$Q$102),"0,0"),"Standaard")</f>
        <v>#NUM!</v>
      </c>
      <c r="BF19" t="str">
        <f>Totaal!R$1</f>
        <v>N</v>
      </c>
      <c r="BG19" t="str">
        <f>TEXT(TEXT(Totaal!$R19,"0,0"),"Standaard")</f>
        <v>0</v>
      </c>
      <c r="BH19" t="str">
        <f>TEXT(Totaal!$R$2,"0")</f>
        <v>0</v>
      </c>
      <c r="BI19" t="e">
        <f>TEXT(TEXT(MEDIAN(Totaal!$R$3:$R$102),"0,0"),"Standaard")</f>
        <v>#NUM!</v>
      </c>
      <c r="BJ19" t="str">
        <f>Totaal!S$1</f>
        <v>O</v>
      </c>
      <c r="BK19" t="str">
        <f>TEXT(TEXT(Totaal!$S19,"0,0"),"Standaard")</f>
        <v>0</v>
      </c>
      <c r="BL19" t="str">
        <f>TEXT(Totaal!$S$2,"0")</f>
        <v>0</v>
      </c>
      <c r="BM19" t="e">
        <f>TEXT(TEXT(MEDIAN(Totaal!$S$3:$S$102),"0,0"),"Standaard")</f>
        <v>#NUM!</v>
      </c>
      <c r="BN19" t="str">
        <f>Totaal!T$1</f>
        <v>P</v>
      </c>
      <c r="BO19" t="str">
        <f>TEXT(TEXT(Totaal!$T19,"0,0"),"Standaard")</f>
        <v>0</v>
      </c>
      <c r="BP19" t="str">
        <f>TEXT(Totaal!$T$2,"0")</f>
        <v>0</v>
      </c>
      <c r="BQ19" t="e">
        <f>TEXT(TEXT(MEDIAN(Totaal!$T$3:$T$102),"0,0"),"Standaard")</f>
        <v>#NUM!</v>
      </c>
      <c r="BR19" t="str">
        <f>IF(Totaal!U19="","",Totaal!U19)</f>
        <v/>
      </c>
    </row>
    <row r="20" spans="1:70">
      <c r="A20">
        <f>Totaal!A20</f>
        <v>18</v>
      </c>
      <c r="B20" s="22" t="str">
        <f>IF(Totaal!B20="","",Totaal!B20)</f>
        <v/>
      </c>
      <c r="C20" s="8" t="e">
        <f>TEXT(TEXT(Totaal!C20,"0,0"),"Standaard")</f>
        <v>#DIV/0!</v>
      </c>
      <c r="D20" s="8" t="str">
        <f>TEXT(Totaal!C$2,"0")</f>
        <v>100</v>
      </c>
      <c r="E20" s="22" t="e">
        <f>TEXT(TEXT(SUM(Totaal!C$3:C$102)/COUNTIF(Totaal!C$3:C$102,"&lt;&gt;0"),"0,0"),"Standaard")</f>
        <v>#DIV/0!</v>
      </c>
      <c r="F20" t="str">
        <f>Totaal!E$1</f>
        <v>A</v>
      </c>
      <c r="G20" t="str">
        <f>TEXT(TEXT(Totaal!E20,"0,0"),"Standaard")</f>
        <v>0</v>
      </c>
      <c r="H20" t="str">
        <f>TEXT(Totaal!E$2,"0")</f>
        <v>0</v>
      </c>
      <c r="I20" t="e">
        <f>TEXT(TEXT(MEDIAN(Totaal!E$3:E$102),"0,0"),"Standaard")</f>
        <v>#NUM!</v>
      </c>
      <c r="J20" t="str">
        <f>Totaal!F$1</f>
        <v>B</v>
      </c>
      <c r="K20" t="str">
        <f>TEXT(TEXT(Totaal!$F20,"0,0"),"Standaard")</f>
        <v>0</v>
      </c>
      <c r="L20" t="str">
        <f>TEXT(Totaal!F$2,"0")</f>
        <v>0</v>
      </c>
      <c r="M20" t="e">
        <f>TEXT(TEXT(MEDIAN(Totaal!$F$3:$F$102),"0,0"),"Standaard")</f>
        <v>#NUM!</v>
      </c>
      <c r="N20" t="str">
        <f>Totaal!G$1</f>
        <v>C</v>
      </c>
      <c r="O20" t="str">
        <f>TEXT(TEXT(Totaal!$G20,"0,0"),"Standaard")</f>
        <v>0</v>
      </c>
      <c r="P20" t="str">
        <f>TEXT(Totaal!$G$2,"0")</f>
        <v>0</v>
      </c>
      <c r="Q20" t="e">
        <f>TEXT(TEXT(MEDIAN(Totaal!$G$3:$G$102),"0,0"),"Standaard")</f>
        <v>#NUM!</v>
      </c>
      <c r="R20" t="str">
        <f>Totaal!H$1</f>
        <v>D</v>
      </c>
      <c r="S20" t="str">
        <f>TEXT(TEXT(Totaal!$H20,"0,0"),"Standaard")</f>
        <v>0</v>
      </c>
      <c r="T20" t="str">
        <f>TEXT(Totaal!$H$2,"0")</f>
        <v>0</v>
      </c>
      <c r="U20" t="e">
        <f>TEXT(TEXT(MEDIAN(Totaal!$H$3:$H$102),"0,0"),"Standaard")</f>
        <v>#NUM!</v>
      </c>
      <c r="V20" t="str">
        <f>Totaal!I$1</f>
        <v>E</v>
      </c>
      <c r="W20" t="str">
        <f>TEXT(TEXT(Totaal!$I20,"0,0"),"Standaard")</f>
        <v>0</v>
      </c>
      <c r="X20" t="str">
        <f>TEXT(Totaal!$I$2,"0")</f>
        <v>0</v>
      </c>
      <c r="Y20" t="e">
        <f>TEXT(TEXT(MEDIAN(Totaal!$I$3:$I$102),"0,0"),"Standaard")</f>
        <v>#NUM!</v>
      </c>
      <c r="Z20" t="str">
        <f>Totaal!J$1</f>
        <v>F</v>
      </c>
      <c r="AA20" t="str">
        <f>TEXT(TEXT(Totaal!$J20,"0,0"),"Standaard")</f>
        <v>0</v>
      </c>
      <c r="AB20" t="str">
        <f>TEXT(Totaal!$J$2,"0")</f>
        <v>0</v>
      </c>
      <c r="AC20" t="e">
        <f>TEXT(TEXT(MEDIAN(Totaal!$J$3:$J$102),"0,0"),"Standaard")</f>
        <v>#NUM!</v>
      </c>
      <c r="AD20" t="str">
        <f>Totaal!K$1</f>
        <v>G</v>
      </c>
      <c r="AE20" t="str">
        <f>TEXT(TEXT(Totaal!$K20,"0,0"),"Standaard")</f>
        <v>0</v>
      </c>
      <c r="AF20" t="str">
        <f>TEXT(Totaal!$K$2,"0")</f>
        <v>0</v>
      </c>
      <c r="AG20" t="e">
        <f>TEXT(TEXT(MEDIAN(Totaal!$K$3:$K$102),"0,0"),"Standaard")</f>
        <v>#NUM!</v>
      </c>
      <c r="AH20" t="str">
        <f>Totaal!L$1</f>
        <v>H</v>
      </c>
      <c r="AI20" t="str">
        <f>TEXT(TEXT(Totaal!$L20,"0,0"),"Standaard")</f>
        <v>0</v>
      </c>
      <c r="AJ20" t="str">
        <f>TEXT(Totaal!$L$2,"0")</f>
        <v>0</v>
      </c>
      <c r="AK20" t="e">
        <f>TEXT(TEXT(MEDIAN(Totaal!$L$3:$L$102),"0,0"),"Standaard")</f>
        <v>#NUM!</v>
      </c>
      <c r="AL20" t="str">
        <f>Totaal!M$1</f>
        <v>I</v>
      </c>
      <c r="AM20" t="str">
        <f>TEXT(TEXT(Totaal!$M20,"0,0"),"Standaard")</f>
        <v>0</v>
      </c>
      <c r="AN20" t="str">
        <f>TEXT(Totaal!$M$2,"0")</f>
        <v>0</v>
      </c>
      <c r="AO20" t="e">
        <f>TEXT(TEXT(MEDIAN(Totaal!$M$3:$M$102),"0,0"),"Standaard")</f>
        <v>#NUM!</v>
      </c>
      <c r="AP20" t="str">
        <f>Totaal!N$1</f>
        <v>J</v>
      </c>
      <c r="AQ20" t="str">
        <f>TEXT(TEXT(Totaal!$N20,"0,0"),"Standaard")</f>
        <v>0</v>
      </c>
      <c r="AR20" t="str">
        <f>TEXT(Totaal!$N$2,"0")</f>
        <v>0</v>
      </c>
      <c r="AS20" t="e">
        <f>TEXT(TEXT(MEDIAN(Totaal!$N$3:$N$102),"0,0"),"Standaard")</f>
        <v>#NUM!</v>
      </c>
      <c r="AT20" t="str">
        <f>Totaal!O$1</f>
        <v>K</v>
      </c>
      <c r="AU20" t="str">
        <f>TEXT(TEXT(Totaal!$O20,"0,0"),"Standaard")</f>
        <v>0</v>
      </c>
      <c r="AV20" t="str">
        <f>TEXT(Totaal!$O$2,"0")</f>
        <v>0</v>
      </c>
      <c r="AW20" t="e">
        <f>TEXT(TEXT(MEDIAN(Totaal!$O$3:$O$102),"0,0"),"Standaard")</f>
        <v>#NUM!</v>
      </c>
      <c r="AX20" t="str">
        <f>Totaal!P$1</f>
        <v>L</v>
      </c>
      <c r="AY20" t="str">
        <f>TEXT(TEXT(Totaal!$P20,"0,0"),"Standaard")</f>
        <v>0</v>
      </c>
      <c r="AZ20" t="str">
        <f>TEXT(Totaal!$P$2,"0")</f>
        <v>0</v>
      </c>
      <c r="BA20" t="e">
        <f>TEXT(TEXT(MEDIAN(Totaal!$P$3:$P$102),"0,0"),"Standaard")</f>
        <v>#NUM!</v>
      </c>
      <c r="BB20" t="str">
        <f>Totaal!Q$1</f>
        <v>M</v>
      </c>
      <c r="BC20" t="str">
        <f>TEXT(TEXT(Totaal!$Q20,"0,0"),"Standaard")</f>
        <v>0</v>
      </c>
      <c r="BD20" t="str">
        <f>TEXT(Totaal!$Q$2,"0")</f>
        <v>0</v>
      </c>
      <c r="BE20" t="e">
        <f>TEXT(TEXT(MEDIAN(Totaal!$Q$3:$Q$102),"0,0"),"Standaard")</f>
        <v>#NUM!</v>
      </c>
      <c r="BF20" t="str">
        <f>Totaal!R$1</f>
        <v>N</v>
      </c>
      <c r="BG20" t="str">
        <f>TEXT(TEXT(Totaal!$R20,"0,0"),"Standaard")</f>
        <v>0</v>
      </c>
      <c r="BH20" t="str">
        <f>TEXT(Totaal!$R$2,"0")</f>
        <v>0</v>
      </c>
      <c r="BI20" t="e">
        <f>TEXT(TEXT(MEDIAN(Totaal!$R$3:$R$102),"0,0"),"Standaard")</f>
        <v>#NUM!</v>
      </c>
      <c r="BJ20" t="str">
        <f>Totaal!S$1</f>
        <v>O</v>
      </c>
      <c r="BK20" t="str">
        <f>TEXT(TEXT(Totaal!$S20,"0,0"),"Standaard")</f>
        <v>0</v>
      </c>
      <c r="BL20" t="str">
        <f>TEXT(Totaal!$S$2,"0")</f>
        <v>0</v>
      </c>
      <c r="BM20" t="e">
        <f>TEXT(TEXT(MEDIAN(Totaal!$S$3:$S$102),"0,0"),"Standaard")</f>
        <v>#NUM!</v>
      </c>
      <c r="BN20" t="str">
        <f>Totaal!T$1</f>
        <v>P</v>
      </c>
      <c r="BO20" t="str">
        <f>TEXT(TEXT(Totaal!$T20,"0,0"),"Standaard")</f>
        <v>0</v>
      </c>
      <c r="BP20" t="str">
        <f>TEXT(Totaal!$T$2,"0")</f>
        <v>0</v>
      </c>
      <c r="BQ20" t="e">
        <f>TEXT(TEXT(MEDIAN(Totaal!$T$3:$T$102),"0,0"),"Standaard")</f>
        <v>#NUM!</v>
      </c>
      <c r="BR20" t="str">
        <f>IF(Totaal!U20="","",Totaal!U20)</f>
        <v/>
      </c>
    </row>
    <row r="21" spans="1:70">
      <c r="A21">
        <f>Totaal!A21</f>
        <v>19</v>
      </c>
      <c r="B21" s="22" t="str">
        <f>IF(Totaal!B21="","",Totaal!B21)</f>
        <v/>
      </c>
      <c r="C21" s="8" t="e">
        <f>TEXT(TEXT(Totaal!C21,"0,0"),"Standaard")</f>
        <v>#DIV/0!</v>
      </c>
      <c r="D21" s="8" t="str">
        <f>TEXT(Totaal!C$2,"0")</f>
        <v>100</v>
      </c>
      <c r="E21" s="22" t="e">
        <f>TEXT(TEXT(SUM(Totaal!C$3:C$102)/COUNTIF(Totaal!C$3:C$102,"&lt;&gt;0"),"0,0"),"Standaard")</f>
        <v>#DIV/0!</v>
      </c>
      <c r="F21" t="str">
        <f>Totaal!E$1</f>
        <v>A</v>
      </c>
      <c r="G21" t="str">
        <f>TEXT(TEXT(Totaal!E21,"0,0"),"Standaard")</f>
        <v>0</v>
      </c>
      <c r="H21" t="str">
        <f>TEXT(Totaal!E$2,"0")</f>
        <v>0</v>
      </c>
      <c r="I21" t="e">
        <f>TEXT(TEXT(MEDIAN(Totaal!E$3:E$102),"0,0"),"Standaard")</f>
        <v>#NUM!</v>
      </c>
      <c r="J21" t="str">
        <f>Totaal!F$1</f>
        <v>B</v>
      </c>
      <c r="K21" t="str">
        <f>TEXT(TEXT(Totaal!$F21,"0,0"),"Standaard")</f>
        <v>0</v>
      </c>
      <c r="L21" t="str">
        <f>TEXT(Totaal!F$2,"0")</f>
        <v>0</v>
      </c>
      <c r="M21" t="e">
        <f>TEXT(TEXT(MEDIAN(Totaal!$F$3:$F$102),"0,0"),"Standaard")</f>
        <v>#NUM!</v>
      </c>
      <c r="N21" t="str">
        <f>Totaal!G$1</f>
        <v>C</v>
      </c>
      <c r="O21" t="str">
        <f>TEXT(TEXT(Totaal!$G21,"0,0"),"Standaard")</f>
        <v>0</v>
      </c>
      <c r="P21" t="str">
        <f>TEXT(Totaal!$G$2,"0")</f>
        <v>0</v>
      </c>
      <c r="Q21" t="e">
        <f>TEXT(TEXT(MEDIAN(Totaal!$G$3:$G$102),"0,0"),"Standaard")</f>
        <v>#NUM!</v>
      </c>
      <c r="R21" t="str">
        <f>Totaal!H$1</f>
        <v>D</v>
      </c>
      <c r="S21" t="str">
        <f>TEXT(TEXT(Totaal!$H21,"0,0"),"Standaard")</f>
        <v>0</v>
      </c>
      <c r="T21" t="str">
        <f>TEXT(Totaal!$H$2,"0")</f>
        <v>0</v>
      </c>
      <c r="U21" t="e">
        <f>TEXT(TEXT(MEDIAN(Totaal!$H$3:$H$102),"0,0"),"Standaard")</f>
        <v>#NUM!</v>
      </c>
      <c r="V21" t="str">
        <f>Totaal!I$1</f>
        <v>E</v>
      </c>
      <c r="W21" t="str">
        <f>TEXT(TEXT(Totaal!$I21,"0,0"),"Standaard")</f>
        <v>0</v>
      </c>
      <c r="X21" t="str">
        <f>TEXT(Totaal!$I$2,"0")</f>
        <v>0</v>
      </c>
      <c r="Y21" t="e">
        <f>TEXT(TEXT(MEDIAN(Totaal!$I$3:$I$102),"0,0"),"Standaard")</f>
        <v>#NUM!</v>
      </c>
      <c r="Z21" t="str">
        <f>Totaal!J$1</f>
        <v>F</v>
      </c>
      <c r="AA21" t="str">
        <f>TEXT(TEXT(Totaal!$J21,"0,0"),"Standaard")</f>
        <v>0</v>
      </c>
      <c r="AB21" t="str">
        <f>TEXT(Totaal!$J$2,"0")</f>
        <v>0</v>
      </c>
      <c r="AC21" t="e">
        <f>TEXT(TEXT(MEDIAN(Totaal!$J$3:$J$102),"0,0"),"Standaard")</f>
        <v>#NUM!</v>
      </c>
      <c r="AD21" t="str">
        <f>Totaal!K$1</f>
        <v>G</v>
      </c>
      <c r="AE21" t="str">
        <f>TEXT(TEXT(Totaal!$K21,"0,0"),"Standaard")</f>
        <v>0</v>
      </c>
      <c r="AF21" t="str">
        <f>TEXT(Totaal!$K$2,"0")</f>
        <v>0</v>
      </c>
      <c r="AG21" t="e">
        <f>TEXT(TEXT(MEDIAN(Totaal!$K$3:$K$102),"0,0"),"Standaard")</f>
        <v>#NUM!</v>
      </c>
      <c r="AH21" t="str">
        <f>Totaal!L$1</f>
        <v>H</v>
      </c>
      <c r="AI21" t="str">
        <f>TEXT(TEXT(Totaal!$L21,"0,0"),"Standaard")</f>
        <v>0</v>
      </c>
      <c r="AJ21" t="str">
        <f>TEXT(Totaal!$L$2,"0")</f>
        <v>0</v>
      </c>
      <c r="AK21" t="e">
        <f>TEXT(TEXT(MEDIAN(Totaal!$L$3:$L$102),"0,0"),"Standaard")</f>
        <v>#NUM!</v>
      </c>
      <c r="AL21" t="str">
        <f>Totaal!M$1</f>
        <v>I</v>
      </c>
      <c r="AM21" t="str">
        <f>TEXT(TEXT(Totaal!$M21,"0,0"),"Standaard")</f>
        <v>0</v>
      </c>
      <c r="AN21" t="str">
        <f>TEXT(Totaal!$M$2,"0")</f>
        <v>0</v>
      </c>
      <c r="AO21" t="e">
        <f>TEXT(TEXT(MEDIAN(Totaal!$M$3:$M$102),"0,0"),"Standaard")</f>
        <v>#NUM!</v>
      </c>
      <c r="AP21" t="str">
        <f>Totaal!N$1</f>
        <v>J</v>
      </c>
      <c r="AQ21" t="str">
        <f>TEXT(TEXT(Totaal!$N21,"0,0"),"Standaard")</f>
        <v>0</v>
      </c>
      <c r="AR21" t="str">
        <f>TEXT(Totaal!$N$2,"0")</f>
        <v>0</v>
      </c>
      <c r="AS21" t="e">
        <f>TEXT(TEXT(MEDIAN(Totaal!$N$3:$N$102),"0,0"),"Standaard")</f>
        <v>#NUM!</v>
      </c>
      <c r="AT21" t="str">
        <f>Totaal!O$1</f>
        <v>K</v>
      </c>
      <c r="AU21" t="str">
        <f>TEXT(TEXT(Totaal!$O21,"0,0"),"Standaard")</f>
        <v>0</v>
      </c>
      <c r="AV21" t="str">
        <f>TEXT(Totaal!$O$2,"0")</f>
        <v>0</v>
      </c>
      <c r="AW21" t="e">
        <f>TEXT(TEXT(MEDIAN(Totaal!$O$3:$O$102),"0,0"),"Standaard")</f>
        <v>#NUM!</v>
      </c>
      <c r="AX21" t="str">
        <f>Totaal!P$1</f>
        <v>L</v>
      </c>
      <c r="AY21" t="str">
        <f>TEXT(TEXT(Totaal!$P21,"0,0"),"Standaard")</f>
        <v>0</v>
      </c>
      <c r="AZ21" t="str">
        <f>TEXT(Totaal!$P$2,"0")</f>
        <v>0</v>
      </c>
      <c r="BA21" t="e">
        <f>TEXT(TEXT(MEDIAN(Totaal!$P$3:$P$102),"0,0"),"Standaard")</f>
        <v>#NUM!</v>
      </c>
      <c r="BB21" t="str">
        <f>Totaal!Q$1</f>
        <v>M</v>
      </c>
      <c r="BC21" t="str">
        <f>TEXT(TEXT(Totaal!$Q21,"0,0"),"Standaard")</f>
        <v>0</v>
      </c>
      <c r="BD21" t="str">
        <f>TEXT(Totaal!$Q$2,"0")</f>
        <v>0</v>
      </c>
      <c r="BE21" t="e">
        <f>TEXT(TEXT(MEDIAN(Totaal!$Q$3:$Q$102),"0,0"),"Standaard")</f>
        <v>#NUM!</v>
      </c>
      <c r="BF21" t="str">
        <f>Totaal!R$1</f>
        <v>N</v>
      </c>
      <c r="BG21" t="str">
        <f>TEXT(TEXT(Totaal!$R21,"0,0"),"Standaard")</f>
        <v>0</v>
      </c>
      <c r="BH21" t="str">
        <f>TEXT(Totaal!$R$2,"0")</f>
        <v>0</v>
      </c>
      <c r="BI21" t="e">
        <f>TEXT(TEXT(MEDIAN(Totaal!$R$3:$R$102),"0,0"),"Standaard")</f>
        <v>#NUM!</v>
      </c>
      <c r="BJ21" t="str">
        <f>Totaal!S$1</f>
        <v>O</v>
      </c>
      <c r="BK21" t="str">
        <f>TEXT(TEXT(Totaal!$S21,"0,0"),"Standaard")</f>
        <v>0</v>
      </c>
      <c r="BL21" t="str">
        <f>TEXT(Totaal!$S$2,"0")</f>
        <v>0</v>
      </c>
      <c r="BM21" t="e">
        <f>TEXT(TEXT(MEDIAN(Totaal!$S$3:$S$102),"0,0"),"Standaard")</f>
        <v>#NUM!</v>
      </c>
      <c r="BN21" t="str">
        <f>Totaal!T$1</f>
        <v>P</v>
      </c>
      <c r="BO21" t="str">
        <f>TEXT(TEXT(Totaal!$T21,"0,0"),"Standaard")</f>
        <v>0</v>
      </c>
      <c r="BP21" t="str">
        <f>TEXT(Totaal!$T$2,"0")</f>
        <v>0</v>
      </c>
      <c r="BQ21" t="e">
        <f>TEXT(TEXT(MEDIAN(Totaal!$T$3:$T$102),"0,0"),"Standaard")</f>
        <v>#NUM!</v>
      </c>
      <c r="BR21" t="str">
        <f>IF(Totaal!U21="","",Totaal!U21)</f>
        <v/>
      </c>
    </row>
    <row r="22" spans="1:70">
      <c r="A22">
        <f>Totaal!A22</f>
        <v>20</v>
      </c>
      <c r="B22" s="22" t="str">
        <f>IF(Totaal!B22="","",Totaal!B22)</f>
        <v/>
      </c>
      <c r="C22" s="8" t="e">
        <f>TEXT(TEXT(Totaal!C22,"0,0"),"Standaard")</f>
        <v>#DIV/0!</v>
      </c>
      <c r="D22" s="8" t="str">
        <f>TEXT(Totaal!C$2,"0")</f>
        <v>100</v>
      </c>
      <c r="E22" s="22" t="e">
        <f>TEXT(TEXT(SUM(Totaal!C$3:C$102)/COUNTIF(Totaal!C$3:C$102,"&lt;&gt;0"),"0,0"),"Standaard")</f>
        <v>#DIV/0!</v>
      </c>
      <c r="F22" t="str">
        <f>Totaal!E$1</f>
        <v>A</v>
      </c>
      <c r="G22" t="str">
        <f>TEXT(TEXT(Totaal!E22,"0,0"),"Standaard")</f>
        <v>0</v>
      </c>
      <c r="H22" t="str">
        <f>TEXT(Totaal!E$2,"0")</f>
        <v>0</v>
      </c>
      <c r="I22" t="e">
        <f>TEXT(TEXT(MEDIAN(Totaal!E$3:E$102),"0,0"),"Standaard")</f>
        <v>#NUM!</v>
      </c>
      <c r="J22" t="str">
        <f>Totaal!F$1</f>
        <v>B</v>
      </c>
      <c r="K22" t="str">
        <f>TEXT(TEXT(Totaal!$F22,"0,0"),"Standaard")</f>
        <v>0</v>
      </c>
      <c r="L22" t="str">
        <f>TEXT(Totaal!F$2,"0")</f>
        <v>0</v>
      </c>
      <c r="M22" t="e">
        <f>TEXT(TEXT(MEDIAN(Totaal!$F$3:$F$102),"0,0"),"Standaard")</f>
        <v>#NUM!</v>
      </c>
      <c r="N22" t="str">
        <f>Totaal!G$1</f>
        <v>C</v>
      </c>
      <c r="O22" t="str">
        <f>TEXT(TEXT(Totaal!$G22,"0,0"),"Standaard")</f>
        <v>0</v>
      </c>
      <c r="P22" t="str">
        <f>TEXT(Totaal!$G$2,"0")</f>
        <v>0</v>
      </c>
      <c r="Q22" t="e">
        <f>TEXT(TEXT(MEDIAN(Totaal!$G$3:$G$102),"0,0"),"Standaard")</f>
        <v>#NUM!</v>
      </c>
      <c r="R22" t="str">
        <f>Totaal!H$1</f>
        <v>D</v>
      </c>
      <c r="S22" t="str">
        <f>TEXT(TEXT(Totaal!$H22,"0,0"),"Standaard")</f>
        <v>0</v>
      </c>
      <c r="T22" t="str">
        <f>TEXT(Totaal!$H$2,"0")</f>
        <v>0</v>
      </c>
      <c r="U22" t="e">
        <f>TEXT(TEXT(MEDIAN(Totaal!$H$3:$H$102),"0,0"),"Standaard")</f>
        <v>#NUM!</v>
      </c>
      <c r="V22" t="str">
        <f>Totaal!I$1</f>
        <v>E</v>
      </c>
      <c r="W22" t="str">
        <f>TEXT(TEXT(Totaal!$I22,"0,0"),"Standaard")</f>
        <v>0</v>
      </c>
      <c r="X22" t="str">
        <f>TEXT(Totaal!$I$2,"0")</f>
        <v>0</v>
      </c>
      <c r="Y22" t="e">
        <f>TEXT(TEXT(MEDIAN(Totaal!$I$3:$I$102),"0,0"),"Standaard")</f>
        <v>#NUM!</v>
      </c>
      <c r="Z22" t="str">
        <f>Totaal!J$1</f>
        <v>F</v>
      </c>
      <c r="AA22" t="str">
        <f>TEXT(TEXT(Totaal!$J22,"0,0"),"Standaard")</f>
        <v>0</v>
      </c>
      <c r="AB22" t="str">
        <f>TEXT(Totaal!$J$2,"0")</f>
        <v>0</v>
      </c>
      <c r="AC22" t="e">
        <f>TEXT(TEXT(MEDIAN(Totaal!$J$3:$J$102),"0,0"),"Standaard")</f>
        <v>#NUM!</v>
      </c>
      <c r="AD22" t="str">
        <f>Totaal!K$1</f>
        <v>G</v>
      </c>
      <c r="AE22" t="str">
        <f>TEXT(TEXT(Totaal!$K22,"0,0"),"Standaard")</f>
        <v>0</v>
      </c>
      <c r="AF22" t="str">
        <f>TEXT(Totaal!$K$2,"0")</f>
        <v>0</v>
      </c>
      <c r="AG22" t="e">
        <f>TEXT(TEXT(MEDIAN(Totaal!$K$3:$K$102),"0,0"),"Standaard")</f>
        <v>#NUM!</v>
      </c>
      <c r="AH22" t="str">
        <f>Totaal!L$1</f>
        <v>H</v>
      </c>
      <c r="AI22" t="str">
        <f>TEXT(TEXT(Totaal!$L22,"0,0"),"Standaard")</f>
        <v>0</v>
      </c>
      <c r="AJ22" t="str">
        <f>TEXT(Totaal!$L$2,"0")</f>
        <v>0</v>
      </c>
      <c r="AK22" t="e">
        <f>TEXT(TEXT(MEDIAN(Totaal!$L$3:$L$102),"0,0"),"Standaard")</f>
        <v>#NUM!</v>
      </c>
      <c r="AL22" t="str">
        <f>Totaal!M$1</f>
        <v>I</v>
      </c>
      <c r="AM22" t="str">
        <f>TEXT(TEXT(Totaal!$M22,"0,0"),"Standaard")</f>
        <v>0</v>
      </c>
      <c r="AN22" t="str">
        <f>TEXT(Totaal!$M$2,"0")</f>
        <v>0</v>
      </c>
      <c r="AO22" t="e">
        <f>TEXT(TEXT(MEDIAN(Totaal!$M$3:$M$102),"0,0"),"Standaard")</f>
        <v>#NUM!</v>
      </c>
      <c r="AP22" t="str">
        <f>Totaal!N$1</f>
        <v>J</v>
      </c>
      <c r="AQ22" t="str">
        <f>TEXT(TEXT(Totaal!$N22,"0,0"),"Standaard")</f>
        <v>0</v>
      </c>
      <c r="AR22" t="str">
        <f>TEXT(Totaal!$N$2,"0")</f>
        <v>0</v>
      </c>
      <c r="AS22" t="e">
        <f>TEXT(TEXT(MEDIAN(Totaal!$N$3:$N$102),"0,0"),"Standaard")</f>
        <v>#NUM!</v>
      </c>
      <c r="AT22" t="str">
        <f>Totaal!O$1</f>
        <v>K</v>
      </c>
      <c r="AU22" t="str">
        <f>TEXT(TEXT(Totaal!$O22,"0,0"),"Standaard")</f>
        <v>0</v>
      </c>
      <c r="AV22" t="str">
        <f>TEXT(Totaal!$O$2,"0")</f>
        <v>0</v>
      </c>
      <c r="AW22" t="e">
        <f>TEXT(TEXT(MEDIAN(Totaal!$O$3:$O$102),"0,0"),"Standaard")</f>
        <v>#NUM!</v>
      </c>
      <c r="AX22" t="str">
        <f>Totaal!P$1</f>
        <v>L</v>
      </c>
      <c r="AY22" t="str">
        <f>TEXT(TEXT(Totaal!$P22,"0,0"),"Standaard")</f>
        <v>0</v>
      </c>
      <c r="AZ22" t="str">
        <f>TEXT(Totaal!$P$2,"0")</f>
        <v>0</v>
      </c>
      <c r="BA22" t="e">
        <f>TEXT(TEXT(MEDIAN(Totaal!$P$3:$P$102),"0,0"),"Standaard")</f>
        <v>#NUM!</v>
      </c>
      <c r="BB22" t="str">
        <f>Totaal!Q$1</f>
        <v>M</v>
      </c>
      <c r="BC22" t="str">
        <f>TEXT(TEXT(Totaal!$Q22,"0,0"),"Standaard")</f>
        <v>0</v>
      </c>
      <c r="BD22" t="str">
        <f>TEXT(Totaal!$Q$2,"0")</f>
        <v>0</v>
      </c>
      <c r="BE22" t="e">
        <f>TEXT(TEXT(MEDIAN(Totaal!$Q$3:$Q$102),"0,0"),"Standaard")</f>
        <v>#NUM!</v>
      </c>
      <c r="BF22" t="str">
        <f>Totaal!R$1</f>
        <v>N</v>
      </c>
      <c r="BG22" t="str">
        <f>TEXT(TEXT(Totaal!$R22,"0,0"),"Standaard")</f>
        <v>0</v>
      </c>
      <c r="BH22" t="str">
        <f>TEXT(Totaal!$R$2,"0")</f>
        <v>0</v>
      </c>
      <c r="BI22" t="e">
        <f>TEXT(TEXT(MEDIAN(Totaal!$R$3:$R$102),"0,0"),"Standaard")</f>
        <v>#NUM!</v>
      </c>
      <c r="BJ22" t="str">
        <f>Totaal!S$1</f>
        <v>O</v>
      </c>
      <c r="BK22" t="str">
        <f>TEXT(TEXT(Totaal!$S22,"0,0"),"Standaard")</f>
        <v>0</v>
      </c>
      <c r="BL22" t="str">
        <f>TEXT(Totaal!$S$2,"0")</f>
        <v>0</v>
      </c>
      <c r="BM22" t="e">
        <f>TEXT(TEXT(MEDIAN(Totaal!$S$3:$S$102),"0,0"),"Standaard")</f>
        <v>#NUM!</v>
      </c>
      <c r="BN22" t="str">
        <f>Totaal!T$1</f>
        <v>P</v>
      </c>
      <c r="BO22" t="str">
        <f>TEXT(TEXT(Totaal!$T22,"0,0"),"Standaard")</f>
        <v>0</v>
      </c>
      <c r="BP22" t="str">
        <f>TEXT(Totaal!$T$2,"0")</f>
        <v>0</v>
      </c>
      <c r="BQ22" t="e">
        <f>TEXT(TEXT(MEDIAN(Totaal!$T$3:$T$102),"0,0"),"Standaard")</f>
        <v>#NUM!</v>
      </c>
      <c r="BR22" t="str">
        <f>IF(Totaal!U22="","",Totaal!U22)</f>
        <v/>
      </c>
    </row>
    <row r="23" spans="1:70">
      <c r="A23">
        <f>Totaal!A23</f>
        <v>21</v>
      </c>
      <c r="B23" s="22" t="str">
        <f>IF(Totaal!B23="","",Totaal!B23)</f>
        <v/>
      </c>
      <c r="C23" s="8" t="e">
        <f>TEXT(TEXT(Totaal!C23,"0,0"),"Standaard")</f>
        <v>#DIV/0!</v>
      </c>
      <c r="D23" s="8" t="str">
        <f>TEXT(Totaal!C$2,"0")</f>
        <v>100</v>
      </c>
      <c r="E23" s="22" t="e">
        <f>TEXT(TEXT(SUM(Totaal!C$3:C$102)/COUNTIF(Totaal!C$3:C$102,"&lt;&gt;0"),"0,0"),"Standaard")</f>
        <v>#DIV/0!</v>
      </c>
      <c r="F23" t="str">
        <f>Totaal!E$1</f>
        <v>A</v>
      </c>
      <c r="G23" t="str">
        <f>TEXT(TEXT(Totaal!E23,"0,0"),"Standaard")</f>
        <v>0</v>
      </c>
      <c r="H23" t="str">
        <f>TEXT(Totaal!E$2,"0")</f>
        <v>0</v>
      </c>
      <c r="I23" t="e">
        <f>TEXT(TEXT(MEDIAN(Totaal!E$3:E$102),"0,0"),"Standaard")</f>
        <v>#NUM!</v>
      </c>
      <c r="J23" t="str">
        <f>Totaal!F$1</f>
        <v>B</v>
      </c>
      <c r="K23" t="str">
        <f>TEXT(TEXT(Totaal!$F23,"0,0"),"Standaard")</f>
        <v>0</v>
      </c>
      <c r="L23" t="str">
        <f>TEXT(Totaal!F$2,"0")</f>
        <v>0</v>
      </c>
      <c r="M23" t="e">
        <f>TEXT(TEXT(MEDIAN(Totaal!$F$3:$F$102),"0,0"),"Standaard")</f>
        <v>#NUM!</v>
      </c>
      <c r="N23" t="str">
        <f>Totaal!G$1</f>
        <v>C</v>
      </c>
      <c r="O23" t="str">
        <f>TEXT(TEXT(Totaal!$G23,"0,0"),"Standaard")</f>
        <v>0</v>
      </c>
      <c r="P23" t="str">
        <f>TEXT(Totaal!$G$2,"0")</f>
        <v>0</v>
      </c>
      <c r="Q23" t="e">
        <f>TEXT(TEXT(MEDIAN(Totaal!$G$3:$G$102),"0,0"),"Standaard")</f>
        <v>#NUM!</v>
      </c>
      <c r="R23" t="str">
        <f>Totaal!H$1</f>
        <v>D</v>
      </c>
      <c r="S23" t="str">
        <f>TEXT(TEXT(Totaal!$H23,"0,0"),"Standaard")</f>
        <v>0</v>
      </c>
      <c r="T23" t="str">
        <f>TEXT(Totaal!$H$2,"0")</f>
        <v>0</v>
      </c>
      <c r="U23" t="e">
        <f>TEXT(TEXT(MEDIAN(Totaal!$H$3:$H$102),"0,0"),"Standaard")</f>
        <v>#NUM!</v>
      </c>
      <c r="V23" t="str">
        <f>Totaal!I$1</f>
        <v>E</v>
      </c>
      <c r="W23" t="str">
        <f>TEXT(TEXT(Totaal!$I23,"0,0"),"Standaard")</f>
        <v>0</v>
      </c>
      <c r="X23" t="str">
        <f>TEXT(Totaal!$I$2,"0")</f>
        <v>0</v>
      </c>
      <c r="Y23" t="e">
        <f>TEXT(TEXT(MEDIAN(Totaal!$I$3:$I$102),"0,0"),"Standaard")</f>
        <v>#NUM!</v>
      </c>
      <c r="Z23" t="str">
        <f>Totaal!J$1</f>
        <v>F</v>
      </c>
      <c r="AA23" t="str">
        <f>TEXT(TEXT(Totaal!$J23,"0,0"),"Standaard")</f>
        <v>0</v>
      </c>
      <c r="AB23" t="str">
        <f>TEXT(Totaal!$J$2,"0")</f>
        <v>0</v>
      </c>
      <c r="AC23" t="e">
        <f>TEXT(TEXT(MEDIAN(Totaal!$J$3:$J$102),"0,0"),"Standaard")</f>
        <v>#NUM!</v>
      </c>
      <c r="AD23" t="str">
        <f>Totaal!K$1</f>
        <v>G</v>
      </c>
      <c r="AE23" t="str">
        <f>TEXT(TEXT(Totaal!$K23,"0,0"),"Standaard")</f>
        <v>0</v>
      </c>
      <c r="AF23" t="str">
        <f>TEXT(Totaal!$K$2,"0")</f>
        <v>0</v>
      </c>
      <c r="AG23" t="e">
        <f>TEXT(TEXT(MEDIAN(Totaal!$K$3:$K$102),"0,0"),"Standaard")</f>
        <v>#NUM!</v>
      </c>
      <c r="AH23" t="str">
        <f>Totaal!L$1</f>
        <v>H</v>
      </c>
      <c r="AI23" t="str">
        <f>TEXT(TEXT(Totaal!$L23,"0,0"),"Standaard")</f>
        <v>0</v>
      </c>
      <c r="AJ23" t="str">
        <f>TEXT(Totaal!$L$2,"0")</f>
        <v>0</v>
      </c>
      <c r="AK23" t="e">
        <f>TEXT(TEXT(MEDIAN(Totaal!$L$3:$L$102),"0,0"),"Standaard")</f>
        <v>#NUM!</v>
      </c>
      <c r="AL23" t="str">
        <f>Totaal!M$1</f>
        <v>I</v>
      </c>
      <c r="AM23" t="str">
        <f>TEXT(TEXT(Totaal!$M23,"0,0"),"Standaard")</f>
        <v>0</v>
      </c>
      <c r="AN23" t="str">
        <f>TEXT(Totaal!$M$2,"0")</f>
        <v>0</v>
      </c>
      <c r="AO23" t="e">
        <f>TEXT(TEXT(MEDIAN(Totaal!$M$3:$M$102),"0,0"),"Standaard")</f>
        <v>#NUM!</v>
      </c>
      <c r="AP23" t="str">
        <f>Totaal!N$1</f>
        <v>J</v>
      </c>
      <c r="AQ23" t="str">
        <f>TEXT(TEXT(Totaal!$N23,"0,0"),"Standaard")</f>
        <v>0</v>
      </c>
      <c r="AR23" t="str">
        <f>TEXT(Totaal!$N$2,"0")</f>
        <v>0</v>
      </c>
      <c r="AS23" t="e">
        <f>TEXT(TEXT(MEDIAN(Totaal!$N$3:$N$102),"0,0"),"Standaard")</f>
        <v>#NUM!</v>
      </c>
      <c r="AT23" t="str">
        <f>Totaal!O$1</f>
        <v>K</v>
      </c>
      <c r="AU23" t="str">
        <f>TEXT(TEXT(Totaal!$O23,"0,0"),"Standaard")</f>
        <v>0</v>
      </c>
      <c r="AV23" t="str">
        <f>TEXT(Totaal!$O$2,"0")</f>
        <v>0</v>
      </c>
      <c r="AW23" t="e">
        <f>TEXT(TEXT(MEDIAN(Totaal!$O$3:$O$102),"0,0"),"Standaard")</f>
        <v>#NUM!</v>
      </c>
      <c r="AX23" t="str">
        <f>Totaal!P$1</f>
        <v>L</v>
      </c>
      <c r="AY23" t="str">
        <f>TEXT(TEXT(Totaal!$P23,"0,0"),"Standaard")</f>
        <v>0</v>
      </c>
      <c r="AZ23" t="str">
        <f>TEXT(Totaal!$P$2,"0")</f>
        <v>0</v>
      </c>
      <c r="BA23" t="e">
        <f>TEXT(TEXT(MEDIAN(Totaal!$P$3:$P$102),"0,0"),"Standaard")</f>
        <v>#NUM!</v>
      </c>
      <c r="BB23" t="str">
        <f>Totaal!Q$1</f>
        <v>M</v>
      </c>
      <c r="BC23" t="str">
        <f>TEXT(TEXT(Totaal!$Q23,"0,0"),"Standaard")</f>
        <v>0</v>
      </c>
      <c r="BD23" t="str">
        <f>TEXT(Totaal!$Q$2,"0")</f>
        <v>0</v>
      </c>
      <c r="BE23" t="e">
        <f>TEXT(TEXT(MEDIAN(Totaal!$Q$3:$Q$102),"0,0"),"Standaard")</f>
        <v>#NUM!</v>
      </c>
      <c r="BF23" t="str">
        <f>Totaal!R$1</f>
        <v>N</v>
      </c>
      <c r="BG23" t="str">
        <f>TEXT(TEXT(Totaal!$R23,"0,0"),"Standaard")</f>
        <v>0</v>
      </c>
      <c r="BH23" t="str">
        <f>TEXT(Totaal!$R$2,"0")</f>
        <v>0</v>
      </c>
      <c r="BI23" t="e">
        <f>TEXT(TEXT(MEDIAN(Totaal!$R$3:$R$102),"0,0"),"Standaard")</f>
        <v>#NUM!</v>
      </c>
      <c r="BJ23" t="str">
        <f>Totaal!S$1</f>
        <v>O</v>
      </c>
      <c r="BK23" t="str">
        <f>TEXT(TEXT(Totaal!$S23,"0,0"),"Standaard")</f>
        <v>0</v>
      </c>
      <c r="BL23" t="str">
        <f>TEXT(Totaal!$S$2,"0")</f>
        <v>0</v>
      </c>
      <c r="BM23" t="e">
        <f>TEXT(TEXT(MEDIAN(Totaal!$S$3:$S$102),"0,0"),"Standaard")</f>
        <v>#NUM!</v>
      </c>
      <c r="BN23" t="str">
        <f>Totaal!T$1</f>
        <v>P</v>
      </c>
      <c r="BO23" t="str">
        <f>TEXT(TEXT(Totaal!$T23,"0,0"),"Standaard")</f>
        <v>0</v>
      </c>
      <c r="BP23" t="str">
        <f>TEXT(Totaal!$T$2,"0")</f>
        <v>0</v>
      </c>
      <c r="BQ23" t="e">
        <f>TEXT(TEXT(MEDIAN(Totaal!$T$3:$T$102),"0,0"),"Standaard")</f>
        <v>#NUM!</v>
      </c>
      <c r="BR23" t="str">
        <f>IF(Totaal!U23="","",Totaal!U23)</f>
        <v/>
      </c>
    </row>
    <row r="24" spans="1:70">
      <c r="A24">
        <f>Totaal!A24</f>
        <v>22</v>
      </c>
      <c r="B24" s="22" t="str">
        <f>IF(Totaal!B24="","",Totaal!B24)</f>
        <v/>
      </c>
      <c r="C24" s="8" t="e">
        <f>TEXT(TEXT(Totaal!C24,"0,0"),"Standaard")</f>
        <v>#DIV/0!</v>
      </c>
      <c r="D24" s="8" t="str">
        <f>TEXT(Totaal!C$2,"0")</f>
        <v>100</v>
      </c>
      <c r="E24" s="22" t="e">
        <f>TEXT(TEXT(SUM(Totaal!C$3:C$102)/COUNTIF(Totaal!C$3:C$102,"&lt;&gt;0"),"0,0"),"Standaard")</f>
        <v>#DIV/0!</v>
      </c>
      <c r="F24" t="str">
        <f>Totaal!E$1</f>
        <v>A</v>
      </c>
      <c r="G24" t="str">
        <f>TEXT(TEXT(Totaal!E24,"0,0"),"Standaard")</f>
        <v>0</v>
      </c>
      <c r="H24" t="str">
        <f>TEXT(Totaal!E$2,"0")</f>
        <v>0</v>
      </c>
      <c r="I24" t="e">
        <f>TEXT(TEXT(MEDIAN(Totaal!E$3:E$102),"0,0"),"Standaard")</f>
        <v>#NUM!</v>
      </c>
      <c r="J24" t="str">
        <f>Totaal!F$1</f>
        <v>B</v>
      </c>
      <c r="K24" t="str">
        <f>TEXT(TEXT(Totaal!$F24,"0,0"),"Standaard")</f>
        <v>0</v>
      </c>
      <c r="L24" t="str">
        <f>TEXT(Totaal!F$2,"0")</f>
        <v>0</v>
      </c>
      <c r="M24" t="e">
        <f>TEXT(TEXT(MEDIAN(Totaal!$F$3:$F$102),"0,0"),"Standaard")</f>
        <v>#NUM!</v>
      </c>
      <c r="N24" t="str">
        <f>Totaal!G$1</f>
        <v>C</v>
      </c>
      <c r="O24" t="str">
        <f>TEXT(TEXT(Totaal!$G24,"0,0"),"Standaard")</f>
        <v>0</v>
      </c>
      <c r="P24" t="str">
        <f>TEXT(Totaal!$G$2,"0")</f>
        <v>0</v>
      </c>
      <c r="Q24" t="e">
        <f>TEXT(TEXT(MEDIAN(Totaal!$G$3:$G$102),"0,0"),"Standaard")</f>
        <v>#NUM!</v>
      </c>
      <c r="R24" t="str">
        <f>Totaal!H$1</f>
        <v>D</v>
      </c>
      <c r="S24" t="str">
        <f>TEXT(TEXT(Totaal!$H24,"0,0"),"Standaard")</f>
        <v>0</v>
      </c>
      <c r="T24" t="str">
        <f>TEXT(Totaal!$H$2,"0")</f>
        <v>0</v>
      </c>
      <c r="U24" t="e">
        <f>TEXT(TEXT(MEDIAN(Totaal!$H$3:$H$102),"0,0"),"Standaard")</f>
        <v>#NUM!</v>
      </c>
      <c r="V24" t="str">
        <f>Totaal!I$1</f>
        <v>E</v>
      </c>
      <c r="W24" t="str">
        <f>TEXT(TEXT(Totaal!$I24,"0,0"),"Standaard")</f>
        <v>0</v>
      </c>
      <c r="X24" t="str">
        <f>TEXT(Totaal!$I$2,"0")</f>
        <v>0</v>
      </c>
      <c r="Y24" t="e">
        <f>TEXT(TEXT(MEDIAN(Totaal!$I$3:$I$102),"0,0"),"Standaard")</f>
        <v>#NUM!</v>
      </c>
      <c r="Z24" t="str">
        <f>Totaal!J$1</f>
        <v>F</v>
      </c>
      <c r="AA24" t="str">
        <f>TEXT(TEXT(Totaal!$J24,"0,0"),"Standaard")</f>
        <v>0</v>
      </c>
      <c r="AB24" t="str">
        <f>TEXT(Totaal!$J$2,"0")</f>
        <v>0</v>
      </c>
      <c r="AC24" t="e">
        <f>TEXT(TEXT(MEDIAN(Totaal!$J$3:$J$102),"0,0"),"Standaard")</f>
        <v>#NUM!</v>
      </c>
      <c r="AD24" t="str">
        <f>Totaal!K$1</f>
        <v>G</v>
      </c>
      <c r="AE24" t="str">
        <f>TEXT(TEXT(Totaal!$K24,"0,0"),"Standaard")</f>
        <v>0</v>
      </c>
      <c r="AF24" t="str">
        <f>TEXT(Totaal!$K$2,"0")</f>
        <v>0</v>
      </c>
      <c r="AG24" t="e">
        <f>TEXT(TEXT(MEDIAN(Totaal!$K$3:$K$102),"0,0"),"Standaard")</f>
        <v>#NUM!</v>
      </c>
      <c r="AH24" t="str">
        <f>Totaal!L$1</f>
        <v>H</v>
      </c>
      <c r="AI24" t="str">
        <f>TEXT(TEXT(Totaal!$L24,"0,0"),"Standaard")</f>
        <v>0</v>
      </c>
      <c r="AJ24" t="str">
        <f>TEXT(Totaal!$L$2,"0")</f>
        <v>0</v>
      </c>
      <c r="AK24" t="e">
        <f>TEXT(TEXT(MEDIAN(Totaal!$L$3:$L$102),"0,0"),"Standaard")</f>
        <v>#NUM!</v>
      </c>
      <c r="AL24" t="str">
        <f>Totaal!M$1</f>
        <v>I</v>
      </c>
      <c r="AM24" t="str">
        <f>TEXT(TEXT(Totaal!$M24,"0,0"),"Standaard")</f>
        <v>0</v>
      </c>
      <c r="AN24" t="str">
        <f>TEXT(Totaal!$M$2,"0")</f>
        <v>0</v>
      </c>
      <c r="AO24" t="e">
        <f>TEXT(TEXT(MEDIAN(Totaal!$M$3:$M$102),"0,0"),"Standaard")</f>
        <v>#NUM!</v>
      </c>
      <c r="AP24" t="str">
        <f>Totaal!N$1</f>
        <v>J</v>
      </c>
      <c r="AQ24" t="str">
        <f>TEXT(TEXT(Totaal!$N24,"0,0"),"Standaard")</f>
        <v>0</v>
      </c>
      <c r="AR24" t="str">
        <f>TEXT(Totaal!$N$2,"0")</f>
        <v>0</v>
      </c>
      <c r="AS24" t="e">
        <f>TEXT(TEXT(MEDIAN(Totaal!$N$3:$N$102),"0,0"),"Standaard")</f>
        <v>#NUM!</v>
      </c>
      <c r="AT24" t="str">
        <f>Totaal!O$1</f>
        <v>K</v>
      </c>
      <c r="AU24" t="str">
        <f>TEXT(TEXT(Totaal!$O24,"0,0"),"Standaard")</f>
        <v>0</v>
      </c>
      <c r="AV24" t="str">
        <f>TEXT(Totaal!$O$2,"0")</f>
        <v>0</v>
      </c>
      <c r="AW24" t="e">
        <f>TEXT(TEXT(MEDIAN(Totaal!$O$3:$O$102),"0,0"),"Standaard")</f>
        <v>#NUM!</v>
      </c>
      <c r="AX24" t="str">
        <f>Totaal!P$1</f>
        <v>L</v>
      </c>
      <c r="AY24" t="str">
        <f>TEXT(TEXT(Totaal!$P24,"0,0"),"Standaard")</f>
        <v>0</v>
      </c>
      <c r="AZ24" t="str">
        <f>TEXT(Totaal!$P$2,"0")</f>
        <v>0</v>
      </c>
      <c r="BA24" t="e">
        <f>TEXT(TEXT(MEDIAN(Totaal!$P$3:$P$102),"0,0"),"Standaard")</f>
        <v>#NUM!</v>
      </c>
      <c r="BB24" t="str">
        <f>Totaal!Q$1</f>
        <v>M</v>
      </c>
      <c r="BC24" t="str">
        <f>TEXT(TEXT(Totaal!$Q24,"0,0"),"Standaard")</f>
        <v>0</v>
      </c>
      <c r="BD24" t="str">
        <f>TEXT(Totaal!$Q$2,"0")</f>
        <v>0</v>
      </c>
      <c r="BE24" t="e">
        <f>TEXT(TEXT(MEDIAN(Totaal!$Q$3:$Q$102),"0,0"),"Standaard")</f>
        <v>#NUM!</v>
      </c>
      <c r="BF24" t="str">
        <f>Totaal!R$1</f>
        <v>N</v>
      </c>
      <c r="BG24" t="str">
        <f>TEXT(TEXT(Totaal!$R24,"0,0"),"Standaard")</f>
        <v>0</v>
      </c>
      <c r="BH24" t="str">
        <f>TEXT(Totaal!$R$2,"0")</f>
        <v>0</v>
      </c>
      <c r="BI24" t="e">
        <f>TEXT(TEXT(MEDIAN(Totaal!$R$3:$R$102),"0,0"),"Standaard")</f>
        <v>#NUM!</v>
      </c>
      <c r="BJ24" t="str">
        <f>Totaal!S$1</f>
        <v>O</v>
      </c>
      <c r="BK24" t="str">
        <f>TEXT(TEXT(Totaal!$S24,"0,0"),"Standaard")</f>
        <v>0</v>
      </c>
      <c r="BL24" t="str">
        <f>TEXT(Totaal!$S$2,"0")</f>
        <v>0</v>
      </c>
      <c r="BM24" t="e">
        <f>TEXT(TEXT(MEDIAN(Totaal!$S$3:$S$102),"0,0"),"Standaard")</f>
        <v>#NUM!</v>
      </c>
      <c r="BN24" t="str">
        <f>Totaal!T$1</f>
        <v>P</v>
      </c>
      <c r="BO24" t="str">
        <f>TEXT(TEXT(Totaal!$T24,"0,0"),"Standaard")</f>
        <v>0</v>
      </c>
      <c r="BP24" t="str">
        <f>TEXT(Totaal!$T$2,"0")</f>
        <v>0</v>
      </c>
      <c r="BQ24" t="e">
        <f>TEXT(TEXT(MEDIAN(Totaal!$T$3:$T$102),"0,0"),"Standaard")</f>
        <v>#NUM!</v>
      </c>
      <c r="BR24" t="str">
        <f>IF(Totaal!U24="","",Totaal!U24)</f>
        <v/>
      </c>
    </row>
    <row r="25" spans="1:70">
      <c r="A25">
        <f>Totaal!A25</f>
        <v>23</v>
      </c>
      <c r="B25" s="22" t="str">
        <f>IF(Totaal!B25="","",Totaal!B25)</f>
        <v/>
      </c>
      <c r="C25" s="8" t="e">
        <f>TEXT(TEXT(Totaal!C25,"0,0"),"Standaard")</f>
        <v>#DIV/0!</v>
      </c>
      <c r="D25" s="8" t="str">
        <f>TEXT(Totaal!C$2,"0")</f>
        <v>100</v>
      </c>
      <c r="E25" s="22" t="e">
        <f>TEXT(TEXT(SUM(Totaal!C$3:C$102)/COUNTIF(Totaal!C$3:C$102,"&lt;&gt;0"),"0,0"),"Standaard")</f>
        <v>#DIV/0!</v>
      </c>
      <c r="F25" t="str">
        <f>Totaal!E$1</f>
        <v>A</v>
      </c>
      <c r="G25" t="str">
        <f>TEXT(TEXT(Totaal!E25,"0,0"),"Standaard")</f>
        <v>0</v>
      </c>
      <c r="H25" t="str">
        <f>TEXT(Totaal!E$2,"0")</f>
        <v>0</v>
      </c>
      <c r="I25" t="e">
        <f>TEXT(TEXT(MEDIAN(Totaal!E$3:E$102),"0,0"),"Standaard")</f>
        <v>#NUM!</v>
      </c>
      <c r="J25" t="str">
        <f>Totaal!F$1</f>
        <v>B</v>
      </c>
      <c r="K25" t="str">
        <f>TEXT(TEXT(Totaal!$F25,"0,0"),"Standaard")</f>
        <v>0</v>
      </c>
      <c r="L25" t="str">
        <f>TEXT(Totaal!F$2,"0")</f>
        <v>0</v>
      </c>
      <c r="M25" t="e">
        <f>TEXT(TEXT(MEDIAN(Totaal!$F$3:$F$102),"0,0"),"Standaard")</f>
        <v>#NUM!</v>
      </c>
      <c r="N25" t="str">
        <f>Totaal!G$1</f>
        <v>C</v>
      </c>
      <c r="O25" t="str">
        <f>TEXT(TEXT(Totaal!$G25,"0,0"),"Standaard")</f>
        <v>0</v>
      </c>
      <c r="P25" t="str">
        <f>TEXT(Totaal!$G$2,"0")</f>
        <v>0</v>
      </c>
      <c r="Q25" t="e">
        <f>TEXT(TEXT(MEDIAN(Totaal!$G$3:$G$102),"0,0"),"Standaard")</f>
        <v>#NUM!</v>
      </c>
      <c r="R25" t="str">
        <f>Totaal!H$1</f>
        <v>D</v>
      </c>
      <c r="S25" t="str">
        <f>TEXT(TEXT(Totaal!$H25,"0,0"),"Standaard")</f>
        <v>0</v>
      </c>
      <c r="T25" t="str">
        <f>TEXT(Totaal!$H$2,"0")</f>
        <v>0</v>
      </c>
      <c r="U25" t="e">
        <f>TEXT(TEXT(MEDIAN(Totaal!$H$3:$H$102),"0,0"),"Standaard")</f>
        <v>#NUM!</v>
      </c>
      <c r="V25" t="str">
        <f>Totaal!I$1</f>
        <v>E</v>
      </c>
      <c r="W25" t="str">
        <f>TEXT(TEXT(Totaal!$I25,"0,0"),"Standaard")</f>
        <v>0</v>
      </c>
      <c r="X25" t="str">
        <f>TEXT(Totaal!$I$2,"0")</f>
        <v>0</v>
      </c>
      <c r="Y25" t="e">
        <f>TEXT(TEXT(MEDIAN(Totaal!$I$3:$I$102),"0,0"),"Standaard")</f>
        <v>#NUM!</v>
      </c>
      <c r="Z25" t="str">
        <f>Totaal!J$1</f>
        <v>F</v>
      </c>
      <c r="AA25" t="str">
        <f>TEXT(TEXT(Totaal!$J25,"0,0"),"Standaard")</f>
        <v>0</v>
      </c>
      <c r="AB25" t="str">
        <f>TEXT(Totaal!$J$2,"0")</f>
        <v>0</v>
      </c>
      <c r="AC25" t="e">
        <f>TEXT(TEXT(MEDIAN(Totaal!$J$3:$J$102),"0,0"),"Standaard")</f>
        <v>#NUM!</v>
      </c>
      <c r="AD25" t="str">
        <f>Totaal!K$1</f>
        <v>G</v>
      </c>
      <c r="AE25" t="str">
        <f>TEXT(TEXT(Totaal!$K25,"0,0"),"Standaard")</f>
        <v>0</v>
      </c>
      <c r="AF25" t="str">
        <f>TEXT(Totaal!$K$2,"0")</f>
        <v>0</v>
      </c>
      <c r="AG25" t="e">
        <f>TEXT(TEXT(MEDIAN(Totaal!$K$3:$K$102),"0,0"),"Standaard")</f>
        <v>#NUM!</v>
      </c>
      <c r="AH25" t="str">
        <f>Totaal!L$1</f>
        <v>H</v>
      </c>
      <c r="AI25" t="str">
        <f>TEXT(TEXT(Totaal!$L25,"0,0"),"Standaard")</f>
        <v>0</v>
      </c>
      <c r="AJ25" t="str">
        <f>TEXT(Totaal!$L$2,"0")</f>
        <v>0</v>
      </c>
      <c r="AK25" t="e">
        <f>TEXT(TEXT(MEDIAN(Totaal!$L$3:$L$102),"0,0"),"Standaard")</f>
        <v>#NUM!</v>
      </c>
      <c r="AL25" t="str">
        <f>Totaal!M$1</f>
        <v>I</v>
      </c>
      <c r="AM25" t="str">
        <f>TEXT(TEXT(Totaal!$M25,"0,0"),"Standaard")</f>
        <v>0</v>
      </c>
      <c r="AN25" t="str">
        <f>TEXT(Totaal!$M$2,"0")</f>
        <v>0</v>
      </c>
      <c r="AO25" t="e">
        <f>TEXT(TEXT(MEDIAN(Totaal!$M$3:$M$102),"0,0"),"Standaard")</f>
        <v>#NUM!</v>
      </c>
      <c r="AP25" t="str">
        <f>Totaal!N$1</f>
        <v>J</v>
      </c>
      <c r="AQ25" t="str">
        <f>TEXT(TEXT(Totaal!$N25,"0,0"),"Standaard")</f>
        <v>0</v>
      </c>
      <c r="AR25" t="str">
        <f>TEXT(Totaal!$N$2,"0")</f>
        <v>0</v>
      </c>
      <c r="AS25" t="e">
        <f>TEXT(TEXT(MEDIAN(Totaal!$N$3:$N$102),"0,0"),"Standaard")</f>
        <v>#NUM!</v>
      </c>
      <c r="AT25" t="str">
        <f>Totaal!O$1</f>
        <v>K</v>
      </c>
      <c r="AU25" t="str">
        <f>TEXT(TEXT(Totaal!$O25,"0,0"),"Standaard")</f>
        <v>0</v>
      </c>
      <c r="AV25" t="str">
        <f>TEXT(Totaal!$O$2,"0")</f>
        <v>0</v>
      </c>
      <c r="AW25" t="e">
        <f>TEXT(TEXT(MEDIAN(Totaal!$O$3:$O$102),"0,0"),"Standaard")</f>
        <v>#NUM!</v>
      </c>
      <c r="AX25" t="str">
        <f>Totaal!P$1</f>
        <v>L</v>
      </c>
      <c r="AY25" t="str">
        <f>TEXT(TEXT(Totaal!$P25,"0,0"),"Standaard")</f>
        <v>0</v>
      </c>
      <c r="AZ25" t="str">
        <f>TEXT(Totaal!$P$2,"0")</f>
        <v>0</v>
      </c>
      <c r="BA25" t="e">
        <f>TEXT(TEXT(MEDIAN(Totaal!$P$3:$P$102),"0,0"),"Standaard")</f>
        <v>#NUM!</v>
      </c>
      <c r="BB25" t="str">
        <f>Totaal!Q$1</f>
        <v>M</v>
      </c>
      <c r="BC25" t="str">
        <f>TEXT(TEXT(Totaal!$Q25,"0,0"),"Standaard")</f>
        <v>0</v>
      </c>
      <c r="BD25" t="str">
        <f>TEXT(Totaal!$Q$2,"0")</f>
        <v>0</v>
      </c>
      <c r="BE25" t="e">
        <f>TEXT(TEXT(MEDIAN(Totaal!$Q$3:$Q$102),"0,0"),"Standaard")</f>
        <v>#NUM!</v>
      </c>
      <c r="BF25" t="str">
        <f>Totaal!R$1</f>
        <v>N</v>
      </c>
      <c r="BG25" t="str">
        <f>TEXT(TEXT(Totaal!$R25,"0,0"),"Standaard")</f>
        <v>0</v>
      </c>
      <c r="BH25" t="str">
        <f>TEXT(Totaal!$R$2,"0")</f>
        <v>0</v>
      </c>
      <c r="BI25" t="e">
        <f>TEXT(TEXT(MEDIAN(Totaal!$R$3:$R$102),"0,0"),"Standaard")</f>
        <v>#NUM!</v>
      </c>
      <c r="BJ25" t="str">
        <f>Totaal!S$1</f>
        <v>O</v>
      </c>
      <c r="BK25" t="str">
        <f>TEXT(TEXT(Totaal!$S25,"0,0"),"Standaard")</f>
        <v>0</v>
      </c>
      <c r="BL25" t="str">
        <f>TEXT(Totaal!$S$2,"0")</f>
        <v>0</v>
      </c>
      <c r="BM25" t="e">
        <f>TEXT(TEXT(MEDIAN(Totaal!$S$3:$S$102),"0,0"),"Standaard")</f>
        <v>#NUM!</v>
      </c>
      <c r="BN25" t="str">
        <f>Totaal!T$1</f>
        <v>P</v>
      </c>
      <c r="BO25" t="str">
        <f>TEXT(TEXT(Totaal!$T25,"0,0"),"Standaard")</f>
        <v>0</v>
      </c>
      <c r="BP25" t="str">
        <f>TEXT(Totaal!$T$2,"0")</f>
        <v>0</v>
      </c>
      <c r="BQ25" t="e">
        <f>TEXT(TEXT(MEDIAN(Totaal!$T$3:$T$102),"0,0"),"Standaard")</f>
        <v>#NUM!</v>
      </c>
      <c r="BR25" t="str">
        <f>IF(Totaal!U25="","",Totaal!U25)</f>
        <v/>
      </c>
    </row>
    <row r="26" spans="1:70">
      <c r="A26">
        <f>Totaal!A26</f>
        <v>24</v>
      </c>
      <c r="B26" s="22" t="str">
        <f>IF(Totaal!B26="","",Totaal!B26)</f>
        <v/>
      </c>
      <c r="C26" s="8" t="e">
        <f>TEXT(TEXT(Totaal!C26,"0,0"),"Standaard")</f>
        <v>#DIV/0!</v>
      </c>
      <c r="D26" s="8" t="str">
        <f>TEXT(Totaal!C$2,"0")</f>
        <v>100</v>
      </c>
      <c r="E26" s="22" t="e">
        <f>TEXT(TEXT(SUM(Totaal!C$3:C$102)/COUNTIF(Totaal!C$3:C$102,"&lt;&gt;0"),"0,0"),"Standaard")</f>
        <v>#DIV/0!</v>
      </c>
      <c r="F26" t="str">
        <f>Totaal!E$1</f>
        <v>A</v>
      </c>
      <c r="G26" t="str">
        <f>TEXT(TEXT(Totaal!E26,"0,0"),"Standaard")</f>
        <v>0</v>
      </c>
      <c r="H26" t="str">
        <f>TEXT(Totaal!E$2,"0")</f>
        <v>0</v>
      </c>
      <c r="I26" t="e">
        <f>TEXT(TEXT(MEDIAN(Totaal!E$3:E$102),"0,0"),"Standaard")</f>
        <v>#NUM!</v>
      </c>
      <c r="J26" t="str">
        <f>Totaal!F$1</f>
        <v>B</v>
      </c>
      <c r="K26" t="str">
        <f>TEXT(TEXT(Totaal!$F26,"0,0"),"Standaard")</f>
        <v>0</v>
      </c>
      <c r="L26" t="str">
        <f>TEXT(Totaal!F$2,"0")</f>
        <v>0</v>
      </c>
      <c r="M26" t="e">
        <f>TEXT(TEXT(MEDIAN(Totaal!$F$3:$F$102),"0,0"),"Standaard")</f>
        <v>#NUM!</v>
      </c>
      <c r="N26" t="str">
        <f>Totaal!G$1</f>
        <v>C</v>
      </c>
      <c r="O26" t="str">
        <f>TEXT(TEXT(Totaal!$G26,"0,0"),"Standaard")</f>
        <v>0</v>
      </c>
      <c r="P26" t="str">
        <f>TEXT(Totaal!$G$2,"0")</f>
        <v>0</v>
      </c>
      <c r="Q26" t="e">
        <f>TEXT(TEXT(MEDIAN(Totaal!$G$3:$G$102),"0,0"),"Standaard")</f>
        <v>#NUM!</v>
      </c>
      <c r="R26" t="str">
        <f>Totaal!H$1</f>
        <v>D</v>
      </c>
      <c r="S26" t="str">
        <f>TEXT(TEXT(Totaal!$H26,"0,0"),"Standaard")</f>
        <v>0</v>
      </c>
      <c r="T26" t="str">
        <f>TEXT(Totaal!$H$2,"0")</f>
        <v>0</v>
      </c>
      <c r="U26" t="e">
        <f>TEXT(TEXT(MEDIAN(Totaal!$H$3:$H$102),"0,0"),"Standaard")</f>
        <v>#NUM!</v>
      </c>
      <c r="V26" t="str">
        <f>Totaal!I$1</f>
        <v>E</v>
      </c>
      <c r="W26" t="str">
        <f>TEXT(TEXT(Totaal!$I26,"0,0"),"Standaard")</f>
        <v>0</v>
      </c>
      <c r="X26" t="str">
        <f>TEXT(Totaal!$I$2,"0")</f>
        <v>0</v>
      </c>
      <c r="Y26" t="e">
        <f>TEXT(TEXT(MEDIAN(Totaal!$I$3:$I$102),"0,0"),"Standaard")</f>
        <v>#NUM!</v>
      </c>
      <c r="Z26" t="str">
        <f>Totaal!J$1</f>
        <v>F</v>
      </c>
      <c r="AA26" t="str">
        <f>TEXT(TEXT(Totaal!$J26,"0,0"),"Standaard")</f>
        <v>0</v>
      </c>
      <c r="AB26" t="str">
        <f>TEXT(Totaal!$J$2,"0")</f>
        <v>0</v>
      </c>
      <c r="AC26" t="e">
        <f>TEXT(TEXT(MEDIAN(Totaal!$J$3:$J$102),"0,0"),"Standaard")</f>
        <v>#NUM!</v>
      </c>
      <c r="AD26" t="str">
        <f>Totaal!K$1</f>
        <v>G</v>
      </c>
      <c r="AE26" t="str">
        <f>TEXT(TEXT(Totaal!$K26,"0,0"),"Standaard")</f>
        <v>0</v>
      </c>
      <c r="AF26" t="str">
        <f>TEXT(Totaal!$K$2,"0")</f>
        <v>0</v>
      </c>
      <c r="AG26" t="e">
        <f>TEXT(TEXT(MEDIAN(Totaal!$K$3:$K$102),"0,0"),"Standaard")</f>
        <v>#NUM!</v>
      </c>
      <c r="AH26" t="str">
        <f>Totaal!L$1</f>
        <v>H</v>
      </c>
      <c r="AI26" t="str">
        <f>TEXT(TEXT(Totaal!$L26,"0,0"),"Standaard")</f>
        <v>0</v>
      </c>
      <c r="AJ26" t="str">
        <f>TEXT(Totaal!$L$2,"0")</f>
        <v>0</v>
      </c>
      <c r="AK26" t="e">
        <f>TEXT(TEXT(MEDIAN(Totaal!$L$3:$L$102),"0,0"),"Standaard")</f>
        <v>#NUM!</v>
      </c>
      <c r="AL26" t="str">
        <f>Totaal!M$1</f>
        <v>I</v>
      </c>
      <c r="AM26" t="str">
        <f>TEXT(TEXT(Totaal!$M26,"0,0"),"Standaard")</f>
        <v>0</v>
      </c>
      <c r="AN26" t="str">
        <f>TEXT(Totaal!$M$2,"0")</f>
        <v>0</v>
      </c>
      <c r="AO26" t="e">
        <f>TEXT(TEXT(MEDIAN(Totaal!$M$3:$M$102),"0,0"),"Standaard")</f>
        <v>#NUM!</v>
      </c>
      <c r="AP26" t="str">
        <f>Totaal!N$1</f>
        <v>J</v>
      </c>
      <c r="AQ26" t="str">
        <f>TEXT(TEXT(Totaal!$N26,"0,0"),"Standaard")</f>
        <v>0</v>
      </c>
      <c r="AR26" t="str">
        <f>TEXT(Totaal!$N$2,"0")</f>
        <v>0</v>
      </c>
      <c r="AS26" t="e">
        <f>TEXT(TEXT(MEDIAN(Totaal!$N$3:$N$102),"0,0"),"Standaard")</f>
        <v>#NUM!</v>
      </c>
      <c r="AT26" t="str">
        <f>Totaal!O$1</f>
        <v>K</v>
      </c>
      <c r="AU26" t="str">
        <f>TEXT(TEXT(Totaal!$O26,"0,0"),"Standaard")</f>
        <v>0</v>
      </c>
      <c r="AV26" t="str">
        <f>TEXT(Totaal!$O$2,"0")</f>
        <v>0</v>
      </c>
      <c r="AW26" t="e">
        <f>TEXT(TEXT(MEDIAN(Totaal!$O$3:$O$102),"0,0"),"Standaard")</f>
        <v>#NUM!</v>
      </c>
      <c r="AX26" t="str">
        <f>Totaal!P$1</f>
        <v>L</v>
      </c>
      <c r="AY26" t="str">
        <f>TEXT(TEXT(Totaal!$P26,"0,0"),"Standaard")</f>
        <v>0</v>
      </c>
      <c r="AZ26" t="str">
        <f>TEXT(Totaal!$P$2,"0")</f>
        <v>0</v>
      </c>
      <c r="BA26" t="e">
        <f>TEXT(TEXT(MEDIAN(Totaal!$P$3:$P$102),"0,0"),"Standaard")</f>
        <v>#NUM!</v>
      </c>
      <c r="BB26" t="str">
        <f>Totaal!Q$1</f>
        <v>M</v>
      </c>
      <c r="BC26" t="str">
        <f>TEXT(TEXT(Totaal!$Q26,"0,0"),"Standaard")</f>
        <v>0</v>
      </c>
      <c r="BD26" t="str">
        <f>TEXT(Totaal!$Q$2,"0")</f>
        <v>0</v>
      </c>
      <c r="BE26" t="e">
        <f>TEXT(TEXT(MEDIAN(Totaal!$Q$3:$Q$102),"0,0"),"Standaard")</f>
        <v>#NUM!</v>
      </c>
      <c r="BF26" t="str">
        <f>Totaal!R$1</f>
        <v>N</v>
      </c>
      <c r="BG26" t="str">
        <f>TEXT(TEXT(Totaal!$R26,"0,0"),"Standaard")</f>
        <v>0</v>
      </c>
      <c r="BH26" t="str">
        <f>TEXT(Totaal!$R$2,"0")</f>
        <v>0</v>
      </c>
      <c r="BI26" t="e">
        <f>TEXT(TEXT(MEDIAN(Totaal!$R$3:$R$102),"0,0"),"Standaard")</f>
        <v>#NUM!</v>
      </c>
      <c r="BJ26" t="str">
        <f>Totaal!S$1</f>
        <v>O</v>
      </c>
      <c r="BK26" t="str">
        <f>TEXT(TEXT(Totaal!$S26,"0,0"),"Standaard")</f>
        <v>0</v>
      </c>
      <c r="BL26" t="str">
        <f>TEXT(Totaal!$S$2,"0")</f>
        <v>0</v>
      </c>
      <c r="BM26" t="e">
        <f>TEXT(TEXT(MEDIAN(Totaal!$S$3:$S$102),"0,0"),"Standaard")</f>
        <v>#NUM!</v>
      </c>
      <c r="BN26" t="str">
        <f>Totaal!T$1</f>
        <v>P</v>
      </c>
      <c r="BO26" t="str">
        <f>TEXT(TEXT(Totaal!$T26,"0,0"),"Standaard")</f>
        <v>0</v>
      </c>
      <c r="BP26" t="str">
        <f>TEXT(Totaal!$T$2,"0")</f>
        <v>0</v>
      </c>
      <c r="BQ26" t="e">
        <f>TEXT(TEXT(MEDIAN(Totaal!$T$3:$T$102),"0,0"),"Standaard")</f>
        <v>#NUM!</v>
      </c>
      <c r="BR26" t="str">
        <f>IF(Totaal!U26="","",Totaal!U26)</f>
        <v/>
      </c>
    </row>
    <row r="27" spans="1:70">
      <c r="A27">
        <f>Totaal!A27</f>
        <v>25</v>
      </c>
      <c r="B27" s="22" t="str">
        <f>IF(Totaal!B27="","",Totaal!B27)</f>
        <v/>
      </c>
      <c r="C27" s="8" t="e">
        <f>TEXT(TEXT(Totaal!C27,"0,0"),"Standaard")</f>
        <v>#DIV/0!</v>
      </c>
      <c r="D27" s="8" t="str">
        <f>TEXT(Totaal!C$2,"0")</f>
        <v>100</v>
      </c>
      <c r="E27" s="22" t="e">
        <f>TEXT(TEXT(SUM(Totaal!C$3:C$102)/COUNTIF(Totaal!C$3:C$102,"&lt;&gt;0"),"0,0"),"Standaard")</f>
        <v>#DIV/0!</v>
      </c>
      <c r="F27" t="str">
        <f>Totaal!E$1</f>
        <v>A</v>
      </c>
      <c r="G27" t="str">
        <f>TEXT(TEXT(Totaal!E27,"0,0"),"Standaard")</f>
        <v>0</v>
      </c>
      <c r="H27" t="str">
        <f>TEXT(Totaal!E$2,"0")</f>
        <v>0</v>
      </c>
      <c r="I27" t="e">
        <f>TEXT(TEXT(MEDIAN(Totaal!E$3:E$102),"0,0"),"Standaard")</f>
        <v>#NUM!</v>
      </c>
      <c r="J27" t="str">
        <f>Totaal!F$1</f>
        <v>B</v>
      </c>
      <c r="K27" t="str">
        <f>TEXT(TEXT(Totaal!$F27,"0,0"),"Standaard")</f>
        <v>0</v>
      </c>
      <c r="L27" t="str">
        <f>TEXT(Totaal!F$2,"0")</f>
        <v>0</v>
      </c>
      <c r="M27" t="e">
        <f>TEXT(TEXT(MEDIAN(Totaal!$F$3:$F$102),"0,0"),"Standaard")</f>
        <v>#NUM!</v>
      </c>
      <c r="N27" t="str">
        <f>Totaal!G$1</f>
        <v>C</v>
      </c>
      <c r="O27" t="str">
        <f>TEXT(TEXT(Totaal!$G27,"0,0"),"Standaard")</f>
        <v>0</v>
      </c>
      <c r="P27" t="str">
        <f>TEXT(Totaal!$G$2,"0")</f>
        <v>0</v>
      </c>
      <c r="Q27" t="e">
        <f>TEXT(TEXT(MEDIAN(Totaal!$G$3:$G$102),"0,0"),"Standaard")</f>
        <v>#NUM!</v>
      </c>
      <c r="R27" t="str">
        <f>Totaal!H$1</f>
        <v>D</v>
      </c>
      <c r="S27" t="str">
        <f>TEXT(TEXT(Totaal!$H27,"0,0"),"Standaard")</f>
        <v>0</v>
      </c>
      <c r="T27" t="str">
        <f>TEXT(Totaal!$H$2,"0")</f>
        <v>0</v>
      </c>
      <c r="U27" t="e">
        <f>TEXT(TEXT(MEDIAN(Totaal!$H$3:$H$102),"0,0"),"Standaard")</f>
        <v>#NUM!</v>
      </c>
      <c r="V27" t="str">
        <f>Totaal!I$1</f>
        <v>E</v>
      </c>
      <c r="W27" t="str">
        <f>TEXT(TEXT(Totaal!$I27,"0,0"),"Standaard")</f>
        <v>0</v>
      </c>
      <c r="X27" t="str">
        <f>TEXT(Totaal!$I$2,"0")</f>
        <v>0</v>
      </c>
      <c r="Y27" t="e">
        <f>TEXT(TEXT(MEDIAN(Totaal!$I$3:$I$102),"0,0"),"Standaard")</f>
        <v>#NUM!</v>
      </c>
      <c r="Z27" t="str">
        <f>Totaal!J$1</f>
        <v>F</v>
      </c>
      <c r="AA27" t="str">
        <f>TEXT(TEXT(Totaal!$J27,"0,0"),"Standaard")</f>
        <v>0</v>
      </c>
      <c r="AB27" t="str">
        <f>TEXT(Totaal!$J$2,"0")</f>
        <v>0</v>
      </c>
      <c r="AC27" t="e">
        <f>TEXT(TEXT(MEDIAN(Totaal!$J$3:$J$102),"0,0"),"Standaard")</f>
        <v>#NUM!</v>
      </c>
      <c r="AD27" t="str">
        <f>Totaal!K$1</f>
        <v>G</v>
      </c>
      <c r="AE27" t="str">
        <f>TEXT(TEXT(Totaal!$K27,"0,0"),"Standaard")</f>
        <v>0</v>
      </c>
      <c r="AF27" t="str">
        <f>TEXT(Totaal!$K$2,"0")</f>
        <v>0</v>
      </c>
      <c r="AG27" t="e">
        <f>TEXT(TEXT(MEDIAN(Totaal!$K$3:$K$102),"0,0"),"Standaard")</f>
        <v>#NUM!</v>
      </c>
      <c r="AH27" t="str">
        <f>Totaal!L$1</f>
        <v>H</v>
      </c>
      <c r="AI27" t="str">
        <f>TEXT(TEXT(Totaal!$L27,"0,0"),"Standaard")</f>
        <v>0</v>
      </c>
      <c r="AJ27" t="str">
        <f>TEXT(Totaal!$L$2,"0")</f>
        <v>0</v>
      </c>
      <c r="AK27" t="e">
        <f>TEXT(TEXT(MEDIAN(Totaal!$L$3:$L$102),"0,0"),"Standaard")</f>
        <v>#NUM!</v>
      </c>
      <c r="AL27" t="str">
        <f>Totaal!M$1</f>
        <v>I</v>
      </c>
      <c r="AM27" t="str">
        <f>TEXT(TEXT(Totaal!$M27,"0,0"),"Standaard")</f>
        <v>0</v>
      </c>
      <c r="AN27" t="str">
        <f>TEXT(Totaal!$M$2,"0")</f>
        <v>0</v>
      </c>
      <c r="AO27" t="e">
        <f>TEXT(TEXT(MEDIAN(Totaal!$M$3:$M$102),"0,0"),"Standaard")</f>
        <v>#NUM!</v>
      </c>
      <c r="AP27" t="str">
        <f>Totaal!N$1</f>
        <v>J</v>
      </c>
      <c r="AQ27" t="str">
        <f>TEXT(TEXT(Totaal!$N27,"0,0"),"Standaard")</f>
        <v>0</v>
      </c>
      <c r="AR27" t="str">
        <f>TEXT(Totaal!$N$2,"0")</f>
        <v>0</v>
      </c>
      <c r="AS27" t="e">
        <f>TEXT(TEXT(MEDIAN(Totaal!$N$3:$N$102),"0,0"),"Standaard")</f>
        <v>#NUM!</v>
      </c>
      <c r="AT27" t="str">
        <f>Totaal!O$1</f>
        <v>K</v>
      </c>
      <c r="AU27" t="str">
        <f>TEXT(TEXT(Totaal!$O27,"0,0"),"Standaard")</f>
        <v>0</v>
      </c>
      <c r="AV27" t="str">
        <f>TEXT(Totaal!$O$2,"0")</f>
        <v>0</v>
      </c>
      <c r="AW27" t="e">
        <f>TEXT(TEXT(MEDIAN(Totaal!$O$3:$O$102),"0,0"),"Standaard")</f>
        <v>#NUM!</v>
      </c>
      <c r="AX27" t="str">
        <f>Totaal!P$1</f>
        <v>L</v>
      </c>
      <c r="AY27" t="str">
        <f>TEXT(TEXT(Totaal!$P27,"0,0"),"Standaard")</f>
        <v>0</v>
      </c>
      <c r="AZ27" t="str">
        <f>TEXT(Totaal!$P$2,"0")</f>
        <v>0</v>
      </c>
      <c r="BA27" t="e">
        <f>TEXT(TEXT(MEDIAN(Totaal!$P$3:$P$102),"0,0"),"Standaard")</f>
        <v>#NUM!</v>
      </c>
      <c r="BB27" t="str">
        <f>Totaal!Q$1</f>
        <v>M</v>
      </c>
      <c r="BC27" t="str">
        <f>TEXT(TEXT(Totaal!$Q27,"0,0"),"Standaard")</f>
        <v>0</v>
      </c>
      <c r="BD27" t="str">
        <f>TEXT(Totaal!$Q$2,"0")</f>
        <v>0</v>
      </c>
      <c r="BE27" t="e">
        <f>TEXT(TEXT(MEDIAN(Totaal!$Q$3:$Q$102),"0,0"),"Standaard")</f>
        <v>#NUM!</v>
      </c>
      <c r="BF27" t="str">
        <f>Totaal!R$1</f>
        <v>N</v>
      </c>
      <c r="BG27" t="str">
        <f>TEXT(TEXT(Totaal!$R27,"0,0"),"Standaard")</f>
        <v>0</v>
      </c>
      <c r="BH27" t="str">
        <f>TEXT(Totaal!$R$2,"0")</f>
        <v>0</v>
      </c>
      <c r="BI27" t="e">
        <f>TEXT(TEXT(MEDIAN(Totaal!$R$3:$R$102),"0,0"),"Standaard")</f>
        <v>#NUM!</v>
      </c>
      <c r="BJ27" t="str">
        <f>Totaal!S$1</f>
        <v>O</v>
      </c>
      <c r="BK27" t="str">
        <f>TEXT(TEXT(Totaal!$S27,"0,0"),"Standaard")</f>
        <v>0</v>
      </c>
      <c r="BL27" t="str">
        <f>TEXT(Totaal!$S$2,"0")</f>
        <v>0</v>
      </c>
      <c r="BM27" t="e">
        <f>TEXT(TEXT(MEDIAN(Totaal!$S$3:$S$102),"0,0"),"Standaard")</f>
        <v>#NUM!</v>
      </c>
      <c r="BN27" t="str">
        <f>Totaal!T$1</f>
        <v>P</v>
      </c>
      <c r="BO27" t="str">
        <f>TEXT(TEXT(Totaal!$T27,"0,0"),"Standaard")</f>
        <v>0</v>
      </c>
      <c r="BP27" t="str">
        <f>TEXT(Totaal!$T$2,"0")</f>
        <v>0</v>
      </c>
      <c r="BQ27" t="e">
        <f>TEXT(TEXT(MEDIAN(Totaal!$T$3:$T$102),"0,0"),"Standaard")</f>
        <v>#NUM!</v>
      </c>
      <c r="BR27" t="str">
        <f>IF(Totaal!U27="","",Totaal!U27)</f>
        <v/>
      </c>
    </row>
    <row r="28" spans="1:70">
      <c r="A28">
        <f>Totaal!A28</f>
        <v>26</v>
      </c>
      <c r="B28" s="22" t="str">
        <f>IF(Totaal!B28="","",Totaal!B28)</f>
        <v/>
      </c>
      <c r="C28" s="8" t="e">
        <f>TEXT(TEXT(Totaal!C28,"0,0"),"Standaard")</f>
        <v>#DIV/0!</v>
      </c>
      <c r="D28" s="8" t="str">
        <f>TEXT(Totaal!C$2,"0")</f>
        <v>100</v>
      </c>
      <c r="E28" s="22" t="e">
        <f>TEXT(TEXT(SUM(Totaal!C$3:C$102)/COUNTIF(Totaal!C$3:C$102,"&lt;&gt;0"),"0,0"),"Standaard")</f>
        <v>#DIV/0!</v>
      </c>
      <c r="F28" t="str">
        <f>Totaal!E$1</f>
        <v>A</v>
      </c>
      <c r="G28" t="str">
        <f>TEXT(TEXT(Totaal!E28,"0,0"),"Standaard")</f>
        <v>0</v>
      </c>
      <c r="H28" t="str">
        <f>TEXT(Totaal!E$2,"0")</f>
        <v>0</v>
      </c>
      <c r="I28" t="e">
        <f>TEXT(TEXT(MEDIAN(Totaal!E$3:E$102),"0,0"),"Standaard")</f>
        <v>#NUM!</v>
      </c>
      <c r="J28" t="str">
        <f>Totaal!F$1</f>
        <v>B</v>
      </c>
      <c r="K28" t="str">
        <f>TEXT(TEXT(Totaal!$F28,"0,0"),"Standaard")</f>
        <v>0</v>
      </c>
      <c r="L28" t="str">
        <f>TEXT(Totaal!F$2,"0")</f>
        <v>0</v>
      </c>
      <c r="M28" t="e">
        <f>TEXT(TEXT(MEDIAN(Totaal!$F$3:$F$102),"0,0"),"Standaard")</f>
        <v>#NUM!</v>
      </c>
      <c r="N28" t="str">
        <f>Totaal!G$1</f>
        <v>C</v>
      </c>
      <c r="O28" t="str">
        <f>TEXT(TEXT(Totaal!$G28,"0,0"),"Standaard")</f>
        <v>0</v>
      </c>
      <c r="P28" t="str">
        <f>TEXT(Totaal!$G$2,"0")</f>
        <v>0</v>
      </c>
      <c r="Q28" t="e">
        <f>TEXT(TEXT(MEDIAN(Totaal!$G$3:$G$102),"0,0"),"Standaard")</f>
        <v>#NUM!</v>
      </c>
      <c r="R28" t="str">
        <f>Totaal!H$1</f>
        <v>D</v>
      </c>
      <c r="S28" t="str">
        <f>TEXT(TEXT(Totaal!$H28,"0,0"),"Standaard")</f>
        <v>0</v>
      </c>
      <c r="T28" t="str">
        <f>TEXT(Totaal!$H$2,"0")</f>
        <v>0</v>
      </c>
      <c r="U28" t="e">
        <f>TEXT(TEXT(MEDIAN(Totaal!$H$3:$H$102),"0,0"),"Standaard")</f>
        <v>#NUM!</v>
      </c>
      <c r="V28" t="str">
        <f>Totaal!I$1</f>
        <v>E</v>
      </c>
      <c r="W28" t="str">
        <f>TEXT(TEXT(Totaal!$I28,"0,0"),"Standaard")</f>
        <v>0</v>
      </c>
      <c r="X28" t="str">
        <f>TEXT(Totaal!$I$2,"0")</f>
        <v>0</v>
      </c>
      <c r="Y28" t="e">
        <f>TEXT(TEXT(MEDIAN(Totaal!$I$3:$I$102),"0,0"),"Standaard")</f>
        <v>#NUM!</v>
      </c>
      <c r="Z28" t="str">
        <f>Totaal!J$1</f>
        <v>F</v>
      </c>
      <c r="AA28" t="str">
        <f>TEXT(TEXT(Totaal!$J28,"0,0"),"Standaard")</f>
        <v>0</v>
      </c>
      <c r="AB28" t="str">
        <f>TEXT(Totaal!$J$2,"0")</f>
        <v>0</v>
      </c>
      <c r="AC28" t="e">
        <f>TEXT(TEXT(MEDIAN(Totaal!$J$3:$J$102),"0,0"),"Standaard")</f>
        <v>#NUM!</v>
      </c>
      <c r="AD28" t="str">
        <f>Totaal!K$1</f>
        <v>G</v>
      </c>
      <c r="AE28" t="str">
        <f>TEXT(TEXT(Totaal!$K28,"0,0"),"Standaard")</f>
        <v>0</v>
      </c>
      <c r="AF28" t="str">
        <f>TEXT(Totaal!$K$2,"0")</f>
        <v>0</v>
      </c>
      <c r="AG28" t="e">
        <f>TEXT(TEXT(MEDIAN(Totaal!$K$3:$K$102),"0,0"),"Standaard")</f>
        <v>#NUM!</v>
      </c>
      <c r="AH28" t="str">
        <f>Totaal!L$1</f>
        <v>H</v>
      </c>
      <c r="AI28" t="str">
        <f>TEXT(TEXT(Totaal!$L28,"0,0"),"Standaard")</f>
        <v>0</v>
      </c>
      <c r="AJ28" t="str">
        <f>TEXT(Totaal!$L$2,"0")</f>
        <v>0</v>
      </c>
      <c r="AK28" t="e">
        <f>TEXT(TEXT(MEDIAN(Totaal!$L$3:$L$102),"0,0"),"Standaard")</f>
        <v>#NUM!</v>
      </c>
      <c r="AL28" t="str">
        <f>Totaal!M$1</f>
        <v>I</v>
      </c>
      <c r="AM28" t="str">
        <f>TEXT(TEXT(Totaal!$M28,"0,0"),"Standaard")</f>
        <v>0</v>
      </c>
      <c r="AN28" t="str">
        <f>TEXT(Totaal!$M$2,"0")</f>
        <v>0</v>
      </c>
      <c r="AO28" t="e">
        <f>TEXT(TEXT(MEDIAN(Totaal!$M$3:$M$102),"0,0"),"Standaard")</f>
        <v>#NUM!</v>
      </c>
      <c r="AP28" t="str">
        <f>Totaal!N$1</f>
        <v>J</v>
      </c>
      <c r="AQ28" t="str">
        <f>TEXT(TEXT(Totaal!$N28,"0,0"),"Standaard")</f>
        <v>0</v>
      </c>
      <c r="AR28" t="str">
        <f>TEXT(Totaal!$N$2,"0")</f>
        <v>0</v>
      </c>
      <c r="AS28" t="e">
        <f>TEXT(TEXT(MEDIAN(Totaal!$N$3:$N$102),"0,0"),"Standaard")</f>
        <v>#NUM!</v>
      </c>
      <c r="AT28" t="str">
        <f>Totaal!O$1</f>
        <v>K</v>
      </c>
      <c r="AU28" t="str">
        <f>TEXT(TEXT(Totaal!$O28,"0,0"),"Standaard")</f>
        <v>0</v>
      </c>
      <c r="AV28" t="str">
        <f>TEXT(Totaal!$O$2,"0")</f>
        <v>0</v>
      </c>
      <c r="AW28" t="e">
        <f>TEXT(TEXT(MEDIAN(Totaal!$O$3:$O$102),"0,0"),"Standaard")</f>
        <v>#NUM!</v>
      </c>
      <c r="AX28" t="str">
        <f>Totaal!P$1</f>
        <v>L</v>
      </c>
      <c r="AY28" t="str">
        <f>TEXT(TEXT(Totaal!$P28,"0,0"),"Standaard")</f>
        <v>0</v>
      </c>
      <c r="AZ28" t="str">
        <f>TEXT(Totaal!$P$2,"0")</f>
        <v>0</v>
      </c>
      <c r="BA28" t="e">
        <f>TEXT(TEXT(MEDIAN(Totaal!$P$3:$P$102),"0,0"),"Standaard")</f>
        <v>#NUM!</v>
      </c>
      <c r="BB28" t="str">
        <f>Totaal!Q$1</f>
        <v>M</v>
      </c>
      <c r="BC28" t="str">
        <f>TEXT(TEXT(Totaal!$Q28,"0,0"),"Standaard")</f>
        <v>0</v>
      </c>
      <c r="BD28" t="str">
        <f>TEXT(Totaal!$Q$2,"0")</f>
        <v>0</v>
      </c>
      <c r="BE28" t="e">
        <f>TEXT(TEXT(MEDIAN(Totaal!$Q$3:$Q$102),"0,0"),"Standaard")</f>
        <v>#NUM!</v>
      </c>
      <c r="BF28" t="str">
        <f>Totaal!R$1</f>
        <v>N</v>
      </c>
      <c r="BG28" t="str">
        <f>TEXT(TEXT(Totaal!$R28,"0,0"),"Standaard")</f>
        <v>0</v>
      </c>
      <c r="BH28" t="str">
        <f>TEXT(Totaal!$R$2,"0")</f>
        <v>0</v>
      </c>
      <c r="BI28" t="e">
        <f>TEXT(TEXT(MEDIAN(Totaal!$R$3:$R$102),"0,0"),"Standaard")</f>
        <v>#NUM!</v>
      </c>
      <c r="BJ28" t="str">
        <f>Totaal!S$1</f>
        <v>O</v>
      </c>
      <c r="BK28" t="str">
        <f>TEXT(TEXT(Totaal!$S28,"0,0"),"Standaard")</f>
        <v>0</v>
      </c>
      <c r="BL28" t="str">
        <f>TEXT(Totaal!$S$2,"0")</f>
        <v>0</v>
      </c>
      <c r="BM28" t="e">
        <f>TEXT(TEXT(MEDIAN(Totaal!$S$3:$S$102),"0,0"),"Standaard")</f>
        <v>#NUM!</v>
      </c>
      <c r="BN28" t="str">
        <f>Totaal!T$1</f>
        <v>P</v>
      </c>
      <c r="BO28" t="str">
        <f>TEXT(TEXT(Totaal!$T28,"0,0"),"Standaard")</f>
        <v>0</v>
      </c>
      <c r="BP28" t="str">
        <f>TEXT(Totaal!$T$2,"0")</f>
        <v>0</v>
      </c>
      <c r="BQ28" t="e">
        <f>TEXT(TEXT(MEDIAN(Totaal!$T$3:$T$102),"0,0"),"Standaard")</f>
        <v>#NUM!</v>
      </c>
      <c r="BR28" t="str">
        <f>IF(Totaal!U28="","",Totaal!U28)</f>
        <v/>
      </c>
    </row>
    <row r="29" spans="1:70">
      <c r="A29">
        <f>Totaal!A29</f>
        <v>27</v>
      </c>
      <c r="B29" s="22" t="str">
        <f>IF(Totaal!B29="","",Totaal!B29)</f>
        <v/>
      </c>
      <c r="C29" s="8" t="e">
        <f>TEXT(TEXT(Totaal!C29,"0,0"),"Standaard")</f>
        <v>#DIV/0!</v>
      </c>
      <c r="D29" s="8" t="str">
        <f>TEXT(Totaal!C$2,"0")</f>
        <v>100</v>
      </c>
      <c r="E29" s="22" t="e">
        <f>TEXT(TEXT(SUM(Totaal!C$3:C$102)/COUNTIF(Totaal!C$3:C$102,"&lt;&gt;0"),"0,0"),"Standaard")</f>
        <v>#DIV/0!</v>
      </c>
      <c r="F29" t="str">
        <f>Totaal!E$1</f>
        <v>A</v>
      </c>
      <c r="G29" t="str">
        <f>TEXT(TEXT(Totaal!E29,"0,0"),"Standaard")</f>
        <v>0</v>
      </c>
      <c r="H29" t="str">
        <f>TEXT(Totaal!E$2,"0")</f>
        <v>0</v>
      </c>
      <c r="I29" t="e">
        <f>TEXT(TEXT(MEDIAN(Totaal!E$3:E$102),"0,0"),"Standaard")</f>
        <v>#NUM!</v>
      </c>
      <c r="J29" t="str">
        <f>Totaal!F$1</f>
        <v>B</v>
      </c>
      <c r="K29" t="str">
        <f>TEXT(TEXT(Totaal!$F29,"0,0"),"Standaard")</f>
        <v>0</v>
      </c>
      <c r="L29" t="str">
        <f>TEXT(Totaal!F$2,"0")</f>
        <v>0</v>
      </c>
      <c r="M29" t="e">
        <f>TEXT(TEXT(MEDIAN(Totaal!$F$3:$F$102),"0,0"),"Standaard")</f>
        <v>#NUM!</v>
      </c>
      <c r="N29" t="str">
        <f>Totaal!G$1</f>
        <v>C</v>
      </c>
      <c r="O29" t="str">
        <f>TEXT(TEXT(Totaal!$G29,"0,0"),"Standaard")</f>
        <v>0</v>
      </c>
      <c r="P29" t="str">
        <f>TEXT(Totaal!$G$2,"0")</f>
        <v>0</v>
      </c>
      <c r="Q29" t="e">
        <f>TEXT(TEXT(MEDIAN(Totaal!$G$3:$G$102),"0,0"),"Standaard")</f>
        <v>#NUM!</v>
      </c>
      <c r="R29" t="str">
        <f>Totaal!H$1</f>
        <v>D</v>
      </c>
      <c r="S29" t="str">
        <f>TEXT(TEXT(Totaal!$H29,"0,0"),"Standaard")</f>
        <v>0</v>
      </c>
      <c r="T29" t="str">
        <f>TEXT(Totaal!$H$2,"0")</f>
        <v>0</v>
      </c>
      <c r="U29" t="e">
        <f>TEXT(TEXT(MEDIAN(Totaal!$H$3:$H$102),"0,0"),"Standaard")</f>
        <v>#NUM!</v>
      </c>
      <c r="V29" t="str">
        <f>Totaal!I$1</f>
        <v>E</v>
      </c>
      <c r="W29" t="str">
        <f>TEXT(TEXT(Totaal!$I29,"0,0"),"Standaard")</f>
        <v>0</v>
      </c>
      <c r="X29" t="str">
        <f>TEXT(Totaal!$I$2,"0")</f>
        <v>0</v>
      </c>
      <c r="Y29" t="e">
        <f>TEXT(TEXT(MEDIAN(Totaal!$I$3:$I$102),"0,0"),"Standaard")</f>
        <v>#NUM!</v>
      </c>
      <c r="Z29" t="str">
        <f>Totaal!J$1</f>
        <v>F</v>
      </c>
      <c r="AA29" t="str">
        <f>TEXT(TEXT(Totaal!$J29,"0,0"),"Standaard")</f>
        <v>0</v>
      </c>
      <c r="AB29" t="str">
        <f>TEXT(Totaal!$J$2,"0")</f>
        <v>0</v>
      </c>
      <c r="AC29" t="e">
        <f>TEXT(TEXT(MEDIAN(Totaal!$J$3:$J$102),"0,0"),"Standaard")</f>
        <v>#NUM!</v>
      </c>
      <c r="AD29" t="str">
        <f>Totaal!K$1</f>
        <v>G</v>
      </c>
      <c r="AE29" t="str">
        <f>TEXT(TEXT(Totaal!$K29,"0,0"),"Standaard")</f>
        <v>0</v>
      </c>
      <c r="AF29" t="str">
        <f>TEXT(Totaal!$K$2,"0")</f>
        <v>0</v>
      </c>
      <c r="AG29" t="e">
        <f>TEXT(TEXT(MEDIAN(Totaal!$K$3:$K$102),"0,0"),"Standaard")</f>
        <v>#NUM!</v>
      </c>
      <c r="AH29" t="str">
        <f>Totaal!L$1</f>
        <v>H</v>
      </c>
      <c r="AI29" t="str">
        <f>TEXT(TEXT(Totaal!$L29,"0,0"),"Standaard")</f>
        <v>0</v>
      </c>
      <c r="AJ29" t="str">
        <f>TEXT(Totaal!$L$2,"0")</f>
        <v>0</v>
      </c>
      <c r="AK29" t="e">
        <f>TEXT(TEXT(MEDIAN(Totaal!$L$3:$L$102),"0,0"),"Standaard")</f>
        <v>#NUM!</v>
      </c>
      <c r="AL29" t="str">
        <f>Totaal!M$1</f>
        <v>I</v>
      </c>
      <c r="AM29" t="str">
        <f>TEXT(TEXT(Totaal!$M29,"0,0"),"Standaard")</f>
        <v>0</v>
      </c>
      <c r="AN29" t="str">
        <f>TEXT(Totaal!$M$2,"0")</f>
        <v>0</v>
      </c>
      <c r="AO29" t="e">
        <f>TEXT(TEXT(MEDIAN(Totaal!$M$3:$M$102),"0,0"),"Standaard")</f>
        <v>#NUM!</v>
      </c>
      <c r="AP29" t="str">
        <f>Totaal!N$1</f>
        <v>J</v>
      </c>
      <c r="AQ29" t="str">
        <f>TEXT(TEXT(Totaal!$N29,"0,0"),"Standaard")</f>
        <v>0</v>
      </c>
      <c r="AR29" t="str">
        <f>TEXT(Totaal!$N$2,"0")</f>
        <v>0</v>
      </c>
      <c r="AS29" t="e">
        <f>TEXT(TEXT(MEDIAN(Totaal!$N$3:$N$102),"0,0"),"Standaard")</f>
        <v>#NUM!</v>
      </c>
      <c r="AT29" t="str">
        <f>Totaal!O$1</f>
        <v>K</v>
      </c>
      <c r="AU29" t="str">
        <f>TEXT(TEXT(Totaal!$O29,"0,0"),"Standaard")</f>
        <v>0</v>
      </c>
      <c r="AV29" t="str">
        <f>TEXT(Totaal!$O$2,"0")</f>
        <v>0</v>
      </c>
      <c r="AW29" t="e">
        <f>TEXT(TEXT(MEDIAN(Totaal!$O$3:$O$102),"0,0"),"Standaard")</f>
        <v>#NUM!</v>
      </c>
      <c r="AX29" t="str">
        <f>Totaal!P$1</f>
        <v>L</v>
      </c>
      <c r="AY29" t="str">
        <f>TEXT(TEXT(Totaal!$P29,"0,0"),"Standaard")</f>
        <v>0</v>
      </c>
      <c r="AZ29" t="str">
        <f>TEXT(Totaal!$P$2,"0")</f>
        <v>0</v>
      </c>
      <c r="BA29" t="e">
        <f>TEXT(TEXT(MEDIAN(Totaal!$P$3:$P$102),"0,0"),"Standaard")</f>
        <v>#NUM!</v>
      </c>
      <c r="BB29" t="str">
        <f>Totaal!Q$1</f>
        <v>M</v>
      </c>
      <c r="BC29" t="str">
        <f>TEXT(TEXT(Totaal!$Q29,"0,0"),"Standaard")</f>
        <v>0</v>
      </c>
      <c r="BD29" t="str">
        <f>TEXT(Totaal!$Q$2,"0")</f>
        <v>0</v>
      </c>
      <c r="BE29" t="e">
        <f>TEXT(TEXT(MEDIAN(Totaal!$Q$3:$Q$102),"0,0"),"Standaard")</f>
        <v>#NUM!</v>
      </c>
      <c r="BF29" t="str">
        <f>Totaal!R$1</f>
        <v>N</v>
      </c>
      <c r="BG29" t="str">
        <f>TEXT(TEXT(Totaal!$R29,"0,0"),"Standaard")</f>
        <v>0</v>
      </c>
      <c r="BH29" t="str">
        <f>TEXT(Totaal!$R$2,"0")</f>
        <v>0</v>
      </c>
      <c r="BI29" t="e">
        <f>TEXT(TEXT(MEDIAN(Totaal!$R$3:$R$102),"0,0"),"Standaard")</f>
        <v>#NUM!</v>
      </c>
      <c r="BJ29" t="str">
        <f>Totaal!S$1</f>
        <v>O</v>
      </c>
      <c r="BK29" t="str">
        <f>TEXT(TEXT(Totaal!$S29,"0,0"),"Standaard")</f>
        <v>0</v>
      </c>
      <c r="BL29" t="str">
        <f>TEXT(Totaal!$S$2,"0")</f>
        <v>0</v>
      </c>
      <c r="BM29" t="e">
        <f>TEXT(TEXT(MEDIAN(Totaal!$S$3:$S$102),"0,0"),"Standaard")</f>
        <v>#NUM!</v>
      </c>
      <c r="BN29" t="str">
        <f>Totaal!T$1</f>
        <v>P</v>
      </c>
      <c r="BO29" t="str">
        <f>TEXT(TEXT(Totaal!$T29,"0,0"),"Standaard")</f>
        <v>0</v>
      </c>
      <c r="BP29" t="str">
        <f>TEXT(Totaal!$T$2,"0")</f>
        <v>0</v>
      </c>
      <c r="BQ29" t="e">
        <f>TEXT(TEXT(MEDIAN(Totaal!$T$3:$T$102),"0,0"),"Standaard")</f>
        <v>#NUM!</v>
      </c>
      <c r="BR29" t="str">
        <f>IF(Totaal!U29="","",Totaal!U29)</f>
        <v/>
      </c>
    </row>
    <row r="30" spans="1:70">
      <c r="A30">
        <f>Totaal!A30</f>
        <v>28</v>
      </c>
      <c r="B30" s="22" t="str">
        <f>IF(Totaal!B30="","",Totaal!B30)</f>
        <v/>
      </c>
      <c r="C30" s="8" t="e">
        <f>TEXT(TEXT(Totaal!C30,"0,0"),"Standaard")</f>
        <v>#DIV/0!</v>
      </c>
      <c r="D30" s="8" t="str">
        <f>TEXT(Totaal!C$2,"0")</f>
        <v>100</v>
      </c>
      <c r="E30" s="22" t="e">
        <f>TEXT(TEXT(SUM(Totaal!C$3:C$102)/COUNTIF(Totaal!C$3:C$102,"&lt;&gt;0"),"0,0"),"Standaard")</f>
        <v>#DIV/0!</v>
      </c>
      <c r="F30" t="str">
        <f>Totaal!E$1</f>
        <v>A</v>
      </c>
      <c r="G30" t="str">
        <f>TEXT(TEXT(Totaal!E30,"0,0"),"Standaard")</f>
        <v>0</v>
      </c>
      <c r="H30" t="str">
        <f>TEXT(Totaal!E$2,"0")</f>
        <v>0</v>
      </c>
      <c r="I30" t="e">
        <f>TEXT(TEXT(MEDIAN(Totaal!E$3:E$102),"0,0"),"Standaard")</f>
        <v>#NUM!</v>
      </c>
      <c r="J30" t="str">
        <f>Totaal!F$1</f>
        <v>B</v>
      </c>
      <c r="K30" t="str">
        <f>TEXT(TEXT(Totaal!$F30,"0,0"),"Standaard")</f>
        <v>0</v>
      </c>
      <c r="L30" t="str">
        <f>TEXT(Totaal!F$2,"0")</f>
        <v>0</v>
      </c>
      <c r="M30" t="e">
        <f>TEXT(TEXT(MEDIAN(Totaal!$F$3:$F$102),"0,0"),"Standaard")</f>
        <v>#NUM!</v>
      </c>
      <c r="N30" t="str">
        <f>Totaal!G$1</f>
        <v>C</v>
      </c>
      <c r="O30" t="str">
        <f>TEXT(TEXT(Totaal!$G30,"0,0"),"Standaard")</f>
        <v>0</v>
      </c>
      <c r="P30" t="str">
        <f>TEXT(Totaal!$G$2,"0")</f>
        <v>0</v>
      </c>
      <c r="Q30" t="e">
        <f>TEXT(TEXT(MEDIAN(Totaal!$G$3:$G$102),"0,0"),"Standaard")</f>
        <v>#NUM!</v>
      </c>
      <c r="R30" t="str">
        <f>Totaal!H$1</f>
        <v>D</v>
      </c>
      <c r="S30" t="str">
        <f>TEXT(TEXT(Totaal!$H30,"0,0"),"Standaard")</f>
        <v>0</v>
      </c>
      <c r="T30" t="str">
        <f>TEXT(Totaal!$H$2,"0")</f>
        <v>0</v>
      </c>
      <c r="U30" t="e">
        <f>TEXT(TEXT(MEDIAN(Totaal!$H$3:$H$102),"0,0"),"Standaard")</f>
        <v>#NUM!</v>
      </c>
      <c r="V30" t="str">
        <f>Totaal!I$1</f>
        <v>E</v>
      </c>
      <c r="W30" t="str">
        <f>TEXT(TEXT(Totaal!$I30,"0,0"),"Standaard")</f>
        <v>0</v>
      </c>
      <c r="X30" t="str">
        <f>TEXT(Totaal!$I$2,"0")</f>
        <v>0</v>
      </c>
      <c r="Y30" t="e">
        <f>TEXT(TEXT(MEDIAN(Totaal!$I$3:$I$102),"0,0"),"Standaard")</f>
        <v>#NUM!</v>
      </c>
      <c r="Z30" t="str">
        <f>Totaal!J$1</f>
        <v>F</v>
      </c>
      <c r="AA30" t="str">
        <f>TEXT(TEXT(Totaal!$J30,"0,0"),"Standaard")</f>
        <v>0</v>
      </c>
      <c r="AB30" t="str">
        <f>TEXT(Totaal!$J$2,"0")</f>
        <v>0</v>
      </c>
      <c r="AC30" t="e">
        <f>TEXT(TEXT(MEDIAN(Totaal!$J$3:$J$102),"0,0"),"Standaard")</f>
        <v>#NUM!</v>
      </c>
      <c r="AD30" t="str">
        <f>Totaal!K$1</f>
        <v>G</v>
      </c>
      <c r="AE30" t="str">
        <f>TEXT(TEXT(Totaal!$K30,"0,0"),"Standaard")</f>
        <v>0</v>
      </c>
      <c r="AF30" t="str">
        <f>TEXT(Totaal!$K$2,"0")</f>
        <v>0</v>
      </c>
      <c r="AG30" t="e">
        <f>TEXT(TEXT(MEDIAN(Totaal!$K$3:$K$102),"0,0"),"Standaard")</f>
        <v>#NUM!</v>
      </c>
      <c r="AH30" t="str">
        <f>Totaal!L$1</f>
        <v>H</v>
      </c>
      <c r="AI30" t="str">
        <f>TEXT(TEXT(Totaal!$L30,"0,0"),"Standaard")</f>
        <v>0</v>
      </c>
      <c r="AJ30" t="str">
        <f>TEXT(Totaal!$L$2,"0")</f>
        <v>0</v>
      </c>
      <c r="AK30" t="e">
        <f>TEXT(TEXT(MEDIAN(Totaal!$L$3:$L$102),"0,0"),"Standaard")</f>
        <v>#NUM!</v>
      </c>
      <c r="AL30" t="str">
        <f>Totaal!M$1</f>
        <v>I</v>
      </c>
      <c r="AM30" t="str">
        <f>TEXT(TEXT(Totaal!$M30,"0,0"),"Standaard")</f>
        <v>0</v>
      </c>
      <c r="AN30" t="str">
        <f>TEXT(Totaal!$M$2,"0")</f>
        <v>0</v>
      </c>
      <c r="AO30" t="e">
        <f>TEXT(TEXT(MEDIAN(Totaal!$M$3:$M$102),"0,0"),"Standaard")</f>
        <v>#NUM!</v>
      </c>
      <c r="AP30" t="str">
        <f>Totaal!N$1</f>
        <v>J</v>
      </c>
      <c r="AQ30" t="str">
        <f>TEXT(TEXT(Totaal!$N30,"0,0"),"Standaard")</f>
        <v>0</v>
      </c>
      <c r="AR30" t="str">
        <f>TEXT(Totaal!$N$2,"0")</f>
        <v>0</v>
      </c>
      <c r="AS30" t="e">
        <f>TEXT(TEXT(MEDIAN(Totaal!$N$3:$N$102),"0,0"),"Standaard")</f>
        <v>#NUM!</v>
      </c>
      <c r="AT30" t="str">
        <f>Totaal!O$1</f>
        <v>K</v>
      </c>
      <c r="AU30" t="str">
        <f>TEXT(TEXT(Totaal!$O30,"0,0"),"Standaard")</f>
        <v>0</v>
      </c>
      <c r="AV30" t="str">
        <f>TEXT(Totaal!$O$2,"0")</f>
        <v>0</v>
      </c>
      <c r="AW30" t="e">
        <f>TEXT(TEXT(MEDIAN(Totaal!$O$3:$O$102),"0,0"),"Standaard")</f>
        <v>#NUM!</v>
      </c>
      <c r="AX30" t="str">
        <f>Totaal!P$1</f>
        <v>L</v>
      </c>
      <c r="AY30" t="str">
        <f>TEXT(TEXT(Totaal!$P30,"0,0"),"Standaard")</f>
        <v>0</v>
      </c>
      <c r="AZ30" t="str">
        <f>TEXT(Totaal!$P$2,"0")</f>
        <v>0</v>
      </c>
      <c r="BA30" t="e">
        <f>TEXT(TEXT(MEDIAN(Totaal!$P$3:$P$102),"0,0"),"Standaard")</f>
        <v>#NUM!</v>
      </c>
      <c r="BB30" t="str">
        <f>Totaal!Q$1</f>
        <v>M</v>
      </c>
      <c r="BC30" t="str">
        <f>TEXT(TEXT(Totaal!$Q30,"0,0"),"Standaard")</f>
        <v>0</v>
      </c>
      <c r="BD30" t="str">
        <f>TEXT(Totaal!$Q$2,"0")</f>
        <v>0</v>
      </c>
      <c r="BE30" t="e">
        <f>TEXT(TEXT(MEDIAN(Totaal!$Q$3:$Q$102),"0,0"),"Standaard")</f>
        <v>#NUM!</v>
      </c>
      <c r="BF30" t="str">
        <f>Totaal!R$1</f>
        <v>N</v>
      </c>
      <c r="BG30" t="str">
        <f>TEXT(TEXT(Totaal!$R30,"0,0"),"Standaard")</f>
        <v>0</v>
      </c>
      <c r="BH30" t="str">
        <f>TEXT(Totaal!$R$2,"0")</f>
        <v>0</v>
      </c>
      <c r="BI30" t="e">
        <f>TEXT(TEXT(MEDIAN(Totaal!$R$3:$R$102),"0,0"),"Standaard")</f>
        <v>#NUM!</v>
      </c>
      <c r="BJ30" t="str">
        <f>Totaal!S$1</f>
        <v>O</v>
      </c>
      <c r="BK30" t="str">
        <f>TEXT(TEXT(Totaal!$S30,"0,0"),"Standaard")</f>
        <v>0</v>
      </c>
      <c r="BL30" t="str">
        <f>TEXT(Totaal!$S$2,"0")</f>
        <v>0</v>
      </c>
      <c r="BM30" t="e">
        <f>TEXT(TEXT(MEDIAN(Totaal!$S$3:$S$102),"0,0"),"Standaard")</f>
        <v>#NUM!</v>
      </c>
      <c r="BN30" t="str">
        <f>Totaal!T$1</f>
        <v>P</v>
      </c>
      <c r="BO30" t="str">
        <f>TEXT(TEXT(Totaal!$T30,"0,0"),"Standaard")</f>
        <v>0</v>
      </c>
      <c r="BP30" t="str">
        <f>TEXT(Totaal!$T$2,"0")</f>
        <v>0</v>
      </c>
      <c r="BQ30" t="e">
        <f>TEXT(TEXT(MEDIAN(Totaal!$T$3:$T$102),"0,0"),"Standaard")</f>
        <v>#NUM!</v>
      </c>
      <c r="BR30" t="str">
        <f>IF(Totaal!U30="","",Totaal!U30)</f>
        <v/>
      </c>
    </row>
    <row r="31" spans="1:70">
      <c r="A31">
        <f>Totaal!A31</f>
        <v>29</v>
      </c>
      <c r="B31" s="22" t="str">
        <f>IF(Totaal!B31="","",Totaal!B31)</f>
        <v/>
      </c>
      <c r="C31" s="8" t="e">
        <f>TEXT(TEXT(Totaal!C31,"0,0"),"Standaard")</f>
        <v>#DIV/0!</v>
      </c>
      <c r="D31" s="8" t="str">
        <f>TEXT(Totaal!C$2,"0")</f>
        <v>100</v>
      </c>
      <c r="E31" s="22" t="e">
        <f>TEXT(TEXT(SUM(Totaal!C$3:C$102)/COUNTIF(Totaal!C$3:C$102,"&lt;&gt;0"),"0,0"),"Standaard")</f>
        <v>#DIV/0!</v>
      </c>
      <c r="F31" t="str">
        <f>Totaal!E$1</f>
        <v>A</v>
      </c>
      <c r="G31" t="str">
        <f>TEXT(TEXT(Totaal!E31,"0,0"),"Standaard")</f>
        <v>0</v>
      </c>
      <c r="H31" t="str">
        <f>TEXT(Totaal!E$2,"0")</f>
        <v>0</v>
      </c>
      <c r="I31" t="e">
        <f>TEXT(TEXT(MEDIAN(Totaal!E$3:E$102),"0,0"),"Standaard")</f>
        <v>#NUM!</v>
      </c>
      <c r="J31" t="str">
        <f>Totaal!F$1</f>
        <v>B</v>
      </c>
      <c r="K31" t="str">
        <f>TEXT(TEXT(Totaal!$F31,"0,0"),"Standaard")</f>
        <v>0</v>
      </c>
      <c r="L31" t="str">
        <f>TEXT(Totaal!F$2,"0")</f>
        <v>0</v>
      </c>
      <c r="M31" t="e">
        <f>TEXT(TEXT(MEDIAN(Totaal!$F$3:$F$102),"0,0"),"Standaard")</f>
        <v>#NUM!</v>
      </c>
      <c r="N31" t="str">
        <f>Totaal!G$1</f>
        <v>C</v>
      </c>
      <c r="O31" t="str">
        <f>TEXT(TEXT(Totaal!$G31,"0,0"),"Standaard")</f>
        <v>0</v>
      </c>
      <c r="P31" t="str">
        <f>TEXT(Totaal!$G$2,"0")</f>
        <v>0</v>
      </c>
      <c r="Q31" t="e">
        <f>TEXT(TEXT(MEDIAN(Totaal!$G$3:$G$102),"0,0"),"Standaard")</f>
        <v>#NUM!</v>
      </c>
      <c r="R31" t="str">
        <f>Totaal!H$1</f>
        <v>D</v>
      </c>
      <c r="S31" t="str">
        <f>TEXT(TEXT(Totaal!$H31,"0,0"),"Standaard")</f>
        <v>0</v>
      </c>
      <c r="T31" t="str">
        <f>TEXT(Totaal!$H$2,"0")</f>
        <v>0</v>
      </c>
      <c r="U31" t="e">
        <f>TEXT(TEXT(MEDIAN(Totaal!$H$3:$H$102),"0,0"),"Standaard")</f>
        <v>#NUM!</v>
      </c>
      <c r="V31" t="str">
        <f>Totaal!I$1</f>
        <v>E</v>
      </c>
      <c r="W31" t="str">
        <f>TEXT(TEXT(Totaal!$I31,"0,0"),"Standaard")</f>
        <v>0</v>
      </c>
      <c r="X31" t="str">
        <f>TEXT(Totaal!$I$2,"0")</f>
        <v>0</v>
      </c>
      <c r="Y31" t="e">
        <f>TEXT(TEXT(MEDIAN(Totaal!$I$3:$I$102),"0,0"),"Standaard")</f>
        <v>#NUM!</v>
      </c>
      <c r="Z31" t="str">
        <f>Totaal!J$1</f>
        <v>F</v>
      </c>
      <c r="AA31" t="str">
        <f>TEXT(TEXT(Totaal!$J31,"0,0"),"Standaard")</f>
        <v>0</v>
      </c>
      <c r="AB31" t="str">
        <f>TEXT(Totaal!$J$2,"0")</f>
        <v>0</v>
      </c>
      <c r="AC31" t="e">
        <f>TEXT(TEXT(MEDIAN(Totaal!$J$3:$J$102),"0,0"),"Standaard")</f>
        <v>#NUM!</v>
      </c>
      <c r="AD31" t="str">
        <f>Totaal!K$1</f>
        <v>G</v>
      </c>
      <c r="AE31" t="str">
        <f>TEXT(TEXT(Totaal!$K31,"0,0"),"Standaard")</f>
        <v>0</v>
      </c>
      <c r="AF31" t="str">
        <f>TEXT(Totaal!$K$2,"0")</f>
        <v>0</v>
      </c>
      <c r="AG31" t="e">
        <f>TEXT(TEXT(MEDIAN(Totaal!$K$3:$K$102),"0,0"),"Standaard")</f>
        <v>#NUM!</v>
      </c>
      <c r="AH31" t="str">
        <f>Totaal!L$1</f>
        <v>H</v>
      </c>
      <c r="AI31" t="str">
        <f>TEXT(TEXT(Totaal!$L31,"0,0"),"Standaard")</f>
        <v>0</v>
      </c>
      <c r="AJ31" t="str">
        <f>TEXT(Totaal!$L$2,"0")</f>
        <v>0</v>
      </c>
      <c r="AK31" t="e">
        <f>TEXT(TEXT(MEDIAN(Totaal!$L$3:$L$102),"0,0"),"Standaard")</f>
        <v>#NUM!</v>
      </c>
      <c r="AL31" t="str">
        <f>Totaal!M$1</f>
        <v>I</v>
      </c>
      <c r="AM31" t="str">
        <f>TEXT(TEXT(Totaal!$M31,"0,0"),"Standaard")</f>
        <v>0</v>
      </c>
      <c r="AN31" t="str">
        <f>TEXT(Totaal!$M$2,"0")</f>
        <v>0</v>
      </c>
      <c r="AO31" t="e">
        <f>TEXT(TEXT(MEDIAN(Totaal!$M$3:$M$102),"0,0"),"Standaard")</f>
        <v>#NUM!</v>
      </c>
      <c r="AP31" t="str">
        <f>Totaal!N$1</f>
        <v>J</v>
      </c>
      <c r="AQ31" t="str">
        <f>TEXT(TEXT(Totaal!$N31,"0,0"),"Standaard")</f>
        <v>0</v>
      </c>
      <c r="AR31" t="str">
        <f>TEXT(Totaal!$N$2,"0")</f>
        <v>0</v>
      </c>
      <c r="AS31" t="e">
        <f>TEXT(TEXT(MEDIAN(Totaal!$N$3:$N$102),"0,0"),"Standaard")</f>
        <v>#NUM!</v>
      </c>
      <c r="AT31" t="str">
        <f>Totaal!O$1</f>
        <v>K</v>
      </c>
      <c r="AU31" t="str">
        <f>TEXT(TEXT(Totaal!$O31,"0,0"),"Standaard")</f>
        <v>0</v>
      </c>
      <c r="AV31" t="str">
        <f>TEXT(Totaal!$O$2,"0")</f>
        <v>0</v>
      </c>
      <c r="AW31" t="e">
        <f>TEXT(TEXT(MEDIAN(Totaal!$O$3:$O$102),"0,0"),"Standaard")</f>
        <v>#NUM!</v>
      </c>
      <c r="AX31" t="str">
        <f>Totaal!P$1</f>
        <v>L</v>
      </c>
      <c r="AY31" t="str">
        <f>TEXT(TEXT(Totaal!$P31,"0,0"),"Standaard")</f>
        <v>0</v>
      </c>
      <c r="AZ31" t="str">
        <f>TEXT(Totaal!$P$2,"0")</f>
        <v>0</v>
      </c>
      <c r="BA31" t="e">
        <f>TEXT(TEXT(MEDIAN(Totaal!$P$3:$P$102),"0,0"),"Standaard")</f>
        <v>#NUM!</v>
      </c>
      <c r="BB31" t="str">
        <f>Totaal!Q$1</f>
        <v>M</v>
      </c>
      <c r="BC31" t="str">
        <f>TEXT(TEXT(Totaal!$Q31,"0,0"),"Standaard")</f>
        <v>0</v>
      </c>
      <c r="BD31" t="str">
        <f>TEXT(Totaal!$Q$2,"0")</f>
        <v>0</v>
      </c>
      <c r="BE31" t="e">
        <f>TEXT(TEXT(MEDIAN(Totaal!$Q$3:$Q$102),"0,0"),"Standaard")</f>
        <v>#NUM!</v>
      </c>
      <c r="BF31" t="str">
        <f>Totaal!R$1</f>
        <v>N</v>
      </c>
      <c r="BG31" t="str">
        <f>TEXT(TEXT(Totaal!$R31,"0,0"),"Standaard")</f>
        <v>0</v>
      </c>
      <c r="BH31" t="str">
        <f>TEXT(Totaal!$R$2,"0")</f>
        <v>0</v>
      </c>
      <c r="BI31" t="e">
        <f>TEXT(TEXT(MEDIAN(Totaal!$R$3:$R$102),"0,0"),"Standaard")</f>
        <v>#NUM!</v>
      </c>
      <c r="BJ31" t="str">
        <f>Totaal!S$1</f>
        <v>O</v>
      </c>
      <c r="BK31" t="str">
        <f>TEXT(TEXT(Totaal!$S31,"0,0"),"Standaard")</f>
        <v>0</v>
      </c>
      <c r="BL31" t="str">
        <f>TEXT(Totaal!$S$2,"0")</f>
        <v>0</v>
      </c>
      <c r="BM31" t="e">
        <f>TEXT(TEXT(MEDIAN(Totaal!$S$3:$S$102),"0,0"),"Standaard")</f>
        <v>#NUM!</v>
      </c>
      <c r="BN31" t="str">
        <f>Totaal!T$1</f>
        <v>P</v>
      </c>
      <c r="BO31" t="str">
        <f>TEXT(TEXT(Totaal!$T31,"0,0"),"Standaard")</f>
        <v>0</v>
      </c>
      <c r="BP31" t="str">
        <f>TEXT(Totaal!$T$2,"0")</f>
        <v>0</v>
      </c>
      <c r="BQ31" t="e">
        <f>TEXT(TEXT(MEDIAN(Totaal!$T$3:$T$102),"0,0"),"Standaard")</f>
        <v>#NUM!</v>
      </c>
      <c r="BR31" t="str">
        <f>IF(Totaal!U31="","",Totaal!U31)</f>
        <v/>
      </c>
    </row>
    <row r="32" spans="1:70">
      <c r="A32">
        <f>Totaal!A32</f>
        <v>30</v>
      </c>
      <c r="B32" s="22" t="str">
        <f>IF(Totaal!B32="","",Totaal!B32)</f>
        <v/>
      </c>
      <c r="C32" s="8" t="e">
        <f>TEXT(TEXT(Totaal!C32,"0,0"),"Standaard")</f>
        <v>#DIV/0!</v>
      </c>
      <c r="D32" s="8" t="str">
        <f>TEXT(Totaal!C$2,"0")</f>
        <v>100</v>
      </c>
      <c r="E32" s="22" t="e">
        <f>TEXT(TEXT(SUM(Totaal!C$3:C$102)/COUNTIF(Totaal!C$3:C$102,"&lt;&gt;0"),"0,0"),"Standaard")</f>
        <v>#DIV/0!</v>
      </c>
      <c r="F32" t="str">
        <f>Totaal!E$1</f>
        <v>A</v>
      </c>
      <c r="G32" t="str">
        <f>TEXT(TEXT(Totaal!E32,"0,0"),"Standaard")</f>
        <v>0</v>
      </c>
      <c r="H32" t="str">
        <f>TEXT(Totaal!E$2,"0")</f>
        <v>0</v>
      </c>
      <c r="I32" t="e">
        <f>TEXT(TEXT(MEDIAN(Totaal!E$3:E$102),"0,0"),"Standaard")</f>
        <v>#NUM!</v>
      </c>
      <c r="J32" t="str">
        <f>Totaal!F$1</f>
        <v>B</v>
      </c>
      <c r="K32" t="str">
        <f>TEXT(TEXT(Totaal!$F32,"0,0"),"Standaard")</f>
        <v>0</v>
      </c>
      <c r="L32" t="str">
        <f>TEXT(Totaal!F$2,"0")</f>
        <v>0</v>
      </c>
      <c r="M32" t="e">
        <f>TEXT(TEXT(MEDIAN(Totaal!$F$3:$F$102),"0,0"),"Standaard")</f>
        <v>#NUM!</v>
      </c>
      <c r="N32" t="str">
        <f>Totaal!G$1</f>
        <v>C</v>
      </c>
      <c r="O32" t="str">
        <f>TEXT(TEXT(Totaal!$G32,"0,0"),"Standaard")</f>
        <v>0</v>
      </c>
      <c r="P32" t="str">
        <f>TEXT(Totaal!$G$2,"0")</f>
        <v>0</v>
      </c>
      <c r="Q32" t="e">
        <f>TEXT(TEXT(MEDIAN(Totaal!$G$3:$G$102),"0,0"),"Standaard")</f>
        <v>#NUM!</v>
      </c>
      <c r="R32" t="str">
        <f>Totaal!H$1</f>
        <v>D</v>
      </c>
      <c r="S32" t="str">
        <f>TEXT(TEXT(Totaal!$H32,"0,0"),"Standaard")</f>
        <v>0</v>
      </c>
      <c r="T32" t="str">
        <f>TEXT(Totaal!$H$2,"0")</f>
        <v>0</v>
      </c>
      <c r="U32" t="e">
        <f>TEXT(TEXT(MEDIAN(Totaal!$H$3:$H$102),"0,0"),"Standaard")</f>
        <v>#NUM!</v>
      </c>
      <c r="V32" t="str">
        <f>Totaal!I$1</f>
        <v>E</v>
      </c>
      <c r="W32" t="str">
        <f>TEXT(TEXT(Totaal!$I32,"0,0"),"Standaard")</f>
        <v>0</v>
      </c>
      <c r="X32" t="str">
        <f>TEXT(Totaal!$I$2,"0")</f>
        <v>0</v>
      </c>
      <c r="Y32" t="e">
        <f>TEXT(TEXT(MEDIAN(Totaal!$I$3:$I$102),"0,0"),"Standaard")</f>
        <v>#NUM!</v>
      </c>
      <c r="Z32" t="str">
        <f>Totaal!J$1</f>
        <v>F</v>
      </c>
      <c r="AA32" t="str">
        <f>TEXT(TEXT(Totaal!$J32,"0,0"),"Standaard")</f>
        <v>0</v>
      </c>
      <c r="AB32" t="str">
        <f>TEXT(Totaal!$J$2,"0")</f>
        <v>0</v>
      </c>
      <c r="AC32" t="e">
        <f>TEXT(TEXT(MEDIAN(Totaal!$J$3:$J$102),"0,0"),"Standaard")</f>
        <v>#NUM!</v>
      </c>
      <c r="AD32" t="str">
        <f>Totaal!K$1</f>
        <v>G</v>
      </c>
      <c r="AE32" t="str">
        <f>TEXT(TEXT(Totaal!$K32,"0,0"),"Standaard")</f>
        <v>0</v>
      </c>
      <c r="AF32" t="str">
        <f>TEXT(Totaal!$K$2,"0")</f>
        <v>0</v>
      </c>
      <c r="AG32" t="e">
        <f>TEXT(TEXT(MEDIAN(Totaal!$K$3:$K$102),"0,0"),"Standaard")</f>
        <v>#NUM!</v>
      </c>
      <c r="AH32" t="str">
        <f>Totaal!L$1</f>
        <v>H</v>
      </c>
      <c r="AI32" t="str">
        <f>TEXT(TEXT(Totaal!$L32,"0,0"),"Standaard")</f>
        <v>0</v>
      </c>
      <c r="AJ32" t="str">
        <f>TEXT(Totaal!$L$2,"0")</f>
        <v>0</v>
      </c>
      <c r="AK32" t="e">
        <f>TEXT(TEXT(MEDIAN(Totaal!$L$3:$L$102),"0,0"),"Standaard")</f>
        <v>#NUM!</v>
      </c>
      <c r="AL32" t="str">
        <f>Totaal!M$1</f>
        <v>I</v>
      </c>
      <c r="AM32" t="str">
        <f>TEXT(TEXT(Totaal!$M32,"0,0"),"Standaard")</f>
        <v>0</v>
      </c>
      <c r="AN32" t="str">
        <f>TEXT(Totaal!$M$2,"0")</f>
        <v>0</v>
      </c>
      <c r="AO32" t="e">
        <f>TEXT(TEXT(MEDIAN(Totaal!$M$3:$M$102),"0,0"),"Standaard")</f>
        <v>#NUM!</v>
      </c>
      <c r="AP32" t="str">
        <f>Totaal!N$1</f>
        <v>J</v>
      </c>
      <c r="AQ32" t="str">
        <f>TEXT(TEXT(Totaal!$N32,"0,0"),"Standaard")</f>
        <v>0</v>
      </c>
      <c r="AR32" t="str">
        <f>TEXT(Totaal!$N$2,"0")</f>
        <v>0</v>
      </c>
      <c r="AS32" t="e">
        <f>TEXT(TEXT(MEDIAN(Totaal!$N$3:$N$102),"0,0"),"Standaard")</f>
        <v>#NUM!</v>
      </c>
      <c r="AT32" t="str">
        <f>Totaal!O$1</f>
        <v>K</v>
      </c>
      <c r="AU32" t="str">
        <f>TEXT(TEXT(Totaal!$O32,"0,0"),"Standaard")</f>
        <v>0</v>
      </c>
      <c r="AV32" t="str">
        <f>TEXT(Totaal!$O$2,"0")</f>
        <v>0</v>
      </c>
      <c r="AW32" t="e">
        <f>TEXT(TEXT(MEDIAN(Totaal!$O$3:$O$102),"0,0"),"Standaard")</f>
        <v>#NUM!</v>
      </c>
      <c r="AX32" t="str">
        <f>Totaal!P$1</f>
        <v>L</v>
      </c>
      <c r="AY32" t="str">
        <f>TEXT(TEXT(Totaal!$P32,"0,0"),"Standaard")</f>
        <v>0</v>
      </c>
      <c r="AZ32" t="str">
        <f>TEXT(Totaal!$P$2,"0")</f>
        <v>0</v>
      </c>
      <c r="BA32" t="e">
        <f>TEXT(TEXT(MEDIAN(Totaal!$P$3:$P$102),"0,0"),"Standaard")</f>
        <v>#NUM!</v>
      </c>
      <c r="BB32" t="str">
        <f>Totaal!Q$1</f>
        <v>M</v>
      </c>
      <c r="BC32" t="str">
        <f>TEXT(TEXT(Totaal!$Q32,"0,0"),"Standaard")</f>
        <v>0</v>
      </c>
      <c r="BD32" t="str">
        <f>TEXT(Totaal!$Q$2,"0")</f>
        <v>0</v>
      </c>
      <c r="BE32" t="e">
        <f>TEXT(TEXT(MEDIAN(Totaal!$Q$3:$Q$102),"0,0"),"Standaard")</f>
        <v>#NUM!</v>
      </c>
      <c r="BF32" t="str">
        <f>Totaal!R$1</f>
        <v>N</v>
      </c>
      <c r="BG32" t="str">
        <f>TEXT(TEXT(Totaal!$R32,"0,0"),"Standaard")</f>
        <v>0</v>
      </c>
      <c r="BH32" t="str">
        <f>TEXT(Totaal!$R$2,"0")</f>
        <v>0</v>
      </c>
      <c r="BI32" t="e">
        <f>TEXT(TEXT(MEDIAN(Totaal!$R$3:$R$102),"0,0"),"Standaard")</f>
        <v>#NUM!</v>
      </c>
      <c r="BJ32" t="str">
        <f>Totaal!S$1</f>
        <v>O</v>
      </c>
      <c r="BK32" t="str">
        <f>TEXT(TEXT(Totaal!$S32,"0,0"),"Standaard")</f>
        <v>0</v>
      </c>
      <c r="BL32" t="str">
        <f>TEXT(Totaal!$S$2,"0")</f>
        <v>0</v>
      </c>
      <c r="BM32" t="e">
        <f>TEXT(TEXT(MEDIAN(Totaal!$S$3:$S$102),"0,0"),"Standaard")</f>
        <v>#NUM!</v>
      </c>
      <c r="BN32" t="str">
        <f>Totaal!T$1</f>
        <v>P</v>
      </c>
      <c r="BO32" t="str">
        <f>TEXT(TEXT(Totaal!$T32,"0,0"),"Standaard")</f>
        <v>0</v>
      </c>
      <c r="BP32" t="str">
        <f>TEXT(Totaal!$T$2,"0")</f>
        <v>0</v>
      </c>
      <c r="BQ32" t="e">
        <f>TEXT(TEXT(MEDIAN(Totaal!$T$3:$T$102),"0,0"),"Standaard")</f>
        <v>#NUM!</v>
      </c>
      <c r="BR32" t="str">
        <f>IF(Totaal!U32="","",Totaal!U32)</f>
        <v/>
      </c>
    </row>
    <row r="33" spans="1:70">
      <c r="A33">
        <f>Totaal!A33</f>
        <v>31</v>
      </c>
      <c r="B33" s="22" t="str">
        <f>IF(Totaal!B33="","",Totaal!B33)</f>
        <v/>
      </c>
      <c r="C33" s="8" t="e">
        <f>TEXT(TEXT(Totaal!C33,"0,0"),"Standaard")</f>
        <v>#DIV/0!</v>
      </c>
      <c r="D33" s="8" t="str">
        <f>TEXT(Totaal!C$2,"0")</f>
        <v>100</v>
      </c>
      <c r="E33" s="22" t="e">
        <f>TEXT(TEXT(SUM(Totaal!C$3:C$102)/COUNTIF(Totaal!C$3:C$102,"&lt;&gt;0"),"0,0"),"Standaard")</f>
        <v>#DIV/0!</v>
      </c>
      <c r="F33" t="str">
        <f>Totaal!E$1</f>
        <v>A</v>
      </c>
      <c r="G33" t="str">
        <f>TEXT(TEXT(Totaal!E33,"0,0"),"Standaard")</f>
        <v>0</v>
      </c>
      <c r="H33" t="str">
        <f>TEXT(Totaal!E$2,"0")</f>
        <v>0</v>
      </c>
      <c r="I33" t="e">
        <f>TEXT(TEXT(MEDIAN(Totaal!E$3:E$102),"0,0"),"Standaard")</f>
        <v>#NUM!</v>
      </c>
      <c r="J33" t="str">
        <f>Totaal!F$1</f>
        <v>B</v>
      </c>
      <c r="K33" t="str">
        <f>TEXT(TEXT(Totaal!$F33,"0,0"),"Standaard")</f>
        <v>0</v>
      </c>
      <c r="L33" t="str">
        <f>TEXT(Totaal!F$2,"0")</f>
        <v>0</v>
      </c>
      <c r="M33" t="e">
        <f>TEXT(TEXT(MEDIAN(Totaal!$F$3:$F$102),"0,0"),"Standaard")</f>
        <v>#NUM!</v>
      </c>
      <c r="N33" t="str">
        <f>Totaal!G$1</f>
        <v>C</v>
      </c>
      <c r="O33" t="str">
        <f>TEXT(TEXT(Totaal!$G33,"0,0"),"Standaard")</f>
        <v>0</v>
      </c>
      <c r="P33" t="str">
        <f>TEXT(Totaal!$G$2,"0")</f>
        <v>0</v>
      </c>
      <c r="Q33" t="e">
        <f>TEXT(TEXT(MEDIAN(Totaal!$G$3:$G$102),"0,0"),"Standaard")</f>
        <v>#NUM!</v>
      </c>
      <c r="R33" t="str">
        <f>Totaal!H$1</f>
        <v>D</v>
      </c>
      <c r="S33" t="str">
        <f>TEXT(TEXT(Totaal!$H33,"0,0"),"Standaard")</f>
        <v>0</v>
      </c>
      <c r="T33" t="str">
        <f>TEXT(Totaal!$H$2,"0")</f>
        <v>0</v>
      </c>
      <c r="U33" t="e">
        <f>TEXT(TEXT(MEDIAN(Totaal!$H$3:$H$102),"0,0"),"Standaard")</f>
        <v>#NUM!</v>
      </c>
      <c r="V33" t="str">
        <f>Totaal!I$1</f>
        <v>E</v>
      </c>
      <c r="W33" t="str">
        <f>TEXT(TEXT(Totaal!$I33,"0,0"),"Standaard")</f>
        <v>0</v>
      </c>
      <c r="X33" t="str">
        <f>TEXT(Totaal!$I$2,"0")</f>
        <v>0</v>
      </c>
      <c r="Y33" t="e">
        <f>TEXT(TEXT(MEDIAN(Totaal!$I$3:$I$102),"0,0"),"Standaard")</f>
        <v>#NUM!</v>
      </c>
      <c r="Z33" t="str">
        <f>Totaal!J$1</f>
        <v>F</v>
      </c>
      <c r="AA33" t="str">
        <f>TEXT(TEXT(Totaal!$J33,"0,0"),"Standaard")</f>
        <v>0</v>
      </c>
      <c r="AB33" t="str">
        <f>TEXT(Totaal!$J$2,"0")</f>
        <v>0</v>
      </c>
      <c r="AC33" t="e">
        <f>TEXT(TEXT(MEDIAN(Totaal!$J$3:$J$102),"0,0"),"Standaard")</f>
        <v>#NUM!</v>
      </c>
      <c r="AD33" t="str">
        <f>Totaal!K$1</f>
        <v>G</v>
      </c>
      <c r="AE33" t="str">
        <f>TEXT(TEXT(Totaal!$K33,"0,0"),"Standaard")</f>
        <v>0</v>
      </c>
      <c r="AF33" t="str">
        <f>TEXT(Totaal!$K$2,"0")</f>
        <v>0</v>
      </c>
      <c r="AG33" t="e">
        <f>TEXT(TEXT(MEDIAN(Totaal!$K$3:$K$102),"0,0"),"Standaard")</f>
        <v>#NUM!</v>
      </c>
      <c r="AH33" t="str">
        <f>Totaal!L$1</f>
        <v>H</v>
      </c>
      <c r="AI33" t="str">
        <f>TEXT(TEXT(Totaal!$L33,"0,0"),"Standaard")</f>
        <v>0</v>
      </c>
      <c r="AJ33" t="str">
        <f>TEXT(Totaal!$L$2,"0")</f>
        <v>0</v>
      </c>
      <c r="AK33" t="e">
        <f>TEXT(TEXT(MEDIAN(Totaal!$L$3:$L$102),"0,0"),"Standaard")</f>
        <v>#NUM!</v>
      </c>
      <c r="AL33" t="str">
        <f>Totaal!M$1</f>
        <v>I</v>
      </c>
      <c r="AM33" t="str">
        <f>TEXT(TEXT(Totaal!$M33,"0,0"),"Standaard")</f>
        <v>0</v>
      </c>
      <c r="AN33" t="str">
        <f>TEXT(Totaal!$M$2,"0")</f>
        <v>0</v>
      </c>
      <c r="AO33" t="e">
        <f>TEXT(TEXT(MEDIAN(Totaal!$M$3:$M$102),"0,0"),"Standaard")</f>
        <v>#NUM!</v>
      </c>
      <c r="AP33" t="str">
        <f>Totaal!N$1</f>
        <v>J</v>
      </c>
      <c r="AQ33" t="str">
        <f>TEXT(TEXT(Totaal!$N33,"0,0"),"Standaard")</f>
        <v>0</v>
      </c>
      <c r="AR33" t="str">
        <f>TEXT(Totaal!$N$2,"0")</f>
        <v>0</v>
      </c>
      <c r="AS33" t="e">
        <f>TEXT(TEXT(MEDIAN(Totaal!$N$3:$N$102),"0,0"),"Standaard")</f>
        <v>#NUM!</v>
      </c>
      <c r="AT33" t="str">
        <f>Totaal!O$1</f>
        <v>K</v>
      </c>
      <c r="AU33" t="str">
        <f>TEXT(TEXT(Totaal!$O33,"0,0"),"Standaard")</f>
        <v>0</v>
      </c>
      <c r="AV33" t="str">
        <f>TEXT(Totaal!$O$2,"0")</f>
        <v>0</v>
      </c>
      <c r="AW33" t="e">
        <f>TEXT(TEXT(MEDIAN(Totaal!$O$3:$O$102),"0,0"),"Standaard")</f>
        <v>#NUM!</v>
      </c>
      <c r="AX33" t="str">
        <f>Totaal!P$1</f>
        <v>L</v>
      </c>
      <c r="AY33" t="str">
        <f>TEXT(TEXT(Totaal!$P33,"0,0"),"Standaard")</f>
        <v>0</v>
      </c>
      <c r="AZ33" t="str">
        <f>TEXT(Totaal!$P$2,"0")</f>
        <v>0</v>
      </c>
      <c r="BA33" t="e">
        <f>TEXT(TEXT(MEDIAN(Totaal!$P$3:$P$102),"0,0"),"Standaard")</f>
        <v>#NUM!</v>
      </c>
      <c r="BB33" t="str">
        <f>Totaal!Q$1</f>
        <v>M</v>
      </c>
      <c r="BC33" t="str">
        <f>TEXT(TEXT(Totaal!$Q33,"0,0"),"Standaard")</f>
        <v>0</v>
      </c>
      <c r="BD33" t="str">
        <f>TEXT(Totaal!$Q$2,"0")</f>
        <v>0</v>
      </c>
      <c r="BE33" t="e">
        <f>TEXT(TEXT(MEDIAN(Totaal!$Q$3:$Q$102),"0,0"),"Standaard")</f>
        <v>#NUM!</v>
      </c>
      <c r="BF33" t="str">
        <f>Totaal!R$1</f>
        <v>N</v>
      </c>
      <c r="BG33" t="str">
        <f>TEXT(TEXT(Totaal!$R33,"0,0"),"Standaard")</f>
        <v>0</v>
      </c>
      <c r="BH33" t="str">
        <f>TEXT(Totaal!$R$2,"0")</f>
        <v>0</v>
      </c>
      <c r="BI33" t="e">
        <f>TEXT(TEXT(MEDIAN(Totaal!$R$3:$R$102),"0,0"),"Standaard")</f>
        <v>#NUM!</v>
      </c>
      <c r="BJ33" t="str">
        <f>Totaal!S$1</f>
        <v>O</v>
      </c>
      <c r="BK33" t="str">
        <f>TEXT(TEXT(Totaal!$S33,"0,0"),"Standaard")</f>
        <v>0</v>
      </c>
      <c r="BL33" t="str">
        <f>TEXT(Totaal!$S$2,"0")</f>
        <v>0</v>
      </c>
      <c r="BM33" t="e">
        <f>TEXT(TEXT(MEDIAN(Totaal!$S$3:$S$102),"0,0"),"Standaard")</f>
        <v>#NUM!</v>
      </c>
      <c r="BN33" t="str">
        <f>Totaal!T$1</f>
        <v>P</v>
      </c>
      <c r="BO33" t="str">
        <f>TEXT(TEXT(Totaal!$T33,"0,0"),"Standaard")</f>
        <v>0</v>
      </c>
      <c r="BP33" t="str">
        <f>TEXT(Totaal!$T$2,"0")</f>
        <v>0</v>
      </c>
      <c r="BQ33" t="e">
        <f>TEXT(TEXT(MEDIAN(Totaal!$T$3:$T$102),"0,0"),"Standaard")</f>
        <v>#NUM!</v>
      </c>
      <c r="BR33" t="str">
        <f>IF(Totaal!U33="","",Totaal!U33)</f>
        <v/>
      </c>
    </row>
    <row r="34" spans="1:70">
      <c r="A34">
        <f>Totaal!A34</f>
        <v>32</v>
      </c>
      <c r="B34" s="22" t="str">
        <f>IF(Totaal!B34="","",Totaal!B34)</f>
        <v/>
      </c>
      <c r="C34" s="8" t="e">
        <f>TEXT(TEXT(Totaal!C34,"0,0"),"Standaard")</f>
        <v>#DIV/0!</v>
      </c>
      <c r="D34" s="8" t="str">
        <f>TEXT(Totaal!C$2,"0")</f>
        <v>100</v>
      </c>
      <c r="E34" s="22" t="e">
        <f>TEXT(TEXT(SUM(Totaal!C$3:C$102)/COUNTIF(Totaal!C$3:C$102,"&lt;&gt;0"),"0,0"),"Standaard")</f>
        <v>#DIV/0!</v>
      </c>
      <c r="F34" t="str">
        <f>Totaal!E$1</f>
        <v>A</v>
      </c>
      <c r="G34" t="str">
        <f>TEXT(TEXT(Totaal!E34,"0,0"),"Standaard")</f>
        <v>0</v>
      </c>
      <c r="H34" t="str">
        <f>TEXT(Totaal!E$2,"0")</f>
        <v>0</v>
      </c>
      <c r="I34" t="e">
        <f>TEXT(TEXT(MEDIAN(Totaal!E$3:E$102),"0,0"),"Standaard")</f>
        <v>#NUM!</v>
      </c>
      <c r="J34" t="str">
        <f>Totaal!F$1</f>
        <v>B</v>
      </c>
      <c r="K34" t="str">
        <f>TEXT(TEXT(Totaal!$F34,"0,0"),"Standaard")</f>
        <v>0</v>
      </c>
      <c r="L34" t="str">
        <f>TEXT(Totaal!F$2,"0")</f>
        <v>0</v>
      </c>
      <c r="M34" t="e">
        <f>TEXT(TEXT(MEDIAN(Totaal!$F$3:$F$102),"0,0"),"Standaard")</f>
        <v>#NUM!</v>
      </c>
      <c r="N34" t="str">
        <f>Totaal!G$1</f>
        <v>C</v>
      </c>
      <c r="O34" t="str">
        <f>TEXT(TEXT(Totaal!$G34,"0,0"),"Standaard")</f>
        <v>0</v>
      </c>
      <c r="P34" t="str">
        <f>TEXT(Totaal!$G$2,"0")</f>
        <v>0</v>
      </c>
      <c r="Q34" t="e">
        <f>TEXT(TEXT(MEDIAN(Totaal!$G$3:$G$102),"0,0"),"Standaard")</f>
        <v>#NUM!</v>
      </c>
      <c r="R34" t="str">
        <f>Totaal!H$1</f>
        <v>D</v>
      </c>
      <c r="S34" t="str">
        <f>TEXT(TEXT(Totaal!$H34,"0,0"),"Standaard")</f>
        <v>0</v>
      </c>
      <c r="T34" t="str">
        <f>TEXT(Totaal!$H$2,"0")</f>
        <v>0</v>
      </c>
      <c r="U34" t="e">
        <f>TEXT(TEXT(MEDIAN(Totaal!$H$3:$H$102),"0,0"),"Standaard")</f>
        <v>#NUM!</v>
      </c>
      <c r="V34" t="str">
        <f>Totaal!I$1</f>
        <v>E</v>
      </c>
      <c r="W34" t="str">
        <f>TEXT(TEXT(Totaal!$I34,"0,0"),"Standaard")</f>
        <v>0</v>
      </c>
      <c r="X34" t="str">
        <f>TEXT(Totaal!$I$2,"0")</f>
        <v>0</v>
      </c>
      <c r="Y34" t="e">
        <f>TEXT(TEXT(MEDIAN(Totaal!$I$3:$I$102),"0,0"),"Standaard")</f>
        <v>#NUM!</v>
      </c>
      <c r="Z34" t="str">
        <f>Totaal!J$1</f>
        <v>F</v>
      </c>
      <c r="AA34" t="str">
        <f>TEXT(TEXT(Totaal!$J34,"0,0"),"Standaard")</f>
        <v>0</v>
      </c>
      <c r="AB34" t="str">
        <f>TEXT(Totaal!$J$2,"0")</f>
        <v>0</v>
      </c>
      <c r="AC34" t="e">
        <f>TEXT(TEXT(MEDIAN(Totaal!$J$3:$J$102),"0,0"),"Standaard")</f>
        <v>#NUM!</v>
      </c>
      <c r="AD34" t="str">
        <f>Totaal!K$1</f>
        <v>G</v>
      </c>
      <c r="AE34" t="str">
        <f>TEXT(TEXT(Totaal!$K34,"0,0"),"Standaard")</f>
        <v>0</v>
      </c>
      <c r="AF34" t="str">
        <f>TEXT(Totaal!$K$2,"0")</f>
        <v>0</v>
      </c>
      <c r="AG34" t="e">
        <f>TEXT(TEXT(MEDIAN(Totaal!$K$3:$K$102),"0,0"),"Standaard")</f>
        <v>#NUM!</v>
      </c>
      <c r="AH34" t="str">
        <f>Totaal!L$1</f>
        <v>H</v>
      </c>
      <c r="AI34" t="str">
        <f>TEXT(TEXT(Totaal!$L34,"0,0"),"Standaard")</f>
        <v>0</v>
      </c>
      <c r="AJ34" t="str">
        <f>TEXT(Totaal!$L$2,"0")</f>
        <v>0</v>
      </c>
      <c r="AK34" t="e">
        <f>TEXT(TEXT(MEDIAN(Totaal!$L$3:$L$102),"0,0"),"Standaard")</f>
        <v>#NUM!</v>
      </c>
      <c r="AL34" t="str">
        <f>Totaal!M$1</f>
        <v>I</v>
      </c>
      <c r="AM34" t="str">
        <f>TEXT(TEXT(Totaal!$M34,"0,0"),"Standaard")</f>
        <v>0</v>
      </c>
      <c r="AN34" t="str">
        <f>TEXT(Totaal!$M$2,"0")</f>
        <v>0</v>
      </c>
      <c r="AO34" t="e">
        <f>TEXT(TEXT(MEDIAN(Totaal!$M$3:$M$102),"0,0"),"Standaard")</f>
        <v>#NUM!</v>
      </c>
      <c r="AP34" t="str">
        <f>Totaal!N$1</f>
        <v>J</v>
      </c>
      <c r="AQ34" t="str">
        <f>TEXT(TEXT(Totaal!$N34,"0,0"),"Standaard")</f>
        <v>0</v>
      </c>
      <c r="AR34" t="str">
        <f>TEXT(Totaal!$N$2,"0")</f>
        <v>0</v>
      </c>
      <c r="AS34" t="e">
        <f>TEXT(TEXT(MEDIAN(Totaal!$N$3:$N$102),"0,0"),"Standaard")</f>
        <v>#NUM!</v>
      </c>
      <c r="AT34" t="str">
        <f>Totaal!O$1</f>
        <v>K</v>
      </c>
      <c r="AU34" t="str">
        <f>TEXT(TEXT(Totaal!$O34,"0,0"),"Standaard")</f>
        <v>0</v>
      </c>
      <c r="AV34" t="str">
        <f>TEXT(Totaal!$O$2,"0")</f>
        <v>0</v>
      </c>
      <c r="AW34" t="e">
        <f>TEXT(TEXT(MEDIAN(Totaal!$O$3:$O$102),"0,0"),"Standaard")</f>
        <v>#NUM!</v>
      </c>
      <c r="AX34" t="str">
        <f>Totaal!P$1</f>
        <v>L</v>
      </c>
      <c r="AY34" t="str">
        <f>TEXT(TEXT(Totaal!$P34,"0,0"),"Standaard")</f>
        <v>0</v>
      </c>
      <c r="AZ34" t="str">
        <f>TEXT(Totaal!$P$2,"0")</f>
        <v>0</v>
      </c>
      <c r="BA34" t="e">
        <f>TEXT(TEXT(MEDIAN(Totaal!$P$3:$P$102),"0,0"),"Standaard")</f>
        <v>#NUM!</v>
      </c>
      <c r="BB34" t="str">
        <f>Totaal!Q$1</f>
        <v>M</v>
      </c>
      <c r="BC34" t="str">
        <f>TEXT(TEXT(Totaal!$Q34,"0,0"),"Standaard")</f>
        <v>0</v>
      </c>
      <c r="BD34" t="str">
        <f>TEXT(Totaal!$Q$2,"0")</f>
        <v>0</v>
      </c>
      <c r="BE34" t="e">
        <f>TEXT(TEXT(MEDIAN(Totaal!$Q$3:$Q$102),"0,0"),"Standaard")</f>
        <v>#NUM!</v>
      </c>
      <c r="BF34" t="str">
        <f>Totaal!R$1</f>
        <v>N</v>
      </c>
      <c r="BG34" t="str">
        <f>TEXT(TEXT(Totaal!$R34,"0,0"),"Standaard")</f>
        <v>0</v>
      </c>
      <c r="BH34" t="str">
        <f>TEXT(Totaal!$R$2,"0")</f>
        <v>0</v>
      </c>
      <c r="BI34" t="e">
        <f>TEXT(TEXT(MEDIAN(Totaal!$R$3:$R$102),"0,0"),"Standaard")</f>
        <v>#NUM!</v>
      </c>
      <c r="BJ34" t="str">
        <f>Totaal!S$1</f>
        <v>O</v>
      </c>
      <c r="BK34" t="str">
        <f>TEXT(TEXT(Totaal!$S34,"0,0"),"Standaard")</f>
        <v>0</v>
      </c>
      <c r="BL34" t="str">
        <f>TEXT(Totaal!$S$2,"0")</f>
        <v>0</v>
      </c>
      <c r="BM34" t="e">
        <f>TEXT(TEXT(MEDIAN(Totaal!$S$3:$S$102),"0,0"),"Standaard")</f>
        <v>#NUM!</v>
      </c>
      <c r="BN34" t="str">
        <f>Totaal!T$1</f>
        <v>P</v>
      </c>
      <c r="BO34" t="str">
        <f>TEXT(TEXT(Totaal!$T34,"0,0"),"Standaard")</f>
        <v>0</v>
      </c>
      <c r="BP34" t="str">
        <f>TEXT(Totaal!$T$2,"0")</f>
        <v>0</v>
      </c>
      <c r="BQ34" t="e">
        <f>TEXT(TEXT(MEDIAN(Totaal!$T$3:$T$102),"0,0"),"Standaard")</f>
        <v>#NUM!</v>
      </c>
      <c r="BR34" t="str">
        <f>IF(Totaal!U34="","",Totaal!U34)</f>
        <v/>
      </c>
    </row>
    <row r="35" spans="1:70">
      <c r="A35">
        <f>Totaal!A35</f>
        <v>33</v>
      </c>
      <c r="B35" s="22" t="str">
        <f>IF(Totaal!B35="","",Totaal!B35)</f>
        <v/>
      </c>
      <c r="C35" s="8" t="e">
        <f>TEXT(TEXT(Totaal!C35,"0,0"),"Standaard")</f>
        <v>#DIV/0!</v>
      </c>
      <c r="D35" s="8" t="str">
        <f>TEXT(Totaal!C$2,"0")</f>
        <v>100</v>
      </c>
      <c r="E35" s="22" t="e">
        <f>TEXT(TEXT(SUM(Totaal!C$3:C$102)/COUNTIF(Totaal!C$3:C$102,"&lt;&gt;0"),"0,0"),"Standaard")</f>
        <v>#DIV/0!</v>
      </c>
      <c r="F35" t="str">
        <f>Totaal!E$1</f>
        <v>A</v>
      </c>
      <c r="G35" t="str">
        <f>TEXT(TEXT(Totaal!E35,"0,0"),"Standaard")</f>
        <v>0</v>
      </c>
      <c r="H35" t="str">
        <f>TEXT(Totaal!E$2,"0")</f>
        <v>0</v>
      </c>
      <c r="I35" t="e">
        <f>TEXT(TEXT(MEDIAN(Totaal!E$3:E$102),"0,0"),"Standaard")</f>
        <v>#NUM!</v>
      </c>
      <c r="J35" t="str">
        <f>Totaal!F$1</f>
        <v>B</v>
      </c>
      <c r="K35" t="str">
        <f>TEXT(TEXT(Totaal!$F35,"0,0"),"Standaard")</f>
        <v>0</v>
      </c>
      <c r="L35" t="str">
        <f>TEXT(Totaal!F$2,"0")</f>
        <v>0</v>
      </c>
      <c r="M35" t="e">
        <f>TEXT(TEXT(MEDIAN(Totaal!$F$3:$F$102),"0,0"),"Standaard")</f>
        <v>#NUM!</v>
      </c>
      <c r="N35" t="str">
        <f>Totaal!G$1</f>
        <v>C</v>
      </c>
      <c r="O35" t="str">
        <f>TEXT(TEXT(Totaal!$G35,"0,0"),"Standaard")</f>
        <v>0</v>
      </c>
      <c r="P35" t="str">
        <f>TEXT(Totaal!$G$2,"0")</f>
        <v>0</v>
      </c>
      <c r="Q35" t="e">
        <f>TEXT(TEXT(MEDIAN(Totaal!$G$3:$G$102),"0,0"),"Standaard")</f>
        <v>#NUM!</v>
      </c>
      <c r="R35" t="str">
        <f>Totaal!H$1</f>
        <v>D</v>
      </c>
      <c r="S35" t="str">
        <f>TEXT(TEXT(Totaal!$H35,"0,0"),"Standaard")</f>
        <v>0</v>
      </c>
      <c r="T35" t="str">
        <f>TEXT(Totaal!$H$2,"0")</f>
        <v>0</v>
      </c>
      <c r="U35" t="e">
        <f>TEXT(TEXT(MEDIAN(Totaal!$H$3:$H$102),"0,0"),"Standaard")</f>
        <v>#NUM!</v>
      </c>
      <c r="V35" t="str">
        <f>Totaal!I$1</f>
        <v>E</v>
      </c>
      <c r="W35" t="str">
        <f>TEXT(TEXT(Totaal!$I35,"0,0"),"Standaard")</f>
        <v>0</v>
      </c>
      <c r="X35" t="str">
        <f>TEXT(Totaal!$I$2,"0")</f>
        <v>0</v>
      </c>
      <c r="Y35" t="e">
        <f>TEXT(TEXT(MEDIAN(Totaal!$I$3:$I$102),"0,0"),"Standaard")</f>
        <v>#NUM!</v>
      </c>
      <c r="Z35" t="str">
        <f>Totaal!J$1</f>
        <v>F</v>
      </c>
      <c r="AA35" t="str">
        <f>TEXT(TEXT(Totaal!$J35,"0,0"),"Standaard")</f>
        <v>0</v>
      </c>
      <c r="AB35" t="str">
        <f>TEXT(Totaal!$J$2,"0")</f>
        <v>0</v>
      </c>
      <c r="AC35" t="e">
        <f>TEXT(TEXT(MEDIAN(Totaal!$J$3:$J$102),"0,0"),"Standaard")</f>
        <v>#NUM!</v>
      </c>
      <c r="AD35" t="str">
        <f>Totaal!K$1</f>
        <v>G</v>
      </c>
      <c r="AE35" t="str">
        <f>TEXT(TEXT(Totaal!$K35,"0,0"),"Standaard")</f>
        <v>0</v>
      </c>
      <c r="AF35" t="str">
        <f>TEXT(Totaal!$K$2,"0")</f>
        <v>0</v>
      </c>
      <c r="AG35" t="e">
        <f>TEXT(TEXT(MEDIAN(Totaal!$K$3:$K$102),"0,0"),"Standaard")</f>
        <v>#NUM!</v>
      </c>
      <c r="AH35" t="str">
        <f>Totaal!L$1</f>
        <v>H</v>
      </c>
      <c r="AI35" t="str">
        <f>TEXT(TEXT(Totaal!$L35,"0,0"),"Standaard")</f>
        <v>0</v>
      </c>
      <c r="AJ35" t="str">
        <f>TEXT(Totaal!$L$2,"0")</f>
        <v>0</v>
      </c>
      <c r="AK35" t="e">
        <f>TEXT(TEXT(MEDIAN(Totaal!$L$3:$L$102),"0,0"),"Standaard")</f>
        <v>#NUM!</v>
      </c>
      <c r="AL35" t="str">
        <f>Totaal!M$1</f>
        <v>I</v>
      </c>
      <c r="AM35" t="str">
        <f>TEXT(TEXT(Totaal!$M35,"0,0"),"Standaard")</f>
        <v>0</v>
      </c>
      <c r="AN35" t="str">
        <f>TEXT(Totaal!$M$2,"0")</f>
        <v>0</v>
      </c>
      <c r="AO35" t="e">
        <f>TEXT(TEXT(MEDIAN(Totaal!$M$3:$M$102),"0,0"),"Standaard")</f>
        <v>#NUM!</v>
      </c>
      <c r="AP35" t="str">
        <f>Totaal!N$1</f>
        <v>J</v>
      </c>
      <c r="AQ35" t="str">
        <f>TEXT(TEXT(Totaal!$N35,"0,0"),"Standaard")</f>
        <v>0</v>
      </c>
      <c r="AR35" t="str">
        <f>TEXT(Totaal!$N$2,"0")</f>
        <v>0</v>
      </c>
      <c r="AS35" t="e">
        <f>TEXT(TEXT(MEDIAN(Totaal!$N$3:$N$102),"0,0"),"Standaard")</f>
        <v>#NUM!</v>
      </c>
      <c r="AT35" t="str">
        <f>Totaal!O$1</f>
        <v>K</v>
      </c>
      <c r="AU35" t="str">
        <f>TEXT(TEXT(Totaal!$O35,"0,0"),"Standaard")</f>
        <v>0</v>
      </c>
      <c r="AV35" t="str">
        <f>TEXT(Totaal!$O$2,"0")</f>
        <v>0</v>
      </c>
      <c r="AW35" t="e">
        <f>TEXT(TEXT(MEDIAN(Totaal!$O$3:$O$102),"0,0"),"Standaard")</f>
        <v>#NUM!</v>
      </c>
      <c r="AX35" t="str">
        <f>Totaal!P$1</f>
        <v>L</v>
      </c>
      <c r="AY35" t="str">
        <f>TEXT(TEXT(Totaal!$P35,"0,0"),"Standaard")</f>
        <v>0</v>
      </c>
      <c r="AZ35" t="str">
        <f>TEXT(Totaal!$P$2,"0")</f>
        <v>0</v>
      </c>
      <c r="BA35" t="e">
        <f>TEXT(TEXT(MEDIAN(Totaal!$P$3:$P$102),"0,0"),"Standaard")</f>
        <v>#NUM!</v>
      </c>
      <c r="BB35" t="str">
        <f>Totaal!Q$1</f>
        <v>M</v>
      </c>
      <c r="BC35" t="str">
        <f>TEXT(TEXT(Totaal!$Q35,"0,0"),"Standaard")</f>
        <v>0</v>
      </c>
      <c r="BD35" t="str">
        <f>TEXT(Totaal!$Q$2,"0")</f>
        <v>0</v>
      </c>
      <c r="BE35" t="e">
        <f>TEXT(TEXT(MEDIAN(Totaal!$Q$3:$Q$102),"0,0"),"Standaard")</f>
        <v>#NUM!</v>
      </c>
      <c r="BF35" t="str">
        <f>Totaal!R$1</f>
        <v>N</v>
      </c>
      <c r="BG35" t="str">
        <f>TEXT(TEXT(Totaal!$R35,"0,0"),"Standaard")</f>
        <v>0</v>
      </c>
      <c r="BH35" t="str">
        <f>TEXT(Totaal!$R$2,"0")</f>
        <v>0</v>
      </c>
      <c r="BI35" t="e">
        <f>TEXT(TEXT(MEDIAN(Totaal!$R$3:$R$102),"0,0"),"Standaard")</f>
        <v>#NUM!</v>
      </c>
      <c r="BJ35" t="str">
        <f>Totaal!S$1</f>
        <v>O</v>
      </c>
      <c r="BK35" t="str">
        <f>TEXT(TEXT(Totaal!$S35,"0,0"),"Standaard")</f>
        <v>0</v>
      </c>
      <c r="BL35" t="str">
        <f>TEXT(Totaal!$S$2,"0")</f>
        <v>0</v>
      </c>
      <c r="BM35" t="e">
        <f>TEXT(TEXT(MEDIAN(Totaal!$S$3:$S$102),"0,0"),"Standaard")</f>
        <v>#NUM!</v>
      </c>
      <c r="BN35" t="str">
        <f>Totaal!T$1</f>
        <v>P</v>
      </c>
      <c r="BO35" t="str">
        <f>TEXT(TEXT(Totaal!$T35,"0,0"),"Standaard")</f>
        <v>0</v>
      </c>
      <c r="BP35" t="str">
        <f>TEXT(Totaal!$T$2,"0")</f>
        <v>0</v>
      </c>
      <c r="BQ35" t="e">
        <f>TEXT(TEXT(MEDIAN(Totaal!$T$3:$T$102),"0,0"),"Standaard")</f>
        <v>#NUM!</v>
      </c>
      <c r="BR35" t="str">
        <f>IF(Totaal!U35="","",Totaal!U35)</f>
        <v/>
      </c>
    </row>
    <row r="36" spans="1:70">
      <c r="A36">
        <f>Totaal!A36</f>
        <v>34</v>
      </c>
      <c r="B36" s="22" t="str">
        <f>IF(Totaal!B36="","",Totaal!B36)</f>
        <v/>
      </c>
      <c r="C36" s="8" t="e">
        <f>TEXT(TEXT(Totaal!C36,"0,0"),"Standaard")</f>
        <v>#DIV/0!</v>
      </c>
      <c r="D36" s="8" t="str">
        <f>TEXT(Totaal!C$2,"0")</f>
        <v>100</v>
      </c>
      <c r="E36" s="22" t="e">
        <f>TEXT(TEXT(SUM(Totaal!C$3:C$102)/COUNTIF(Totaal!C$3:C$102,"&lt;&gt;0"),"0,0"),"Standaard")</f>
        <v>#DIV/0!</v>
      </c>
      <c r="F36" t="str">
        <f>Totaal!E$1</f>
        <v>A</v>
      </c>
      <c r="G36" t="str">
        <f>TEXT(TEXT(Totaal!E36,"0,0"),"Standaard")</f>
        <v>0</v>
      </c>
      <c r="H36" t="str">
        <f>TEXT(Totaal!E$2,"0")</f>
        <v>0</v>
      </c>
      <c r="I36" t="e">
        <f>TEXT(TEXT(MEDIAN(Totaal!E$3:E$102),"0,0"),"Standaard")</f>
        <v>#NUM!</v>
      </c>
      <c r="J36" t="str">
        <f>Totaal!F$1</f>
        <v>B</v>
      </c>
      <c r="K36" t="str">
        <f>TEXT(TEXT(Totaal!$F36,"0,0"),"Standaard")</f>
        <v>0</v>
      </c>
      <c r="L36" t="str">
        <f>TEXT(Totaal!F$2,"0")</f>
        <v>0</v>
      </c>
      <c r="M36" t="e">
        <f>TEXT(TEXT(MEDIAN(Totaal!$F$3:$F$102),"0,0"),"Standaard")</f>
        <v>#NUM!</v>
      </c>
      <c r="N36" t="str">
        <f>Totaal!G$1</f>
        <v>C</v>
      </c>
      <c r="O36" t="str">
        <f>TEXT(TEXT(Totaal!$G36,"0,0"),"Standaard")</f>
        <v>0</v>
      </c>
      <c r="P36" t="str">
        <f>TEXT(Totaal!$G$2,"0")</f>
        <v>0</v>
      </c>
      <c r="Q36" t="e">
        <f>TEXT(TEXT(MEDIAN(Totaal!$G$3:$G$102),"0,0"),"Standaard")</f>
        <v>#NUM!</v>
      </c>
      <c r="R36" t="str">
        <f>Totaal!H$1</f>
        <v>D</v>
      </c>
      <c r="S36" t="str">
        <f>TEXT(TEXT(Totaal!$H36,"0,0"),"Standaard")</f>
        <v>0</v>
      </c>
      <c r="T36" t="str">
        <f>TEXT(Totaal!$H$2,"0")</f>
        <v>0</v>
      </c>
      <c r="U36" t="e">
        <f>TEXT(TEXT(MEDIAN(Totaal!$H$3:$H$102),"0,0"),"Standaard")</f>
        <v>#NUM!</v>
      </c>
      <c r="V36" t="str">
        <f>Totaal!I$1</f>
        <v>E</v>
      </c>
      <c r="W36" t="str">
        <f>TEXT(TEXT(Totaal!$I36,"0,0"),"Standaard")</f>
        <v>0</v>
      </c>
      <c r="X36" t="str">
        <f>TEXT(Totaal!$I$2,"0")</f>
        <v>0</v>
      </c>
      <c r="Y36" t="e">
        <f>TEXT(TEXT(MEDIAN(Totaal!$I$3:$I$102),"0,0"),"Standaard")</f>
        <v>#NUM!</v>
      </c>
      <c r="Z36" t="str">
        <f>Totaal!J$1</f>
        <v>F</v>
      </c>
      <c r="AA36" t="str">
        <f>TEXT(TEXT(Totaal!$J36,"0,0"),"Standaard")</f>
        <v>0</v>
      </c>
      <c r="AB36" t="str">
        <f>TEXT(Totaal!$J$2,"0")</f>
        <v>0</v>
      </c>
      <c r="AC36" t="e">
        <f>TEXT(TEXT(MEDIAN(Totaal!$J$3:$J$102),"0,0"),"Standaard")</f>
        <v>#NUM!</v>
      </c>
      <c r="AD36" t="str">
        <f>Totaal!K$1</f>
        <v>G</v>
      </c>
      <c r="AE36" t="str">
        <f>TEXT(TEXT(Totaal!$K36,"0,0"),"Standaard")</f>
        <v>0</v>
      </c>
      <c r="AF36" t="str">
        <f>TEXT(Totaal!$K$2,"0")</f>
        <v>0</v>
      </c>
      <c r="AG36" t="e">
        <f>TEXT(TEXT(MEDIAN(Totaal!$K$3:$K$102),"0,0"),"Standaard")</f>
        <v>#NUM!</v>
      </c>
      <c r="AH36" t="str">
        <f>Totaal!L$1</f>
        <v>H</v>
      </c>
      <c r="AI36" t="str">
        <f>TEXT(TEXT(Totaal!$L36,"0,0"),"Standaard")</f>
        <v>0</v>
      </c>
      <c r="AJ36" t="str">
        <f>TEXT(Totaal!$L$2,"0")</f>
        <v>0</v>
      </c>
      <c r="AK36" t="e">
        <f>TEXT(TEXT(MEDIAN(Totaal!$L$3:$L$102),"0,0"),"Standaard")</f>
        <v>#NUM!</v>
      </c>
      <c r="AL36" t="str">
        <f>Totaal!M$1</f>
        <v>I</v>
      </c>
      <c r="AM36" t="str">
        <f>TEXT(TEXT(Totaal!$M36,"0,0"),"Standaard")</f>
        <v>0</v>
      </c>
      <c r="AN36" t="str">
        <f>TEXT(Totaal!$M$2,"0")</f>
        <v>0</v>
      </c>
      <c r="AO36" t="e">
        <f>TEXT(TEXT(MEDIAN(Totaal!$M$3:$M$102),"0,0"),"Standaard")</f>
        <v>#NUM!</v>
      </c>
      <c r="AP36" t="str">
        <f>Totaal!N$1</f>
        <v>J</v>
      </c>
      <c r="AQ36" t="str">
        <f>TEXT(TEXT(Totaal!$N36,"0,0"),"Standaard")</f>
        <v>0</v>
      </c>
      <c r="AR36" t="str">
        <f>TEXT(Totaal!$N$2,"0")</f>
        <v>0</v>
      </c>
      <c r="AS36" t="e">
        <f>TEXT(TEXT(MEDIAN(Totaal!$N$3:$N$102),"0,0"),"Standaard")</f>
        <v>#NUM!</v>
      </c>
      <c r="AT36" t="str">
        <f>Totaal!O$1</f>
        <v>K</v>
      </c>
      <c r="AU36" t="str">
        <f>TEXT(TEXT(Totaal!$O36,"0,0"),"Standaard")</f>
        <v>0</v>
      </c>
      <c r="AV36" t="str">
        <f>TEXT(Totaal!$O$2,"0")</f>
        <v>0</v>
      </c>
      <c r="AW36" t="e">
        <f>TEXT(TEXT(MEDIAN(Totaal!$O$3:$O$102),"0,0"),"Standaard")</f>
        <v>#NUM!</v>
      </c>
      <c r="AX36" t="str">
        <f>Totaal!P$1</f>
        <v>L</v>
      </c>
      <c r="AY36" t="str">
        <f>TEXT(TEXT(Totaal!$P36,"0,0"),"Standaard")</f>
        <v>0</v>
      </c>
      <c r="AZ36" t="str">
        <f>TEXT(Totaal!$P$2,"0")</f>
        <v>0</v>
      </c>
      <c r="BA36" t="e">
        <f>TEXT(TEXT(MEDIAN(Totaal!$P$3:$P$102),"0,0"),"Standaard")</f>
        <v>#NUM!</v>
      </c>
      <c r="BB36" t="str">
        <f>Totaal!Q$1</f>
        <v>M</v>
      </c>
      <c r="BC36" t="str">
        <f>TEXT(TEXT(Totaal!$Q36,"0,0"),"Standaard")</f>
        <v>0</v>
      </c>
      <c r="BD36" t="str">
        <f>TEXT(Totaal!$Q$2,"0")</f>
        <v>0</v>
      </c>
      <c r="BE36" t="e">
        <f>TEXT(TEXT(MEDIAN(Totaal!$Q$3:$Q$102),"0,0"),"Standaard")</f>
        <v>#NUM!</v>
      </c>
      <c r="BF36" t="str">
        <f>Totaal!R$1</f>
        <v>N</v>
      </c>
      <c r="BG36" t="str">
        <f>TEXT(TEXT(Totaal!$R36,"0,0"),"Standaard")</f>
        <v>0</v>
      </c>
      <c r="BH36" t="str">
        <f>TEXT(Totaal!$R$2,"0")</f>
        <v>0</v>
      </c>
      <c r="BI36" t="e">
        <f>TEXT(TEXT(MEDIAN(Totaal!$R$3:$R$102),"0,0"),"Standaard")</f>
        <v>#NUM!</v>
      </c>
      <c r="BJ36" t="str">
        <f>Totaal!S$1</f>
        <v>O</v>
      </c>
      <c r="BK36" t="str">
        <f>TEXT(TEXT(Totaal!$S36,"0,0"),"Standaard")</f>
        <v>0</v>
      </c>
      <c r="BL36" t="str">
        <f>TEXT(Totaal!$S$2,"0")</f>
        <v>0</v>
      </c>
      <c r="BM36" t="e">
        <f>TEXT(TEXT(MEDIAN(Totaal!$S$3:$S$102),"0,0"),"Standaard")</f>
        <v>#NUM!</v>
      </c>
      <c r="BN36" t="str">
        <f>Totaal!T$1</f>
        <v>P</v>
      </c>
      <c r="BO36" t="str">
        <f>TEXT(TEXT(Totaal!$T36,"0,0"),"Standaard")</f>
        <v>0</v>
      </c>
      <c r="BP36" t="str">
        <f>TEXT(Totaal!$T$2,"0")</f>
        <v>0</v>
      </c>
      <c r="BQ36" t="e">
        <f>TEXT(TEXT(MEDIAN(Totaal!$T$3:$T$102),"0,0"),"Standaard")</f>
        <v>#NUM!</v>
      </c>
      <c r="BR36" t="str">
        <f>IF(Totaal!U36="","",Totaal!U36)</f>
        <v/>
      </c>
    </row>
    <row r="37" spans="1:70">
      <c r="A37">
        <f>Totaal!A37</f>
        <v>35</v>
      </c>
      <c r="B37" s="22" t="str">
        <f>IF(Totaal!B37="","",Totaal!B37)</f>
        <v/>
      </c>
      <c r="C37" s="8" t="e">
        <f>TEXT(TEXT(Totaal!C37,"0,0"),"Standaard")</f>
        <v>#DIV/0!</v>
      </c>
      <c r="D37" s="8" t="str">
        <f>TEXT(Totaal!C$2,"0")</f>
        <v>100</v>
      </c>
      <c r="E37" s="22" t="e">
        <f>TEXT(TEXT(SUM(Totaal!C$3:C$102)/COUNTIF(Totaal!C$3:C$102,"&lt;&gt;0"),"0,0"),"Standaard")</f>
        <v>#DIV/0!</v>
      </c>
      <c r="F37" t="str">
        <f>Totaal!E$1</f>
        <v>A</v>
      </c>
      <c r="G37" t="str">
        <f>TEXT(TEXT(Totaal!E37,"0,0"),"Standaard")</f>
        <v>0</v>
      </c>
      <c r="H37" t="str">
        <f>TEXT(Totaal!E$2,"0")</f>
        <v>0</v>
      </c>
      <c r="I37" t="e">
        <f>TEXT(TEXT(MEDIAN(Totaal!E$3:E$102),"0,0"),"Standaard")</f>
        <v>#NUM!</v>
      </c>
      <c r="J37" t="str">
        <f>Totaal!F$1</f>
        <v>B</v>
      </c>
      <c r="K37" t="str">
        <f>TEXT(TEXT(Totaal!$F37,"0,0"),"Standaard")</f>
        <v>0</v>
      </c>
      <c r="L37" t="str">
        <f>TEXT(Totaal!F$2,"0")</f>
        <v>0</v>
      </c>
      <c r="M37" t="e">
        <f>TEXT(TEXT(MEDIAN(Totaal!$F$3:$F$102),"0,0"),"Standaard")</f>
        <v>#NUM!</v>
      </c>
      <c r="N37" t="str">
        <f>Totaal!G$1</f>
        <v>C</v>
      </c>
      <c r="O37" t="str">
        <f>TEXT(TEXT(Totaal!$G37,"0,0"),"Standaard")</f>
        <v>0</v>
      </c>
      <c r="P37" t="str">
        <f>TEXT(Totaal!$G$2,"0")</f>
        <v>0</v>
      </c>
      <c r="Q37" t="e">
        <f>TEXT(TEXT(MEDIAN(Totaal!$G$3:$G$102),"0,0"),"Standaard")</f>
        <v>#NUM!</v>
      </c>
      <c r="R37" t="str">
        <f>Totaal!H$1</f>
        <v>D</v>
      </c>
      <c r="S37" t="str">
        <f>TEXT(TEXT(Totaal!$H37,"0,0"),"Standaard")</f>
        <v>0</v>
      </c>
      <c r="T37" t="str">
        <f>TEXT(Totaal!$H$2,"0")</f>
        <v>0</v>
      </c>
      <c r="U37" t="e">
        <f>TEXT(TEXT(MEDIAN(Totaal!$H$3:$H$102),"0,0"),"Standaard")</f>
        <v>#NUM!</v>
      </c>
      <c r="V37" t="str">
        <f>Totaal!I$1</f>
        <v>E</v>
      </c>
      <c r="W37" t="str">
        <f>TEXT(TEXT(Totaal!$I37,"0,0"),"Standaard")</f>
        <v>0</v>
      </c>
      <c r="X37" t="str">
        <f>TEXT(Totaal!$I$2,"0")</f>
        <v>0</v>
      </c>
      <c r="Y37" t="e">
        <f>TEXT(TEXT(MEDIAN(Totaal!$I$3:$I$102),"0,0"),"Standaard")</f>
        <v>#NUM!</v>
      </c>
      <c r="Z37" t="str">
        <f>Totaal!J$1</f>
        <v>F</v>
      </c>
      <c r="AA37" t="str">
        <f>TEXT(TEXT(Totaal!$J37,"0,0"),"Standaard")</f>
        <v>0</v>
      </c>
      <c r="AB37" t="str">
        <f>TEXT(Totaal!$J$2,"0")</f>
        <v>0</v>
      </c>
      <c r="AC37" t="e">
        <f>TEXT(TEXT(MEDIAN(Totaal!$J$3:$J$102),"0,0"),"Standaard")</f>
        <v>#NUM!</v>
      </c>
      <c r="AD37" t="str">
        <f>Totaal!K$1</f>
        <v>G</v>
      </c>
      <c r="AE37" t="str">
        <f>TEXT(TEXT(Totaal!$K37,"0,0"),"Standaard")</f>
        <v>0</v>
      </c>
      <c r="AF37" t="str">
        <f>TEXT(Totaal!$K$2,"0")</f>
        <v>0</v>
      </c>
      <c r="AG37" t="e">
        <f>TEXT(TEXT(MEDIAN(Totaal!$K$3:$K$102),"0,0"),"Standaard")</f>
        <v>#NUM!</v>
      </c>
      <c r="AH37" t="str">
        <f>Totaal!L$1</f>
        <v>H</v>
      </c>
      <c r="AI37" t="str">
        <f>TEXT(TEXT(Totaal!$L37,"0,0"),"Standaard")</f>
        <v>0</v>
      </c>
      <c r="AJ37" t="str">
        <f>TEXT(Totaal!$L$2,"0")</f>
        <v>0</v>
      </c>
      <c r="AK37" t="e">
        <f>TEXT(TEXT(MEDIAN(Totaal!$L$3:$L$102),"0,0"),"Standaard")</f>
        <v>#NUM!</v>
      </c>
      <c r="AL37" t="str">
        <f>Totaal!M$1</f>
        <v>I</v>
      </c>
      <c r="AM37" t="str">
        <f>TEXT(TEXT(Totaal!$M37,"0,0"),"Standaard")</f>
        <v>0</v>
      </c>
      <c r="AN37" t="str">
        <f>TEXT(Totaal!$M$2,"0")</f>
        <v>0</v>
      </c>
      <c r="AO37" t="e">
        <f>TEXT(TEXT(MEDIAN(Totaal!$M$3:$M$102),"0,0"),"Standaard")</f>
        <v>#NUM!</v>
      </c>
      <c r="AP37" t="str">
        <f>Totaal!N$1</f>
        <v>J</v>
      </c>
      <c r="AQ37" t="str">
        <f>TEXT(TEXT(Totaal!$N37,"0,0"),"Standaard")</f>
        <v>0</v>
      </c>
      <c r="AR37" t="str">
        <f>TEXT(Totaal!$N$2,"0")</f>
        <v>0</v>
      </c>
      <c r="AS37" t="e">
        <f>TEXT(TEXT(MEDIAN(Totaal!$N$3:$N$102),"0,0"),"Standaard")</f>
        <v>#NUM!</v>
      </c>
      <c r="AT37" t="str">
        <f>Totaal!O$1</f>
        <v>K</v>
      </c>
      <c r="AU37" t="str">
        <f>TEXT(TEXT(Totaal!$O37,"0,0"),"Standaard")</f>
        <v>0</v>
      </c>
      <c r="AV37" t="str">
        <f>TEXT(Totaal!$O$2,"0")</f>
        <v>0</v>
      </c>
      <c r="AW37" t="e">
        <f>TEXT(TEXT(MEDIAN(Totaal!$O$3:$O$102),"0,0"),"Standaard")</f>
        <v>#NUM!</v>
      </c>
      <c r="AX37" t="str">
        <f>Totaal!P$1</f>
        <v>L</v>
      </c>
      <c r="AY37" t="str">
        <f>TEXT(TEXT(Totaal!$P37,"0,0"),"Standaard")</f>
        <v>0</v>
      </c>
      <c r="AZ37" t="str">
        <f>TEXT(Totaal!$P$2,"0")</f>
        <v>0</v>
      </c>
      <c r="BA37" t="e">
        <f>TEXT(TEXT(MEDIAN(Totaal!$P$3:$P$102),"0,0"),"Standaard")</f>
        <v>#NUM!</v>
      </c>
      <c r="BB37" t="str">
        <f>Totaal!Q$1</f>
        <v>M</v>
      </c>
      <c r="BC37" t="str">
        <f>TEXT(TEXT(Totaal!$Q37,"0,0"),"Standaard")</f>
        <v>0</v>
      </c>
      <c r="BD37" t="str">
        <f>TEXT(Totaal!$Q$2,"0")</f>
        <v>0</v>
      </c>
      <c r="BE37" t="e">
        <f>TEXT(TEXT(MEDIAN(Totaal!$Q$3:$Q$102),"0,0"),"Standaard")</f>
        <v>#NUM!</v>
      </c>
      <c r="BF37" t="str">
        <f>Totaal!R$1</f>
        <v>N</v>
      </c>
      <c r="BG37" t="str">
        <f>TEXT(TEXT(Totaal!$R37,"0,0"),"Standaard")</f>
        <v>0</v>
      </c>
      <c r="BH37" t="str">
        <f>TEXT(Totaal!$R$2,"0")</f>
        <v>0</v>
      </c>
      <c r="BI37" t="e">
        <f>TEXT(TEXT(MEDIAN(Totaal!$R$3:$R$102),"0,0"),"Standaard")</f>
        <v>#NUM!</v>
      </c>
      <c r="BJ37" t="str">
        <f>Totaal!S$1</f>
        <v>O</v>
      </c>
      <c r="BK37" t="str">
        <f>TEXT(TEXT(Totaal!$S37,"0,0"),"Standaard")</f>
        <v>0</v>
      </c>
      <c r="BL37" t="str">
        <f>TEXT(Totaal!$S$2,"0")</f>
        <v>0</v>
      </c>
      <c r="BM37" t="e">
        <f>TEXT(TEXT(MEDIAN(Totaal!$S$3:$S$102),"0,0"),"Standaard")</f>
        <v>#NUM!</v>
      </c>
      <c r="BN37" t="str">
        <f>Totaal!T$1</f>
        <v>P</v>
      </c>
      <c r="BO37" t="str">
        <f>TEXT(TEXT(Totaal!$T37,"0,0"),"Standaard")</f>
        <v>0</v>
      </c>
      <c r="BP37" t="str">
        <f>TEXT(Totaal!$T$2,"0")</f>
        <v>0</v>
      </c>
      <c r="BQ37" t="e">
        <f>TEXT(TEXT(MEDIAN(Totaal!$T$3:$T$102),"0,0"),"Standaard")</f>
        <v>#NUM!</v>
      </c>
      <c r="BR37" t="str">
        <f>IF(Totaal!U37="","",Totaal!U37)</f>
        <v/>
      </c>
    </row>
    <row r="38" spans="1:70">
      <c r="A38">
        <f>Totaal!A38</f>
        <v>36</v>
      </c>
      <c r="B38" s="22" t="str">
        <f>IF(Totaal!B38="","",Totaal!B38)</f>
        <v/>
      </c>
      <c r="C38" s="8" t="e">
        <f>TEXT(TEXT(Totaal!C38,"0,0"),"Standaard")</f>
        <v>#DIV/0!</v>
      </c>
      <c r="D38" s="8" t="str">
        <f>TEXT(Totaal!C$2,"0")</f>
        <v>100</v>
      </c>
      <c r="E38" s="22" t="e">
        <f>TEXT(TEXT(SUM(Totaal!C$3:C$102)/COUNTIF(Totaal!C$3:C$102,"&lt;&gt;0"),"0,0"),"Standaard")</f>
        <v>#DIV/0!</v>
      </c>
      <c r="F38" t="str">
        <f>Totaal!E$1</f>
        <v>A</v>
      </c>
      <c r="G38" t="str">
        <f>TEXT(TEXT(Totaal!E38,"0,0"),"Standaard")</f>
        <v>0</v>
      </c>
      <c r="H38" t="str">
        <f>TEXT(Totaal!E$2,"0")</f>
        <v>0</v>
      </c>
      <c r="I38" t="e">
        <f>TEXT(TEXT(MEDIAN(Totaal!E$3:E$102),"0,0"),"Standaard")</f>
        <v>#NUM!</v>
      </c>
      <c r="J38" t="str">
        <f>Totaal!F$1</f>
        <v>B</v>
      </c>
      <c r="K38" t="str">
        <f>TEXT(TEXT(Totaal!$F38,"0,0"),"Standaard")</f>
        <v>0</v>
      </c>
      <c r="L38" t="str">
        <f>TEXT(Totaal!F$2,"0")</f>
        <v>0</v>
      </c>
      <c r="M38" t="e">
        <f>TEXT(TEXT(MEDIAN(Totaal!$F$3:$F$102),"0,0"),"Standaard")</f>
        <v>#NUM!</v>
      </c>
      <c r="N38" t="str">
        <f>Totaal!G$1</f>
        <v>C</v>
      </c>
      <c r="O38" t="str">
        <f>TEXT(TEXT(Totaal!$G38,"0,0"),"Standaard")</f>
        <v>0</v>
      </c>
      <c r="P38" t="str">
        <f>TEXT(Totaal!$G$2,"0")</f>
        <v>0</v>
      </c>
      <c r="Q38" t="e">
        <f>TEXT(TEXT(MEDIAN(Totaal!$G$3:$G$102),"0,0"),"Standaard")</f>
        <v>#NUM!</v>
      </c>
      <c r="R38" t="str">
        <f>Totaal!H$1</f>
        <v>D</v>
      </c>
      <c r="S38" t="str">
        <f>TEXT(TEXT(Totaal!$H38,"0,0"),"Standaard")</f>
        <v>0</v>
      </c>
      <c r="T38" t="str">
        <f>TEXT(Totaal!$H$2,"0")</f>
        <v>0</v>
      </c>
      <c r="U38" t="e">
        <f>TEXT(TEXT(MEDIAN(Totaal!$H$3:$H$102),"0,0"),"Standaard")</f>
        <v>#NUM!</v>
      </c>
      <c r="V38" t="str">
        <f>Totaal!I$1</f>
        <v>E</v>
      </c>
      <c r="W38" t="str">
        <f>TEXT(TEXT(Totaal!$I38,"0,0"),"Standaard")</f>
        <v>0</v>
      </c>
      <c r="X38" t="str">
        <f>TEXT(Totaal!$I$2,"0")</f>
        <v>0</v>
      </c>
      <c r="Y38" t="e">
        <f>TEXT(TEXT(MEDIAN(Totaal!$I$3:$I$102),"0,0"),"Standaard")</f>
        <v>#NUM!</v>
      </c>
      <c r="Z38" t="str">
        <f>Totaal!J$1</f>
        <v>F</v>
      </c>
      <c r="AA38" t="str">
        <f>TEXT(TEXT(Totaal!$J38,"0,0"),"Standaard")</f>
        <v>0</v>
      </c>
      <c r="AB38" t="str">
        <f>TEXT(Totaal!$J$2,"0")</f>
        <v>0</v>
      </c>
      <c r="AC38" t="e">
        <f>TEXT(TEXT(MEDIAN(Totaal!$J$3:$J$102),"0,0"),"Standaard")</f>
        <v>#NUM!</v>
      </c>
      <c r="AD38" t="str">
        <f>Totaal!K$1</f>
        <v>G</v>
      </c>
      <c r="AE38" t="str">
        <f>TEXT(TEXT(Totaal!$K38,"0,0"),"Standaard")</f>
        <v>0</v>
      </c>
      <c r="AF38" t="str">
        <f>TEXT(Totaal!$K$2,"0")</f>
        <v>0</v>
      </c>
      <c r="AG38" t="e">
        <f>TEXT(TEXT(MEDIAN(Totaal!$K$3:$K$102),"0,0"),"Standaard")</f>
        <v>#NUM!</v>
      </c>
      <c r="AH38" t="str">
        <f>Totaal!L$1</f>
        <v>H</v>
      </c>
      <c r="AI38" t="str">
        <f>TEXT(TEXT(Totaal!$L38,"0,0"),"Standaard")</f>
        <v>0</v>
      </c>
      <c r="AJ38" t="str">
        <f>TEXT(Totaal!$L$2,"0")</f>
        <v>0</v>
      </c>
      <c r="AK38" t="e">
        <f>TEXT(TEXT(MEDIAN(Totaal!$L$3:$L$102),"0,0"),"Standaard")</f>
        <v>#NUM!</v>
      </c>
      <c r="AL38" t="str">
        <f>Totaal!M$1</f>
        <v>I</v>
      </c>
      <c r="AM38" t="str">
        <f>TEXT(TEXT(Totaal!$M38,"0,0"),"Standaard")</f>
        <v>0</v>
      </c>
      <c r="AN38" t="str">
        <f>TEXT(Totaal!$M$2,"0")</f>
        <v>0</v>
      </c>
      <c r="AO38" t="e">
        <f>TEXT(TEXT(MEDIAN(Totaal!$M$3:$M$102),"0,0"),"Standaard")</f>
        <v>#NUM!</v>
      </c>
      <c r="AP38" t="str">
        <f>Totaal!N$1</f>
        <v>J</v>
      </c>
      <c r="AQ38" t="str">
        <f>TEXT(TEXT(Totaal!$N38,"0,0"),"Standaard")</f>
        <v>0</v>
      </c>
      <c r="AR38" t="str">
        <f>TEXT(Totaal!$N$2,"0")</f>
        <v>0</v>
      </c>
      <c r="AS38" t="e">
        <f>TEXT(TEXT(MEDIAN(Totaal!$N$3:$N$102),"0,0"),"Standaard")</f>
        <v>#NUM!</v>
      </c>
      <c r="AT38" t="str">
        <f>Totaal!O$1</f>
        <v>K</v>
      </c>
      <c r="AU38" t="str">
        <f>TEXT(TEXT(Totaal!$O38,"0,0"),"Standaard")</f>
        <v>0</v>
      </c>
      <c r="AV38" t="str">
        <f>TEXT(Totaal!$O$2,"0")</f>
        <v>0</v>
      </c>
      <c r="AW38" t="e">
        <f>TEXT(TEXT(MEDIAN(Totaal!$O$3:$O$102),"0,0"),"Standaard")</f>
        <v>#NUM!</v>
      </c>
      <c r="AX38" t="str">
        <f>Totaal!P$1</f>
        <v>L</v>
      </c>
      <c r="AY38" t="str">
        <f>TEXT(TEXT(Totaal!$P38,"0,0"),"Standaard")</f>
        <v>0</v>
      </c>
      <c r="AZ38" t="str">
        <f>TEXT(Totaal!$P$2,"0")</f>
        <v>0</v>
      </c>
      <c r="BA38" t="e">
        <f>TEXT(TEXT(MEDIAN(Totaal!$P$3:$P$102),"0,0"),"Standaard")</f>
        <v>#NUM!</v>
      </c>
      <c r="BB38" t="str">
        <f>Totaal!Q$1</f>
        <v>M</v>
      </c>
      <c r="BC38" t="str">
        <f>TEXT(TEXT(Totaal!$Q38,"0,0"),"Standaard")</f>
        <v>0</v>
      </c>
      <c r="BD38" t="str">
        <f>TEXT(Totaal!$Q$2,"0")</f>
        <v>0</v>
      </c>
      <c r="BE38" t="e">
        <f>TEXT(TEXT(MEDIAN(Totaal!$Q$3:$Q$102),"0,0"),"Standaard")</f>
        <v>#NUM!</v>
      </c>
      <c r="BF38" t="str">
        <f>Totaal!R$1</f>
        <v>N</v>
      </c>
      <c r="BG38" t="str">
        <f>TEXT(TEXT(Totaal!$R38,"0,0"),"Standaard")</f>
        <v>0</v>
      </c>
      <c r="BH38" t="str">
        <f>TEXT(Totaal!$R$2,"0")</f>
        <v>0</v>
      </c>
      <c r="BI38" t="e">
        <f>TEXT(TEXT(MEDIAN(Totaal!$R$3:$R$102),"0,0"),"Standaard")</f>
        <v>#NUM!</v>
      </c>
      <c r="BJ38" t="str">
        <f>Totaal!S$1</f>
        <v>O</v>
      </c>
      <c r="BK38" t="str">
        <f>TEXT(TEXT(Totaal!$S38,"0,0"),"Standaard")</f>
        <v>0</v>
      </c>
      <c r="BL38" t="str">
        <f>TEXT(Totaal!$S$2,"0")</f>
        <v>0</v>
      </c>
      <c r="BM38" t="e">
        <f>TEXT(TEXT(MEDIAN(Totaal!$S$3:$S$102),"0,0"),"Standaard")</f>
        <v>#NUM!</v>
      </c>
      <c r="BN38" t="str">
        <f>Totaal!T$1</f>
        <v>P</v>
      </c>
      <c r="BO38" t="str">
        <f>TEXT(TEXT(Totaal!$T38,"0,0"),"Standaard")</f>
        <v>0</v>
      </c>
      <c r="BP38" t="str">
        <f>TEXT(Totaal!$T$2,"0")</f>
        <v>0</v>
      </c>
      <c r="BQ38" t="e">
        <f>TEXT(TEXT(MEDIAN(Totaal!$T$3:$T$102),"0,0"),"Standaard")</f>
        <v>#NUM!</v>
      </c>
      <c r="BR38" t="str">
        <f>IF(Totaal!U38="","",Totaal!U38)</f>
        <v/>
      </c>
    </row>
    <row r="39" spans="1:70">
      <c r="A39">
        <f>Totaal!A39</f>
        <v>37</v>
      </c>
      <c r="B39" s="22" t="str">
        <f>IF(Totaal!B39="","",Totaal!B39)</f>
        <v/>
      </c>
      <c r="C39" s="8" t="e">
        <f>TEXT(TEXT(Totaal!C39,"0,0"),"Standaard")</f>
        <v>#DIV/0!</v>
      </c>
      <c r="D39" s="8" t="str">
        <f>TEXT(Totaal!C$2,"0")</f>
        <v>100</v>
      </c>
      <c r="E39" s="22" t="e">
        <f>TEXT(TEXT(SUM(Totaal!C$3:C$102)/COUNTIF(Totaal!C$3:C$102,"&lt;&gt;0"),"0,0"),"Standaard")</f>
        <v>#DIV/0!</v>
      </c>
      <c r="F39" t="str">
        <f>Totaal!E$1</f>
        <v>A</v>
      </c>
      <c r="G39" t="str">
        <f>TEXT(TEXT(Totaal!E39,"0,0"),"Standaard")</f>
        <v>0</v>
      </c>
      <c r="H39" t="str">
        <f>TEXT(Totaal!E$2,"0")</f>
        <v>0</v>
      </c>
      <c r="I39" t="e">
        <f>TEXT(TEXT(MEDIAN(Totaal!E$3:E$102),"0,0"),"Standaard")</f>
        <v>#NUM!</v>
      </c>
      <c r="J39" t="str">
        <f>Totaal!F$1</f>
        <v>B</v>
      </c>
      <c r="K39" t="str">
        <f>TEXT(TEXT(Totaal!$F39,"0,0"),"Standaard")</f>
        <v>0</v>
      </c>
      <c r="L39" t="str">
        <f>TEXT(Totaal!F$2,"0")</f>
        <v>0</v>
      </c>
      <c r="M39" t="e">
        <f>TEXT(TEXT(MEDIAN(Totaal!$F$3:$F$102),"0,0"),"Standaard")</f>
        <v>#NUM!</v>
      </c>
      <c r="N39" t="str">
        <f>Totaal!G$1</f>
        <v>C</v>
      </c>
      <c r="O39" t="str">
        <f>TEXT(TEXT(Totaal!$G39,"0,0"),"Standaard")</f>
        <v>0</v>
      </c>
      <c r="P39" t="str">
        <f>TEXT(Totaal!$G$2,"0")</f>
        <v>0</v>
      </c>
      <c r="Q39" t="e">
        <f>TEXT(TEXT(MEDIAN(Totaal!$G$3:$G$102),"0,0"),"Standaard")</f>
        <v>#NUM!</v>
      </c>
      <c r="R39" t="str">
        <f>Totaal!H$1</f>
        <v>D</v>
      </c>
      <c r="S39" t="str">
        <f>TEXT(TEXT(Totaal!$H39,"0,0"),"Standaard")</f>
        <v>0</v>
      </c>
      <c r="T39" t="str">
        <f>TEXT(Totaal!$H$2,"0")</f>
        <v>0</v>
      </c>
      <c r="U39" t="e">
        <f>TEXT(TEXT(MEDIAN(Totaal!$H$3:$H$102),"0,0"),"Standaard")</f>
        <v>#NUM!</v>
      </c>
      <c r="V39" t="str">
        <f>Totaal!I$1</f>
        <v>E</v>
      </c>
      <c r="W39" t="str">
        <f>TEXT(TEXT(Totaal!$I39,"0,0"),"Standaard")</f>
        <v>0</v>
      </c>
      <c r="X39" t="str">
        <f>TEXT(Totaal!$I$2,"0")</f>
        <v>0</v>
      </c>
      <c r="Y39" t="e">
        <f>TEXT(TEXT(MEDIAN(Totaal!$I$3:$I$102),"0,0"),"Standaard")</f>
        <v>#NUM!</v>
      </c>
      <c r="Z39" t="str">
        <f>Totaal!J$1</f>
        <v>F</v>
      </c>
      <c r="AA39" t="str">
        <f>TEXT(TEXT(Totaal!$J39,"0,0"),"Standaard")</f>
        <v>0</v>
      </c>
      <c r="AB39" t="str">
        <f>TEXT(Totaal!$J$2,"0")</f>
        <v>0</v>
      </c>
      <c r="AC39" t="e">
        <f>TEXT(TEXT(MEDIAN(Totaal!$J$3:$J$102),"0,0"),"Standaard")</f>
        <v>#NUM!</v>
      </c>
      <c r="AD39" t="str">
        <f>Totaal!K$1</f>
        <v>G</v>
      </c>
      <c r="AE39" t="str">
        <f>TEXT(TEXT(Totaal!$K39,"0,0"),"Standaard")</f>
        <v>0</v>
      </c>
      <c r="AF39" t="str">
        <f>TEXT(Totaal!$K$2,"0")</f>
        <v>0</v>
      </c>
      <c r="AG39" t="e">
        <f>TEXT(TEXT(MEDIAN(Totaal!$K$3:$K$102),"0,0"),"Standaard")</f>
        <v>#NUM!</v>
      </c>
      <c r="AH39" t="str">
        <f>Totaal!L$1</f>
        <v>H</v>
      </c>
      <c r="AI39" t="str">
        <f>TEXT(TEXT(Totaal!$L39,"0,0"),"Standaard")</f>
        <v>0</v>
      </c>
      <c r="AJ39" t="str">
        <f>TEXT(Totaal!$L$2,"0")</f>
        <v>0</v>
      </c>
      <c r="AK39" t="e">
        <f>TEXT(TEXT(MEDIAN(Totaal!$L$3:$L$102),"0,0"),"Standaard")</f>
        <v>#NUM!</v>
      </c>
      <c r="AL39" t="str">
        <f>Totaal!M$1</f>
        <v>I</v>
      </c>
      <c r="AM39" t="str">
        <f>TEXT(TEXT(Totaal!$M39,"0,0"),"Standaard")</f>
        <v>0</v>
      </c>
      <c r="AN39" t="str">
        <f>TEXT(Totaal!$M$2,"0")</f>
        <v>0</v>
      </c>
      <c r="AO39" t="e">
        <f>TEXT(TEXT(MEDIAN(Totaal!$M$3:$M$102),"0,0"),"Standaard")</f>
        <v>#NUM!</v>
      </c>
      <c r="AP39" t="str">
        <f>Totaal!N$1</f>
        <v>J</v>
      </c>
      <c r="AQ39" t="str">
        <f>TEXT(TEXT(Totaal!$N39,"0,0"),"Standaard")</f>
        <v>0</v>
      </c>
      <c r="AR39" t="str">
        <f>TEXT(Totaal!$N$2,"0")</f>
        <v>0</v>
      </c>
      <c r="AS39" t="e">
        <f>TEXT(TEXT(MEDIAN(Totaal!$N$3:$N$102),"0,0"),"Standaard")</f>
        <v>#NUM!</v>
      </c>
      <c r="AT39" t="str">
        <f>Totaal!O$1</f>
        <v>K</v>
      </c>
      <c r="AU39" t="str">
        <f>TEXT(TEXT(Totaal!$O39,"0,0"),"Standaard")</f>
        <v>0</v>
      </c>
      <c r="AV39" t="str">
        <f>TEXT(Totaal!$O$2,"0")</f>
        <v>0</v>
      </c>
      <c r="AW39" t="e">
        <f>TEXT(TEXT(MEDIAN(Totaal!$O$3:$O$102),"0,0"),"Standaard")</f>
        <v>#NUM!</v>
      </c>
      <c r="AX39" t="str">
        <f>Totaal!P$1</f>
        <v>L</v>
      </c>
      <c r="AY39" t="str">
        <f>TEXT(TEXT(Totaal!$P39,"0,0"),"Standaard")</f>
        <v>0</v>
      </c>
      <c r="AZ39" t="str">
        <f>TEXT(Totaal!$P$2,"0")</f>
        <v>0</v>
      </c>
      <c r="BA39" t="e">
        <f>TEXT(TEXT(MEDIAN(Totaal!$P$3:$P$102),"0,0"),"Standaard")</f>
        <v>#NUM!</v>
      </c>
      <c r="BB39" t="str">
        <f>Totaal!Q$1</f>
        <v>M</v>
      </c>
      <c r="BC39" t="str">
        <f>TEXT(TEXT(Totaal!$Q39,"0,0"),"Standaard")</f>
        <v>0</v>
      </c>
      <c r="BD39" t="str">
        <f>TEXT(Totaal!$Q$2,"0")</f>
        <v>0</v>
      </c>
      <c r="BE39" t="e">
        <f>TEXT(TEXT(MEDIAN(Totaal!$Q$3:$Q$102),"0,0"),"Standaard")</f>
        <v>#NUM!</v>
      </c>
      <c r="BF39" t="str">
        <f>Totaal!R$1</f>
        <v>N</v>
      </c>
      <c r="BG39" t="str">
        <f>TEXT(TEXT(Totaal!$R39,"0,0"),"Standaard")</f>
        <v>0</v>
      </c>
      <c r="BH39" t="str">
        <f>TEXT(Totaal!$R$2,"0")</f>
        <v>0</v>
      </c>
      <c r="BI39" t="e">
        <f>TEXT(TEXT(MEDIAN(Totaal!$R$3:$R$102),"0,0"),"Standaard")</f>
        <v>#NUM!</v>
      </c>
      <c r="BJ39" t="str">
        <f>Totaal!S$1</f>
        <v>O</v>
      </c>
      <c r="BK39" t="str">
        <f>TEXT(TEXT(Totaal!$S39,"0,0"),"Standaard")</f>
        <v>0</v>
      </c>
      <c r="BL39" t="str">
        <f>TEXT(Totaal!$S$2,"0")</f>
        <v>0</v>
      </c>
      <c r="BM39" t="e">
        <f>TEXT(TEXT(MEDIAN(Totaal!$S$3:$S$102),"0,0"),"Standaard")</f>
        <v>#NUM!</v>
      </c>
      <c r="BN39" t="str">
        <f>Totaal!T$1</f>
        <v>P</v>
      </c>
      <c r="BO39" t="str">
        <f>TEXT(TEXT(Totaal!$T39,"0,0"),"Standaard")</f>
        <v>0</v>
      </c>
      <c r="BP39" t="str">
        <f>TEXT(Totaal!$T$2,"0")</f>
        <v>0</v>
      </c>
      <c r="BQ39" t="e">
        <f>TEXT(TEXT(MEDIAN(Totaal!$T$3:$T$102),"0,0"),"Standaard")</f>
        <v>#NUM!</v>
      </c>
      <c r="BR39" t="str">
        <f>IF(Totaal!U39="","",Totaal!U39)</f>
        <v/>
      </c>
    </row>
    <row r="40" spans="1:70">
      <c r="A40">
        <f>Totaal!A40</f>
        <v>38</v>
      </c>
      <c r="B40" s="22" t="str">
        <f>IF(Totaal!B40="","",Totaal!B40)</f>
        <v/>
      </c>
      <c r="C40" s="8" t="e">
        <f>TEXT(TEXT(Totaal!C40,"0,0"),"Standaard")</f>
        <v>#DIV/0!</v>
      </c>
      <c r="D40" s="8" t="str">
        <f>TEXT(Totaal!C$2,"0")</f>
        <v>100</v>
      </c>
      <c r="E40" s="22" t="e">
        <f>TEXT(TEXT(SUM(Totaal!C$3:C$102)/COUNTIF(Totaal!C$3:C$102,"&lt;&gt;0"),"0,0"),"Standaard")</f>
        <v>#DIV/0!</v>
      </c>
      <c r="F40" t="str">
        <f>Totaal!E$1</f>
        <v>A</v>
      </c>
      <c r="G40" t="str">
        <f>TEXT(TEXT(Totaal!E40,"0,0"),"Standaard")</f>
        <v>0</v>
      </c>
      <c r="H40" t="str">
        <f>TEXT(Totaal!E$2,"0")</f>
        <v>0</v>
      </c>
      <c r="I40" t="e">
        <f>TEXT(TEXT(MEDIAN(Totaal!E$3:E$102),"0,0"),"Standaard")</f>
        <v>#NUM!</v>
      </c>
      <c r="J40" t="str">
        <f>Totaal!F$1</f>
        <v>B</v>
      </c>
      <c r="K40" t="str">
        <f>TEXT(TEXT(Totaal!$F40,"0,0"),"Standaard")</f>
        <v>0</v>
      </c>
      <c r="L40" t="str">
        <f>TEXT(Totaal!F$2,"0")</f>
        <v>0</v>
      </c>
      <c r="M40" t="e">
        <f>TEXT(TEXT(MEDIAN(Totaal!$F$3:$F$102),"0,0"),"Standaard")</f>
        <v>#NUM!</v>
      </c>
      <c r="N40" t="str">
        <f>Totaal!G$1</f>
        <v>C</v>
      </c>
      <c r="O40" t="str">
        <f>TEXT(TEXT(Totaal!$G40,"0,0"),"Standaard")</f>
        <v>0</v>
      </c>
      <c r="P40" t="str">
        <f>TEXT(Totaal!$G$2,"0")</f>
        <v>0</v>
      </c>
      <c r="Q40" t="e">
        <f>TEXT(TEXT(MEDIAN(Totaal!$G$3:$G$102),"0,0"),"Standaard")</f>
        <v>#NUM!</v>
      </c>
      <c r="R40" t="str">
        <f>Totaal!H$1</f>
        <v>D</v>
      </c>
      <c r="S40" t="str">
        <f>TEXT(TEXT(Totaal!$H40,"0,0"),"Standaard")</f>
        <v>0</v>
      </c>
      <c r="T40" t="str">
        <f>TEXT(Totaal!$H$2,"0")</f>
        <v>0</v>
      </c>
      <c r="U40" t="e">
        <f>TEXT(TEXT(MEDIAN(Totaal!$H$3:$H$102),"0,0"),"Standaard")</f>
        <v>#NUM!</v>
      </c>
      <c r="V40" t="str">
        <f>Totaal!I$1</f>
        <v>E</v>
      </c>
      <c r="W40" t="str">
        <f>TEXT(TEXT(Totaal!$I40,"0,0"),"Standaard")</f>
        <v>0</v>
      </c>
      <c r="X40" t="str">
        <f>TEXT(Totaal!$I$2,"0")</f>
        <v>0</v>
      </c>
      <c r="Y40" t="e">
        <f>TEXT(TEXT(MEDIAN(Totaal!$I$3:$I$102),"0,0"),"Standaard")</f>
        <v>#NUM!</v>
      </c>
      <c r="Z40" t="str">
        <f>Totaal!J$1</f>
        <v>F</v>
      </c>
      <c r="AA40" t="str">
        <f>TEXT(TEXT(Totaal!$J40,"0,0"),"Standaard")</f>
        <v>0</v>
      </c>
      <c r="AB40" t="str">
        <f>TEXT(Totaal!$J$2,"0")</f>
        <v>0</v>
      </c>
      <c r="AC40" t="e">
        <f>TEXT(TEXT(MEDIAN(Totaal!$J$3:$J$102),"0,0"),"Standaard")</f>
        <v>#NUM!</v>
      </c>
      <c r="AD40" t="str">
        <f>Totaal!K$1</f>
        <v>G</v>
      </c>
      <c r="AE40" t="str">
        <f>TEXT(TEXT(Totaal!$K40,"0,0"),"Standaard")</f>
        <v>0</v>
      </c>
      <c r="AF40" t="str">
        <f>TEXT(Totaal!$K$2,"0")</f>
        <v>0</v>
      </c>
      <c r="AG40" t="e">
        <f>TEXT(TEXT(MEDIAN(Totaal!$K$3:$K$102),"0,0"),"Standaard")</f>
        <v>#NUM!</v>
      </c>
      <c r="AH40" t="str">
        <f>Totaal!L$1</f>
        <v>H</v>
      </c>
      <c r="AI40" t="str">
        <f>TEXT(TEXT(Totaal!$L40,"0,0"),"Standaard")</f>
        <v>0</v>
      </c>
      <c r="AJ40" t="str">
        <f>TEXT(Totaal!$L$2,"0")</f>
        <v>0</v>
      </c>
      <c r="AK40" t="e">
        <f>TEXT(TEXT(MEDIAN(Totaal!$L$3:$L$102),"0,0"),"Standaard")</f>
        <v>#NUM!</v>
      </c>
      <c r="AL40" t="str">
        <f>Totaal!M$1</f>
        <v>I</v>
      </c>
      <c r="AM40" t="str">
        <f>TEXT(TEXT(Totaal!$M40,"0,0"),"Standaard")</f>
        <v>0</v>
      </c>
      <c r="AN40" t="str">
        <f>TEXT(Totaal!$M$2,"0")</f>
        <v>0</v>
      </c>
      <c r="AO40" t="e">
        <f>TEXT(TEXT(MEDIAN(Totaal!$M$3:$M$102),"0,0"),"Standaard")</f>
        <v>#NUM!</v>
      </c>
      <c r="AP40" t="str">
        <f>Totaal!N$1</f>
        <v>J</v>
      </c>
      <c r="AQ40" t="str">
        <f>TEXT(TEXT(Totaal!$N40,"0,0"),"Standaard")</f>
        <v>0</v>
      </c>
      <c r="AR40" t="str">
        <f>TEXT(Totaal!$N$2,"0")</f>
        <v>0</v>
      </c>
      <c r="AS40" t="e">
        <f>TEXT(TEXT(MEDIAN(Totaal!$N$3:$N$102),"0,0"),"Standaard")</f>
        <v>#NUM!</v>
      </c>
      <c r="AT40" t="str">
        <f>Totaal!O$1</f>
        <v>K</v>
      </c>
      <c r="AU40" t="str">
        <f>TEXT(TEXT(Totaal!$O40,"0,0"),"Standaard")</f>
        <v>0</v>
      </c>
      <c r="AV40" t="str">
        <f>TEXT(Totaal!$O$2,"0")</f>
        <v>0</v>
      </c>
      <c r="AW40" t="e">
        <f>TEXT(TEXT(MEDIAN(Totaal!$O$3:$O$102),"0,0"),"Standaard")</f>
        <v>#NUM!</v>
      </c>
      <c r="AX40" t="str">
        <f>Totaal!P$1</f>
        <v>L</v>
      </c>
      <c r="AY40" t="str">
        <f>TEXT(TEXT(Totaal!$P40,"0,0"),"Standaard")</f>
        <v>0</v>
      </c>
      <c r="AZ40" t="str">
        <f>TEXT(Totaal!$P$2,"0")</f>
        <v>0</v>
      </c>
      <c r="BA40" t="e">
        <f>TEXT(TEXT(MEDIAN(Totaal!$P$3:$P$102),"0,0"),"Standaard")</f>
        <v>#NUM!</v>
      </c>
      <c r="BB40" t="str">
        <f>Totaal!Q$1</f>
        <v>M</v>
      </c>
      <c r="BC40" t="str">
        <f>TEXT(TEXT(Totaal!$Q40,"0,0"),"Standaard")</f>
        <v>0</v>
      </c>
      <c r="BD40" t="str">
        <f>TEXT(Totaal!$Q$2,"0")</f>
        <v>0</v>
      </c>
      <c r="BE40" t="e">
        <f>TEXT(TEXT(MEDIAN(Totaal!$Q$3:$Q$102),"0,0"),"Standaard")</f>
        <v>#NUM!</v>
      </c>
      <c r="BF40" t="str">
        <f>Totaal!R$1</f>
        <v>N</v>
      </c>
      <c r="BG40" t="str">
        <f>TEXT(TEXT(Totaal!$R40,"0,0"),"Standaard")</f>
        <v>0</v>
      </c>
      <c r="BH40" t="str">
        <f>TEXT(Totaal!$R$2,"0")</f>
        <v>0</v>
      </c>
      <c r="BI40" t="e">
        <f>TEXT(TEXT(MEDIAN(Totaal!$R$3:$R$102),"0,0"),"Standaard")</f>
        <v>#NUM!</v>
      </c>
      <c r="BJ40" t="str">
        <f>Totaal!S$1</f>
        <v>O</v>
      </c>
      <c r="BK40" t="str">
        <f>TEXT(TEXT(Totaal!$S40,"0,0"),"Standaard")</f>
        <v>0</v>
      </c>
      <c r="BL40" t="str">
        <f>TEXT(Totaal!$S$2,"0")</f>
        <v>0</v>
      </c>
      <c r="BM40" t="e">
        <f>TEXT(TEXT(MEDIAN(Totaal!$S$3:$S$102),"0,0"),"Standaard")</f>
        <v>#NUM!</v>
      </c>
      <c r="BN40" t="str">
        <f>Totaal!T$1</f>
        <v>P</v>
      </c>
      <c r="BO40" t="str">
        <f>TEXT(TEXT(Totaal!$T40,"0,0"),"Standaard")</f>
        <v>0</v>
      </c>
      <c r="BP40" t="str">
        <f>TEXT(Totaal!$T$2,"0")</f>
        <v>0</v>
      </c>
      <c r="BQ40" t="e">
        <f>TEXT(TEXT(MEDIAN(Totaal!$T$3:$T$102),"0,0"),"Standaard")</f>
        <v>#NUM!</v>
      </c>
      <c r="BR40" t="str">
        <f>IF(Totaal!U40="","",Totaal!U40)</f>
        <v/>
      </c>
    </row>
    <row r="41" spans="1:70">
      <c r="A41">
        <f>Totaal!A41</f>
        <v>39</v>
      </c>
      <c r="B41" s="22" t="str">
        <f>IF(Totaal!B41="","",Totaal!B41)</f>
        <v/>
      </c>
      <c r="C41" s="8" t="e">
        <f>TEXT(TEXT(Totaal!C41,"0,0"),"Standaard")</f>
        <v>#DIV/0!</v>
      </c>
      <c r="D41" s="8" t="str">
        <f>TEXT(Totaal!C$2,"0")</f>
        <v>100</v>
      </c>
      <c r="E41" s="22" t="e">
        <f>TEXT(TEXT(SUM(Totaal!C$3:C$102)/COUNTIF(Totaal!C$3:C$102,"&lt;&gt;0"),"0,0"),"Standaard")</f>
        <v>#DIV/0!</v>
      </c>
      <c r="F41" t="str">
        <f>Totaal!E$1</f>
        <v>A</v>
      </c>
      <c r="G41" t="str">
        <f>TEXT(TEXT(Totaal!E41,"0,0"),"Standaard")</f>
        <v>0</v>
      </c>
      <c r="H41" t="str">
        <f>TEXT(Totaal!E$2,"0")</f>
        <v>0</v>
      </c>
      <c r="I41" t="e">
        <f>TEXT(TEXT(MEDIAN(Totaal!E$3:E$102),"0,0"),"Standaard")</f>
        <v>#NUM!</v>
      </c>
      <c r="J41" t="str">
        <f>Totaal!F$1</f>
        <v>B</v>
      </c>
      <c r="K41" t="str">
        <f>TEXT(TEXT(Totaal!$F41,"0,0"),"Standaard")</f>
        <v>0</v>
      </c>
      <c r="L41" t="str">
        <f>TEXT(Totaal!F$2,"0")</f>
        <v>0</v>
      </c>
      <c r="M41" t="e">
        <f>TEXT(TEXT(MEDIAN(Totaal!$F$3:$F$102),"0,0"),"Standaard")</f>
        <v>#NUM!</v>
      </c>
      <c r="N41" t="str">
        <f>Totaal!G$1</f>
        <v>C</v>
      </c>
      <c r="O41" t="str">
        <f>TEXT(TEXT(Totaal!$G41,"0,0"),"Standaard")</f>
        <v>0</v>
      </c>
      <c r="P41" t="str">
        <f>TEXT(Totaal!$G$2,"0")</f>
        <v>0</v>
      </c>
      <c r="Q41" t="e">
        <f>TEXT(TEXT(MEDIAN(Totaal!$G$3:$G$102),"0,0"),"Standaard")</f>
        <v>#NUM!</v>
      </c>
      <c r="R41" t="str">
        <f>Totaal!H$1</f>
        <v>D</v>
      </c>
      <c r="S41" t="str">
        <f>TEXT(TEXT(Totaal!$H41,"0,0"),"Standaard")</f>
        <v>0</v>
      </c>
      <c r="T41" t="str">
        <f>TEXT(Totaal!$H$2,"0")</f>
        <v>0</v>
      </c>
      <c r="U41" t="e">
        <f>TEXT(TEXT(MEDIAN(Totaal!$H$3:$H$102),"0,0"),"Standaard")</f>
        <v>#NUM!</v>
      </c>
      <c r="V41" t="str">
        <f>Totaal!I$1</f>
        <v>E</v>
      </c>
      <c r="W41" t="str">
        <f>TEXT(TEXT(Totaal!$I41,"0,0"),"Standaard")</f>
        <v>0</v>
      </c>
      <c r="X41" t="str">
        <f>TEXT(Totaal!$I$2,"0")</f>
        <v>0</v>
      </c>
      <c r="Y41" t="e">
        <f>TEXT(TEXT(MEDIAN(Totaal!$I$3:$I$102),"0,0"),"Standaard")</f>
        <v>#NUM!</v>
      </c>
      <c r="Z41" t="str">
        <f>Totaal!J$1</f>
        <v>F</v>
      </c>
      <c r="AA41" t="str">
        <f>TEXT(TEXT(Totaal!$J41,"0,0"),"Standaard")</f>
        <v>0</v>
      </c>
      <c r="AB41" t="str">
        <f>TEXT(Totaal!$J$2,"0")</f>
        <v>0</v>
      </c>
      <c r="AC41" t="e">
        <f>TEXT(TEXT(MEDIAN(Totaal!$J$3:$J$102),"0,0"),"Standaard")</f>
        <v>#NUM!</v>
      </c>
      <c r="AD41" t="str">
        <f>Totaal!K$1</f>
        <v>G</v>
      </c>
      <c r="AE41" t="str">
        <f>TEXT(TEXT(Totaal!$K41,"0,0"),"Standaard")</f>
        <v>0</v>
      </c>
      <c r="AF41" t="str">
        <f>TEXT(Totaal!$K$2,"0")</f>
        <v>0</v>
      </c>
      <c r="AG41" t="e">
        <f>TEXT(TEXT(MEDIAN(Totaal!$K$3:$K$102),"0,0"),"Standaard")</f>
        <v>#NUM!</v>
      </c>
      <c r="AH41" t="str">
        <f>Totaal!L$1</f>
        <v>H</v>
      </c>
      <c r="AI41" t="str">
        <f>TEXT(TEXT(Totaal!$L41,"0,0"),"Standaard")</f>
        <v>0</v>
      </c>
      <c r="AJ41" t="str">
        <f>TEXT(Totaal!$L$2,"0")</f>
        <v>0</v>
      </c>
      <c r="AK41" t="e">
        <f>TEXT(TEXT(MEDIAN(Totaal!$L$3:$L$102),"0,0"),"Standaard")</f>
        <v>#NUM!</v>
      </c>
      <c r="AL41" t="str">
        <f>Totaal!M$1</f>
        <v>I</v>
      </c>
      <c r="AM41" t="str">
        <f>TEXT(TEXT(Totaal!$M41,"0,0"),"Standaard")</f>
        <v>0</v>
      </c>
      <c r="AN41" t="str">
        <f>TEXT(Totaal!$M$2,"0")</f>
        <v>0</v>
      </c>
      <c r="AO41" t="e">
        <f>TEXT(TEXT(MEDIAN(Totaal!$M$3:$M$102),"0,0"),"Standaard")</f>
        <v>#NUM!</v>
      </c>
      <c r="AP41" t="str">
        <f>Totaal!N$1</f>
        <v>J</v>
      </c>
      <c r="AQ41" t="str">
        <f>TEXT(TEXT(Totaal!$N41,"0,0"),"Standaard")</f>
        <v>0</v>
      </c>
      <c r="AR41" t="str">
        <f>TEXT(Totaal!$N$2,"0")</f>
        <v>0</v>
      </c>
      <c r="AS41" t="e">
        <f>TEXT(TEXT(MEDIAN(Totaal!$N$3:$N$102),"0,0"),"Standaard")</f>
        <v>#NUM!</v>
      </c>
      <c r="AT41" t="str">
        <f>Totaal!O$1</f>
        <v>K</v>
      </c>
      <c r="AU41" t="str">
        <f>TEXT(TEXT(Totaal!$O41,"0,0"),"Standaard")</f>
        <v>0</v>
      </c>
      <c r="AV41" t="str">
        <f>TEXT(Totaal!$O$2,"0")</f>
        <v>0</v>
      </c>
      <c r="AW41" t="e">
        <f>TEXT(TEXT(MEDIAN(Totaal!$O$3:$O$102),"0,0"),"Standaard")</f>
        <v>#NUM!</v>
      </c>
      <c r="AX41" t="str">
        <f>Totaal!P$1</f>
        <v>L</v>
      </c>
      <c r="AY41" t="str">
        <f>TEXT(TEXT(Totaal!$P41,"0,0"),"Standaard")</f>
        <v>0</v>
      </c>
      <c r="AZ41" t="str">
        <f>TEXT(Totaal!$P$2,"0")</f>
        <v>0</v>
      </c>
      <c r="BA41" t="e">
        <f>TEXT(TEXT(MEDIAN(Totaal!$P$3:$P$102),"0,0"),"Standaard")</f>
        <v>#NUM!</v>
      </c>
      <c r="BB41" t="str">
        <f>Totaal!Q$1</f>
        <v>M</v>
      </c>
      <c r="BC41" t="str">
        <f>TEXT(TEXT(Totaal!$Q41,"0,0"),"Standaard")</f>
        <v>0</v>
      </c>
      <c r="BD41" t="str">
        <f>TEXT(Totaal!$Q$2,"0")</f>
        <v>0</v>
      </c>
      <c r="BE41" t="e">
        <f>TEXT(TEXT(MEDIAN(Totaal!$Q$3:$Q$102),"0,0"),"Standaard")</f>
        <v>#NUM!</v>
      </c>
      <c r="BF41" t="str">
        <f>Totaal!R$1</f>
        <v>N</v>
      </c>
      <c r="BG41" t="str">
        <f>TEXT(TEXT(Totaal!$R41,"0,0"),"Standaard")</f>
        <v>0</v>
      </c>
      <c r="BH41" t="str">
        <f>TEXT(Totaal!$R$2,"0")</f>
        <v>0</v>
      </c>
      <c r="BI41" t="e">
        <f>TEXT(TEXT(MEDIAN(Totaal!$R$3:$R$102),"0,0"),"Standaard")</f>
        <v>#NUM!</v>
      </c>
      <c r="BJ41" t="str">
        <f>Totaal!S$1</f>
        <v>O</v>
      </c>
      <c r="BK41" t="str">
        <f>TEXT(TEXT(Totaal!$S41,"0,0"),"Standaard")</f>
        <v>0</v>
      </c>
      <c r="BL41" t="str">
        <f>TEXT(Totaal!$S$2,"0")</f>
        <v>0</v>
      </c>
      <c r="BM41" t="e">
        <f>TEXT(TEXT(MEDIAN(Totaal!$S$3:$S$102),"0,0"),"Standaard")</f>
        <v>#NUM!</v>
      </c>
      <c r="BN41" t="str">
        <f>Totaal!T$1</f>
        <v>P</v>
      </c>
      <c r="BO41" t="str">
        <f>TEXT(TEXT(Totaal!$T41,"0,0"),"Standaard")</f>
        <v>0</v>
      </c>
      <c r="BP41" t="str">
        <f>TEXT(Totaal!$T$2,"0")</f>
        <v>0</v>
      </c>
      <c r="BQ41" t="e">
        <f>TEXT(TEXT(MEDIAN(Totaal!$T$3:$T$102),"0,0"),"Standaard")</f>
        <v>#NUM!</v>
      </c>
      <c r="BR41" t="str">
        <f>IF(Totaal!U41="","",Totaal!U41)</f>
        <v/>
      </c>
    </row>
    <row r="42" spans="1:70">
      <c r="A42">
        <f>Totaal!A42</f>
        <v>40</v>
      </c>
      <c r="B42" s="22" t="str">
        <f>IF(Totaal!B42="","",Totaal!B42)</f>
        <v/>
      </c>
      <c r="C42" s="8" t="e">
        <f>TEXT(TEXT(Totaal!C42,"0,0"),"Standaard")</f>
        <v>#DIV/0!</v>
      </c>
      <c r="D42" s="8" t="str">
        <f>TEXT(Totaal!C$2,"0")</f>
        <v>100</v>
      </c>
      <c r="E42" s="22" t="e">
        <f>TEXT(TEXT(SUM(Totaal!C$3:C$102)/COUNTIF(Totaal!C$3:C$102,"&lt;&gt;0"),"0,0"),"Standaard")</f>
        <v>#DIV/0!</v>
      </c>
      <c r="F42" t="str">
        <f>Totaal!E$1</f>
        <v>A</v>
      </c>
      <c r="G42" t="str">
        <f>TEXT(TEXT(Totaal!E42,"0,0"),"Standaard")</f>
        <v>0</v>
      </c>
      <c r="H42" t="str">
        <f>TEXT(Totaal!E$2,"0")</f>
        <v>0</v>
      </c>
      <c r="I42" t="e">
        <f>TEXT(TEXT(MEDIAN(Totaal!E$3:E$102),"0,0"),"Standaard")</f>
        <v>#NUM!</v>
      </c>
      <c r="J42" t="str">
        <f>Totaal!F$1</f>
        <v>B</v>
      </c>
      <c r="K42" t="str">
        <f>TEXT(TEXT(Totaal!$F42,"0,0"),"Standaard")</f>
        <v>0</v>
      </c>
      <c r="L42" t="str">
        <f>TEXT(Totaal!F$2,"0")</f>
        <v>0</v>
      </c>
      <c r="M42" t="e">
        <f>TEXT(TEXT(MEDIAN(Totaal!$F$3:$F$102),"0,0"),"Standaard")</f>
        <v>#NUM!</v>
      </c>
      <c r="N42" t="str">
        <f>Totaal!G$1</f>
        <v>C</v>
      </c>
      <c r="O42" t="str">
        <f>TEXT(TEXT(Totaal!$G42,"0,0"),"Standaard")</f>
        <v>0</v>
      </c>
      <c r="P42" t="str">
        <f>TEXT(Totaal!$G$2,"0")</f>
        <v>0</v>
      </c>
      <c r="Q42" t="e">
        <f>TEXT(TEXT(MEDIAN(Totaal!$G$3:$G$102),"0,0"),"Standaard")</f>
        <v>#NUM!</v>
      </c>
      <c r="R42" t="str">
        <f>Totaal!H$1</f>
        <v>D</v>
      </c>
      <c r="S42" t="str">
        <f>TEXT(TEXT(Totaal!$H42,"0,0"),"Standaard")</f>
        <v>0</v>
      </c>
      <c r="T42" t="str">
        <f>TEXT(Totaal!$H$2,"0")</f>
        <v>0</v>
      </c>
      <c r="U42" t="e">
        <f>TEXT(TEXT(MEDIAN(Totaal!$H$3:$H$102),"0,0"),"Standaard")</f>
        <v>#NUM!</v>
      </c>
      <c r="V42" t="str">
        <f>Totaal!I$1</f>
        <v>E</v>
      </c>
      <c r="W42" t="str">
        <f>TEXT(TEXT(Totaal!$I42,"0,0"),"Standaard")</f>
        <v>0</v>
      </c>
      <c r="X42" t="str">
        <f>TEXT(Totaal!$I$2,"0")</f>
        <v>0</v>
      </c>
      <c r="Y42" t="e">
        <f>TEXT(TEXT(MEDIAN(Totaal!$I$3:$I$102),"0,0"),"Standaard")</f>
        <v>#NUM!</v>
      </c>
      <c r="Z42" t="str">
        <f>Totaal!J$1</f>
        <v>F</v>
      </c>
      <c r="AA42" t="str">
        <f>TEXT(TEXT(Totaal!$J42,"0,0"),"Standaard")</f>
        <v>0</v>
      </c>
      <c r="AB42" t="str">
        <f>TEXT(Totaal!$J$2,"0")</f>
        <v>0</v>
      </c>
      <c r="AC42" t="e">
        <f>TEXT(TEXT(MEDIAN(Totaal!$J$3:$J$102),"0,0"),"Standaard")</f>
        <v>#NUM!</v>
      </c>
      <c r="AD42" t="str">
        <f>Totaal!K$1</f>
        <v>G</v>
      </c>
      <c r="AE42" t="str">
        <f>TEXT(TEXT(Totaal!$K42,"0,0"),"Standaard")</f>
        <v>0</v>
      </c>
      <c r="AF42" t="str">
        <f>TEXT(Totaal!$K$2,"0")</f>
        <v>0</v>
      </c>
      <c r="AG42" t="e">
        <f>TEXT(TEXT(MEDIAN(Totaal!$K$3:$K$102),"0,0"),"Standaard")</f>
        <v>#NUM!</v>
      </c>
      <c r="AH42" t="str">
        <f>Totaal!L$1</f>
        <v>H</v>
      </c>
      <c r="AI42" t="str">
        <f>TEXT(TEXT(Totaal!$L42,"0,0"),"Standaard")</f>
        <v>0</v>
      </c>
      <c r="AJ42" t="str">
        <f>TEXT(Totaal!$L$2,"0")</f>
        <v>0</v>
      </c>
      <c r="AK42" t="e">
        <f>TEXT(TEXT(MEDIAN(Totaal!$L$3:$L$102),"0,0"),"Standaard")</f>
        <v>#NUM!</v>
      </c>
      <c r="AL42" t="str">
        <f>Totaal!M$1</f>
        <v>I</v>
      </c>
      <c r="AM42" t="str">
        <f>TEXT(TEXT(Totaal!$M42,"0,0"),"Standaard")</f>
        <v>0</v>
      </c>
      <c r="AN42" t="str">
        <f>TEXT(Totaal!$M$2,"0")</f>
        <v>0</v>
      </c>
      <c r="AO42" t="e">
        <f>TEXT(TEXT(MEDIAN(Totaal!$M$3:$M$102),"0,0"),"Standaard")</f>
        <v>#NUM!</v>
      </c>
      <c r="AP42" t="str">
        <f>Totaal!N$1</f>
        <v>J</v>
      </c>
      <c r="AQ42" t="str">
        <f>TEXT(TEXT(Totaal!$N42,"0,0"),"Standaard")</f>
        <v>0</v>
      </c>
      <c r="AR42" t="str">
        <f>TEXT(Totaal!$N$2,"0")</f>
        <v>0</v>
      </c>
      <c r="AS42" t="e">
        <f>TEXT(TEXT(MEDIAN(Totaal!$N$3:$N$102),"0,0"),"Standaard")</f>
        <v>#NUM!</v>
      </c>
      <c r="AT42" t="str">
        <f>Totaal!O$1</f>
        <v>K</v>
      </c>
      <c r="AU42" t="str">
        <f>TEXT(TEXT(Totaal!$O42,"0,0"),"Standaard")</f>
        <v>0</v>
      </c>
      <c r="AV42" t="str">
        <f>TEXT(Totaal!$O$2,"0")</f>
        <v>0</v>
      </c>
      <c r="AW42" t="e">
        <f>TEXT(TEXT(MEDIAN(Totaal!$O$3:$O$102),"0,0"),"Standaard")</f>
        <v>#NUM!</v>
      </c>
      <c r="AX42" t="str">
        <f>Totaal!P$1</f>
        <v>L</v>
      </c>
      <c r="AY42" t="str">
        <f>TEXT(TEXT(Totaal!$P42,"0,0"),"Standaard")</f>
        <v>0</v>
      </c>
      <c r="AZ42" t="str">
        <f>TEXT(Totaal!$P$2,"0")</f>
        <v>0</v>
      </c>
      <c r="BA42" t="e">
        <f>TEXT(TEXT(MEDIAN(Totaal!$P$3:$P$102),"0,0"),"Standaard")</f>
        <v>#NUM!</v>
      </c>
      <c r="BB42" t="str">
        <f>Totaal!Q$1</f>
        <v>M</v>
      </c>
      <c r="BC42" t="str">
        <f>TEXT(TEXT(Totaal!$Q42,"0,0"),"Standaard")</f>
        <v>0</v>
      </c>
      <c r="BD42" t="str">
        <f>TEXT(Totaal!$Q$2,"0")</f>
        <v>0</v>
      </c>
      <c r="BE42" t="e">
        <f>TEXT(TEXT(MEDIAN(Totaal!$Q$3:$Q$102),"0,0"),"Standaard")</f>
        <v>#NUM!</v>
      </c>
      <c r="BF42" t="str">
        <f>Totaal!R$1</f>
        <v>N</v>
      </c>
      <c r="BG42" t="str">
        <f>TEXT(TEXT(Totaal!$R42,"0,0"),"Standaard")</f>
        <v>0</v>
      </c>
      <c r="BH42" t="str">
        <f>TEXT(Totaal!$R$2,"0")</f>
        <v>0</v>
      </c>
      <c r="BI42" t="e">
        <f>TEXT(TEXT(MEDIAN(Totaal!$R$3:$R$102),"0,0"),"Standaard")</f>
        <v>#NUM!</v>
      </c>
      <c r="BJ42" t="str">
        <f>Totaal!S$1</f>
        <v>O</v>
      </c>
      <c r="BK42" t="str">
        <f>TEXT(TEXT(Totaal!$S42,"0,0"),"Standaard")</f>
        <v>0</v>
      </c>
      <c r="BL42" t="str">
        <f>TEXT(Totaal!$S$2,"0")</f>
        <v>0</v>
      </c>
      <c r="BM42" t="e">
        <f>TEXT(TEXT(MEDIAN(Totaal!$S$3:$S$102),"0,0"),"Standaard")</f>
        <v>#NUM!</v>
      </c>
      <c r="BN42" t="str">
        <f>Totaal!T$1</f>
        <v>P</v>
      </c>
      <c r="BO42" t="str">
        <f>TEXT(TEXT(Totaal!$T42,"0,0"),"Standaard")</f>
        <v>0</v>
      </c>
      <c r="BP42" t="str">
        <f>TEXT(Totaal!$T$2,"0")</f>
        <v>0</v>
      </c>
      <c r="BQ42" t="e">
        <f>TEXT(TEXT(MEDIAN(Totaal!$T$3:$T$102),"0,0"),"Standaard")</f>
        <v>#NUM!</v>
      </c>
      <c r="BR42" t="str">
        <f>IF(Totaal!U42="","",Totaal!U42)</f>
        <v/>
      </c>
    </row>
    <row r="43" spans="1:70">
      <c r="A43">
        <f>Totaal!A43</f>
        <v>41</v>
      </c>
      <c r="B43" s="22" t="str">
        <f>IF(Totaal!B43="","",Totaal!B43)</f>
        <v/>
      </c>
      <c r="C43" s="8" t="e">
        <f>TEXT(TEXT(Totaal!C43,"0,0"),"Standaard")</f>
        <v>#DIV/0!</v>
      </c>
      <c r="D43" s="8" t="str">
        <f>TEXT(Totaal!C$2,"0")</f>
        <v>100</v>
      </c>
      <c r="E43" s="22" t="e">
        <f>TEXT(TEXT(SUM(Totaal!C$3:C$102)/COUNTIF(Totaal!C$3:C$102,"&lt;&gt;0"),"0,0"),"Standaard")</f>
        <v>#DIV/0!</v>
      </c>
      <c r="F43" t="str">
        <f>Totaal!E$1</f>
        <v>A</v>
      </c>
      <c r="G43" t="str">
        <f>TEXT(TEXT(Totaal!E43,"0,0"),"Standaard")</f>
        <v>0</v>
      </c>
      <c r="H43" t="str">
        <f>TEXT(Totaal!E$2,"0")</f>
        <v>0</v>
      </c>
      <c r="I43" t="e">
        <f>TEXT(TEXT(MEDIAN(Totaal!E$3:E$102),"0,0"),"Standaard")</f>
        <v>#NUM!</v>
      </c>
      <c r="J43" t="str">
        <f>Totaal!F$1</f>
        <v>B</v>
      </c>
      <c r="K43" t="str">
        <f>TEXT(TEXT(Totaal!$F43,"0,0"),"Standaard")</f>
        <v>0</v>
      </c>
      <c r="L43" t="str">
        <f>TEXT(Totaal!F$2,"0")</f>
        <v>0</v>
      </c>
      <c r="M43" t="e">
        <f>TEXT(TEXT(MEDIAN(Totaal!$F$3:$F$102),"0,0"),"Standaard")</f>
        <v>#NUM!</v>
      </c>
      <c r="N43" t="str">
        <f>Totaal!G$1</f>
        <v>C</v>
      </c>
      <c r="O43" t="str">
        <f>TEXT(TEXT(Totaal!$G43,"0,0"),"Standaard")</f>
        <v>0</v>
      </c>
      <c r="P43" t="str">
        <f>TEXT(Totaal!$G$2,"0")</f>
        <v>0</v>
      </c>
      <c r="Q43" t="e">
        <f>TEXT(TEXT(MEDIAN(Totaal!$G$3:$G$102),"0,0"),"Standaard")</f>
        <v>#NUM!</v>
      </c>
      <c r="R43" t="str">
        <f>Totaal!H$1</f>
        <v>D</v>
      </c>
      <c r="S43" t="str">
        <f>TEXT(TEXT(Totaal!$H43,"0,0"),"Standaard")</f>
        <v>0</v>
      </c>
      <c r="T43" t="str">
        <f>TEXT(Totaal!$H$2,"0")</f>
        <v>0</v>
      </c>
      <c r="U43" t="e">
        <f>TEXT(TEXT(MEDIAN(Totaal!$H$3:$H$102),"0,0"),"Standaard")</f>
        <v>#NUM!</v>
      </c>
      <c r="V43" t="str">
        <f>Totaal!I$1</f>
        <v>E</v>
      </c>
      <c r="W43" t="str">
        <f>TEXT(TEXT(Totaal!$I43,"0,0"),"Standaard")</f>
        <v>0</v>
      </c>
      <c r="X43" t="str">
        <f>TEXT(Totaal!$I$2,"0")</f>
        <v>0</v>
      </c>
      <c r="Y43" t="e">
        <f>TEXT(TEXT(MEDIAN(Totaal!$I$3:$I$102),"0,0"),"Standaard")</f>
        <v>#NUM!</v>
      </c>
      <c r="Z43" t="str">
        <f>Totaal!J$1</f>
        <v>F</v>
      </c>
      <c r="AA43" t="str">
        <f>TEXT(TEXT(Totaal!$J43,"0,0"),"Standaard")</f>
        <v>0</v>
      </c>
      <c r="AB43" t="str">
        <f>TEXT(Totaal!$J$2,"0")</f>
        <v>0</v>
      </c>
      <c r="AC43" t="e">
        <f>TEXT(TEXT(MEDIAN(Totaal!$J$3:$J$102),"0,0"),"Standaard")</f>
        <v>#NUM!</v>
      </c>
      <c r="AD43" t="str">
        <f>Totaal!K$1</f>
        <v>G</v>
      </c>
      <c r="AE43" t="str">
        <f>TEXT(TEXT(Totaal!$K43,"0,0"),"Standaard")</f>
        <v>0</v>
      </c>
      <c r="AF43" t="str">
        <f>TEXT(Totaal!$K$2,"0")</f>
        <v>0</v>
      </c>
      <c r="AG43" t="e">
        <f>TEXT(TEXT(MEDIAN(Totaal!$K$3:$K$102),"0,0"),"Standaard")</f>
        <v>#NUM!</v>
      </c>
      <c r="AH43" t="str">
        <f>Totaal!L$1</f>
        <v>H</v>
      </c>
      <c r="AI43" t="str">
        <f>TEXT(TEXT(Totaal!$L43,"0,0"),"Standaard")</f>
        <v>0</v>
      </c>
      <c r="AJ43" t="str">
        <f>TEXT(Totaal!$L$2,"0")</f>
        <v>0</v>
      </c>
      <c r="AK43" t="e">
        <f>TEXT(TEXT(MEDIAN(Totaal!$L$3:$L$102),"0,0"),"Standaard")</f>
        <v>#NUM!</v>
      </c>
      <c r="AL43" t="str">
        <f>Totaal!M$1</f>
        <v>I</v>
      </c>
      <c r="AM43" t="str">
        <f>TEXT(TEXT(Totaal!$M43,"0,0"),"Standaard")</f>
        <v>0</v>
      </c>
      <c r="AN43" t="str">
        <f>TEXT(Totaal!$M$2,"0")</f>
        <v>0</v>
      </c>
      <c r="AO43" t="e">
        <f>TEXT(TEXT(MEDIAN(Totaal!$M$3:$M$102),"0,0"),"Standaard")</f>
        <v>#NUM!</v>
      </c>
      <c r="AP43" t="str">
        <f>Totaal!N$1</f>
        <v>J</v>
      </c>
      <c r="AQ43" t="str">
        <f>TEXT(TEXT(Totaal!$N43,"0,0"),"Standaard")</f>
        <v>0</v>
      </c>
      <c r="AR43" t="str">
        <f>TEXT(Totaal!$N$2,"0")</f>
        <v>0</v>
      </c>
      <c r="AS43" t="e">
        <f>TEXT(TEXT(MEDIAN(Totaal!$N$3:$N$102),"0,0"),"Standaard")</f>
        <v>#NUM!</v>
      </c>
      <c r="AT43" t="str">
        <f>Totaal!O$1</f>
        <v>K</v>
      </c>
      <c r="AU43" t="str">
        <f>TEXT(TEXT(Totaal!$O43,"0,0"),"Standaard")</f>
        <v>0</v>
      </c>
      <c r="AV43" t="str">
        <f>TEXT(Totaal!$O$2,"0")</f>
        <v>0</v>
      </c>
      <c r="AW43" t="e">
        <f>TEXT(TEXT(MEDIAN(Totaal!$O$3:$O$102),"0,0"),"Standaard")</f>
        <v>#NUM!</v>
      </c>
      <c r="AX43" t="str">
        <f>Totaal!P$1</f>
        <v>L</v>
      </c>
      <c r="AY43" t="str">
        <f>TEXT(TEXT(Totaal!$P43,"0,0"),"Standaard")</f>
        <v>0</v>
      </c>
      <c r="AZ43" t="str">
        <f>TEXT(Totaal!$P$2,"0")</f>
        <v>0</v>
      </c>
      <c r="BA43" t="e">
        <f>TEXT(TEXT(MEDIAN(Totaal!$P$3:$P$102),"0,0"),"Standaard")</f>
        <v>#NUM!</v>
      </c>
      <c r="BB43" t="str">
        <f>Totaal!Q$1</f>
        <v>M</v>
      </c>
      <c r="BC43" t="str">
        <f>TEXT(TEXT(Totaal!$Q43,"0,0"),"Standaard")</f>
        <v>0</v>
      </c>
      <c r="BD43" t="str">
        <f>TEXT(Totaal!$Q$2,"0")</f>
        <v>0</v>
      </c>
      <c r="BE43" t="e">
        <f>TEXT(TEXT(MEDIAN(Totaal!$Q$3:$Q$102),"0,0"),"Standaard")</f>
        <v>#NUM!</v>
      </c>
      <c r="BF43" t="str">
        <f>Totaal!R$1</f>
        <v>N</v>
      </c>
      <c r="BG43" t="str">
        <f>TEXT(TEXT(Totaal!$R43,"0,0"),"Standaard")</f>
        <v>0</v>
      </c>
      <c r="BH43" t="str">
        <f>TEXT(Totaal!$R$2,"0")</f>
        <v>0</v>
      </c>
      <c r="BI43" t="e">
        <f>TEXT(TEXT(MEDIAN(Totaal!$R$3:$R$102),"0,0"),"Standaard")</f>
        <v>#NUM!</v>
      </c>
      <c r="BJ43" t="str">
        <f>Totaal!S$1</f>
        <v>O</v>
      </c>
      <c r="BK43" t="str">
        <f>TEXT(TEXT(Totaal!$S43,"0,0"),"Standaard")</f>
        <v>0</v>
      </c>
      <c r="BL43" t="str">
        <f>TEXT(Totaal!$S$2,"0")</f>
        <v>0</v>
      </c>
      <c r="BM43" t="e">
        <f>TEXT(TEXT(MEDIAN(Totaal!$S$3:$S$102),"0,0"),"Standaard")</f>
        <v>#NUM!</v>
      </c>
      <c r="BN43" t="str">
        <f>Totaal!T$1</f>
        <v>P</v>
      </c>
      <c r="BO43" t="str">
        <f>TEXT(TEXT(Totaal!$T43,"0,0"),"Standaard")</f>
        <v>0</v>
      </c>
      <c r="BP43" t="str">
        <f>TEXT(Totaal!$T$2,"0")</f>
        <v>0</v>
      </c>
      <c r="BQ43" t="e">
        <f>TEXT(TEXT(MEDIAN(Totaal!$T$3:$T$102),"0,0"),"Standaard")</f>
        <v>#NUM!</v>
      </c>
      <c r="BR43" t="str">
        <f>IF(Totaal!U43="","",Totaal!U43)</f>
        <v/>
      </c>
    </row>
    <row r="44" spans="1:70">
      <c r="A44">
        <f>Totaal!A44</f>
        <v>42</v>
      </c>
      <c r="B44" s="22" t="str">
        <f>IF(Totaal!B44="","",Totaal!B44)</f>
        <v/>
      </c>
      <c r="C44" s="8" t="e">
        <f>TEXT(TEXT(Totaal!C44,"0,0"),"Standaard")</f>
        <v>#DIV/0!</v>
      </c>
      <c r="D44" s="8" t="str">
        <f>TEXT(Totaal!C$2,"0")</f>
        <v>100</v>
      </c>
      <c r="E44" s="22" t="e">
        <f>TEXT(TEXT(SUM(Totaal!C$3:C$102)/COUNTIF(Totaal!C$3:C$102,"&lt;&gt;0"),"0,0"),"Standaard")</f>
        <v>#DIV/0!</v>
      </c>
      <c r="F44" t="str">
        <f>Totaal!E$1</f>
        <v>A</v>
      </c>
      <c r="G44" t="str">
        <f>TEXT(TEXT(Totaal!E44,"0,0"),"Standaard")</f>
        <v>0</v>
      </c>
      <c r="H44" t="str">
        <f>TEXT(Totaal!E$2,"0")</f>
        <v>0</v>
      </c>
      <c r="I44" t="e">
        <f>TEXT(TEXT(MEDIAN(Totaal!E$3:E$102),"0,0"),"Standaard")</f>
        <v>#NUM!</v>
      </c>
      <c r="J44" t="str">
        <f>Totaal!F$1</f>
        <v>B</v>
      </c>
      <c r="K44" t="str">
        <f>TEXT(TEXT(Totaal!$F44,"0,0"),"Standaard")</f>
        <v>0</v>
      </c>
      <c r="L44" t="str">
        <f>TEXT(Totaal!F$2,"0")</f>
        <v>0</v>
      </c>
      <c r="M44" t="e">
        <f>TEXT(TEXT(MEDIAN(Totaal!$F$3:$F$102),"0,0"),"Standaard")</f>
        <v>#NUM!</v>
      </c>
      <c r="N44" t="str">
        <f>Totaal!G$1</f>
        <v>C</v>
      </c>
      <c r="O44" t="str">
        <f>TEXT(TEXT(Totaal!$G44,"0,0"),"Standaard")</f>
        <v>0</v>
      </c>
      <c r="P44" t="str">
        <f>TEXT(Totaal!$G$2,"0")</f>
        <v>0</v>
      </c>
      <c r="Q44" t="e">
        <f>TEXT(TEXT(MEDIAN(Totaal!$G$3:$G$102),"0,0"),"Standaard")</f>
        <v>#NUM!</v>
      </c>
      <c r="R44" t="str">
        <f>Totaal!H$1</f>
        <v>D</v>
      </c>
      <c r="S44" t="str">
        <f>TEXT(TEXT(Totaal!$H44,"0,0"),"Standaard")</f>
        <v>0</v>
      </c>
      <c r="T44" t="str">
        <f>TEXT(Totaal!$H$2,"0")</f>
        <v>0</v>
      </c>
      <c r="U44" t="e">
        <f>TEXT(TEXT(MEDIAN(Totaal!$H$3:$H$102),"0,0"),"Standaard")</f>
        <v>#NUM!</v>
      </c>
      <c r="V44" t="str">
        <f>Totaal!I$1</f>
        <v>E</v>
      </c>
      <c r="W44" t="str">
        <f>TEXT(TEXT(Totaal!$I44,"0,0"),"Standaard")</f>
        <v>0</v>
      </c>
      <c r="X44" t="str">
        <f>TEXT(Totaal!$I$2,"0")</f>
        <v>0</v>
      </c>
      <c r="Y44" t="e">
        <f>TEXT(TEXT(MEDIAN(Totaal!$I$3:$I$102),"0,0"),"Standaard")</f>
        <v>#NUM!</v>
      </c>
      <c r="Z44" t="str">
        <f>Totaal!J$1</f>
        <v>F</v>
      </c>
      <c r="AA44" t="str">
        <f>TEXT(TEXT(Totaal!$J44,"0,0"),"Standaard")</f>
        <v>0</v>
      </c>
      <c r="AB44" t="str">
        <f>TEXT(Totaal!$J$2,"0")</f>
        <v>0</v>
      </c>
      <c r="AC44" t="e">
        <f>TEXT(TEXT(MEDIAN(Totaal!$J$3:$J$102),"0,0"),"Standaard")</f>
        <v>#NUM!</v>
      </c>
      <c r="AD44" t="str">
        <f>Totaal!K$1</f>
        <v>G</v>
      </c>
      <c r="AE44" t="str">
        <f>TEXT(TEXT(Totaal!$K44,"0,0"),"Standaard")</f>
        <v>0</v>
      </c>
      <c r="AF44" t="str">
        <f>TEXT(Totaal!$K$2,"0")</f>
        <v>0</v>
      </c>
      <c r="AG44" t="e">
        <f>TEXT(TEXT(MEDIAN(Totaal!$K$3:$K$102),"0,0"),"Standaard")</f>
        <v>#NUM!</v>
      </c>
      <c r="AH44" t="str">
        <f>Totaal!L$1</f>
        <v>H</v>
      </c>
      <c r="AI44" t="str">
        <f>TEXT(TEXT(Totaal!$L44,"0,0"),"Standaard")</f>
        <v>0</v>
      </c>
      <c r="AJ44" t="str">
        <f>TEXT(Totaal!$L$2,"0")</f>
        <v>0</v>
      </c>
      <c r="AK44" t="e">
        <f>TEXT(TEXT(MEDIAN(Totaal!$L$3:$L$102),"0,0"),"Standaard")</f>
        <v>#NUM!</v>
      </c>
      <c r="AL44" t="str">
        <f>Totaal!M$1</f>
        <v>I</v>
      </c>
      <c r="AM44" t="str">
        <f>TEXT(TEXT(Totaal!$M44,"0,0"),"Standaard")</f>
        <v>0</v>
      </c>
      <c r="AN44" t="str">
        <f>TEXT(Totaal!$M$2,"0")</f>
        <v>0</v>
      </c>
      <c r="AO44" t="e">
        <f>TEXT(TEXT(MEDIAN(Totaal!$M$3:$M$102),"0,0"),"Standaard")</f>
        <v>#NUM!</v>
      </c>
      <c r="AP44" t="str">
        <f>Totaal!N$1</f>
        <v>J</v>
      </c>
      <c r="AQ44" t="str">
        <f>TEXT(TEXT(Totaal!$N44,"0,0"),"Standaard")</f>
        <v>0</v>
      </c>
      <c r="AR44" t="str">
        <f>TEXT(Totaal!$N$2,"0")</f>
        <v>0</v>
      </c>
      <c r="AS44" t="e">
        <f>TEXT(TEXT(MEDIAN(Totaal!$N$3:$N$102),"0,0"),"Standaard")</f>
        <v>#NUM!</v>
      </c>
      <c r="AT44" t="str">
        <f>Totaal!O$1</f>
        <v>K</v>
      </c>
      <c r="AU44" t="str">
        <f>TEXT(TEXT(Totaal!$O44,"0,0"),"Standaard")</f>
        <v>0</v>
      </c>
      <c r="AV44" t="str">
        <f>TEXT(Totaal!$O$2,"0")</f>
        <v>0</v>
      </c>
      <c r="AW44" t="e">
        <f>TEXT(TEXT(MEDIAN(Totaal!$O$3:$O$102),"0,0"),"Standaard")</f>
        <v>#NUM!</v>
      </c>
      <c r="AX44" t="str">
        <f>Totaal!P$1</f>
        <v>L</v>
      </c>
      <c r="AY44" t="str">
        <f>TEXT(TEXT(Totaal!$P44,"0,0"),"Standaard")</f>
        <v>0</v>
      </c>
      <c r="AZ44" t="str">
        <f>TEXT(Totaal!$P$2,"0")</f>
        <v>0</v>
      </c>
      <c r="BA44" t="e">
        <f>TEXT(TEXT(MEDIAN(Totaal!$P$3:$P$102),"0,0"),"Standaard")</f>
        <v>#NUM!</v>
      </c>
      <c r="BB44" t="str">
        <f>Totaal!Q$1</f>
        <v>M</v>
      </c>
      <c r="BC44" t="str">
        <f>TEXT(TEXT(Totaal!$Q44,"0,0"),"Standaard")</f>
        <v>0</v>
      </c>
      <c r="BD44" t="str">
        <f>TEXT(Totaal!$Q$2,"0")</f>
        <v>0</v>
      </c>
      <c r="BE44" t="e">
        <f>TEXT(TEXT(MEDIAN(Totaal!$Q$3:$Q$102),"0,0"),"Standaard")</f>
        <v>#NUM!</v>
      </c>
      <c r="BF44" t="str">
        <f>Totaal!R$1</f>
        <v>N</v>
      </c>
      <c r="BG44" t="str">
        <f>TEXT(TEXT(Totaal!$R44,"0,0"),"Standaard")</f>
        <v>0</v>
      </c>
      <c r="BH44" t="str">
        <f>TEXT(Totaal!$R$2,"0")</f>
        <v>0</v>
      </c>
      <c r="BI44" t="e">
        <f>TEXT(TEXT(MEDIAN(Totaal!$R$3:$R$102),"0,0"),"Standaard")</f>
        <v>#NUM!</v>
      </c>
      <c r="BJ44" t="str">
        <f>Totaal!S$1</f>
        <v>O</v>
      </c>
      <c r="BK44" t="str">
        <f>TEXT(TEXT(Totaal!$S44,"0,0"),"Standaard")</f>
        <v>0</v>
      </c>
      <c r="BL44" t="str">
        <f>TEXT(Totaal!$S$2,"0")</f>
        <v>0</v>
      </c>
      <c r="BM44" t="e">
        <f>TEXT(TEXT(MEDIAN(Totaal!$S$3:$S$102),"0,0"),"Standaard")</f>
        <v>#NUM!</v>
      </c>
      <c r="BN44" t="str">
        <f>Totaal!T$1</f>
        <v>P</v>
      </c>
      <c r="BO44" t="str">
        <f>TEXT(TEXT(Totaal!$T44,"0,0"),"Standaard")</f>
        <v>0</v>
      </c>
      <c r="BP44" t="str">
        <f>TEXT(Totaal!$T$2,"0")</f>
        <v>0</v>
      </c>
      <c r="BQ44" t="e">
        <f>TEXT(TEXT(MEDIAN(Totaal!$T$3:$T$102),"0,0"),"Standaard")</f>
        <v>#NUM!</v>
      </c>
      <c r="BR44" t="str">
        <f>IF(Totaal!U44="","",Totaal!U44)</f>
        <v/>
      </c>
    </row>
    <row r="45" spans="1:70">
      <c r="A45">
        <f>Totaal!A45</f>
        <v>43</v>
      </c>
      <c r="B45" s="22" t="str">
        <f>IF(Totaal!B45="","",Totaal!B45)</f>
        <v/>
      </c>
      <c r="C45" s="8" t="e">
        <f>TEXT(TEXT(Totaal!C45,"0,0"),"Standaard")</f>
        <v>#DIV/0!</v>
      </c>
      <c r="D45" s="8" t="str">
        <f>TEXT(Totaal!C$2,"0")</f>
        <v>100</v>
      </c>
      <c r="E45" s="22" t="e">
        <f>TEXT(TEXT(SUM(Totaal!C$3:C$102)/COUNTIF(Totaal!C$3:C$102,"&lt;&gt;0"),"0,0"),"Standaard")</f>
        <v>#DIV/0!</v>
      </c>
      <c r="F45" t="str">
        <f>Totaal!E$1</f>
        <v>A</v>
      </c>
      <c r="G45" t="str">
        <f>TEXT(TEXT(Totaal!E45,"0,0"),"Standaard")</f>
        <v>0</v>
      </c>
      <c r="H45" t="str">
        <f>TEXT(Totaal!E$2,"0")</f>
        <v>0</v>
      </c>
      <c r="I45" t="e">
        <f>TEXT(TEXT(MEDIAN(Totaal!E$3:E$102),"0,0"),"Standaard")</f>
        <v>#NUM!</v>
      </c>
      <c r="J45" t="str">
        <f>Totaal!F$1</f>
        <v>B</v>
      </c>
      <c r="K45" t="str">
        <f>TEXT(TEXT(Totaal!$F45,"0,0"),"Standaard")</f>
        <v>0</v>
      </c>
      <c r="L45" t="str">
        <f>TEXT(Totaal!F$2,"0")</f>
        <v>0</v>
      </c>
      <c r="M45" t="e">
        <f>TEXT(TEXT(MEDIAN(Totaal!$F$3:$F$102),"0,0"),"Standaard")</f>
        <v>#NUM!</v>
      </c>
      <c r="N45" t="str">
        <f>Totaal!G$1</f>
        <v>C</v>
      </c>
      <c r="O45" t="str">
        <f>TEXT(TEXT(Totaal!$G45,"0,0"),"Standaard")</f>
        <v>0</v>
      </c>
      <c r="P45" t="str">
        <f>TEXT(Totaal!$G$2,"0")</f>
        <v>0</v>
      </c>
      <c r="Q45" t="e">
        <f>TEXT(TEXT(MEDIAN(Totaal!$G$3:$G$102),"0,0"),"Standaard")</f>
        <v>#NUM!</v>
      </c>
      <c r="R45" t="str">
        <f>Totaal!H$1</f>
        <v>D</v>
      </c>
      <c r="S45" t="str">
        <f>TEXT(TEXT(Totaal!$H45,"0,0"),"Standaard")</f>
        <v>0</v>
      </c>
      <c r="T45" t="str">
        <f>TEXT(Totaal!$H$2,"0")</f>
        <v>0</v>
      </c>
      <c r="U45" t="e">
        <f>TEXT(TEXT(MEDIAN(Totaal!$H$3:$H$102),"0,0"),"Standaard")</f>
        <v>#NUM!</v>
      </c>
      <c r="V45" t="str">
        <f>Totaal!I$1</f>
        <v>E</v>
      </c>
      <c r="W45" t="str">
        <f>TEXT(TEXT(Totaal!$I45,"0,0"),"Standaard")</f>
        <v>0</v>
      </c>
      <c r="X45" t="str">
        <f>TEXT(Totaal!$I$2,"0")</f>
        <v>0</v>
      </c>
      <c r="Y45" t="e">
        <f>TEXT(TEXT(MEDIAN(Totaal!$I$3:$I$102),"0,0"),"Standaard")</f>
        <v>#NUM!</v>
      </c>
      <c r="Z45" t="str">
        <f>Totaal!J$1</f>
        <v>F</v>
      </c>
      <c r="AA45" t="str">
        <f>TEXT(TEXT(Totaal!$J45,"0,0"),"Standaard")</f>
        <v>0</v>
      </c>
      <c r="AB45" t="str">
        <f>TEXT(Totaal!$J$2,"0")</f>
        <v>0</v>
      </c>
      <c r="AC45" t="e">
        <f>TEXT(TEXT(MEDIAN(Totaal!$J$3:$J$102),"0,0"),"Standaard")</f>
        <v>#NUM!</v>
      </c>
      <c r="AD45" t="str">
        <f>Totaal!K$1</f>
        <v>G</v>
      </c>
      <c r="AE45" t="str">
        <f>TEXT(TEXT(Totaal!$K45,"0,0"),"Standaard")</f>
        <v>0</v>
      </c>
      <c r="AF45" t="str">
        <f>TEXT(Totaal!$K$2,"0")</f>
        <v>0</v>
      </c>
      <c r="AG45" t="e">
        <f>TEXT(TEXT(MEDIAN(Totaal!$K$3:$K$102),"0,0"),"Standaard")</f>
        <v>#NUM!</v>
      </c>
      <c r="AH45" t="str">
        <f>Totaal!L$1</f>
        <v>H</v>
      </c>
      <c r="AI45" t="str">
        <f>TEXT(TEXT(Totaal!$L45,"0,0"),"Standaard")</f>
        <v>0</v>
      </c>
      <c r="AJ45" t="str">
        <f>TEXT(Totaal!$L$2,"0")</f>
        <v>0</v>
      </c>
      <c r="AK45" t="e">
        <f>TEXT(TEXT(MEDIAN(Totaal!$L$3:$L$102),"0,0"),"Standaard")</f>
        <v>#NUM!</v>
      </c>
      <c r="AL45" t="str">
        <f>Totaal!M$1</f>
        <v>I</v>
      </c>
      <c r="AM45" t="str">
        <f>TEXT(TEXT(Totaal!$M45,"0,0"),"Standaard")</f>
        <v>0</v>
      </c>
      <c r="AN45" t="str">
        <f>TEXT(Totaal!$M$2,"0")</f>
        <v>0</v>
      </c>
      <c r="AO45" t="e">
        <f>TEXT(TEXT(MEDIAN(Totaal!$M$3:$M$102),"0,0"),"Standaard")</f>
        <v>#NUM!</v>
      </c>
      <c r="AP45" t="str">
        <f>Totaal!N$1</f>
        <v>J</v>
      </c>
      <c r="AQ45" t="str">
        <f>TEXT(TEXT(Totaal!$N45,"0,0"),"Standaard")</f>
        <v>0</v>
      </c>
      <c r="AR45" t="str">
        <f>TEXT(Totaal!$N$2,"0")</f>
        <v>0</v>
      </c>
      <c r="AS45" t="e">
        <f>TEXT(TEXT(MEDIAN(Totaal!$N$3:$N$102),"0,0"),"Standaard")</f>
        <v>#NUM!</v>
      </c>
      <c r="AT45" t="str">
        <f>Totaal!O$1</f>
        <v>K</v>
      </c>
      <c r="AU45" t="str">
        <f>TEXT(TEXT(Totaal!$O45,"0,0"),"Standaard")</f>
        <v>0</v>
      </c>
      <c r="AV45" t="str">
        <f>TEXT(Totaal!$O$2,"0")</f>
        <v>0</v>
      </c>
      <c r="AW45" t="e">
        <f>TEXT(TEXT(MEDIAN(Totaal!$O$3:$O$102),"0,0"),"Standaard")</f>
        <v>#NUM!</v>
      </c>
      <c r="AX45" t="str">
        <f>Totaal!P$1</f>
        <v>L</v>
      </c>
      <c r="AY45" t="str">
        <f>TEXT(TEXT(Totaal!$P45,"0,0"),"Standaard")</f>
        <v>0</v>
      </c>
      <c r="AZ45" t="str">
        <f>TEXT(Totaal!$P$2,"0")</f>
        <v>0</v>
      </c>
      <c r="BA45" t="e">
        <f>TEXT(TEXT(MEDIAN(Totaal!$P$3:$P$102),"0,0"),"Standaard")</f>
        <v>#NUM!</v>
      </c>
      <c r="BB45" t="str">
        <f>Totaal!Q$1</f>
        <v>M</v>
      </c>
      <c r="BC45" t="str">
        <f>TEXT(TEXT(Totaal!$Q45,"0,0"),"Standaard")</f>
        <v>0</v>
      </c>
      <c r="BD45" t="str">
        <f>TEXT(Totaal!$Q$2,"0")</f>
        <v>0</v>
      </c>
      <c r="BE45" t="e">
        <f>TEXT(TEXT(MEDIAN(Totaal!$Q$3:$Q$102),"0,0"),"Standaard")</f>
        <v>#NUM!</v>
      </c>
      <c r="BF45" t="str">
        <f>Totaal!R$1</f>
        <v>N</v>
      </c>
      <c r="BG45" t="str">
        <f>TEXT(TEXT(Totaal!$R45,"0,0"),"Standaard")</f>
        <v>0</v>
      </c>
      <c r="BH45" t="str">
        <f>TEXT(Totaal!$R$2,"0")</f>
        <v>0</v>
      </c>
      <c r="BI45" t="e">
        <f>TEXT(TEXT(MEDIAN(Totaal!$R$3:$R$102),"0,0"),"Standaard")</f>
        <v>#NUM!</v>
      </c>
      <c r="BJ45" t="str">
        <f>Totaal!S$1</f>
        <v>O</v>
      </c>
      <c r="BK45" t="str">
        <f>TEXT(TEXT(Totaal!$S45,"0,0"),"Standaard")</f>
        <v>0</v>
      </c>
      <c r="BL45" t="str">
        <f>TEXT(Totaal!$S$2,"0")</f>
        <v>0</v>
      </c>
      <c r="BM45" t="e">
        <f>TEXT(TEXT(MEDIAN(Totaal!$S$3:$S$102),"0,0"),"Standaard")</f>
        <v>#NUM!</v>
      </c>
      <c r="BN45" t="str">
        <f>Totaal!T$1</f>
        <v>P</v>
      </c>
      <c r="BO45" t="str">
        <f>TEXT(TEXT(Totaal!$T45,"0,0"),"Standaard")</f>
        <v>0</v>
      </c>
      <c r="BP45" t="str">
        <f>TEXT(Totaal!$T$2,"0")</f>
        <v>0</v>
      </c>
      <c r="BQ45" t="e">
        <f>TEXT(TEXT(MEDIAN(Totaal!$T$3:$T$102),"0,0"),"Standaard")</f>
        <v>#NUM!</v>
      </c>
      <c r="BR45" t="str">
        <f>IF(Totaal!U45="","",Totaal!U45)</f>
        <v/>
      </c>
    </row>
    <row r="46" spans="1:70">
      <c r="A46">
        <f>Totaal!A46</f>
        <v>44</v>
      </c>
      <c r="B46" s="22" t="str">
        <f>IF(Totaal!B46="","",Totaal!B46)</f>
        <v/>
      </c>
      <c r="C46" s="8" t="e">
        <f>TEXT(TEXT(Totaal!C46,"0,0"),"Standaard")</f>
        <v>#DIV/0!</v>
      </c>
      <c r="D46" s="8" t="str">
        <f>TEXT(Totaal!C$2,"0")</f>
        <v>100</v>
      </c>
      <c r="E46" s="22" t="e">
        <f>TEXT(TEXT(SUM(Totaal!C$3:C$102)/COUNTIF(Totaal!C$3:C$102,"&lt;&gt;0"),"0,0"),"Standaard")</f>
        <v>#DIV/0!</v>
      </c>
      <c r="F46" t="str">
        <f>Totaal!E$1</f>
        <v>A</v>
      </c>
      <c r="G46" t="str">
        <f>TEXT(TEXT(Totaal!E46,"0,0"),"Standaard")</f>
        <v>0</v>
      </c>
      <c r="H46" t="str">
        <f>TEXT(Totaal!E$2,"0")</f>
        <v>0</v>
      </c>
      <c r="I46" t="e">
        <f>TEXT(TEXT(MEDIAN(Totaal!E$3:E$102),"0,0"),"Standaard")</f>
        <v>#NUM!</v>
      </c>
      <c r="J46" t="str">
        <f>Totaal!F$1</f>
        <v>B</v>
      </c>
      <c r="K46" t="str">
        <f>TEXT(TEXT(Totaal!$F46,"0,0"),"Standaard")</f>
        <v>0</v>
      </c>
      <c r="L46" t="str">
        <f>TEXT(Totaal!F$2,"0")</f>
        <v>0</v>
      </c>
      <c r="M46" t="e">
        <f>TEXT(TEXT(MEDIAN(Totaal!$F$3:$F$102),"0,0"),"Standaard")</f>
        <v>#NUM!</v>
      </c>
      <c r="N46" t="str">
        <f>Totaal!G$1</f>
        <v>C</v>
      </c>
      <c r="O46" t="str">
        <f>TEXT(TEXT(Totaal!$G46,"0,0"),"Standaard")</f>
        <v>0</v>
      </c>
      <c r="P46" t="str">
        <f>TEXT(Totaal!$G$2,"0")</f>
        <v>0</v>
      </c>
      <c r="Q46" t="e">
        <f>TEXT(TEXT(MEDIAN(Totaal!$G$3:$G$102),"0,0"),"Standaard")</f>
        <v>#NUM!</v>
      </c>
      <c r="R46" t="str">
        <f>Totaal!H$1</f>
        <v>D</v>
      </c>
      <c r="S46" t="str">
        <f>TEXT(TEXT(Totaal!$H46,"0,0"),"Standaard")</f>
        <v>0</v>
      </c>
      <c r="T46" t="str">
        <f>TEXT(Totaal!$H$2,"0")</f>
        <v>0</v>
      </c>
      <c r="U46" t="e">
        <f>TEXT(TEXT(MEDIAN(Totaal!$H$3:$H$102),"0,0"),"Standaard")</f>
        <v>#NUM!</v>
      </c>
      <c r="V46" t="str">
        <f>Totaal!I$1</f>
        <v>E</v>
      </c>
      <c r="W46" t="str">
        <f>TEXT(TEXT(Totaal!$I46,"0,0"),"Standaard")</f>
        <v>0</v>
      </c>
      <c r="X46" t="str">
        <f>TEXT(Totaal!$I$2,"0")</f>
        <v>0</v>
      </c>
      <c r="Y46" t="e">
        <f>TEXT(TEXT(MEDIAN(Totaal!$I$3:$I$102),"0,0"),"Standaard")</f>
        <v>#NUM!</v>
      </c>
      <c r="Z46" t="str">
        <f>Totaal!J$1</f>
        <v>F</v>
      </c>
      <c r="AA46" t="str">
        <f>TEXT(TEXT(Totaal!$J46,"0,0"),"Standaard")</f>
        <v>0</v>
      </c>
      <c r="AB46" t="str">
        <f>TEXT(Totaal!$J$2,"0")</f>
        <v>0</v>
      </c>
      <c r="AC46" t="e">
        <f>TEXT(TEXT(MEDIAN(Totaal!$J$3:$J$102),"0,0"),"Standaard")</f>
        <v>#NUM!</v>
      </c>
      <c r="AD46" t="str">
        <f>Totaal!K$1</f>
        <v>G</v>
      </c>
      <c r="AE46" t="str">
        <f>TEXT(TEXT(Totaal!$K46,"0,0"),"Standaard")</f>
        <v>0</v>
      </c>
      <c r="AF46" t="str">
        <f>TEXT(Totaal!$K$2,"0")</f>
        <v>0</v>
      </c>
      <c r="AG46" t="e">
        <f>TEXT(TEXT(MEDIAN(Totaal!$K$3:$K$102),"0,0"),"Standaard")</f>
        <v>#NUM!</v>
      </c>
      <c r="AH46" t="str">
        <f>Totaal!L$1</f>
        <v>H</v>
      </c>
      <c r="AI46" t="str">
        <f>TEXT(TEXT(Totaal!$L46,"0,0"),"Standaard")</f>
        <v>0</v>
      </c>
      <c r="AJ46" t="str">
        <f>TEXT(Totaal!$L$2,"0")</f>
        <v>0</v>
      </c>
      <c r="AK46" t="e">
        <f>TEXT(TEXT(MEDIAN(Totaal!$L$3:$L$102),"0,0"),"Standaard")</f>
        <v>#NUM!</v>
      </c>
      <c r="AL46" t="str">
        <f>Totaal!M$1</f>
        <v>I</v>
      </c>
      <c r="AM46" t="str">
        <f>TEXT(TEXT(Totaal!$M46,"0,0"),"Standaard")</f>
        <v>0</v>
      </c>
      <c r="AN46" t="str">
        <f>TEXT(Totaal!$M$2,"0")</f>
        <v>0</v>
      </c>
      <c r="AO46" t="e">
        <f>TEXT(TEXT(MEDIAN(Totaal!$M$3:$M$102),"0,0"),"Standaard")</f>
        <v>#NUM!</v>
      </c>
      <c r="AP46" t="str">
        <f>Totaal!N$1</f>
        <v>J</v>
      </c>
      <c r="AQ46" t="str">
        <f>TEXT(TEXT(Totaal!$N46,"0,0"),"Standaard")</f>
        <v>0</v>
      </c>
      <c r="AR46" t="str">
        <f>TEXT(Totaal!$N$2,"0")</f>
        <v>0</v>
      </c>
      <c r="AS46" t="e">
        <f>TEXT(TEXT(MEDIAN(Totaal!$N$3:$N$102),"0,0"),"Standaard")</f>
        <v>#NUM!</v>
      </c>
      <c r="AT46" t="str">
        <f>Totaal!O$1</f>
        <v>K</v>
      </c>
      <c r="AU46" t="str">
        <f>TEXT(TEXT(Totaal!$O46,"0,0"),"Standaard")</f>
        <v>0</v>
      </c>
      <c r="AV46" t="str">
        <f>TEXT(Totaal!$O$2,"0")</f>
        <v>0</v>
      </c>
      <c r="AW46" t="e">
        <f>TEXT(TEXT(MEDIAN(Totaal!$O$3:$O$102),"0,0"),"Standaard")</f>
        <v>#NUM!</v>
      </c>
      <c r="AX46" t="str">
        <f>Totaal!P$1</f>
        <v>L</v>
      </c>
      <c r="AY46" t="str">
        <f>TEXT(TEXT(Totaal!$P46,"0,0"),"Standaard")</f>
        <v>0</v>
      </c>
      <c r="AZ46" t="str">
        <f>TEXT(Totaal!$P$2,"0")</f>
        <v>0</v>
      </c>
      <c r="BA46" t="e">
        <f>TEXT(TEXT(MEDIAN(Totaal!$P$3:$P$102),"0,0"),"Standaard")</f>
        <v>#NUM!</v>
      </c>
      <c r="BB46" t="str">
        <f>Totaal!Q$1</f>
        <v>M</v>
      </c>
      <c r="BC46" t="str">
        <f>TEXT(TEXT(Totaal!$Q46,"0,0"),"Standaard")</f>
        <v>0</v>
      </c>
      <c r="BD46" t="str">
        <f>TEXT(Totaal!$Q$2,"0")</f>
        <v>0</v>
      </c>
      <c r="BE46" t="e">
        <f>TEXT(TEXT(MEDIAN(Totaal!$Q$3:$Q$102),"0,0"),"Standaard")</f>
        <v>#NUM!</v>
      </c>
      <c r="BF46" t="str">
        <f>Totaal!R$1</f>
        <v>N</v>
      </c>
      <c r="BG46" t="str">
        <f>TEXT(TEXT(Totaal!$R46,"0,0"),"Standaard")</f>
        <v>0</v>
      </c>
      <c r="BH46" t="str">
        <f>TEXT(Totaal!$R$2,"0")</f>
        <v>0</v>
      </c>
      <c r="BI46" t="e">
        <f>TEXT(TEXT(MEDIAN(Totaal!$R$3:$R$102),"0,0"),"Standaard")</f>
        <v>#NUM!</v>
      </c>
      <c r="BJ46" t="str">
        <f>Totaal!S$1</f>
        <v>O</v>
      </c>
      <c r="BK46" t="str">
        <f>TEXT(TEXT(Totaal!$S46,"0,0"),"Standaard")</f>
        <v>0</v>
      </c>
      <c r="BL46" t="str">
        <f>TEXT(Totaal!$S$2,"0")</f>
        <v>0</v>
      </c>
      <c r="BM46" t="e">
        <f>TEXT(TEXT(MEDIAN(Totaal!$S$3:$S$102),"0,0"),"Standaard")</f>
        <v>#NUM!</v>
      </c>
      <c r="BN46" t="str">
        <f>Totaal!T$1</f>
        <v>P</v>
      </c>
      <c r="BO46" t="str">
        <f>TEXT(TEXT(Totaal!$T46,"0,0"),"Standaard")</f>
        <v>0</v>
      </c>
      <c r="BP46" t="str">
        <f>TEXT(Totaal!$T$2,"0")</f>
        <v>0</v>
      </c>
      <c r="BQ46" t="e">
        <f>TEXT(TEXT(MEDIAN(Totaal!$T$3:$T$102),"0,0"),"Standaard")</f>
        <v>#NUM!</v>
      </c>
      <c r="BR46" t="str">
        <f>IF(Totaal!U46="","",Totaal!U46)</f>
        <v/>
      </c>
    </row>
    <row r="47" spans="1:70">
      <c r="A47">
        <f>Totaal!A47</f>
        <v>45</v>
      </c>
      <c r="B47" s="22" t="str">
        <f>IF(Totaal!B47="","",Totaal!B47)</f>
        <v/>
      </c>
      <c r="C47" s="8" t="e">
        <f>TEXT(TEXT(Totaal!C47,"0,0"),"Standaard")</f>
        <v>#DIV/0!</v>
      </c>
      <c r="D47" s="8" t="str">
        <f>TEXT(Totaal!C$2,"0")</f>
        <v>100</v>
      </c>
      <c r="E47" s="22" t="e">
        <f>TEXT(TEXT(SUM(Totaal!C$3:C$102)/COUNTIF(Totaal!C$3:C$102,"&lt;&gt;0"),"0,0"),"Standaard")</f>
        <v>#DIV/0!</v>
      </c>
      <c r="F47" t="str">
        <f>Totaal!E$1</f>
        <v>A</v>
      </c>
      <c r="G47" t="str">
        <f>TEXT(TEXT(Totaal!E47,"0,0"),"Standaard")</f>
        <v>0</v>
      </c>
      <c r="H47" t="str">
        <f>TEXT(Totaal!E$2,"0")</f>
        <v>0</v>
      </c>
      <c r="I47" t="e">
        <f>TEXT(TEXT(MEDIAN(Totaal!E$3:E$102),"0,0"),"Standaard")</f>
        <v>#NUM!</v>
      </c>
      <c r="J47" t="str">
        <f>Totaal!F$1</f>
        <v>B</v>
      </c>
      <c r="K47" t="str">
        <f>TEXT(TEXT(Totaal!$F47,"0,0"),"Standaard")</f>
        <v>0</v>
      </c>
      <c r="L47" t="str">
        <f>TEXT(Totaal!F$2,"0")</f>
        <v>0</v>
      </c>
      <c r="M47" t="e">
        <f>TEXT(TEXT(MEDIAN(Totaal!$F$3:$F$102),"0,0"),"Standaard")</f>
        <v>#NUM!</v>
      </c>
      <c r="N47" t="str">
        <f>Totaal!G$1</f>
        <v>C</v>
      </c>
      <c r="O47" t="str">
        <f>TEXT(TEXT(Totaal!$G47,"0,0"),"Standaard")</f>
        <v>0</v>
      </c>
      <c r="P47" t="str">
        <f>TEXT(Totaal!$G$2,"0")</f>
        <v>0</v>
      </c>
      <c r="Q47" t="e">
        <f>TEXT(TEXT(MEDIAN(Totaal!$G$3:$G$102),"0,0"),"Standaard")</f>
        <v>#NUM!</v>
      </c>
      <c r="R47" t="str">
        <f>Totaal!H$1</f>
        <v>D</v>
      </c>
      <c r="S47" t="str">
        <f>TEXT(TEXT(Totaal!$H47,"0,0"),"Standaard")</f>
        <v>0</v>
      </c>
      <c r="T47" t="str">
        <f>TEXT(Totaal!$H$2,"0")</f>
        <v>0</v>
      </c>
      <c r="U47" t="e">
        <f>TEXT(TEXT(MEDIAN(Totaal!$H$3:$H$102),"0,0"),"Standaard")</f>
        <v>#NUM!</v>
      </c>
      <c r="V47" t="str">
        <f>Totaal!I$1</f>
        <v>E</v>
      </c>
      <c r="W47" t="str">
        <f>TEXT(TEXT(Totaal!$I47,"0,0"),"Standaard")</f>
        <v>0</v>
      </c>
      <c r="X47" t="str">
        <f>TEXT(Totaal!$I$2,"0")</f>
        <v>0</v>
      </c>
      <c r="Y47" t="e">
        <f>TEXT(TEXT(MEDIAN(Totaal!$I$3:$I$102),"0,0"),"Standaard")</f>
        <v>#NUM!</v>
      </c>
      <c r="Z47" t="str">
        <f>Totaal!J$1</f>
        <v>F</v>
      </c>
      <c r="AA47" t="str">
        <f>TEXT(TEXT(Totaal!$J47,"0,0"),"Standaard")</f>
        <v>0</v>
      </c>
      <c r="AB47" t="str">
        <f>TEXT(Totaal!$J$2,"0")</f>
        <v>0</v>
      </c>
      <c r="AC47" t="e">
        <f>TEXT(TEXT(MEDIAN(Totaal!$J$3:$J$102),"0,0"),"Standaard")</f>
        <v>#NUM!</v>
      </c>
      <c r="AD47" t="str">
        <f>Totaal!K$1</f>
        <v>G</v>
      </c>
      <c r="AE47" t="str">
        <f>TEXT(TEXT(Totaal!$K47,"0,0"),"Standaard")</f>
        <v>0</v>
      </c>
      <c r="AF47" t="str">
        <f>TEXT(Totaal!$K$2,"0")</f>
        <v>0</v>
      </c>
      <c r="AG47" t="e">
        <f>TEXT(TEXT(MEDIAN(Totaal!$K$3:$K$102),"0,0"),"Standaard")</f>
        <v>#NUM!</v>
      </c>
      <c r="AH47" t="str">
        <f>Totaal!L$1</f>
        <v>H</v>
      </c>
      <c r="AI47" t="str">
        <f>TEXT(TEXT(Totaal!$L47,"0,0"),"Standaard")</f>
        <v>0</v>
      </c>
      <c r="AJ47" t="str">
        <f>TEXT(Totaal!$L$2,"0")</f>
        <v>0</v>
      </c>
      <c r="AK47" t="e">
        <f>TEXT(TEXT(MEDIAN(Totaal!$L$3:$L$102),"0,0"),"Standaard")</f>
        <v>#NUM!</v>
      </c>
      <c r="AL47" t="str">
        <f>Totaal!M$1</f>
        <v>I</v>
      </c>
      <c r="AM47" t="str">
        <f>TEXT(TEXT(Totaal!$M47,"0,0"),"Standaard")</f>
        <v>0</v>
      </c>
      <c r="AN47" t="str">
        <f>TEXT(Totaal!$M$2,"0")</f>
        <v>0</v>
      </c>
      <c r="AO47" t="e">
        <f>TEXT(TEXT(MEDIAN(Totaal!$M$3:$M$102),"0,0"),"Standaard")</f>
        <v>#NUM!</v>
      </c>
      <c r="AP47" t="str">
        <f>Totaal!N$1</f>
        <v>J</v>
      </c>
      <c r="AQ47" t="str">
        <f>TEXT(TEXT(Totaal!$N47,"0,0"),"Standaard")</f>
        <v>0</v>
      </c>
      <c r="AR47" t="str">
        <f>TEXT(Totaal!$N$2,"0")</f>
        <v>0</v>
      </c>
      <c r="AS47" t="e">
        <f>TEXT(TEXT(MEDIAN(Totaal!$N$3:$N$102),"0,0"),"Standaard")</f>
        <v>#NUM!</v>
      </c>
      <c r="AT47" t="str">
        <f>Totaal!O$1</f>
        <v>K</v>
      </c>
      <c r="AU47" t="str">
        <f>TEXT(TEXT(Totaal!$O47,"0,0"),"Standaard")</f>
        <v>0</v>
      </c>
      <c r="AV47" t="str">
        <f>TEXT(Totaal!$O$2,"0")</f>
        <v>0</v>
      </c>
      <c r="AW47" t="e">
        <f>TEXT(TEXT(MEDIAN(Totaal!$O$3:$O$102),"0,0"),"Standaard")</f>
        <v>#NUM!</v>
      </c>
      <c r="AX47" t="str">
        <f>Totaal!P$1</f>
        <v>L</v>
      </c>
      <c r="AY47" t="str">
        <f>TEXT(TEXT(Totaal!$P47,"0,0"),"Standaard")</f>
        <v>0</v>
      </c>
      <c r="AZ47" t="str">
        <f>TEXT(Totaal!$P$2,"0")</f>
        <v>0</v>
      </c>
      <c r="BA47" t="e">
        <f>TEXT(TEXT(MEDIAN(Totaal!$P$3:$P$102),"0,0"),"Standaard")</f>
        <v>#NUM!</v>
      </c>
      <c r="BB47" t="str">
        <f>Totaal!Q$1</f>
        <v>M</v>
      </c>
      <c r="BC47" t="str">
        <f>TEXT(TEXT(Totaal!$Q47,"0,0"),"Standaard")</f>
        <v>0</v>
      </c>
      <c r="BD47" t="str">
        <f>TEXT(Totaal!$Q$2,"0")</f>
        <v>0</v>
      </c>
      <c r="BE47" t="e">
        <f>TEXT(TEXT(MEDIAN(Totaal!$Q$3:$Q$102),"0,0"),"Standaard")</f>
        <v>#NUM!</v>
      </c>
      <c r="BF47" t="str">
        <f>Totaal!R$1</f>
        <v>N</v>
      </c>
      <c r="BG47" t="str">
        <f>TEXT(TEXT(Totaal!$R47,"0,0"),"Standaard")</f>
        <v>0</v>
      </c>
      <c r="BH47" t="str">
        <f>TEXT(Totaal!$R$2,"0")</f>
        <v>0</v>
      </c>
      <c r="BI47" t="e">
        <f>TEXT(TEXT(MEDIAN(Totaal!$R$3:$R$102),"0,0"),"Standaard")</f>
        <v>#NUM!</v>
      </c>
      <c r="BJ47" t="str">
        <f>Totaal!S$1</f>
        <v>O</v>
      </c>
      <c r="BK47" t="str">
        <f>TEXT(TEXT(Totaal!$S47,"0,0"),"Standaard")</f>
        <v>0</v>
      </c>
      <c r="BL47" t="str">
        <f>TEXT(Totaal!$S$2,"0")</f>
        <v>0</v>
      </c>
      <c r="BM47" t="e">
        <f>TEXT(TEXT(MEDIAN(Totaal!$S$3:$S$102),"0,0"),"Standaard")</f>
        <v>#NUM!</v>
      </c>
      <c r="BN47" t="str">
        <f>Totaal!T$1</f>
        <v>P</v>
      </c>
      <c r="BO47" t="str">
        <f>TEXT(TEXT(Totaal!$T47,"0,0"),"Standaard")</f>
        <v>0</v>
      </c>
      <c r="BP47" t="str">
        <f>TEXT(Totaal!$T$2,"0")</f>
        <v>0</v>
      </c>
      <c r="BQ47" t="e">
        <f>TEXT(TEXT(MEDIAN(Totaal!$T$3:$T$102),"0,0"),"Standaard")</f>
        <v>#NUM!</v>
      </c>
      <c r="BR47" t="str">
        <f>IF(Totaal!U47="","",Totaal!U47)</f>
        <v/>
      </c>
    </row>
    <row r="48" spans="1:70">
      <c r="A48">
        <f>Totaal!A48</f>
        <v>46</v>
      </c>
      <c r="B48" s="22" t="str">
        <f>IF(Totaal!B48="","",Totaal!B48)</f>
        <v/>
      </c>
      <c r="C48" s="8" t="e">
        <f>TEXT(TEXT(Totaal!C48,"0,0"),"Standaard")</f>
        <v>#DIV/0!</v>
      </c>
      <c r="D48" s="8" t="str">
        <f>TEXT(Totaal!C$2,"0")</f>
        <v>100</v>
      </c>
      <c r="E48" s="22" t="e">
        <f>TEXT(TEXT(SUM(Totaal!C$3:C$102)/COUNTIF(Totaal!C$3:C$102,"&lt;&gt;0"),"0,0"),"Standaard")</f>
        <v>#DIV/0!</v>
      </c>
      <c r="F48" t="str">
        <f>Totaal!E$1</f>
        <v>A</v>
      </c>
      <c r="G48" t="str">
        <f>TEXT(TEXT(Totaal!E48,"0,0"),"Standaard")</f>
        <v>0</v>
      </c>
      <c r="H48" t="str">
        <f>TEXT(Totaal!E$2,"0")</f>
        <v>0</v>
      </c>
      <c r="I48" t="e">
        <f>TEXT(TEXT(MEDIAN(Totaal!E$3:E$102),"0,0"),"Standaard")</f>
        <v>#NUM!</v>
      </c>
      <c r="J48" t="str">
        <f>Totaal!F$1</f>
        <v>B</v>
      </c>
      <c r="K48" t="str">
        <f>TEXT(TEXT(Totaal!$F48,"0,0"),"Standaard")</f>
        <v>0</v>
      </c>
      <c r="L48" t="str">
        <f>TEXT(Totaal!F$2,"0")</f>
        <v>0</v>
      </c>
      <c r="M48" t="e">
        <f>TEXT(TEXT(MEDIAN(Totaal!$F$3:$F$102),"0,0"),"Standaard")</f>
        <v>#NUM!</v>
      </c>
      <c r="N48" t="str">
        <f>Totaal!G$1</f>
        <v>C</v>
      </c>
      <c r="O48" t="str">
        <f>TEXT(TEXT(Totaal!$G48,"0,0"),"Standaard")</f>
        <v>0</v>
      </c>
      <c r="P48" t="str">
        <f>TEXT(Totaal!$G$2,"0")</f>
        <v>0</v>
      </c>
      <c r="Q48" t="e">
        <f>TEXT(TEXT(MEDIAN(Totaal!$G$3:$G$102),"0,0"),"Standaard")</f>
        <v>#NUM!</v>
      </c>
      <c r="R48" t="str">
        <f>Totaal!H$1</f>
        <v>D</v>
      </c>
      <c r="S48" t="str">
        <f>TEXT(TEXT(Totaal!$H48,"0,0"),"Standaard")</f>
        <v>0</v>
      </c>
      <c r="T48" t="str">
        <f>TEXT(Totaal!$H$2,"0")</f>
        <v>0</v>
      </c>
      <c r="U48" t="e">
        <f>TEXT(TEXT(MEDIAN(Totaal!$H$3:$H$102),"0,0"),"Standaard")</f>
        <v>#NUM!</v>
      </c>
      <c r="V48" t="str">
        <f>Totaal!I$1</f>
        <v>E</v>
      </c>
      <c r="W48" t="str">
        <f>TEXT(TEXT(Totaal!$I48,"0,0"),"Standaard")</f>
        <v>0</v>
      </c>
      <c r="X48" t="str">
        <f>TEXT(Totaal!$I$2,"0")</f>
        <v>0</v>
      </c>
      <c r="Y48" t="e">
        <f>TEXT(TEXT(MEDIAN(Totaal!$I$3:$I$102),"0,0"),"Standaard")</f>
        <v>#NUM!</v>
      </c>
      <c r="Z48" t="str">
        <f>Totaal!J$1</f>
        <v>F</v>
      </c>
      <c r="AA48" t="str">
        <f>TEXT(TEXT(Totaal!$J48,"0,0"),"Standaard")</f>
        <v>0</v>
      </c>
      <c r="AB48" t="str">
        <f>TEXT(Totaal!$J$2,"0")</f>
        <v>0</v>
      </c>
      <c r="AC48" t="e">
        <f>TEXT(TEXT(MEDIAN(Totaal!$J$3:$J$102),"0,0"),"Standaard")</f>
        <v>#NUM!</v>
      </c>
      <c r="AD48" t="str">
        <f>Totaal!K$1</f>
        <v>G</v>
      </c>
      <c r="AE48" t="str">
        <f>TEXT(TEXT(Totaal!$K48,"0,0"),"Standaard")</f>
        <v>0</v>
      </c>
      <c r="AF48" t="str">
        <f>TEXT(Totaal!$K$2,"0")</f>
        <v>0</v>
      </c>
      <c r="AG48" t="e">
        <f>TEXT(TEXT(MEDIAN(Totaal!$K$3:$K$102),"0,0"),"Standaard")</f>
        <v>#NUM!</v>
      </c>
      <c r="AH48" t="str">
        <f>Totaal!L$1</f>
        <v>H</v>
      </c>
      <c r="AI48" t="str">
        <f>TEXT(TEXT(Totaal!$L48,"0,0"),"Standaard")</f>
        <v>0</v>
      </c>
      <c r="AJ48" t="str">
        <f>TEXT(Totaal!$L$2,"0")</f>
        <v>0</v>
      </c>
      <c r="AK48" t="e">
        <f>TEXT(TEXT(MEDIAN(Totaal!$L$3:$L$102),"0,0"),"Standaard")</f>
        <v>#NUM!</v>
      </c>
      <c r="AL48" t="str">
        <f>Totaal!M$1</f>
        <v>I</v>
      </c>
      <c r="AM48" t="str">
        <f>TEXT(TEXT(Totaal!$M48,"0,0"),"Standaard")</f>
        <v>0</v>
      </c>
      <c r="AN48" t="str">
        <f>TEXT(Totaal!$M$2,"0")</f>
        <v>0</v>
      </c>
      <c r="AO48" t="e">
        <f>TEXT(TEXT(MEDIAN(Totaal!$M$3:$M$102),"0,0"),"Standaard")</f>
        <v>#NUM!</v>
      </c>
      <c r="AP48" t="str">
        <f>Totaal!N$1</f>
        <v>J</v>
      </c>
      <c r="AQ48" t="str">
        <f>TEXT(TEXT(Totaal!$N48,"0,0"),"Standaard")</f>
        <v>0</v>
      </c>
      <c r="AR48" t="str">
        <f>TEXT(Totaal!$N$2,"0")</f>
        <v>0</v>
      </c>
      <c r="AS48" t="e">
        <f>TEXT(TEXT(MEDIAN(Totaal!$N$3:$N$102),"0,0"),"Standaard")</f>
        <v>#NUM!</v>
      </c>
      <c r="AT48" t="str">
        <f>Totaal!O$1</f>
        <v>K</v>
      </c>
      <c r="AU48" t="str">
        <f>TEXT(TEXT(Totaal!$O48,"0,0"),"Standaard")</f>
        <v>0</v>
      </c>
      <c r="AV48" t="str">
        <f>TEXT(Totaal!$O$2,"0")</f>
        <v>0</v>
      </c>
      <c r="AW48" t="e">
        <f>TEXT(TEXT(MEDIAN(Totaal!$O$3:$O$102),"0,0"),"Standaard")</f>
        <v>#NUM!</v>
      </c>
      <c r="AX48" t="str">
        <f>Totaal!P$1</f>
        <v>L</v>
      </c>
      <c r="AY48" t="str">
        <f>TEXT(TEXT(Totaal!$P48,"0,0"),"Standaard")</f>
        <v>0</v>
      </c>
      <c r="AZ48" t="str">
        <f>TEXT(Totaal!$P$2,"0")</f>
        <v>0</v>
      </c>
      <c r="BA48" t="e">
        <f>TEXT(TEXT(MEDIAN(Totaal!$P$3:$P$102),"0,0"),"Standaard")</f>
        <v>#NUM!</v>
      </c>
      <c r="BB48" t="str">
        <f>Totaal!Q$1</f>
        <v>M</v>
      </c>
      <c r="BC48" t="str">
        <f>TEXT(TEXT(Totaal!$Q48,"0,0"),"Standaard")</f>
        <v>0</v>
      </c>
      <c r="BD48" t="str">
        <f>TEXT(Totaal!$Q$2,"0")</f>
        <v>0</v>
      </c>
      <c r="BE48" t="e">
        <f>TEXT(TEXT(MEDIAN(Totaal!$Q$3:$Q$102),"0,0"),"Standaard")</f>
        <v>#NUM!</v>
      </c>
      <c r="BF48" t="str">
        <f>Totaal!R$1</f>
        <v>N</v>
      </c>
      <c r="BG48" t="str">
        <f>TEXT(TEXT(Totaal!$R48,"0,0"),"Standaard")</f>
        <v>0</v>
      </c>
      <c r="BH48" t="str">
        <f>TEXT(Totaal!$R$2,"0")</f>
        <v>0</v>
      </c>
      <c r="BI48" t="e">
        <f>TEXT(TEXT(MEDIAN(Totaal!$R$3:$R$102),"0,0"),"Standaard")</f>
        <v>#NUM!</v>
      </c>
      <c r="BJ48" t="str">
        <f>Totaal!S$1</f>
        <v>O</v>
      </c>
      <c r="BK48" t="str">
        <f>TEXT(TEXT(Totaal!$S48,"0,0"),"Standaard")</f>
        <v>0</v>
      </c>
      <c r="BL48" t="str">
        <f>TEXT(Totaal!$S$2,"0")</f>
        <v>0</v>
      </c>
      <c r="BM48" t="e">
        <f>TEXT(TEXT(MEDIAN(Totaal!$S$3:$S$102),"0,0"),"Standaard")</f>
        <v>#NUM!</v>
      </c>
      <c r="BN48" t="str">
        <f>Totaal!T$1</f>
        <v>P</v>
      </c>
      <c r="BO48" t="str">
        <f>TEXT(TEXT(Totaal!$T48,"0,0"),"Standaard")</f>
        <v>0</v>
      </c>
      <c r="BP48" t="str">
        <f>TEXT(Totaal!$T$2,"0")</f>
        <v>0</v>
      </c>
      <c r="BQ48" t="e">
        <f>TEXT(TEXT(MEDIAN(Totaal!$T$3:$T$102),"0,0"),"Standaard")</f>
        <v>#NUM!</v>
      </c>
      <c r="BR48" t="str">
        <f>IF(Totaal!U48="","",Totaal!U48)</f>
        <v/>
      </c>
    </row>
    <row r="49" spans="1:70">
      <c r="A49">
        <f>Totaal!A49</f>
        <v>47</v>
      </c>
      <c r="B49" s="22" t="str">
        <f>IF(Totaal!B49="","",Totaal!B49)</f>
        <v/>
      </c>
      <c r="C49" s="8" t="e">
        <f>TEXT(TEXT(Totaal!C49,"0,0"),"Standaard")</f>
        <v>#DIV/0!</v>
      </c>
      <c r="D49" s="8" t="str">
        <f>TEXT(Totaal!C$2,"0")</f>
        <v>100</v>
      </c>
      <c r="E49" s="22" t="e">
        <f>TEXT(TEXT(SUM(Totaal!C$3:C$102)/COUNTIF(Totaal!C$3:C$102,"&lt;&gt;0"),"0,0"),"Standaard")</f>
        <v>#DIV/0!</v>
      </c>
      <c r="F49" t="str">
        <f>Totaal!E$1</f>
        <v>A</v>
      </c>
      <c r="G49" t="str">
        <f>TEXT(TEXT(Totaal!E49,"0,0"),"Standaard")</f>
        <v>0</v>
      </c>
      <c r="H49" t="str">
        <f>TEXT(Totaal!E$2,"0")</f>
        <v>0</v>
      </c>
      <c r="I49" t="e">
        <f>TEXT(TEXT(MEDIAN(Totaal!E$3:E$102),"0,0"),"Standaard")</f>
        <v>#NUM!</v>
      </c>
      <c r="J49" t="str">
        <f>Totaal!F$1</f>
        <v>B</v>
      </c>
      <c r="K49" t="str">
        <f>TEXT(TEXT(Totaal!$F49,"0,0"),"Standaard")</f>
        <v>0</v>
      </c>
      <c r="L49" t="str">
        <f>TEXT(Totaal!F$2,"0")</f>
        <v>0</v>
      </c>
      <c r="M49" t="e">
        <f>TEXT(TEXT(MEDIAN(Totaal!$F$3:$F$102),"0,0"),"Standaard")</f>
        <v>#NUM!</v>
      </c>
      <c r="N49" t="str">
        <f>Totaal!G$1</f>
        <v>C</v>
      </c>
      <c r="O49" t="str">
        <f>TEXT(TEXT(Totaal!$G49,"0,0"),"Standaard")</f>
        <v>0</v>
      </c>
      <c r="P49" t="str">
        <f>TEXT(Totaal!$G$2,"0")</f>
        <v>0</v>
      </c>
      <c r="Q49" t="e">
        <f>TEXT(TEXT(MEDIAN(Totaal!$G$3:$G$102),"0,0"),"Standaard")</f>
        <v>#NUM!</v>
      </c>
      <c r="R49" t="str">
        <f>Totaal!H$1</f>
        <v>D</v>
      </c>
      <c r="S49" t="str">
        <f>TEXT(TEXT(Totaal!$H49,"0,0"),"Standaard")</f>
        <v>0</v>
      </c>
      <c r="T49" t="str">
        <f>TEXT(Totaal!$H$2,"0")</f>
        <v>0</v>
      </c>
      <c r="U49" t="e">
        <f>TEXT(TEXT(MEDIAN(Totaal!$H$3:$H$102),"0,0"),"Standaard")</f>
        <v>#NUM!</v>
      </c>
      <c r="V49" t="str">
        <f>Totaal!I$1</f>
        <v>E</v>
      </c>
      <c r="W49" t="str">
        <f>TEXT(TEXT(Totaal!$I49,"0,0"),"Standaard")</f>
        <v>0</v>
      </c>
      <c r="X49" t="str">
        <f>TEXT(Totaal!$I$2,"0")</f>
        <v>0</v>
      </c>
      <c r="Y49" t="e">
        <f>TEXT(TEXT(MEDIAN(Totaal!$I$3:$I$102),"0,0"),"Standaard")</f>
        <v>#NUM!</v>
      </c>
      <c r="Z49" t="str">
        <f>Totaal!J$1</f>
        <v>F</v>
      </c>
      <c r="AA49" t="str">
        <f>TEXT(TEXT(Totaal!$J49,"0,0"),"Standaard")</f>
        <v>0</v>
      </c>
      <c r="AB49" t="str">
        <f>TEXT(Totaal!$J$2,"0")</f>
        <v>0</v>
      </c>
      <c r="AC49" t="e">
        <f>TEXT(TEXT(MEDIAN(Totaal!$J$3:$J$102),"0,0"),"Standaard")</f>
        <v>#NUM!</v>
      </c>
      <c r="AD49" t="str">
        <f>Totaal!K$1</f>
        <v>G</v>
      </c>
      <c r="AE49" t="str">
        <f>TEXT(TEXT(Totaal!$K49,"0,0"),"Standaard")</f>
        <v>0</v>
      </c>
      <c r="AF49" t="str">
        <f>TEXT(Totaal!$K$2,"0")</f>
        <v>0</v>
      </c>
      <c r="AG49" t="e">
        <f>TEXT(TEXT(MEDIAN(Totaal!$K$3:$K$102),"0,0"),"Standaard")</f>
        <v>#NUM!</v>
      </c>
      <c r="AH49" t="str">
        <f>Totaal!L$1</f>
        <v>H</v>
      </c>
      <c r="AI49" t="str">
        <f>TEXT(TEXT(Totaal!$L49,"0,0"),"Standaard")</f>
        <v>0</v>
      </c>
      <c r="AJ49" t="str">
        <f>TEXT(Totaal!$L$2,"0")</f>
        <v>0</v>
      </c>
      <c r="AK49" t="e">
        <f>TEXT(TEXT(MEDIAN(Totaal!$L$3:$L$102),"0,0"),"Standaard")</f>
        <v>#NUM!</v>
      </c>
      <c r="AL49" t="str">
        <f>Totaal!M$1</f>
        <v>I</v>
      </c>
      <c r="AM49" t="str">
        <f>TEXT(TEXT(Totaal!$M49,"0,0"),"Standaard")</f>
        <v>0</v>
      </c>
      <c r="AN49" t="str">
        <f>TEXT(Totaal!$M$2,"0")</f>
        <v>0</v>
      </c>
      <c r="AO49" t="e">
        <f>TEXT(TEXT(MEDIAN(Totaal!$M$3:$M$102),"0,0"),"Standaard")</f>
        <v>#NUM!</v>
      </c>
      <c r="AP49" t="str">
        <f>Totaal!N$1</f>
        <v>J</v>
      </c>
      <c r="AQ49" t="str">
        <f>TEXT(TEXT(Totaal!$N49,"0,0"),"Standaard")</f>
        <v>0</v>
      </c>
      <c r="AR49" t="str">
        <f>TEXT(Totaal!$N$2,"0")</f>
        <v>0</v>
      </c>
      <c r="AS49" t="e">
        <f>TEXT(TEXT(MEDIAN(Totaal!$N$3:$N$102),"0,0"),"Standaard")</f>
        <v>#NUM!</v>
      </c>
      <c r="AT49" t="str">
        <f>Totaal!O$1</f>
        <v>K</v>
      </c>
      <c r="AU49" t="str">
        <f>TEXT(TEXT(Totaal!$O49,"0,0"),"Standaard")</f>
        <v>0</v>
      </c>
      <c r="AV49" t="str">
        <f>TEXT(Totaal!$O$2,"0")</f>
        <v>0</v>
      </c>
      <c r="AW49" t="e">
        <f>TEXT(TEXT(MEDIAN(Totaal!$O$3:$O$102),"0,0"),"Standaard")</f>
        <v>#NUM!</v>
      </c>
      <c r="AX49" t="str">
        <f>Totaal!P$1</f>
        <v>L</v>
      </c>
      <c r="AY49" t="str">
        <f>TEXT(TEXT(Totaal!$P49,"0,0"),"Standaard")</f>
        <v>0</v>
      </c>
      <c r="AZ49" t="str">
        <f>TEXT(Totaal!$P$2,"0")</f>
        <v>0</v>
      </c>
      <c r="BA49" t="e">
        <f>TEXT(TEXT(MEDIAN(Totaal!$P$3:$P$102),"0,0"),"Standaard")</f>
        <v>#NUM!</v>
      </c>
      <c r="BB49" t="str">
        <f>Totaal!Q$1</f>
        <v>M</v>
      </c>
      <c r="BC49" t="str">
        <f>TEXT(TEXT(Totaal!$Q49,"0,0"),"Standaard")</f>
        <v>0</v>
      </c>
      <c r="BD49" t="str">
        <f>TEXT(Totaal!$Q$2,"0")</f>
        <v>0</v>
      </c>
      <c r="BE49" t="e">
        <f>TEXT(TEXT(MEDIAN(Totaal!$Q$3:$Q$102),"0,0"),"Standaard")</f>
        <v>#NUM!</v>
      </c>
      <c r="BF49" t="str">
        <f>Totaal!R$1</f>
        <v>N</v>
      </c>
      <c r="BG49" t="str">
        <f>TEXT(TEXT(Totaal!$R49,"0,0"),"Standaard")</f>
        <v>0</v>
      </c>
      <c r="BH49" t="str">
        <f>TEXT(Totaal!$R$2,"0")</f>
        <v>0</v>
      </c>
      <c r="BI49" t="e">
        <f>TEXT(TEXT(MEDIAN(Totaal!$R$3:$R$102),"0,0"),"Standaard")</f>
        <v>#NUM!</v>
      </c>
      <c r="BJ49" t="str">
        <f>Totaal!S$1</f>
        <v>O</v>
      </c>
      <c r="BK49" t="str">
        <f>TEXT(TEXT(Totaal!$S49,"0,0"),"Standaard")</f>
        <v>0</v>
      </c>
      <c r="BL49" t="str">
        <f>TEXT(Totaal!$S$2,"0")</f>
        <v>0</v>
      </c>
      <c r="BM49" t="e">
        <f>TEXT(TEXT(MEDIAN(Totaal!$S$3:$S$102),"0,0"),"Standaard")</f>
        <v>#NUM!</v>
      </c>
      <c r="BN49" t="str">
        <f>Totaal!T$1</f>
        <v>P</v>
      </c>
      <c r="BO49" t="str">
        <f>TEXT(TEXT(Totaal!$T49,"0,0"),"Standaard")</f>
        <v>0</v>
      </c>
      <c r="BP49" t="str">
        <f>TEXT(Totaal!$T$2,"0")</f>
        <v>0</v>
      </c>
      <c r="BQ49" t="e">
        <f>TEXT(TEXT(MEDIAN(Totaal!$T$3:$T$102),"0,0"),"Standaard")</f>
        <v>#NUM!</v>
      </c>
      <c r="BR49" t="str">
        <f>IF(Totaal!U49="","",Totaal!U49)</f>
        <v/>
      </c>
    </row>
    <row r="50" spans="1:70">
      <c r="A50">
        <f>Totaal!A50</f>
        <v>48</v>
      </c>
      <c r="B50" s="22" t="str">
        <f>IF(Totaal!B50="","",Totaal!B50)</f>
        <v/>
      </c>
      <c r="C50" s="8" t="e">
        <f>TEXT(TEXT(Totaal!C50,"0,0"),"Standaard")</f>
        <v>#DIV/0!</v>
      </c>
      <c r="D50" s="8" t="str">
        <f>TEXT(Totaal!C$2,"0")</f>
        <v>100</v>
      </c>
      <c r="E50" s="22" t="e">
        <f>TEXT(TEXT(SUM(Totaal!C$3:C$102)/COUNTIF(Totaal!C$3:C$102,"&lt;&gt;0"),"0,0"),"Standaard")</f>
        <v>#DIV/0!</v>
      </c>
      <c r="F50" t="str">
        <f>Totaal!E$1</f>
        <v>A</v>
      </c>
      <c r="G50" t="str">
        <f>TEXT(TEXT(Totaal!E50,"0,0"),"Standaard")</f>
        <v>0</v>
      </c>
      <c r="H50" t="str">
        <f>TEXT(Totaal!E$2,"0")</f>
        <v>0</v>
      </c>
      <c r="I50" t="e">
        <f>TEXT(TEXT(MEDIAN(Totaal!E$3:E$102),"0,0"),"Standaard")</f>
        <v>#NUM!</v>
      </c>
      <c r="J50" t="str">
        <f>Totaal!F$1</f>
        <v>B</v>
      </c>
      <c r="K50" t="str">
        <f>TEXT(TEXT(Totaal!$F50,"0,0"),"Standaard")</f>
        <v>0</v>
      </c>
      <c r="L50" t="str">
        <f>TEXT(Totaal!F$2,"0")</f>
        <v>0</v>
      </c>
      <c r="M50" t="e">
        <f>TEXT(TEXT(MEDIAN(Totaal!$F$3:$F$102),"0,0"),"Standaard")</f>
        <v>#NUM!</v>
      </c>
      <c r="N50" t="str">
        <f>Totaal!G$1</f>
        <v>C</v>
      </c>
      <c r="O50" t="str">
        <f>TEXT(TEXT(Totaal!$G50,"0,0"),"Standaard")</f>
        <v>0</v>
      </c>
      <c r="P50" t="str">
        <f>TEXT(Totaal!$G$2,"0")</f>
        <v>0</v>
      </c>
      <c r="Q50" t="e">
        <f>TEXT(TEXT(MEDIAN(Totaal!$G$3:$G$102),"0,0"),"Standaard")</f>
        <v>#NUM!</v>
      </c>
      <c r="R50" t="str">
        <f>Totaal!H$1</f>
        <v>D</v>
      </c>
      <c r="S50" t="str">
        <f>TEXT(TEXT(Totaal!$H50,"0,0"),"Standaard")</f>
        <v>0</v>
      </c>
      <c r="T50" t="str">
        <f>TEXT(Totaal!$H$2,"0")</f>
        <v>0</v>
      </c>
      <c r="U50" t="e">
        <f>TEXT(TEXT(MEDIAN(Totaal!$H$3:$H$102),"0,0"),"Standaard")</f>
        <v>#NUM!</v>
      </c>
      <c r="V50" t="str">
        <f>Totaal!I$1</f>
        <v>E</v>
      </c>
      <c r="W50" t="str">
        <f>TEXT(TEXT(Totaal!$I50,"0,0"),"Standaard")</f>
        <v>0</v>
      </c>
      <c r="X50" t="str">
        <f>TEXT(Totaal!$I$2,"0")</f>
        <v>0</v>
      </c>
      <c r="Y50" t="e">
        <f>TEXT(TEXT(MEDIAN(Totaal!$I$3:$I$102),"0,0"),"Standaard")</f>
        <v>#NUM!</v>
      </c>
      <c r="Z50" t="str">
        <f>Totaal!J$1</f>
        <v>F</v>
      </c>
      <c r="AA50" t="str">
        <f>TEXT(TEXT(Totaal!$J50,"0,0"),"Standaard")</f>
        <v>0</v>
      </c>
      <c r="AB50" t="str">
        <f>TEXT(Totaal!$J$2,"0")</f>
        <v>0</v>
      </c>
      <c r="AC50" t="e">
        <f>TEXT(TEXT(MEDIAN(Totaal!$J$3:$J$102),"0,0"),"Standaard")</f>
        <v>#NUM!</v>
      </c>
      <c r="AD50" t="str">
        <f>Totaal!K$1</f>
        <v>G</v>
      </c>
      <c r="AE50" t="str">
        <f>TEXT(TEXT(Totaal!$K50,"0,0"),"Standaard")</f>
        <v>0</v>
      </c>
      <c r="AF50" t="str">
        <f>TEXT(Totaal!$K$2,"0")</f>
        <v>0</v>
      </c>
      <c r="AG50" t="e">
        <f>TEXT(TEXT(MEDIAN(Totaal!$K$3:$K$102),"0,0"),"Standaard")</f>
        <v>#NUM!</v>
      </c>
      <c r="AH50" t="str">
        <f>Totaal!L$1</f>
        <v>H</v>
      </c>
      <c r="AI50" t="str">
        <f>TEXT(TEXT(Totaal!$L50,"0,0"),"Standaard")</f>
        <v>0</v>
      </c>
      <c r="AJ50" t="str">
        <f>TEXT(Totaal!$L$2,"0")</f>
        <v>0</v>
      </c>
      <c r="AK50" t="e">
        <f>TEXT(TEXT(MEDIAN(Totaal!$L$3:$L$102),"0,0"),"Standaard")</f>
        <v>#NUM!</v>
      </c>
      <c r="AL50" t="str">
        <f>Totaal!M$1</f>
        <v>I</v>
      </c>
      <c r="AM50" t="str">
        <f>TEXT(TEXT(Totaal!$M50,"0,0"),"Standaard")</f>
        <v>0</v>
      </c>
      <c r="AN50" t="str">
        <f>TEXT(Totaal!$M$2,"0")</f>
        <v>0</v>
      </c>
      <c r="AO50" t="e">
        <f>TEXT(TEXT(MEDIAN(Totaal!$M$3:$M$102),"0,0"),"Standaard")</f>
        <v>#NUM!</v>
      </c>
      <c r="AP50" t="str">
        <f>Totaal!N$1</f>
        <v>J</v>
      </c>
      <c r="AQ50" t="str">
        <f>TEXT(TEXT(Totaal!$N50,"0,0"),"Standaard")</f>
        <v>0</v>
      </c>
      <c r="AR50" t="str">
        <f>TEXT(Totaal!$N$2,"0")</f>
        <v>0</v>
      </c>
      <c r="AS50" t="e">
        <f>TEXT(TEXT(MEDIAN(Totaal!$N$3:$N$102),"0,0"),"Standaard")</f>
        <v>#NUM!</v>
      </c>
      <c r="AT50" t="str">
        <f>Totaal!O$1</f>
        <v>K</v>
      </c>
      <c r="AU50" t="str">
        <f>TEXT(TEXT(Totaal!$O50,"0,0"),"Standaard")</f>
        <v>0</v>
      </c>
      <c r="AV50" t="str">
        <f>TEXT(Totaal!$O$2,"0")</f>
        <v>0</v>
      </c>
      <c r="AW50" t="e">
        <f>TEXT(TEXT(MEDIAN(Totaal!$O$3:$O$102),"0,0"),"Standaard")</f>
        <v>#NUM!</v>
      </c>
      <c r="AX50" t="str">
        <f>Totaal!P$1</f>
        <v>L</v>
      </c>
      <c r="AY50" t="str">
        <f>TEXT(TEXT(Totaal!$P50,"0,0"),"Standaard")</f>
        <v>0</v>
      </c>
      <c r="AZ50" t="str">
        <f>TEXT(Totaal!$P$2,"0")</f>
        <v>0</v>
      </c>
      <c r="BA50" t="e">
        <f>TEXT(TEXT(MEDIAN(Totaal!$P$3:$P$102),"0,0"),"Standaard")</f>
        <v>#NUM!</v>
      </c>
      <c r="BB50" t="str">
        <f>Totaal!Q$1</f>
        <v>M</v>
      </c>
      <c r="BC50" t="str">
        <f>TEXT(TEXT(Totaal!$Q50,"0,0"),"Standaard")</f>
        <v>0</v>
      </c>
      <c r="BD50" t="str">
        <f>TEXT(Totaal!$Q$2,"0")</f>
        <v>0</v>
      </c>
      <c r="BE50" t="e">
        <f>TEXT(TEXT(MEDIAN(Totaal!$Q$3:$Q$102),"0,0"),"Standaard")</f>
        <v>#NUM!</v>
      </c>
      <c r="BF50" t="str">
        <f>Totaal!R$1</f>
        <v>N</v>
      </c>
      <c r="BG50" t="str">
        <f>TEXT(TEXT(Totaal!$R50,"0,0"),"Standaard")</f>
        <v>0</v>
      </c>
      <c r="BH50" t="str">
        <f>TEXT(Totaal!$R$2,"0")</f>
        <v>0</v>
      </c>
      <c r="BI50" t="e">
        <f>TEXT(TEXT(MEDIAN(Totaal!$R$3:$R$102),"0,0"),"Standaard")</f>
        <v>#NUM!</v>
      </c>
      <c r="BJ50" t="str">
        <f>Totaal!S$1</f>
        <v>O</v>
      </c>
      <c r="BK50" t="str">
        <f>TEXT(TEXT(Totaal!$S50,"0,0"),"Standaard")</f>
        <v>0</v>
      </c>
      <c r="BL50" t="str">
        <f>TEXT(Totaal!$S$2,"0")</f>
        <v>0</v>
      </c>
      <c r="BM50" t="e">
        <f>TEXT(TEXT(MEDIAN(Totaal!$S$3:$S$102),"0,0"),"Standaard")</f>
        <v>#NUM!</v>
      </c>
      <c r="BN50" t="str">
        <f>Totaal!T$1</f>
        <v>P</v>
      </c>
      <c r="BO50" t="str">
        <f>TEXT(TEXT(Totaal!$T50,"0,0"),"Standaard")</f>
        <v>0</v>
      </c>
      <c r="BP50" t="str">
        <f>TEXT(Totaal!$T$2,"0")</f>
        <v>0</v>
      </c>
      <c r="BQ50" t="e">
        <f>TEXT(TEXT(MEDIAN(Totaal!$T$3:$T$102),"0,0"),"Standaard")</f>
        <v>#NUM!</v>
      </c>
      <c r="BR50" t="str">
        <f>IF(Totaal!U50="","",Totaal!U50)</f>
        <v/>
      </c>
    </row>
    <row r="51" spans="1:70">
      <c r="A51">
        <f>Totaal!A51</f>
        <v>49</v>
      </c>
      <c r="B51" s="22" t="str">
        <f>IF(Totaal!B51="","",Totaal!B51)</f>
        <v/>
      </c>
      <c r="C51" s="8" t="e">
        <f>TEXT(TEXT(Totaal!C51,"0,0"),"Standaard")</f>
        <v>#DIV/0!</v>
      </c>
      <c r="D51" s="8" t="str">
        <f>TEXT(Totaal!C$2,"0")</f>
        <v>100</v>
      </c>
      <c r="E51" s="22" t="e">
        <f>TEXT(TEXT(SUM(Totaal!C$3:C$102)/COUNTIF(Totaal!C$3:C$102,"&lt;&gt;0"),"0,0"),"Standaard")</f>
        <v>#DIV/0!</v>
      </c>
      <c r="F51" t="str">
        <f>Totaal!E$1</f>
        <v>A</v>
      </c>
      <c r="G51" t="str">
        <f>TEXT(TEXT(Totaal!E51,"0,0"),"Standaard")</f>
        <v>0</v>
      </c>
      <c r="H51" t="str">
        <f>TEXT(Totaal!E$2,"0")</f>
        <v>0</v>
      </c>
      <c r="I51" t="e">
        <f>TEXT(TEXT(MEDIAN(Totaal!E$3:E$102),"0,0"),"Standaard")</f>
        <v>#NUM!</v>
      </c>
      <c r="J51" t="str">
        <f>Totaal!F$1</f>
        <v>B</v>
      </c>
      <c r="K51" t="str">
        <f>TEXT(TEXT(Totaal!$F51,"0,0"),"Standaard")</f>
        <v>0</v>
      </c>
      <c r="L51" t="str">
        <f>TEXT(Totaal!F$2,"0")</f>
        <v>0</v>
      </c>
      <c r="M51" t="e">
        <f>TEXT(TEXT(MEDIAN(Totaal!$F$3:$F$102),"0,0"),"Standaard")</f>
        <v>#NUM!</v>
      </c>
      <c r="N51" t="str">
        <f>Totaal!G$1</f>
        <v>C</v>
      </c>
      <c r="O51" t="str">
        <f>TEXT(TEXT(Totaal!$G51,"0,0"),"Standaard")</f>
        <v>0</v>
      </c>
      <c r="P51" t="str">
        <f>TEXT(Totaal!$G$2,"0")</f>
        <v>0</v>
      </c>
      <c r="Q51" t="e">
        <f>TEXT(TEXT(MEDIAN(Totaal!$G$3:$G$102),"0,0"),"Standaard")</f>
        <v>#NUM!</v>
      </c>
      <c r="R51" t="str">
        <f>Totaal!H$1</f>
        <v>D</v>
      </c>
      <c r="S51" t="str">
        <f>TEXT(TEXT(Totaal!$H51,"0,0"),"Standaard")</f>
        <v>0</v>
      </c>
      <c r="T51" t="str">
        <f>TEXT(Totaal!$H$2,"0")</f>
        <v>0</v>
      </c>
      <c r="U51" t="e">
        <f>TEXT(TEXT(MEDIAN(Totaal!$H$3:$H$102),"0,0"),"Standaard")</f>
        <v>#NUM!</v>
      </c>
      <c r="V51" t="str">
        <f>Totaal!I$1</f>
        <v>E</v>
      </c>
      <c r="W51" t="str">
        <f>TEXT(TEXT(Totaal!$I51,"0,0"),"Standaard")</f>
        <v>0</v>
      </c>
      <c r="X51" t="str">
        <f>TEXT(Totaal!$I$2,"0")</f>
        <v>0</v>
      </c>
      <c r="Y51" t="e">
        <f>TEXT(TEXT(MEDIAN(Totaal!$I$3:$I$102),"0,0"),"Standaard")</f>
        <v>#NUM!</v>
      </c>
      <c r="Z51" t="str">
        <f>Totaal!J$1</f>
        <v>F</v>
      </c>
      <c r="AA51" t="str">
        <f>TEXT(TEXT(Totaal!$J51,"0,0"),"Standaard")</f>
        <v>0</v>
      </c>
      <c r="AB51" t="str">
        <f>TEXT(Totaal!$J$2,"0")</f>
        <v>0</v>
      </c>
      <c r="AC51" t="e">
        <f>TEXT(TEXT(MEDIAN(Totaal!$J$3:$J$102),"0,0"),"Standaard")</f>
        <v>#NUM!</v>
      </c>
      <c r="AD51" t="str">
        <f>Totaal!K$1</f>
        <v>G</v>
      </c>
      <c r="AE51" t="str">
        <f>TEXT(TEXT(Totaal!$K51,"0,0"),"Standaard")</f>
        <v>0</v>
      </c>
      <c r="AF51" t="str">
        <f>TEXT(Totaal!$K$2,"0")</f>
        <v>0</v>
      </c>
      <c r="AG51" t="e">
        <f>TEXT(TEXT(MEDIAN(Totaal!$K$3:$K$102),"0,0"),"Standaard")</f>
        <v>#NUM!</v>
      </c>
      <c r="AH51" t="str">
        <f>Totaal!L$1</f>
        <v>H</v>
      </c>
      <c r="AI51" t="str">
        <f>TEXT(TEXT(Totaal!$L51,"0,0"),"Standaard")</f>
        <v>0</v>
      </c>
      <c r="AJ51" t="str">
        <f>TEXT(Totaal!$L$2,"0")</f>
        <v>0</v>
      </c>
      <c r="AK51" t="e">
        <f>TEXT(TEXT(MEDIAN(Totaal!$L$3:$L$102),"0,0"),"Standaard")</f>
        <v>#NUM!</v>
      </c>
      <c r="AL51" t="str">
        <f>Totaal!M$1</f>
        <v>I</v>
      </c>
      <c r="AM51" t="str">
        <f>TEXT(TEXT(Totaal!$M51,"0,0"),"Standaard")</f>
        <v>0</v>
      </c>
      <c r="AN51" t="str">
        <f>TEXT(Totaal!$M$2,"0")</f>
        <v>0</v>
      </c>
      <c r="AO51" t="e">
        <f>TEXT(TEXT(MEDIAN(Totaal!$M$3:$M$102),"0,0"),"Standaard")</f>
        <v>#NUM!</v>
      </c>
      <c r="AP51" t="str">
        <f>Totaal!N$1</f>
        <v>J</v>
      </c>
      <c r="AQ51" t="str">
        <f>TEXT(TEXT(Totaal!$N51,"0,0"),"Standaard")</f>
        <v>0</v>
      </c>
      <c r="AR51" t="str">
        <f>TEXT(Totaal!$N$2,"0")</f>
        <v>0</v>
      </c>
      <c r="AS51" t="e">
        <f>TEXT(TEXT(MEDIAN(Totaal!$N$3:$N$102),"0,0"),"Standaard")</f>
        <v>#NUM!</v>
      </c>
      <c r="AT51" t="str">
        <f>Totaal!O$1</f>
        <v>K</v>
      </c>
      <c r="AU51" t="str">
        <f>TEXT(TEXT(Totaal!$O51,"0,0"),"Standaard")</f>
        <v>0</v>
      </c>
      <c r="AV51" t="str">
        <f>TEXT(Totaal!$O$2,"0")</f>
        <v>0</v>
      </c>
      <c r="AW51" t="e">
        <f>TEXT(TEXT(MEDIAN(Totaal!$O$3:$O$102),"0,0"),"Standaard")</f>
        <v>#NUM!</v>
      </c>
      <c r="AX51" t="str">
        <f>Totaal!P$1</f>
        <v>L</v>
      </c>
      <c r="AY51" t="str">
        <f>TEXT(TEXT(Totaal!$P51,"0,0"),"Standaard")</f>
        <v>0</v>
      </c>
      <c r="AZ51" t="str">
        <f>TEXT(Totaal!$P$2,"0")</f>
        <v>0</v>
      </c>
      <c r="BA51" t="e">
        <f>TEXT(TEXT(MEDIAN(Totaal!$P$3:$P$102),"0,0"),"Standaard")</f>
        <v>#NUM!</v>
      </c>
      <c r="BB51" t="str">
        <f>Totaal!Q$1</f>
        <v>M</v>
      </c>
      <c r="BC51" t="str">
        <f>TEXT(TEXT(Totaal!$Q51,"0,0"),"Standaard")</f>
        <v>0</v>
      </c>
      <c r="BD51" t="str">
        <f>TEXT(Totaal!$Q$2,"0")</f>
        <v>0</v>
      </c>
      <c r="BE51" t="e">
        <f>TEXT(TEXT(MEDIAN(Totaal!$Q$3:$Q$102),"0,0"),"Standaard")</f>
        <v>#NUM!</v>
      </c>
      <c r="BF51" t="str">
        <f>Totaal!R$1</f>
        <v>N</v>
      </c>
      <c r="BG51" t="str">
        <f>TEXT(TEXT(Totaal!$R51,"0,0"),"Standaard")</f>
        <v>0</v>
      </c>
      <c r="BH51" t="str">
        <f>TEXT(Totaal!$R$2,"0")</f>
        <v>0</v>
      </c>
      <c r="BI51" t="e">
        <f>TEXT(TEXT(MEDIAN(Totaal!$R$3:$R$102),"0,0"),"Standaard")</f>
        <v>#NUM!</v>
      </c>
      <c r="BJ51" t="str">
        <f>Totaal!S$1</f>
        <v>O</v>
      </c>
      <c r="BK51" t="str">
        <f>TEXT(TEXT(Totaal!$S51,"0,0"),"Standaard")</f>
        <v>0</v>
      </c>
      <c r="BL51" t="str">
        <f>TEXT(Totaal!$S$2,"0")</f>
        <v>0</v>
      </c>
      <c r="BM51" t="e">
        <f>TEXT(TEXT(MEDIAN(Totaal!$S$3:$S$102),"0,0"),"Standaard")</f>
        <v>#NUM!</v>
      </c>
      <c r="BN51" t="str">
        <f>Totaal!T$1</f>
        <v>P</v>
      </c>
      <c r="BO51" t="str">
        <f>TEXT(TEXT(Totaal!$T51,"0,0"),"Standaard")</f>
        <v>0</v>
      </c>
      <c r="BP51" t="str">
        <f>TEXT(Totaal!$T$2,"0")</f>
        <v>0</v>
      </c>
      <c r="BQ51" t="e">
        <f>TEXT(TEXT(MEDIAN(Totaal!$T$3:$T$102),"0,0"),"Standaard")</f>
        <v>#NUM!</v>
      </c>
      <c r="BR51" t="str">
        <f>IF(Totaal!U51="","",Totaal!U51)</f>
        <v/>
      </c>
    </row>
    <row r="52" spans="1:70">
      <c r="A52">
        <f>Totaal!A52</f>
        <v>50</v>
      </c>
      <c r="B52" s="22" t="str">
        <f>IF(Totaal!B52="","",Totaal!B52)</f>
        <v/>
      </c>
      <c r="C52" s="8" t="e">
        <f>TEXT(TEXT(Totaal!C52,"0,0"),"Standaard")</f>
        <v>#DIV/0!</v>
      </c>
      <c r="D52" s="8" t="str">
        <f>TEXT(Totaal!C$2,"0")</f>
        <v>100</v>
      </c>
      <c r="E52" s="22" t="e">
        <f>TEXT(TEXT(SUM(Totaal!C$3:C$102)/COUNTIF(Totaal!C$3:C$102,"&lt;&gt;0"),"0,0"),"Standaard")</f>
        <v>#DIV/0!</v>
      </c>
      <c r="F52" t="str">
        <f>Totaal!E$1</f>
        <v>A</v>
      </c>
      <c r="G52" t="str">
        <f>TEXT(TEXT(Totaal!E52,"0,0"),"Standaard")</f>
        <v>0</v>
      </c>
      <c r="H52" t="str">
        <f>TEXT(Totaal!E$2,"0")</f>
        <v>0</v>
      </c>
      <c r="I52" t="e">
        <f>TEXT(TEXT(MEDIAN(Totaal!E$3:E$102),"0,0"),"Standaard")</f>
        <v>#NUM!</v>
      </c>
      <c r="J52" t="str">
        <f>Totaal!F$1</f>
        <v>B</v>
      </c>
      <c r="K52" t="str">
        <f>TEXT(TEXT(Totaal!$F52,"0,0"),"Standaard")</f>
        <v>0</v>
      </c>
      <c r="L52" t="str">
        <f>TEXT(Totaal!F$2,"0")</f>
        <v>0</v>
      </c>
      <c r="M52" t="e">
        <f>TEXT(TEXT(MEDIAN(Totaal!$F$3:$F$102),"0,0"),"Standaard")</f>
        <v>#NUM!</v>
      </c>
      <c r="N52" t="str">
        <f>Totaal!G$1</f>
        <v>C</v>
      </c>
      <c r="O52" t="str">
        <f>TEXT(TEXT(Totaal!$G52,"0,0"),"Standaard")</f>
        <v>0</v>
      </c>
      <c r="P52" t="str">
        <f>TEXT(Totaal!$G$2,"0")</f>
        <v>0</v>
      </c>
      <c r="Q52" t="e">
        <f>TEXT(TEXT(MEDIAN(Totaal!$G$3:$G$102),"0,0"),"Standaard")</f>
        <v>#NUM!</v>
      </c>
      <c r="R52" t="str">
        <f>Totaal!H$1</f>
        <v>D</v>
      </c>
      <c r="S52" t="str">
        <f>TEXT(TEXT(Totaal!$H52,"0,0"),"Standaard")</f>
        <v>0</v>
      </c>
      <c r="T52" t="str">
        <f>TEXT(Totaal!$H$2,"0")</f>
        <v>0</v>
      </c>
      <c r="U52" t="e">
        <f>TEXT(TEXT(MEDIAN(Totaal!$H$3:$H$102),"0,0"),"Standaard")</f>
        <v>#NUM!</v>
      </c>
      <c r="V52" t="str">
        <f>Totaal!I$1</f>
        <v>E</v>
      </c>
      <c r="W52" t="str">
        <f>TEXT(TEXT(Totaal!$I52,"0,0"),"Standaard")</f>
        <v>0</v>
      </c>
      <c r="X52" t="str">
        <f>TEXT(Totaal!$I$2,"0")</f>
        <v>0</v>
      </c>
      <c r="Y52" t="e">
        <f>TEXT(TEXT(MEDIAN(Totaal!$I$3:$I$102),"0,0"),"Standaard")</f>
        <v>#NUM!</v>
      </c>
      <c r="Z52" t="str">
        <f>Totaal!J$1</f>
        <v>F</v>
      </c>
      <c r="AA52" t="str">
        <f>TEXT(TEXT(Totaal!$J52,"0,0"),"Standaard")</f>
        <v>0</v>
      </c>
      <c r="AB52" t="str">
        <f>TEXT(Totaal!$J$2,"0")</f>
        <v>0</v>
      </c>
      <c r="AC52" t="e">
        <f>TEXT(TEXT(MEDIAN(Totaal!$J$3:$J$102),"0,0"),"Standaard")</f>
        <v>#NUM!</v>
      </c>
      <c r="AD52" t="str">
        <f>Totaal!K$1</f>
        <v>G</v>
      </c>
      <c r="AE52" t="str">
        <f>TEXT(TEXT(Totaal!$K52,"0,0"),"Standaard")</f>
        <v>0</v>
      </c>
      <c r="AF52" t="str">
        <f>TEXT(Totaal!$K$2,"0")</f>
        <v>0</v>
      </c>
      <c r="AG52" t="e">
        <f>TEXT(TEXT(MEDIAN(Totaal!$K$3:$K$102),"0,0"),"Standaard")</f>
        <v>#NUM!</v>
      </c>
      <c r="AH52" t="str">
        <f>Totaal!L$1</f>
        <v>H</v>
      </c>
      <c r="AI52" t="str">
        <f>TEXT(TEXT(Totaal!$L52,"0,0"),"Standaard")</f>
        <v>0</v>
      </c>
      <c r="AJ52" t="str">
        <f>TEXT(Totaal!$L$2,"0")</f>
        <v>0</v>
      </c>
      <c r="AK52" t="e">
        <f>TEXT(TEXT(MEDIAN(Totaal!$L$3:$L$102),"0,0"),"Standaard")</f>
        <v>#NUM!</v>
      </c>
      <c r="AL52" t="str">
        <f>Totaal!M$1</f>
        <v>I</v>
      </c>
      <c r="AM52" t="str">
        <f>TEXT(TEXT(Totaal!$M52,"0,0"),"Standaard")</f>
        <v>0</v>
      </c>
      <c r="AN52" t="str">
        <f>TEXT(Totaal!$M$2,"0")</f>
        <v>0</v>
      </c>
      <c r="AO52" t="e">
        <f>TEXT(TEXT(MEDIAN(Totaal!$M$3:$M$102),"0,0"),"Standaard")</f>
        <v>#NUM!</v>
      </c>
      <c r="AP52" t="str">
        <f>Totaal!N$1</f>
        <v>J</v>
      </c>
      <c r="AQ52" t="str">
        <f>TEXT(TEXT(Totaal!$N52,"0,0"),"Standaard")</f>
        <v>0</v>
      </c>
      <c r="AR52" t="str">
        <f>TEXT(Totaal!$N$2,"0")</f>
        <v>0</v>
      </c>
      <c r="AS52" t="e">
        <f>TEXT(TEXT(MEDIAN(Totaal!$N$3:$N$102),"0,0"),"Standaard")</f>
        <v>#NUM!</v>
      </c>
      <c r="AT52" t="str">
        <f>Totaal!O$1</f>
        <v>K</v>
      </c>
      <c r="AU52" t="str">
        <f>TEXT(TEXT(Totaal!$O52,"0,0"),"Standaard")</f>
        <v>0</v>
      </c>
      <c r="AV52" t="str">
        <f>TEXT(Totaal!$O$2,"0")</f>
        <v>0</v>
      </c>
      <c r="AW52" t="e">
        <f>TEXT(TEXT(MEDIAN(Totaal!$O$3:$O$102),"0,0"),"Standaard")</f>
        <v>#NUM!</v>
      </c>
      <c r="AX52" t="str">
        <f>Totaal!P$1</f>
        <v>L</v>
      </c>
      <c r="AY52" t="str">
        <f>TEXT(TEXT(Totaal!$P52,"0,0"),"Standaard")</f>
        <v>0</v>
      </c>
      <c r="AZ52" t="str">
        <f>TEXT(Totaal!$P$2,"0")</f>
        <v>0</v>
      </c>
      <c r="BA52" t="e">
        <f>TEXT(TEXT(MEDIAN(Totaal!$P$3:$P$102),"0,0"),"Standaard")</f>
        <v>#NUM!</v>
      </c>
      <c r="BB52" t="str">
        <f>Totaal!Q$1</f>
        <v>M</v>
      </c>
      <c r="BC52" t="str">
        <f>TEXT(TEXT(Totaal!$Q52,"0,0"),"Standaard")</f>
        <v>0</v>
      </c>
      <c r="BD52" t="str">
        <f>TEXT(Totaal!$Q$2,"0")</f>
        <v>0</v>
      </c>
      <c r="BE52" t="e">
        <f>TEXT(TEXT(MEDIAN(Totaal!$Q$3:$Q$102),"0,0"),"Standaard")</f>
        <v>#NUM!</v>
      </c>
      <c r="BF52" t="str">
        <f>Totaal!R$1</f>
        <v>N</v>
      </c>
      <c r="BG52" t="str">
        <f>TEXT(TEXT(Totaal!$R52,"0,0"),"Standaard")</f>
        <v>0</v>
      </c>
      <c r="BH52" t="str">
        <f>TEXT(Totaal!$R$2,"0")</f>
        <v>0</v>
      </c>
      <c r="BI52" t="e">
        <f>TEXT(TEXT(MEDIAN(Totaal!$R$3:$R$102),"0,0"),"Standaard")</f>
        <v>#NUM!</v>
      </c>
      <c r="BJ52" t="str">
        <f>Totaal!S$1</f>
        <v>O</v>
      </c>
      <c r="BK52" t="str">
        <f>TEXT(TEXT(Totaal!$S52,"0,0"),"Standaard")</f>
        <v>0</v>
      </c>
      <c r="BL52" t="str">
        <f>TEXT(Totaal!$S$2,"0")</f>
        <v>0</v>
      </c>
      <c r="BM52" t="e">
        <f>TEXT(TEXT(MEDIAN(Totaal!$S$3:$S$102),"0,0"),"Standaard")</f>
        <v>#NUM!</v>
      </c>
      <c r="BN52" t="str">
        <f>Totaal!T$1</f>
        <v>P</v>
      </c>
      <c r="BO52" t="str">
        <f>TEXT(TEXT(Totaal!$T52,"0,0"),"Standaard")</f>
        <v>0</v>
      </c>
      <c r="BP52" t="str">
        <f>TEXT(Totaal!$T$2,"0")</f>
        <v>0</v>
      </c>
      <c r="BQ52" t="e">
        <f>TEXT(TEXT(MEDIAN(Totaal!$T$3:$T$102),"0,0"),"Standaard")</f>
        <v>#NUM!</v>
      </c>
      <c r="BR52" t="str">
        <f>IF(Totaal!U52="","",Totaal!U52)</f>
        <v/>
      </c>
    </row>
    <row r="53" spans="1:70">
      <c r="A53">
        <f>Totaal!A53</f>
        <v>51</v>
      </c>
      <c r="B53" s="22" t="str">
        <f>IF(Totaal!B53="","",Totaal!B53)</f>
        <v/>
      </c>
      <c r="C53" s="8" t="e">
        <f>TEXT(TEXT(Totaal!C53,"0,0"),"Standaard")</f>
        <v>#DIV/0!</v>
      </c>
      <c r="D53" s="8" t="str">
        <f>TEXT(Totaal!C$2,"0")</f>
        <v>100</v>
      </c>
      <c r="E53" s="22" t="e">
        <f>TEXT(TEXT(SUM(Totaal!C$3:C$102)/COUNTIF(Totaal!C$3:C$102,"&lt;&gt;0"),"0,0"),"Standaard")</f>
        <v>#DIV/0!</v>
      </c>
      <c r="F53" t="str">
        <f>Totaal!E$1</f>
        <v>A</v>
      </c>
      <c r="G53" t="str">
        <f>TEXT(TEXT(Totaal!E53,"0,0"),"Standaard")</f>
        <v>0</v>
      </c>
      <c r="H53" t="str">
        <f>TEXT(Totaal!E$2,"0")</f>
        <v>0</v>
      </c>
      <c r="I53" t="e">
        <f>TEXT(TEXT(MEDIAN(Totaal!E$3:E$102),"0,0"),"Standaard")</f>
        <v>#NUM!</v>
      </c>
      <c r="J53" t="str">
        <f>Totaal!F$1</f>
        <v>B</v>
      </c>
      <c r="K53" t="str">
        <f>TEXT(TEXT(Totaal!$F53,"0,0"),"Standaard")</f>
        <v>0</v>
      </c>
      <c r="L53" t="str">
        <f>TEXT(Totaal!F$2,"0")</f>
        <v>0</v>
      </c>
      <c r="M53" t="e">
        <f>TEXT(TEXT(MEDIAN(Totaal!$F$3:$F$102),"0,0"),"Standaard")</f>
        <v>#NUM!</v>
      </c>
      <c r="N53" t="str">
        <f>Totaal!G$1</f>
        <v>C</v>
      </c>
      <c r="O53" t="str">
        <f>TEXT(TEXT(Totaal!$G53,"0,0"),"Standaard")</f>
        <v>0</v>
      </c>
      <c r="P53" t="str">
        <f>TEXT(Totaal!$G$2,"0")</f>
        <v>0</v>
      </c>
      <c r="Q53" t="e">
        <f>TEXT(TEXT(MEDIAN(Totaal!$G$3:$G$102),"0,0"),"Standaard")</f>
        <v>#NUM!</v>
      </c>
      <c r="R53" t="str">
        <f>Totaal!H$1</f>
        <v>D</v>
      </c>
      <c r="S53" t="str">
        <f>TEXT(TEXT(Totaal!$H53,"0,0"),"Standaard")</f>
        <v>0</v>
      </c>
      <c r="T53" t="str">
        <f>TEXT(Totaal!$H$2,"0")</f>
        <v>0</v>
      </c>
      <c r="U53" t="e">
        <f>TEXT(TEXT(MEDIAN(Totaal!$H$3:$H$102),"0,0"),"Standaard")</f>
        <v>#NUM!</v>
      </c>
      <c r="V53" t="str">
        <f>Totaal!I$1</f>
        <v>E</v>
      </c>
      <c r="W53" t="str">
        <f>TEXT(TEXT(Totaal!$I53,"0,0"),"Standaard")</f>
        <v>0</v>
      </c>
      <c r="X53" t="str">
        <f>TEXT(Totaal!$I$2,"0")</f>
        <v>0</v>
      </c>
      <c r="Y53" t="e">
        <f>TEXT(TEXT(MEDIAN(Totaal!$I$3:$I$102),"0,0"),"Standaard")</f>
        <v>#NUM!</v>
      </c>
      <c r="Z53" t="str">
        <f>Totaal!J$1</f>
        <v>F</v>
      </c>
      <c r="AA53" t="str">
        <f>TEXT(TEXT(Totaal!$J53,"0,0"),"Standaard")</f>
        <v>0</v>
      </c>
      <c r="AB53" t="str">
        <f>TEXT(Totaal!$J$2,"0")</f>
        <v>0</v>
      </c>
      <c r="AC53" t="e">
        <f>TEXT(TEXT(MEDIAN(Totaal!$J$3:$J$102),"0,0"),"Standaard")</f>
        <v>#NUM!</v>
      </c>
      <c r="AD53" t="str">
        <f>Totaal!K$1</f>
        <v>G</v>
      </c>
      <c r="AE53" t="str">
        <f>TEXT(TEXT(Totaal!$K53,"0,0"),"Standaard")</f>
        <v>0</v>
      </c>
      <c r="AF53" t="str">
        <f>TEXT(Totaal!$K$2,"0")</f>
        <v>0</v>
      </c>
      <c r="AG53" t="e">
        <f>TEXT(TEXT(MEDIAN(Totaal!$K$3:$K$102),"0,0"),"Standaard")</f>
        <v>#NUM!</v>
      </c>
      <c r="AH53" t="str">
        <f>Totaal!L$1</f>
        <v>H</v>
      </c>
      <c r="AI53" t="str">
        <f>TEXT(TEXT(Totaal!$L53,"0,0"),"Standaard")</f>
        <v>0</v>
      </c>
      <c r="AJ53" t="str">
        <f>TEXT(Totaal!$L$2,"0")</f>
        <v>0</v>
      </c>
      <c r="AK53" t="e">
        <f>TEXT(TEXT(MEDIAN(Totaal!$L$3:$L$102),"0,0"),"Standaard")</f>
        <v>#NUM!</v>
      </c>
      <c r="AL53" t="str">
        <f>Totaal!M$1</f>
        <v>I</v>
      </c>
      <c r="AM53" t="str">
        <f>TEXT(TEXT(Totaal!$M53,"0,0"),"Standaard")</f>
        <v>0</v>
      </c>
      <c r="AN53" t="str">
        <f>TEXT(Totaal!$M$2,"0")</f>
        <v>0</v>
      </c>
      <c r="AO53" t="e">
        <f>TEXT(TEXT(MEDIAN(Totaal!$M$3:$M$102),"0,0"),"Standaard")</f>
        <v>#NUM!</v>
      </c>
      <c r="AP53" t="str">
        <f>Totaal!N$1</f>
        <v>J</v>
      </c>
      <c r="AQ53" t="str">
        <f>TEXT(TEXT(Totaal!$N53,"0,0"),"Standaard")</f>
        <v>0</v>
      </c>
      <c r="AR53" t="str">
        <f>TEXT(Totaal!$N$2,"0")</f>
        <v>0</v>
      </c>
      <c r="AS53" t="e">
        <f>TEXT(TEXT(MEDIAN(Totaal!$N$3:$N$102),"0,0"),"Standaard")</f>
        <v>#NUM!</v>
      </c>
      <c r="AT53" t="str">
        <f>Totaal!O$1</f>
        <v>K</v>
      </c>
      <c r="AU53" t="str">
        <f>TEXT(TEXT(Totaal!$O53,"0,0"),"Standaard")</f>
        <v>0</v>
      </c>
      <c r="AV53" t="str">
        <f>TEXT(Totaal!$O$2,"0")</f>
        <v>0</v>
      </c>
      <c r="AW53" t="e">
        <f>TEXT(TEXT(MEDIAN(Totaal!$O$3:$O$102),"0,0"),"Standaard")</f>
        <v>#NUM!</v>
      </c>
      <c r="AX53" t="str">
        <f>Totaal!P$1</f>
        <v>L</v>
      </c>
      <c r="AY53" t="str">
        <f>TEXT(TEXT(Totaal!$P53,"0,0"),"Standaard")</f>
        <v>0</v>
      </c>
      <c r="AZ53" t="str">
        <f>TEXT(Totaal!$P$2,"0")</f>
        <v>0</v>
      </c>
      <c r="BA53" t="e">
        <f>TEXT(TEXT(MEDIAN(Totaal!$P$3:$P$102),"0,0"),"Standaard")</f>
        <v>#NUM!</v>
      </c>
      <c r="BB53" t="str">
        <f>Totaal!Q$1</f>
        <v>M</v>
      </c>
      <c r="BC53" t="str">
        <f>TEXT(TEXT(Totaal!$Q53,"0,0"),"Standaard")</f>
        <v>0</v>
      </c>
      <c r="BD53" t="str">
        <f>TEXT(Totaal!$Q$2,"0")</f>
        <v>0</v>
      </c>
      <c r="BE53" t="e">
        <f>TEXT(TEXT(MEDIAN(Totaal!$Q$3:$Q$102),"0,0"),"Standaard")</f>
        <v>#NUM!</v>
      </c>
      <c r="BF53" t="str">
        <f>Totaal!R$1</f>
        <v>N</v>
      </c>
      <c r="BG53" t="str">
        <f>TEXT(TEXT(Totaal!$R53,"0,0"),"Standaard")</f>
        <v>0</v>
      </c>
      <c r="BH53" t="str">
        <f>TEXT(Totaal!$R$2,"0")</f>
        <v>0</v>
      </c>
      <c r="BI53" t="e">
        <f>TEXT(TEXT(MEDIAN(Totaal!$R$3:$R$102),"0,0"),"Standaard")</f>
        <v>#NUM!</v>
      </c>
      <c r="BJ53" t="str">
        <f>Totaal!S$1</f>
        <v>O</v>
      </c>
      <c r="BK53" t="str">
        <f>TEXT(TEXT(Totaal!$S53,"0,0"),"Standaard")</f>
        <v>0</v>
      </c>
      <c r="BL53" t="str">
        <f>TEXT(Totaal!$S$2,"0")</f>
        <v>0</v>
      </c>
      <c r="BM53" t="e">
        <f>TEXT(TEXT(MEDIAN(Totaal!$S$3:$S$102),"0,0"),"Standaard")</f>
        <v>#NUM!</v>
      </c>
      <c r="BN53" t="str">
        <f>Totaal!T$1</f>
        <v>P</v>
      </c>
      <c r="BO53" t="str">
        <f>TEXT(TEXT(Totaal!$T53,"0,0"),"Standaard")</f>
        <v>0</v>
      </c>
      <c r="BP53" t="str">
        <f>TEXT(Totaal!$T$2,"0")</f>
        <v>0</v>
      </c>
      <c r="BQ53" t="e">
        <f>TEXT(TEXT(MEDIAN(Totaal!$T$3:$T$102),"0,0"),"Standaard")</f>
        <v>#NUM!</v>
      </c>
      <c r="BR53" t="str">
        <f>IF(Totaal!U53="","",Totaal!U53)</f>
        <v/>
      </c>
    </row>
    <row r="54" spans="1:70">
      <c r="A54">
        <f>Totaal!A54</f>
        <v>52</v>
      </c>
      <c r="B54" s="22" t="str">
        <f>IF(Totaal!B54="","",Totaal!B54)</f>
        <v/>
      </c>
      <c r="C54" s="8" t="e">
        <f>TEXT(TEXT(Totaal!C54,"0,0"),"Standaard")</f>
        <v>#DIV/0!</v>
      </c>
      <c r="D54" s="8" t="str">
        <f>TEXT(Totaal!C$2,"0")</f>
        <v>100</v>
      </c>
      <c r="E54" s="22" t="e">
        <f>TEXT(TEXT(SUM(Totaal!C$3:C$102)/COUNTIF(Totaal!C$3:C$102,"&lt;&gt;0"),"0,0"),"Standaard")</f>
        <v>#DIV/0!</v>
      </c>
      <c r="F54" t="str">
        <f>Totaal!E$1</f>
        <v>A</v>
      </c>
      <c r="G54" t="str">
        <f>TEXT(TEXT(Totaal!E54,"0,0"),"Standaard")</f>
        <v>0</v>
      </c>
      <c r="H54" t="str">
        <f>TEXT(Totaal!E$2,"0")</f>
        <v>0</v>
      </c>
      <c r="I54" t="e">
        <f>TEXT(TEXT(MEDIAN(Totaal!E$3:E$102),"0,0"),"Standaard")</f>
        <v>#NUM!</v>
      </c>
      <c r="J54" t="str">
        <f>Totaal!F$1</f>
        <v>B</v>
      </c>
      <c r="K54" t="str">
        <f>TEXT(TEXT(Totaal!$F54,"0,0"),"Standaard")</f>
        <v>0</v>
      </c>
      <c r="L54" t="str">
        <f>TEXT(Totaal!F$2,"0")</f>
        <v>0</v>
      </c>
      <c r="M54" t="e">
        <f>TEXT(TEXT(MEDIAN(Totaal!$F$3:$F$102),"0,0"),"Standaard")</f>
        <v>#NUM!</v>
      </c>
      <c r="N54" t="str">
        <f>Totaal!G$1</f>
        <v>C</v>
      </c>
      <c r="O54" t="str">
        <f>TEXT(TEXT(Totaal!$G54,"0,0"),"Standaard")</f>
        <v>0</v>
      </c>
      <c r="P54" t="str">
        <f>TEXT(Totaal!$G$2,"0")</f>
        <v>0</v>
      </c>
      <c r="Q54" t="e">
        <f>TEXT(TEXT(MEDIAN(Totaal!$G$3:$G$102),"0,0"),"Standaard")</f>
        <v>#NUM!</v>
      </c>
      <c r="R54" t="str">
        <f>Totaal!H$1</f>
        <v>D</v>
      </c>
      <c r="S54" t="str">
        <f>TEXT(TEXT(Totaal!$H54,"0,0"),"Standaard")</f>
        <v>0</v>
      </c>
      <c r="T54" t="str">
        <f>TEXT(Totaal!$H$2,"0")</f>
        <v>0</v>
      </c>
      <c r="U54" t="e">
        <f>TEXT(TEXT(MEDIAN(Totaal!$H$3:$H$102),"0,0"),"Standaard")</f>
        <v>#NUM!</v>
      </c>
      <c r="V54" t="str">
        <f>Totaal!I$1</f>
        <v>E</v>
      </c>
      <c r="W54" t="str">
        <f>TEXT(TEXT(Totaal!$I54,"0,0"),"Standaard")</f>
        <v>0</v>
      </c>
      <c r="X54" t="str">
        <f>TEXT(Totaal!$I$2,"0")</f>
        <v>0</v>
      </c>
      <c r="Y54" t="e">
        <f>TEXT(TEXT(MEDIAN(Totaal!$I$3:$I$102),"0,0"),"Standaard")</f>
        <v>#NUM!</v>
      </c>
      <c r="Z54" t="str">
        <f>Totaal!J$1</f>
        <v>F</v>
      </c>
      <c r="AA54" t="str">
        <f>TEXT(TEXT(Totaal!$J54,"0,0"),"Standaard")</f>
        <v>0</v>
      </c>
      <c r="AB54" t="str">
        <f>TEXT(Totaal!$J$2,"0")</f>
        <v>0</v>
      </c>
      <c r="AC54" t="e">
        <f>TEXT(TEXT(MEDIAN(Totaal!$J$3:$J$102),"0,0"),"Standaard")</f>
        <v>#NUM!</v>
      </c>
      <c r="AD54" t="str">
        <f>Totaal!K$1</f>
        <v>G</v>
      </c>
      <c r="AE54" t="str">
        <f>TEXT(TEXT(Totaal!$K54,"0,0"),"Standaard")</f>
        <v>0</v>
      </c>
      <c r="AF54" t="str">
        <f>TEXT(Totaal!$K$2,"0")</f>
        <v>0</v>
      </c>
      <c r="AG54" t="e">
        <f>TEXT(TEXT(MEDIAN(Totaal!$K$3:$K$102),"0,0"),"Standaard")</f>
        <v>#NUM!</v>
      </c>
      <c r="AH54" t="str">
        <f>Totaal!L$1</f>
        <v>H</v>
      </c>
      <c r="AI54" t="str">
        <f>TEXT(TEXT(Totaal!$L54,"0,0"),"Standaard")</f>
        <v>0</v>
      </c>
      <c r="AJ54" t="str">
        <f>TEXT(Totaal!$L$2,"0")</f>
        <v>0</v>
      </c>
      <c r="AK54" t="e">
        <f>TEXT(TEXT(MEDIAN(Totaal!$L$3:$L$102),"0,0"),"Standaard")</f>
        <v>#NUM!</v>
      </c>
      <c r="AL54" t="str">
        <f>Totaal!M$1</f>
        <v>I</v>
      </c>
      <c r="AM54" t="str">
        <f>TEXT(TEXT(Totaal!$M54,"0,0"),"Standaard")</f>
        <v>0</v>
      </c>
      <c r="AN54" t="str">
        <f>TEXT(Totaal!$M$2,"0")</f>
        <v>0</v>
      </c>
      <c r="AO54" t="e">
        <f>TEXT(TEXT(MEDIAN(Totaal!$M$3:$M$102),"0,0"),"Standaard")</f>
        <v>#NUM!</v>
      </c>
      <c r="AP54" t="str">
        <f>Totaal!N$1</f>
        <v>J</v>
      </c>
      <c r="AQ54" t="str">
        <f>TEXT(TEXT(Totaal!$N54,"0,0"),"Standaard")</f>
        <v>0</v>
      </c>
      <c r="AR54" t="str">
        <f>TEXT(Totaal!$N$2,"0")</f>
        <v>0</v>
      </c>
      <c r="AS54" t="e">
        <f>TEXT(TEXT(MEDIAN(Totaal!$N$3:$N$102),"0,0"),"Standaard")</f>
        <v>#NUM!</v>
      </c>
      <c r="AT54" t="str">
        <f>Totaal!O$1</f>
        <v>K</v>
      </c>
      <c r="AU54" t="str">
        <f>TEXT(TEXT(Totaal!$O54,"0,0"),"Standaard")</f>
        <v>0</v>
      </c>
      <c r="AV54" t="str">
        <f>TEXT(Totaal!$O$2,"0")</f>
        <v>0</v>
      </c>
      <c r="AW54" t="e">
        <f>TEXT(TEXT(MEDIAN(Totaal!$O$3:$O$102),"0,0"),"Standaard")</f>
        <v>#NUM!</v>
      </c>
      <c r="AX54" t="str">
        <f>Totaal!P$1</f>
        <v>L</v>
      </c>
      <c r="AY54" t="str">
        <f>TEXT(TEXT(Totaal!$P54,"0,0"),"Standaard")</f>
        <v>0</v>
      </c>
      <c r="AZ54" t="str">
        <f>TEXT(Totaal!$P$2,"0")</f>
        <v>0</v>
      </c>
      <c r="BA54" t="e">
        <f>TEXT(TEXT(MEDIAN(Totaal!$P$3:$P$102),"0,0"),"Standaard")</f>
        <v>#NUM!</v>
      </c>
      <c r="BB54" t="str">
        <f>Totaal!Q$1</f>
        <v>M</v>
      </c>
      <c r="BC54" t="str">
        <f>TEXT(TEXT(Totaal!$Q54,"0,0"),"Standaard")</f>
        <v>0</v>
      </c>
      <c r="BD54" t="str">
        <f>TEXT(Totaal!$Q$2,"0")</f>
        <v>0</v>
      </c>
      <c r="BE54" t="e">
        <f>TEXT(TEXT(MEDIAN(Totaal!$Q$3:$Q$102),"0,0"),"Standaard")</f>
        <v>#NUM!</v>
      </c>
      <c r="BF54" t="str">
        <f>Totaal!R$1</f>
        <v>N</v>
      </c>
      <c r="BG54" t="str">
        <f>TEXT(TEXT(Totaal!$R54,"0,0"),"Standaard")</f>
        <v>0</v>
      </c>
      <c r="BH54" t="str">
        <f>TEXT(Totaal!$R$2,"0")</f>
        <v>0</v>
      </c>
      <c r="BI54" t="e">
        <f>TEXT(TEXT(MEDIAN(Totaal!$R$3:$R$102),"0,0"),"Standaard")</f>
        <v>#NUM!</v>
      </c>
      <c r="BJ54" t="str">
        <f>Totaal!S$1</f>
        <v>O</v>
      </c>
      <c r="BK54" t="str">
        <f>TEXT(TEXT(Totaal!$S54,"0,0"),"Standaard")</f>
        <v>0</v>
      </c>
      <c r="BL54" t="str">
        <f>TEXT(Totaal!$S$2,"0")</f>
        <v>0</v>
      </c>
      <c r="BM54" t="e">
        <f>TEXT(TEXT(MEDIAN(Totaal!$S$3:$S$102),"0,0"),"Standaard")</f>
        <v>#NUM!</v>
      </c>
      <c r="BN54" t="str">
        <f>Totaal!T$1</f>
        <v>P</v>
      </c>
      <c r="BO54" t="str">
        <f>TEXT(TEXT(Totaal!$T54,"0,0"),"Standaard")</f>
        <v>0</v>
      </c>
      <c r="BP54" t="str">
        <f>TEXT(Totaal!$T$2,"0")</f>
        <v>0</v>
      </c>
      <c r="BQ54" t="e">
        <f>TEXT(TEXT(MEDIAN(Totaal!$T$3:$T$102),"0,0"),"Standaard")</f>
        <v>#NUM!</v>
      </c>
      <c r="BR54" t="str">
        <f>IF(Totaal!U54="","",Totaal!U54)</f>
        <v/>
      </c>
    </row>
    <row r="55" spans="1:70">
      <c r="A55">
        <f>Totaal!A55</f>
        <v>53</v>
      </c>
      <c r="B55" s="22" t="str">
        <f>IF(Totaal!B55="","",Totaal!B55)</f>
        <v/>
      </c>
      <c r="C55" s="8" t="e">
        <f>TEXT(TEXT(Totaal!C55,"0,0"),"Standaard")</f>
        <v>#DIV/0!</v>
      </c>
      <c r="D55" s="8" t="str">
        <f>TEXT(Totaal!C$2,"0")</f>
        <v>100</v>
      </c>
      <c r="E55" s="22" t="e">
        <f>TEXT(TEXT(SUM(Totaal!C$3:C$102)/COUNTIF(Totaal!C$3:C$102,"&lt;&gt;0"),"0,0"),"Standaard")</f>
        <v>#DIV/0!</v>
      </c>
      <c r="F55" t="str">
        <f>Totaal!E$1</f>
        <v>A</v>
      </c>
      <c r="G55" t="str">
        <f>TEXT(TEXT(Totaal!E55,"0,0"),"Standaard")</f>
        <v>0</v>
      </c>
      <c r="H55" t="str">
        <f>TEXT(Totaal!E$2,"0")</f>
        <v>0</v>
      </c>
      <c r="I55" t="e">
        <f>TEXT(TEXT(MEDIAN(Totaal!E$3:E$102),"0,0"),"Standaard")</f>
        <v>#NUM!</v>
      </c>
      <c r="J55" t="str">
        <f>Totaal!F$1</f>
        <v>B</v>
      </c>
      <c r="K55" t="str">
        <f>TEXT(TEXT(Totaal!$F55,"0,0"),"Standaard")</f>
        <v>0</v>
      </c>
      <c r="L55" t="str">
        <f>TEXT(Totaal!F$2,"0")</f>
        <v>0</v>
      </c>
      <c r="M55" t="e">
        <f>TEXT(TEXT(MEDIAN(Totaal!$F$3:$F$102),"0,0"),"Standaard")</f>
        <v>#NUM!</v>
      </c>
      <c r="N55" t="str">
        <f>Totaal!G$1</f>
        <v>C</v>
      </c>
      <c r="O55" t="str">
        <f>TEXT(TEXT(Totaal!$G55,"0,0"),"Standaard")</f>
        <v>0</v>
      </c>
      <c r="P55" t="str">
        <f>TEXT(Totaal!$G$2,"0")</f>
        <v>0</v>
      </c>
      <c r="Q55" t="e">
        <f>TEXT(TEXT(MEDIAN(Totaal!$G$3:$G$102),"0,0"),"Standaard")</f>
        <v>#NUM!</v>
      </c>
      <c r="R55" t="str">
        <f>Totaal!H$1</f>
        <v>D</v>
      </c>
      <c r="S55" t="str">
        <f>TEXT(TEXT(Totaal!$H55,"0,0"),"Standaard")</f>
        <v>0</v>
      </c>
      <c r="T55" t="str">
        <f>TEXT(Totaal!$H$2,"0")</f>
        <v>0</v>
      </c>
      <c r="U55" t="e">
        <f>TEXT(TEXT(MEDIAN(Totaal!$H$3:$H$102),"0,0"),"Standaard")</f>
        <v>#NUM!</v>
      </c>
      <c r="V55" t="str">
        <f>Totaal!I$1</f>
        <v>E</v>
      </c>
      <c r="W55" t="str">
        <f>TEXT(TEXT(Totaal!$I55,"0,0"),"Standaard")</f>
        <v>0</v>
      </c>
      <c r="X55" t="str">
        <f>TEXT(Totaal!$I$2,"0")</f>
        <v>0</v>
      </c>
      <c r="Y55" t="e">
        <f>TEXT(TEXT(MEDIAN(Totaal!$I$3:$I$102),"0,0"),"Standaard")</f>
        <v>#NUM!</v>
      </c>
      <c r="Z55" t="str">
        <f>Totaal!J$1</f>
        <v>F</v>
      </c>
      <c r="AA55" t="str">
        <f>TEXT(TEXT(Totaal!$J55,"0,0"),"Standaard")</f>
        <v>0</v>
      </c>
      <c r="AB55" t="str">
        <f>TEXT(Totaal!$J$2,"0")</f>
        <v>0</v>
      </c>
      <c r="AC55" t="e">
        <f>TEXT(TEXT(MEDIAN(Totaal!$J$3:$J$102),"0,0"),"Standaard")</f>
        <v>#NUM!</v>
      </c>
      <c r="AD55" t="str">
        <f>Totaal!K$1</f>
        <v>G</v>
      </c>
      <c r="AE55" t="str">
        <f>TEXT(TEXT(Totaal!$K55,"0,0"),"Standaard")</f>
        <v>0</v>
      </c>
      <c r="AF55" t="str">
        <f>TEXT(Totaal!$K$2,"0")</f>
        <v>0</v>
      </c>
      <c r="AG55" t="e">
        <f>TEXT(TEXT(MEDIAN(Totaal!$K$3:$K$102),"0,0"),"Standaard")</f>
        <v>#NUM!</v>
      </c>
      <c r="AH55" t="str">
        <f>Totaal!L$1</f>
        <v>H</v>
      </c>
      <c r="AI55" t="str">
        <f>TEXT(TEXT(Totaal!$L55,"0,0"),"Standaard")</f>
        <v>0</v>
      </c>
      <c r="AJ55" t="str">
        <f>TEXT(Totaal!$L$2,"0")</f>
        <v>0</v>
      </c>
      <c r="AK55" t="e">
        <f>TEXT(TEXT(MEDIAN(Totaal!$L$3:$L$102),"0,0"),"Standaard")</f>
        <v>#NUM!</v>
      </c>
      <c r="AL55" t="str">
        <f>Totaal!M$1</f>
        <v>I</v>
      </c>
      <c r="AM55" t="str">
        <f>TEXT(TEXT(Totaal!$M55,"0,0"),"Standaard")</f>
        <v>0</v>
      </c>
      <c r="AN55" t="str">
        <f>TEXT(Totaal!$M$2,"0")</f>
        <v>0</v>
      </c>
      <c r="AO55" t="e">
        <f>TEXT(TEXT(MEDIAN(Totaal!$M$3:$M$102),"0,0"),"Standaard")</f>
        <v>#NUM!</v>
      </c>
      <c r="AP55" t="str">
        <f>Totaal!N$1</f>
        <v>J</v>
      </c>
      <c r="AQ55" t="str">
        <f>TEXT(TEXT(Totaal!$N55,"0,0"),"Standaard")</f>
        <v>0</v>
      </c>
      <c r="AR55" t="str">
        <f>TEXT(Totaal!$N$2,"0")</f>
        <v>0</v>
      </c>
      <c r="AS55" t="e">
        <f>TEXT(TEXT(MEDIAN(Totaal!$N$3:$N$102),"0,0"),"Standaard")</f>
        <v>#NUM!</v>
      </c>
      <c r="AT55" t="str">
        <f>Totaal!O$1</f>
        <v>K</v>
      </c>
      <c r="AU55" t="str">
        <f>TEXT(TEXT(Totaal!$O55,"0,0"),"Standaard")</f>
        <v>0</v>
      </c>
      <c r="AV55" t="str">
        <f>TEXT(Totaal!$O$2,"0")</f>
        <v>0</v>
      </c>
      <c r="AW55" t="e">
        <f>TEXT(TEXT(MEDIAN(Totaal!$O$3:$O$102),"0,0"),"Standaard")</f>
        <v>#NUM!</v>
      </c>
      <c r="AX55" t="str">
        <f>Totaal!P$1</f>
        <v>L</v>
      </c>
      <c r="AY55" t="str">
        <f>TEXT(TEXT(Totaal!$P55,"0,0"),"Standaard")</f>
        <v>0</v>
      </c>
      <c r="AZ55" t="str">
        <f>TEXT(Totaal!$P$2,"0")</f>
        <v>0</v>
      </c>
      <c r="BA55" t="e">
        <f>TEXT(TEXT(MEDIAN(Totaal!$P$3:$P$102),"0,0"),"Standaard")</f>
        <v>#NUM!</v>
      </c>
      <c r="BB55" t="str">
        <f>Totaal!Q$1</f>
        <v>M</v>
      </c>
      <c r="BC55" t="str">
        <f>TEXT(TEXT(Totaal!$Q55,"0,0"),"Standaard")</f>
        <v>0</v>
      </c>
      <c r="BD55" t="str">
        <f>TEXT(Totaal!$Q$2,"0")</f>
        <v>0</v>
      </c>
      <c r="BE55" t="e">
        <f>TEXT(TEXT(MEDIAN(Totaal!$Q$3:$Q$102),"0,0"),"Standaard")</f>
        <v>#NUM!</v>
      </c>
      <c r="BF55" t="str">
        <f>Totaal!R$1</f>
        <v>N</v>
      </c>
      <c r="BG55" t="str">
        <f>TEXT(TEXT(Totaal!$R55,"0,0"),"Standaard")</f>
        <v>0</v>
      </c>
      <c r="BH55" t="str">
        <f>TEXT(Totaal!$R$2,"0")</f>
        <v>0</v>
      </c>
      <c r="BI55" t="e">
        <f>TEXT(TEXT(MEDIAN(Totaal!$R$3:$R$102),"0,0"),"Standaard")</f>
        <v>#NUM!</v>
      </c>
      <c r="BJ55" t="str">
        <f>Totaal!S$1</f>
        <v>O</v>
      </c>
      <c r="BK55" t="str">
        <f>TEXT(TEXT(Totaal!$S55,"0,0"),"Standaard")</f>
        <v>0</v>
      </c>
      <c r="BL55" t="str">
        <f>TEXT(Totaal!$S$2,"0")</f>
        <v>0</v>
      </c>
      <c r="BM55" t="e">
        <f>TEXT(TEXT(MEDIAN(Totaal!$S$3:$S$102),"0,0"),"Standaard")</f>
        <v>#NUM!</v>
      </c>
      <c r="BN55" t="str">
        <f>Totaal!T$1</f>
        <v>P</v>
      </c>
      <c r="BO55" t="str">
        <f>TEXT(TEXT(Totaal!$T55,"0,0"),"Standaard")</f>
        <v>0</v>
      </c>
      <c r="BP55" t="str">
        <f>TEXT(Totaal!$T$2,"0")</f>
        <v>0</v>
      </c>
      <c r="BQ55" t="e">
        <f>TEXT(TEXT(MEDIAN(Totaal!$T$3:$T$102),"0,0"),"Standaard")</f>
        <v>#NUM!</v>
      </c>
      <c r="BR55" t="str">
        <f>IF(Totaal!U55="","",Totaal!U55)</f>
        <v/>
      </c>
    </row>
    <row r="56" spans="1:70">
      <c r="A56">
        <f>Totaal!A56</f>
        <v>54</v>
      </c>
      <c r="B56" s="22" t="str">
        <f>IF(Totaal!B56="","",Totaal!B56)</f>
        <v/>
      </c>
      <c r="C56" s="8" t="e">
        <f>TEXT(TEXT(Totaal!C56,"0,0"),"Standaard")</f>
        <v>#DIV/0!</v>
      </c>
      <c r="D56" s="8" t="str">
        <f>TEXT(Totaal!C$2,"0")</f>
        <v>100</v>
      </c>
      <c r="E56" s="22" t="e">
        <f>TEXT(TEXT(SUM(Totaal!C$3:C$102)/COUNTIF(Totaal!C$3:C$102,"&lt;&gt;0"),"0,0"),"Standaard")</f>
        <v>#DIV/0!</v>
      </c>
      <c r="F56" t="str">
        <f>Totaal!E$1</f>
        <v>A</v>
      </c>
      <c r="G56" t="str">
        <f>TEXT(TEXT(Totaal!E56,"0,0"),"Standaard")</f>
        <v>0</v>
      </c>
      <c r="H56" t="str">
        <f>TEXT(Totaal!E$2,"0")</f>
        <v>0</v>
      </c>
      <c r="I56" t="e">
        <f>TEXT(TEXT(MEDIAN(Totaal!E$3:E$102),"0,0"),"Standaard")</f>
        <v>#NUM!</v>
      </c>
      <c r="J56" t="str">
        <f>Totaal!F$1</f>
        <v>B</v>
      </c>
      <c r="K56" t="str">
        <f>TEXT(TEXT(Totaal!$F56,"0,0"),"Standaard")</f>
        <v>0</v>
      </c>
      <c r="L56" t="str">
        <f>TEXT(Totaal!F$2,"0")</f>
        <v>0</v>
      </c>
      <c r="M56" t="e">
        <f>TEXT(TEXT(MEDIAN(Totaal!$F$3:$F$102),"0,0"),"Standaard")</f>
        <v>#NUM!</v>
      </c>
      <c r="N56" t="str">
        <f>Totaal!G$1</f>
        <v>C</v>
      </c>
      <c r="O56" t="str">
        <f>TEXT(TEXT(Totaal!$G56,"0,0"),"Standaard")</f>
        <v>0</v>
      </c>
      <c r="P56" t="str">
        <f>TEXT(Totaal!$G$2,"0")</f>
        <v>0</v>
      </c>
      <c r="Q56" t="e">
        <f>TEXT(TEXT(MEDIAN(Totaal!$G$3:$G$102),"0,0"),"Standaard")</f>
        <v>#NUM!</v>
      </c>
      <c r="R56" t="str">
        <f>Totaal!H$1</f>
        <v>D</v>
      </c>
      <c r="S56" t="str">
        <f>TEXT(TEXT(Totaal!$H56,"0,0"),"Standaard")</f>
        <v>0</v>
      </c>
      <c r="T56" t="str">
        <f>TEXT(Totaal!$H$2,"0")</f>
        <v>0</v>
      </c>
      <c r="U56" t="e">
        <f>TEXT(TEXT(MEDIAN(Totaal!$H$3:$H$102),"0,0"),"Standaard")</f>
        <v>#NUM!</v>
      </c>
      <c r="V56" t="str">
        <f>Totaal!I$1</f>
        <v>E</v>
      </c>
      <c r="W56" t="str">
        <f>TEXT(TEXT(Totaal!$I56,"0,0"),"Standaard")</f>
        <v>0</v>
      </c>
      <c r="X56" t="str">
        <f>TEXT(Totaal!$I$2,"0")</f>
        <v>0</v>
      </c>
      <c r="Y56" t="e">
        <f>TEXT(TEXT(MEDIAN(Totaal!$I$3:$I$102),"0,0"),"Standaard")</f>
        <v>#NUM!</v>
      </c>
      <c r="Z56" t="str">
        <f>Totaal!J$1</f>
        <v>F</v>
      </c>
      <c r="AA56" t="str">
        <f>TEXT(TEXT(Totaal!$J56,"0,0"),"Standaard")</f>
        <v>0</v>
      </c>
      <c r="AB56" t="str">
        <f>TEXT(Totaal!$J$2,"0")</f>
        <v>0</v>
      </c>
      <c r="AC56" t="e">
        <f>TEXT(TEXT(MEDIAN(Totaal!$J$3:$J$102),"0,0"),"Standaard")</f>
        <v>#NUM!</v>
      </c>
      <c r="AD56" t="str">
        <f>Totaal!K$1</f>
        <v>G</v>
      </c>
      <c r="AE56" t="str">
        <f>TEXT(TEXT(Totaal!$K56,"0,0"),"Standaard")</f>
        <v>0</v>
      </c>
      <c r="AF56" t="str">
        <f>TEXT(Totaal!$K$2,"0")</f>
        <v>0</v>
      </c>
      <c r="AG56" t="e">
        <f>TEXT(TEXT(MEDIAN(Totaal!$K$3:$K$102),"0,0"),"Standaard")</f>
        <v>#NUM!</v>
      </c>
      <c r="AH56" t="str">
        <f>Totaal!L$1</f>
        <v>H</v>
      </c>
      <c r="AI56" t="str">
        <f>TEXT(TEXT(Totaal!$L56,"0,0"),"Standaard")</f>
        <v>0</v>
      </c>
      <c r="AJ56" t="str">
        <f>TEXT(Totaal!$L$2,"0")</f>
        <v>0</v>
      </c>
      <c r="AK56" t="e">
        <f>TEXT(TEXT(MEDIAN(Totaal!$L$3:$L$102),"0,0"),"Standaard")</f>
        <v>#NUM!</v>
      </c>
      <c r="AL56" t="str">
        <f>Totaal!M$1</f>
        <v>I</v>
      </c>
      <c r="AM56" t="str">
        <f>TEXT(TEXT(Totaal!$M56,"0,0"),"Standaard")</f>
        <v>0</v>
      </c>
      <c r="AN56" t="str">
        <f>TEXT(Totaal!$M$2,"0")</f>
        <v>0</v>
      </c>
      <c r="AO56" t="e">
        <f>TEXT(TEXT(MEDIAN(Totaal!$M$3:$M$102),"0,0"),"Standaard")</f>
        <v>#NUM!</v>
      </c>
      <c r="AP56" t="str">
        <f>Totaal!N$1</f>
        <v>J</v>
      </c>
      <c r="AQ56" t="str">
        <f>TEXT(TEXT(Totaal!$N56,"0,0"),"Standaard")</f>
        <v>0</v>
      </c>
      <c r="AR56" t="str">
        <f>TEXT(Totaal!$N$2,"0")</f>
        <v>0</v>
      </c>
      <c r="AS56" t="e">
        <f>TEXT(TEXT(MEDIAN(Totaal!$N$3:$N$102),"0,0"),"Standaard")</f>
        <v>#NUM!</v>
      </c>
      <c r="AT56" t="str">
        <f>Totaal!O$1</f>
        <v>K</v>
      </c>
      <c r="AU56" t="str">
        <f>TEXT(TEXT(Totaal!$O56,"0,0"),"Standaard")</f>
        <v>0</v>
      </c>
      <c r="AV56" t="str">
        <f>TEXT(Totaal!$O$2,"0")</f>
        <v>0</v>
      </c>
      <c r="AW56" t="e">
        <f>TEXT(TEXT(MEDIAN(Totaal!$O$3:$O$102),"0,0"),"Standaard")</f>
        <v>#NUM!</v>
      </c>
      <c r="AX56" t="str">
        <f>Totaal!P$1</f>
        <v>L</v>
      </c>
      <c r="AY56" t="str">
        <f>TEXT(TEXT(Totaal!$P56,"0,0"),"Standaard")</f>
        <v>0</v>
      </c>
      <c r="AZ56" t="str">
        <f>TEXT(Totaal!$P$2,"0")</f>
        <v>0</v>
      </c>
      <c r="BA56" t="e">
        <f>TEXT(TEXT(MEDIAN(Totaal!$P$3:$P$102),"0,0"),"Standaard")</f>
        <v>#NUM!</v>
      </c>
      <c r="BB56" t="str">
        <f>Totaal!Q$1</f>
        <v>M</v>
      </c>
      <c r="BC56" t="str">
        <f>TEXT(TEXT(Totaal!$Q56,"0,0"),"Standaard")</f>
        <v>0</v>
      </c>
      <c r="BD56" t="str">
        <f>TEXT(Totaal!$Q$2,"0")</f>
        <v>0</v>
      </c>
      <c r="BE56" t="e">
        <f>TEXT(TEXT(MEDIAN(Totaal!$Q$3:$Q$102),"0,0"),"Standaard")</f>
        <v>#NUM!</v>
      </c>
      <c r="BF56" t="str">
        <f>Totaal!R$1</f>
        <v>N</v>
      </c>
      <c r="BG56" t="str">
        <f>TEXT(TEXT(Totaal!$R56,"0,0"),"Standaard")</f>
        <v>0</v>
      </c>
      <c r="BH56" t="str">
        <f>TEXT(Totaal!$R$2,"0")</f>
        <v>0</v>
      </c>
      <c r="BI56" t="e">
        <f>TEXT(TEXT(MEDIAN(Totaal!$R$3:$R$102),"0,0"),"Standaard")</f>
        <v>#NUM!</v>
      </c>
      <c r="BJ56" t="str">
        <f>Totaal!S$1</f>
        <v>O</v>
      </c>
      <c r="BK56" t="str">
        <f>TEXT(TEXT(Totaal!$S56,"0,0"),"Standaard")</f>
        <v>0</v>
      </c>
      <c r="BL56" t="str">
        <f>TEXT(Totaal!$S$2,"0")</f>
        <v>0</v>
      </c>
      <c r="BM56" t="e">
        <f>TEXT(TEXT(MEDIAN(Totaal!$S$3:$S$102),"0,0"),"Standaard")</f>
        <v>#NUM!</v>
      </c>
      <c r="BN56" t="str">
        <f>Totaal!T$1</f>
        <v>P</v>
      </c>
      <c r="BO56" t="str">
        <f>TEXT(TEXT(Totaal!$T56,"0,0"),"Standaard")</f>
        <v>0</v>
      </c>
      <c r="BP56" t="str">
        <f>TEXT(Totaal!$T$2,"0")</f>
        <v>0</v>
      </c>
      <c r="BQ56" t="e">
        <f>TEXT(TEXT(MEDIAN(Totaal!$T$3:$T$102),"0,0"),"Standaard")</f>
        <v>#NUM!</v>
      </c>
      <c r="BR56" t="str">
        <f>IF(Totaal!U56="","",Totaal!U56)</f>
        <v/>
      </c>
    </row>
    <row r="57" spans="1:70">
      <c r="A57">
        <f>Totaal!A57</f>
        <v>55</v>
      </c>
      <c r="B57" s="22" t="str">
        <f>IF(Totaal!B57="","",Totaal!B57)</f>
        <v/>
      </c>
      <c r="C57" s="8" t="e">
        <f>TEXT(TEXT(Totaal!C57,"0,0"),"Standaard")</f>
        <v>#DIV/0!</v>
      </c>
      <c r="D57" s="8" t="str">
        <f>TEXT(Totaal!C$2,"0")</f>
        <v>100</v>
      </c>
      <c r="E57" s="22" t="e">
        <f>TEXT(TEXT(SUM(Totaal!C$3:C$102)/COUNTIF(Totaal!C$3:C$102,"&lt;&gt;0"),"0,0"),"Standaard")</f>
        <v>#DIV/0!</v>
      </c>
      <c r="F57" t="str">
        <f>Totaal!E$1</f>
        <v>A</v>
      </c>
      <c r="G57" t="str">
        <f>TEXT(TEXT(Totaal!E57,"0,0"),"Standaard")</f>
        <v>0</v>
      </c>
      <c r="H57" t="str">
        <f>TEXT(Totaal!E$2,"0")</f>
        <v>0</v>
      </c>
      <c r="I57" t="e">
        <f>TEXT(TEXT(MEDIAN(Totaal!E$3:E$102),"0,0"),"Standaard")</f>
        <v>#NUM!</v>
      </c>
      <c r="J57" t="str">
        <f>Totaal!F$1</f>
        <v>B</v>
      </c>
      <c r="K57" t="str">
        <f>TEXT(TEXT(Totaal!$F57,"0,0"),"Standaard")</f>
        <v>0</v>
      </c>
      <c r="L57" t="str">
        <f>TEXT(Totaal!F$2,"0")</f>
        <v>0</v>
      </c>
      <c r="M57" t="e">
        <f>TEXT(TEXT(MEDIAN(Totaal!$F$3:$F$102),"0,0"),"Standaard")</f>
        <v>#NUM!</v>
      </c>
      <c r="N57" t="str">
        <f>Totaal!G$1</f>
        <v>C</v>
      </c>
      <c r="O57" t="str">
        <f>TEXT(TEXT(Totaal!$G57,"0,0"),"Standaard")</f>
        <v>0</v>
      </c>
      <c r="P57" t="str">
        <f>TEXT(Totaal!$G$2,"0")</f>
        <v>0</v>
      </c>
      <c r="Q57" t="e">
        <f>TEXT(TEXT(MEDIAN(Totaal!$G$3:$G$102),"0,0"),"Standaard")</f>
        <v>#NUM!</v>
      </c>
      <c r="R57" t="str">
        <f>Totaal!H$1</f>
        <v>D</v>
      </c>
      <c r="S57" t="str">
        <f>TEXT(TEXT(Totaal!$H57,"0,0"),"Standaard")</f>
        <v>0</v>
      </c>
      <c r="T57" t="str">
        <f>TEXT(Totaal!$H$2,"0")</f>
        <v>0</v>
      </c>
      <c r="U57" t="e">
        <f>TEXT(TEXT(MEDIAN(Totaal!$H$3:$H$102),"0,0"),"Standaard")</f>
        <v>#NUM!</v>
      </c>
      <c r="V57" t="str">
        <f>Totaal!I$1</f>
        <v>E</v>
      </c>
      <c r="W57" t="str">
        <f>TEXT(TEXT(Totaal!$I57,"0,0"),"Standaard")</f>
        <v>0</v>
      </c>
      <c r="X57" t="str">
        <f>TEXT(Totaal!$I$2,"0")</f>
        <v>0</v>
      </c>
      <c r="Y57" t="e">
        <f>TEXT(TEXT(MEDIAN(Totaal!$I$3:$I$102),"0,0"),"Standaard")</f>
        <v>#NUM!</v>
      </c>
      <c r="Z57" t="str">
        <f>Totaal!J$1</f>
        <v>F</v>
      </c>
      <c r="AA57" t="str">
        <f>TEXT(TEXT(Totaal!$J57,"0,0"),"Standaard")</f>
        <v>0</v>
      </c>
      <c r="AB57" t="str">
        <f>TEXT(Totaal!$J$2,"0")</f>
        <v>0</v>
      </c>
      <c r="AC57" t="e">
        <f>TEXT(TEXT(MEDIAN(Totaal!$J$3:$J$102),"0,0"),"Standaard")</f>
        <v>#NUM!</v>
      </c>
      <c r="AD57" t="str">
        <f>Totaal!K$1</f>
        <v>G</v>
      </c>
      <c r="AE57" t="str">
        <f>TEXT(TEXT(Totaal!$K57,"0,0"),"Standaard")</f>
        <v>0</v>
      </c>
      <c r="AF57" t="str">
        <f>TEXT(Totaal!$K$2,"0")</f>
        <v>0</v>
      </c>
      <c r="AG57" t="e">
        <f>TEXT(TEXT(MEDIAN(Totaal!$K$3:$K$102),"0,0"),"Standaard")</f>
        <v>#NUM!</v>
      </c>
      <c r="AH57" t="str">
        <f>Totaal!L$1</f>
        <v>H</v>
      </c>
      <c r="AI57" t="str">
        <f>TEXT(TEXT(Totaal!$L57,"0,0"),"Standaard")</f>
        <v>0</v>
      </c>
      <c r="AJ57" t="str">
        <f>TEXT(Totaal!$L$2,"0")</f>
        <v>0</v>
      </c>
      <c r="AK57" t="e">
        <f>TEXT(TEXT(MEDIAN(Totaal!$L$3:$L$102),"0,0"),"Standaard")</f>
        <v>#NUM!</v>
      </c>
      <c r="AL57" t="str">
        <f>Totaal!M$1</f>
        <v>I</v>
      </c>
      <c r="AM57" t="str">
        <f>TEXT(TEXT(Totaal!$M57,"0,0"),"Standaard")</f>
        <v>0</v>
      </c>
      <c r="AN57" t="str">
        <f>TEXT(Totaal!$M$2,"0")</f>
        <v>0</v>
      </c>
      <c r="AO57" t="e">
        <f>TEXT(TEXT(MEDIAN(Totaal!$M$3:$M$102),"0,0"),"Standaard")</f>
        <v>#NUM!</v>
      </c>
      <c r="AP57" t="str">
        <f>Totaal!N$1</f>
        <v>J</v>
      </c>
      <c r="AQ57" t="str">
        <f>TEXT(TEXT(Totaal!$N57,"0,0"),"Standaard")</f>
        <v>0</v>
      </c>
      <c r="AR57" t="str">
        <f>TEXT(Totaal!$N$2,"0")</f>
        <v>0</v>
      </c>
      <c r="AS57" t="e">
        <f>TEXT(TEXT(MEDIAN(Totaal!$N$3:$N$102),"0,0"),"Standaard")</f>
        <v>#NUM!</v>
      </c>
      <c r="AT57" t="str">
        <f>Totaal!O$1</f>
        <v>K</v>
      </c>
      <c r="AU57" t="str">
        <f>TEXT(TEXT(Totaal!$O57,"0,0"),"Standaard")</f>
        <v>0</v>
      </c>
      <c r="AV57" t="str">
        <f>TEXT(Totaal!$O$2,"0")</f>
        <v>0</v>
      </c>
      <c r="AW57" t="e">
        <f>TEXT(TEXT(MEDIAN(Totaal!$O$3:$O$102),"0,0"),"Standaard")</f>
        <v>#NUM!</v>
      </c>
      <c r="AX57" t="str">
        <f>Totaal!P$1</f>
        <v>L</v>
      </c>
      <c r="AY57" t="str">
        <f>TEXT(TEXT(Totaal!$P57,"0,0"),"Standaard")</f>
        <v>0</v>
      </c>
      <c r="AZ57" t="str">
        <f>TEXT(Totaal!$P$2,"0")</f>
        <v>0</v>
      </c>
      <c r="BA57" t="e">
        <f>TEXT(TEXT(MEDIAN(Totaal!$P$3:$P$102),"0,0"),"Standaard")</f>
        <v>#NUM!</v>
      </c>
      <c r="BB57" t="str">
        <f>Totaal!Q$1</f>
        <v>M</v>
      </c>
      <c r="BC57" t="str">
        <f>TEXT(TEXT(Totaal!$Q57,"0,0"),"Standaard")</f>
        <v>0</v>
      </c>
      <c r="BD57" t="str">
        <f>TEXT(Totaal!$Q$2,"0")</f>
        <v>0</v>
      </c>
      <c r="BE57" t="e">
        <f>TEXT(TEXT(MEDIAN(Totaal!$Q$3:$Q$102),"0,0"),"Standaard")</f>
        <v>#NUM!</v>
      </c>
      <c r="BF57" t="str">
        <f>Totaal!R$1</f>
        <v>N</v>
      </c>
      <c r="BG57" t="str">
        <f>TEXT(TEXT(Totaal!$R57,"0,0"),"Standaard")</f>
        <v>0</v>
      </c>
      <c r="BH57" t="str">
        <f>TEXT(Totaal!$R$2,"0")</f>
        <v>0</v>
      </c>
      <c r="BI57" t="e">
        <f>TEXT(TEXT(MEDIAN(Totaal!$R$3:$R$102),"0,0"),"Standaard")</f>
        <v>#NUM!</v>
      </c>
      <c r="BJ57" t="str">
        <f>Totaal!S$1</f>
        <v>O</v>
      </c>
      <c r="BK57" t="str">
        <f>TEXT(TEXT(Totaal!$S57,"0,0"),"Standaard")</f>
        <v>0</v>
      </c>
      <c r="BL57" t="str">
        <f>TEXT(Totaal!$S$2,"0")</f>
        <v>0</v>
      </c>
      <c r="BM57" t="e">
        <f>TEXT(TEXT(MEDIAN(Totaal!$S$3:$S$102),"0,0"),"Standaard")</f>
        <v>#NUM!</v>
      </c>
      <c r="BN57" t="str">
        <f>Totaal!T$1</f>
        <v>P</v>
      </c>
      <c r="BO57" t="str">
        <f>TEXT(TEXT(Totaal!$T57,"0,0"),"Standaard")</f>
        <v>0</v>
      </c>
      <c r="BP57" t="str">
        <f>TEXT(Totaal!$T$2,"0")</f>
        <v>0</v>
      </c>
      <c r="BQ57" t="e">
        <f>TEXT(TEXT(MEDIAN(Totaal!$T$3:$T$102),"0,0"),"Standaard")</f>
        <v>#NUM!</v>
      </c>
      <c r="BR57" t="str">
        <f>IF(Totaal!U57="","",Totaal!U57)</f>
        <v/>
      </c>
    </row>
    <row r="58" spans="1:70">
      <c r="A58">
        <f>Totaal!A58</f>
        <v>56</v>
      </c>
      <c r="B58" s="22" t="str">
        <f>IF(Totaal!B58="","",Totaal!B58)</f>
        <v/>
      </c>
      <c r="C58" s="8" t="e">
        <f>TEXT(TEXT(Totaal!C58,"0,0"),"Standaard")</f>
        <v>#DIV/0!</v>
      </c>
      <c r="D58" s="8" t="str">
        <f>TEXT(Totaal!C$2,"0")</f>
        <v>100</v>
      </c>
      <c r="E58" s="22" t="e">
        <f>TEXT(TEXT(SUM(Totaal!C$3:C$102)/COUNTIF(Totaal!C$3:C$102,"&lt;&gt;0"),"0,0"),"Standaard")</f>
        <v>#DIV/0!</v>
      </c>
      <c r="F58" t="str">
        <f>Totaal!E$1</f>
        <v>A</v>
      </c>
      <c r="G58" t="str">
        <f>TEXT(TEXT(Totaal!E58,"0,0"),"Standaard")</f>
        <v>0</v>
      </c>
      <c r="H58" t="str">
        <f>TEXT(Totaal!E$2,"0")</f>
        <v>0</v>
      </c>
      <c r="I58" t="e">
        <f>TEXT(TEXT(MEDIAN(Totaal!E$3:E$102),"0,0"),"Standaard")</f>
        <v>#NUM!</v>
      </c>
      <c r="J58" t="str">
        <f>Totaal!F$1</f>
        <v>B</v>
      </c>
      <c r="K58" t="str">
        <f>TEXT(TEXT(Totaal!$F58,"0,0"),"Standaard")</f>
        <v>0</v>
      </c>
      <c r="L58" t="str">
        <f>TEXT(Totaal!F$2,"0")</f>
        <v>0</v>
      </c>
      <c r="M58" t="e">
        <f>TEXT(TEXT(MEDIAN(Totaal!$F$3:$F$102),"0,0"),"Standaard")</f>
        <v>#NUM!</v>
      </c>
      <c r="N58" t="str">
        <f>Totaal!G$1</f>
        <v>C</v>
      </c>
      <c r="O58" t="str">
        <f>TEXT(TEXT(Totaal!$G58,"0,0"),"Standaard")</f>
        <v>0</v>
      </c>
      <c r="P58" t="str">
        <f>TEXT(Totaal!$G$2,"0")</f>
        <v>0</v>
      </c>
      <c r="Q58" t="e">
        <f>TEXT(TEXT(MEDIAN(Totaal!$G$3:$G$102),"0,0"),"Standaard")</f>
        <v>#NUM!</v>
      </c>
      <c r="R58" t="str">
        <f>Totaal!H$1</f>
        <v>D</v>
      </c>
      <c r="S58" t="str">
        <f>TEXT(TEXT(Totaal!$H58,"0,0"),"Standaard")</f>
        <v>0</v>
      </c>
      <c r="T58" t="str">
        <f>TEXT(Totaal!$H$2,"0")</f>
        <v>0</v>
      </c>
      <c r="U58" t="e">
        <f>TEXT(TEXT(MEDIAN(Totaal!$H$3:$H$102),"0,0"),"Standaard")</f>
        <v>#NUM!</v>
      </c>
      <c r="V58" t="str">
        <f>Totaal!I$1</f>
        <v>E</v>
      </c>
      <c r="W58" t="str">
        <f>TEXT(TEXT(Totaal!$I58,"0,0"),"Standaard")</f>
        <v>0</v>
      </c>
      <c r="X58" t="str">
        <f>TEXT(Totaal!$I$2,"0")</f>
        <v>0</v>
      </c>
      <c r="Y58" t="e">
        <f>TEXT(TEXT(MEDIAN(Totaal!$I$3:$I$102),"0,0"),"Standaard")</f>
        <v>#NUM!</v>
      </c>
      <c r="Z58" t="str">
        <f>Totaal!J$1</f>
        <v>F</v>
      </c>
      <c r="AA58" t="str">
        <f>TEXT(TEXT(Totaal!$J58,"0,0"),"Standaard")</f>
        <v>0</v>
      </c>
      <c r="AB58" t="str">
        <f>TEXT(Totaal!$J$2,"0")</f>
        <v>0</v>
      </c>
      <c r="AC58" t="e">
        <f>TEXT(TEXT(MEDIAN(Totaal!$J$3:$J$102),"0,0"),"Standaard")</f>
        <v>#NUM!</v>
      </c>
      <c r="AD58" t="str">
        <f>Totaal!K$1</f>
        <v>G</v>
      </c>
      <c r="AE58" t="str">
        <f>TEXT(TEXT(Totaal!$K58,"0,0"),"Standaard")</f>
        <v>0</v>
      </c>
      <c r="AF58" t="str">
        <f>TEXT(Totaal!$K$2,"0")</f>
        <v>0</v>
      </c>
      <c r="AG58" t="e">
        <f>TEXT(TEXT(MEDIAN(Totaal!$K$3:$K$102),"0,0"),"Standaard")</f>
        <v>#NUM!</v>
      </c>
      <c r="AH58" t="str">
        <f>Totaal!L$1</f>
        <v>H</v>
      </c>
      <c r="AI58" t="str">
        <f>TEXT(TEXT(Totaal!$L58,"0,0"),"Standaard")</f>
        <v>0</v>
      </c>
      <c r="AJ58" t="str">
        <f>TEXT(Totaal!$L$2,"0")</f>
        <v>0</v>
      </c>
      <c r="AK58" t="e">
        <f>TEXT(TEXT(MEDIAN(Totaal!$L$3:$L$102),"0,0"),"Standaard")</f>
        <v>#NUM!</v>
      </c>
      <c r="AL58" t="str">
        <f>Totaal!M$1</f>
        <v>I</v>
      </c>
      <c r="AM58" t="str">
        <f>TEXT(TEXT(Totaal!$M58,"0,0"),"Standaard")</f>
        <v>0</v>
      </c>
      <c r="AN58" t="str">
        <f>TEXT(Totaal!$M$2,"0")</f>
        <v>0</v>
      </c>
      <c r="AO58" t="e">
        <f>TEXT(TEXT(MEDIAN(Totaal!$M$3:$M$102),"0,0"),"Standaard")</f>
        <v>#NUM!</v>
      </c>
      <c r="AP58" t="str">
        <f>Totaal!N$1</f>
        <v>J</v>
      </c>
      <c r="AQ58" t="str">
        <f>TEXT(TEXT(Totaal!$N58,"0,0"),"Standaard")</f>
        <v>0</v>
      </c>
      <c r="AR58" t="str">
        <f>TEXT(Totaal!$N$2,"0")</f>
        <v>0</v>
      </c>
      <c r="AS58" t="e">
        <f>TEXT(TEXT(MEDIAN(Totaal!$N$3:$N$102),"0,0"),"Standaard")</f>
        <v>#NUM!</v>
      </c>
      <c r="AT58" t="str">
        <f>Totaal!O$1</f>
        <v>K</v>
      </c>
      <c r="AU58" t="str">
        <f>TEXT(TEXT(Totaal!$O58,"0,0"),"Standaard")</f>
        <v>0</v>
      </c>
      <c r="AV58" t="str">
        <f>TEXT(Totaal!$O$2,"0")</f>
        <v>0</v>
      </c>
      <c r="AW58" t="e">
        <f>TEXT(TEXT(MEDIAN(Totaal!$O$3:$O$102),"0,0"),"Standaard")</f>
        <v>#NUM!</v>
      </c>
      <c r="AX58" t="str">
        <f>Totaal!P$1</f>
        <v>L</v>
      </c>
      <c r="AY58" t="str">
        <f>TEXT(TEXT(Totaal!$P58,"0,0"),"Standaard")</f>
        <v>0</v>
      </c>
      <c r="AZ58" t="str">
        <f>TEXT(Totaal!$P$2,"0")</f>
        <v>0</v>
      </c>
      <c r="BA58" t="e">
        <f>TEXT(TEXT(MEDIAN(Totaal!$P$3:$P$102),"0,0"),"Standaard")</f>
        <v>#NUM!</v>
      </c>
      <c r="BB58" t="str">
        <f>Totaal!Q$1</f>
        <v>M</v>
      </c>
      <c r="BC58" t="str">
        <f>TEXT(TEXT(Totaal!$Q58,"0,0"),"Standaard")</f>
        <v>0</v>
      </c>
      <c r="BD58" t="str">
        <f>TEXT(Totaal!$Q$2,"0")</f>
        <v>0</v>
      </c>
      <c r="BE58" t="e">
        <f>TEXT(TEXT(MEDIAN(Totaal!$Q$3:$Q$102),"0,0"),"Standaard")</f>
        <v>#NUM!</v>
      </c>
      <c r="BF58" t="str">
        <f>Totaal!R$1</f>
        <v>N</v>
      </c>
      <c r="BG58" t="str">
        <f>TEXT(TEXT(Totaal!$R58,"0,0"),"Standaard")</f>
        <v>0</v>
      </c>
      <c r="BH58" t="str">
        <f>TEXT(Totaal!$R$2,"0")</f>
        <v>0</v>
      </c>
      <c r="BI58" t="e">
        <f>TEXT(TEXT(MEDIAN(Totaal!$R$3:$R$102),"0,0"),"Standaard")</f>
        <v>#NUM!</v>
      </c>
      <c r="BJ58" t="str">
        <f>Totaal!S$1</f>
        <v>O</v>
      </c>
      <c r="BK58" t="str">
        <f>TEXT(TEXT(Totaal!$S58,"0,0"),"Standaard")</f>
        <v>0</v>
      </c>
      <c r="BL58" t="str">
        <f>TEXT(Totaal!$S$2,"0")</f>
        <v>0</v>
      </c>
      <c r="BM58" t="e">
        <f>TEXT(TEXT(MEDIAN(Totaal!$S$3:$S$102),"0,0"),"Standaard")</f>
        <v>#NUM!</v>
      </c>
      <c r="BN58" t="str">
        <f>Totaal!T$1</f>
        <v>P</v>
      </c>
      <c r="BO58" t="str">
        <f>TEXT(TEXT(Totaal!$T58,"0,0"),"Standaard")</f>
        <v>0</v>
      </c>
      <c r="BP58" t="str">
        <f>TEXT(Totaal!$T$2,"0")</f>
        <v>0</v>
      </c>
      <c r="BQ58" t="e">
        <f>TEXT(TEXT(MEDIAN(Totaal!$T$3:$T$102),"0,0"),"Standaard")</f>
        <v>#NUM!</v>
      </c>
      <c r="BR58" t="str">
        <f>IF(Totaal!U58="","",Totaal!U58)</f>
        <v/>
      </c>
    </row>
    <row r="59" spans="1:70">
      <c r="A59">
        <f>Totaal!A59</f>
        <v>57</v>
      </c>
      <c r="B59" s="22" t="str">
        <f>IF(Totaal!B59="","",Totaal!B59)</f>
        <v/>
      </c>
      <c r="C59" s="8" t="e">
        <f>TEXT(TEXT(Totaal!C59,"0,0"),"Standaard")</f>
        <v>#DIV/0!</v>
      </c>
      <c r="D59" s="8" t="str">
        <f>TEXT(Totaal!C$2,"0")</f>
        <v>100</v>
      </c>
      <c r="E59" s="22" t="e">
        <f>TEXT(TEXT(SUM(Totaal!C$3:C$102)/COUNTIF(Totaal!C$3:C$102,"&lt;&gt;0"),"0,0"),"Standaard")</f>
        <v>#DIV/0!</v>
      </c>
      <c r="F59" t="str">
        <f>Totaal!E$1</f>
        <v>A</v>
      </c>
      <c r="G59" t="str">
        <f>TEXT(TEXT(Totaal!E59,"0,0"),"Standaard")</f>
        <v>0</v>
      </c>
      <c r="H59" t="str">
        <f>TEXT(Totaal!E$2,"0")</f>
        <v>0</v>
      </c>
      <c r="I59" t="e">
        <f>TEXT(TEXT(MEDIAN(Totaal!E$3:E$102),"0,0"),"Standaard")</f>
        <v>#NUM!</v>
      </c>
      <c r="J59" t="str">
        <f>Totaal!F$1</f>
        <v>B</v>
      </c>
      <c r="K59" t="str">
        <f>TEXT(TEXT(Totaal!$F59,"0,0"),"Standaard")</f>
        <v>0</v>
      </c>
      <c r="L59" t="str">
        <f>TEXT(Totaal!F$2,"0")</f>
        <v>0</v>
      </c>
      <c r="M59" t="e">
        <f>TEXT(TEXT(MEDIAN(Totaal!$F$3:$F$102),"0,0"),"Standaard")</f>
        <v>#NUM!</v>
      </c>
      <c r="N59" t="str">
        <f>Totaal!G$1</f>
        <v>C</v>
      </c>
      <c r="O59" t="str">
        <f>TEXT(TEXT(Totaal!$G59,"0,0"),"Standaard")</f>
        <v>0</v>
      </c>
      <c r="P59" t="str">
        <f>TEXT(Totaal!$G$2,"0")</f>
        <v>0</v>
      </c>
      <c r="Q59" t="e">
        <f>TEXT(TEXT(MEDIAN(Totaal!$G$3:$G$102),"0,0"),"Standaard")</f>
        <v>#NUM!</v>
      </c>
      <c r="R59" t="str">
        <f>Totaal!H$1</f>
        <v>D</v>
      </c>
      <c r="S59" t="str">
        <f>TEXT(TEXT(Totaal!$H59,"0,0"),"Standaard")</f>
        <v>0</v>
      </c>
      <c r="T59" t="str">
        <f>TEXT(Totaal!$H$2,"0")</f>
        <v>0</v>
      </c>
      <c r="U59" t="e">
        <f>TEXT(TEXT(MEDIAN(Totaal!$H$3:$H$102),"0,0"),"Standaard")</f>
        <v>#NUM!</v>
      </c>
      <c r="V59" t="str">
        <f>Totaal!I$1</f>
        <v>E</v>
      </c>
      <c r="W59" t="str">
        <f>TEXT(TEXT(Totaal!$I59,"0,0"),"Standaard")</f>
        <v>0</v>
      </c>
      <c r="X59" t="str">
        <f>TEXT(Totaal!$I$2,"0")</f>
        <v>0</v>
      </c>
      <c r="Y59" t="e">
        <f>TEXT(TEXT(MEDIAN(Totaal!$I$3:$I$102),"0,0"),"Standaard")</f>
        <v>#NUM!</v>
      </c>
      <c r="Z59" t="str">
        <f>Totaal!J$1</f>
        <v>F</v>
      </c>
      <c r="AA59" t="str">
        <f>TEXT(TEXT(Totaal!$J59,"0,0"),"Standaard")</f>
        <v>0</v>
      </c>
      <c r="AB59" t="str">
        <f>TEXT(Totaal!$J$2,"0")</f>
        <v>0</v>
      </c>
      <c r="AC59" t="e">
        <f>TEXT(TEXT(MEDIAN(Totaal!$J$3:$J$102),"0,0"),"Standaard")</f>
        <v>#NUM!</v>
      </c>
      <c r="AD59" t="str">
        <f>Totaal!K$1</f>
        <v>G</v>
      </c>
      <c r="AE59" t="str">
        <f>TEXT(TEXT(Totaal!$K59,"0,0"),"Standaard")</f>
        <v>0</v>
      </c>
      <c r="AF59" t="str">
        <f>TEXT(Totaal!$K$2,"0")</f>
        <v>0</v>
      </c>
      <c r="AG59" t="e">
        <f>TEXT(TEXT(MEDIAN(Totaal!$K$3:$K$102),"0,0"),"Standaard")</f>
        <v>#NUM!</v>
      </c>
      <c r="AH59" t="str">
        <f>Totaal!L$1</f>
        <v>H</v>
      </c>
      <c r="AI59" t="str">
        <f>TEXT(TEXT(Totaal!$L59,"0,0"),"Standaard")</f>
        <v>0</v>
      </c>
      <c r="AJ59" t="str">
        <f>TEXT(Totaal!$L$2,"0")</f>
        <v>0</v>
      </c>
      <c r="AK59" t="e">
        <f>TEXT(TEXT(MEDIAN(Totaal!$L$3:$L$102),"0,0"),"Standaard")</f>
        <v>#NUM!</v>
      </c>
      <c r="AL59" t="str">
        <f>Totaal!M$1</f>
        <v>I</v>
      </c>
      <c r="AM59" t="str">
        <f>TEXT(TEXT(Totaal!$M59,"0,0"),"Standaard")</f>
        <v>0</v>
      </c>
      <c r="AN59" t="str">
        <f>TEXT(Totaal!$M$2,"0")</f>
        <v>0</v>
      </c>
      <c r="AO59" t="e">
        <f>TEXT(TEXT(MEDIAN(Totaal!$M$3:$M$102),"0,0"),"Standaard")</f>
        <v>#NUM!</v>
      </c>
      <c r="AP59" t="str">
        <f>Totaal!N$1</f>
        <v>J</v>
      </c>
      <c r="AQ59" t="str">
        <f>TEXT(TEXT(Totaal!$N59,"0,0"),"Standaard")</f>
        <v>0</v>
      </c>
      <c r="AR59" t="str">
        <f>TEXT(Totaal!$N$2,"0")</f>
        <v>0</v>
      </c>
      <c r="AS59" t="e">
        <f>TEXT(TEXT(MEDIAN(Totaal!$N$3:$N$102),"0,0"),"Standaard")</f>
        <v>#NUM!</v>
      </c>
      <c r="AT59" t="str">
        <f>Totaal!O$1</f>
        <v>K</v>
      </c>
      <c r="AU59" t="str">
        <f>TEXT(TEXT(Totaal!$O59,"0,0"),"Standaard")</f>
        <v>0</v>
      </c>
      <c r="AV59" t="str">
        <f>TEXT(Totaal!$O$2,"0")</f>
        <v>0</v>
      </c>
      <c r="AW59" t="e">
        <f>TEXT(TEXT(MEDIAN(Totaal!$O$3:$O$102),"0,0"),"Standaard")</f>
        <v>#NUM!</v>
      </c>
      <c r="AX59" t="str">
        <f>Totaal!P$1</f>
        <v>L</v>
      </c>
      <c r="AY59" t="str">
        <f>TEXT(TEXT(Totaal!$P59,"0,0"),"Standaard")</f>
        <v>0</v>
      </c>
      <c r="AZ59" t="str">
        <f>TEXT(Totaal!$P$2,"0")</f>
        <v>0</v>
      </c>
      <c r="BA59" t="e">
        <f>TEXT(TEXT(MEDIAN(Totaal!$P$3:$P$102),"0,0"),"Standaard")</f>
        <v>#NUM!</v>
      </c>
      <c r="BB59" t="str">
        <f>Totaal!Q$1</f>
        <v>M</v>
      </c>
      <c r="BC59" t="str">
        <f>TEXT(TEXT(Totaal!$Q59,"0,0"),"Standaard")</f>
        <v>0</v>
      </c>
      <c r="BD59" t="str">
        <f>TEXT(Totaal!$Q$2,"0")</f>
        <v>0</v>
      </c>
      <c r="BE59" t="e">
        <f>TEXT(TEXT(MEDIAN(Totaal!$Q$3:$Q$102),"0,0"),"Standaard")</f>
        <v>#NUM!</v>
      </c>
      <c r="BF59" t="str">
        <f>Totaal!R$1</f>
        <v>N</v>
      </c>
      <c r="BG59" t="str">
        <f>TEXT(TEXT(Totaal!$R59,"0,0"),"Standaard")</f>
        <v>0</v>
      </c>
      <c r="BH59" t="str">
        <f>TEXT(Totaal!$R$2,"0")</f>
        <v>0</v>
      </c>
      <c r="BI59" t="e">
        <f>TEXT(TEXT(MEDIAN(Totaal!$R$3:$R$102),"0,0"),"Standaard")</f>
        <v>#NUM!</v>
      </c>
      <c r="BJ59" t="str">
        <f>Totaal!S$1</f>
        <v>O</v>
      </c>
      <c r="BK59" t="str">
        <f>TEXT(TEXT(Totaal!$S59,"0,0"),"Standaard")</f>
        <v>0</v>
      </c>
      <c r="BL59" t="str">
        <f>TEXT(Totaal!$S$2,"0")</f>
        <v>0</v>
      </c>
      <c r="BM59" t="e">
        <f>TEXT(TEXT(MEDIAN(Totaal!$S$3:$S$102),"0,0"),"Standaard")</f>
        <v>#NUM!</v>
      </c>
      <c r="BN59" t="str">
        <f>Totaal!T$1</f>
        <v>P</v>
      </c>
      <c r="BO59" t="str">
        <f>TEXT(TEXT(Totaal!$T59,"0,0"),"Standaard")</f>
        <v>0</v>
      </c>
      <c r="BP59" t="str">
        <f>TEXT(Totaal!$T$2,"0")</f>
        <v>0</v>
      </c>
      <c r="BQ59" t="e">
        <f>TEXT(TEXT(MEDIAN(Totaal!$T$3:$T$102),"0,0"),"Standaard")</f>
        <v>#NUM!</v>
      </c>
      <c r="BR59" t="str">
        <f>IF(Totaal!U59="","",Totaal!U59)</f>
        <v/>
      </c>
    </row>
    <row r="60" spans="1:70">
      <c r="A60">
        <f>Totaal!A60</f>
        <v>58</v>
      </c>
      <c r="B60" s="22" t="str">
        <f>IF(Totaal!B60="","",Totaal!B60)</f>
        <v/>
      </c>
      <c r="C60" s="8" t="e">
        <f>TEXT(TEXT(Totaal!C60,"0,0"),"Standaard")</f>
        <v>#DIV/0!</v>
      </c>
      <c r="D60" s="8" t="str">
        <f>TEXT(Totaal!C$2,"0")</f>
        <v>100</v>
      </c>
      <c r="E60" s="22" t="e">
        <f>TEXT(TEXT(SUM(Totaal!C$3:C$102)/COUNTIF(Totaal!C$3:C$102,"&lt;&gt;0"),"0,0"),"Standaard")</f>
        <v>#DIV/0!</v>
      </c>
      <c r="F60" t="str">
        <f>Totaal!E$1</f>
        <v>A</v>
      </c>
      <c r="G60" t="str">
        <f>TEXT(TEXT(Totaal!E60,"0,0"),"Standaard")</f>
        <v>0</v>
      </c>
      <c r="H60" t="str">
        <f>TEXT(Totaal!E$2,"0")</f>
        <v>0</v>
      </c>
      <c r="I60" t="e">
        <f>TEXT(TEXT(MEDIAN(Totaal!E$3:E$102),"0,0"),"Standaard")</f>
        <v>#NUM!</v>
      </c>
      <c r="J60" t="str">
        <f>Totaal!F$1</f>
        <v>B</v>
      </c>
      <c r="K60" t="str">
        <f>TEXT(TEXT(Totaal!$F60,"0,0"),"Standaard")</f>
        <v>0</v>
      </c>
      <c r="L60" t="str">
        <f>TEXT(Totaal!F$2,"0")</f>
        <v>0</v>
      </c>
      <c r="M60" t="e">
        <f>TEXT(TEXT(MEDIAN(Totaal!$F$3:$F$102),"0,0"),"Standaard")</f>
        <v>#NUM!</v>
      </c>
      <c r="N60" t="str">
        <f>Totaal!G$1</f>
        <v>C</v>
      </c>
      <c r="O60" t="str">
        <f>TEXT(TEXT(Totaal!$G60,"0,0"),"Standaard")</f>
        <v>0</v>
      </c>
      <c r="P60" t="str">
        <f>TEXT(Totaal!$G$2,"0")</f>
        <v>0</v>
      </c>
      <c r="Q60" t="e">
        <f>TEXT(TEXT(MEDIAN(Totaal!$G$3:$G$102),"0,0"),"Standaard")</f>
        <v>#NUM!</v>
      </c>
      <c r="R60" t="str">
        <f>Totaal!H$1</f>
        <v>D</v>
      </c>
      <c r="S60" t="str">
        <f>TEXT(TEXT(Totaal!$H60,"0,0"),"Standaard")</f>
        <v>0</v>
      </c>
      <c r="T60" t="str">
        <f>TEXT(Totaal!$H$2,"0")</f>
        <v>0</v>
      </c>
      <c r="U60" t="e">
        <f>TEXT(TEXT(MEDIAN(Totaal!$H$3:$H$102),"0,0"),"Standaard")</f>
        <v>#NUM!</v>
      </c>
      <c r="V60" t="str">
        <f>Totaal!I$1</f>
        <v>E</v>
      </c>
      <c r="W60" t="str">
        <f>TEXT(TEXT(Totaal!$I60,"0,0"),"Standaard")</f>
        <v>0</v>
      </c>
      <c r="X60" t="str">
        <f>TEXT(Totaal!$I$2,"0")</f>
        <v>0</v>
      </c>
      <c r="Y60" t="e">
        <f>TEXT(TEXT(MEDIAN(Totaal!$I$3:$I$102),"0,0"),"Standaard")</f>
        <v>#NUM!</v>
      </c>
      <c r="Z60" t="str">
        <f>Totaal!J$1</f>
        <v>F</v>
      </c>
      <c r="AA60" t="str">
        <f>TEXT(TEXT(Totaal!$J60,"0,0"),"Standaard")</f>
        <v>0</v>
      </c>
      <c r="AB60" t="str">
        <f>TEXT(Totaal!$J$2,"0")</f>
        <v>0</v>
      </c>
      <c r="AC60" t="e">
        <f>TEXT(TEXT(MEDIAN(Totaal!$J$3:$J$102),"0,0"),"Standaard")</f>
        <v>#NUM!</v>
      </c>
      <c r="AD60" t="str">
        <f>Totaal!K$1</f>
        <v>G</v>
      </c>
      <c r="AE60" t="str">
        <f>TEXT(TEXT(Totaal!$K60,"0,0"),"Standaard")</f>
        <v>0</v>
      </c>
      <c r="AF60" t="str">
        <f>TEXT(Totaal!$K$2,"0")</f>
        <v>0</v>
      </c>
      <c r="AG60" t="e">
        <f>TEXT(TEXT(MEDIAN(Totaal!$K$3:$K$102),"0,0"),"Standaard")</f>
        <v>#NUM!</v>
      </c>
      <c r="AH60" t="str">
        <f>Totaal!L$1</f>
        <v>H</v>
      </c>
      <c r="AI60" t="str">
        <f>TEXT(TEXT(Totaal!$L60,"0,0"),"Standaard")</f>
        <v>0</v>
      </c>
      <c r="AJ60" t="str">
        <f>TEXT(Totaal!$L$2,"0")</f>
        <v>0</v>
      </c>
      <c r="AK60" t="e">
        <f>TEXT(TEXT(MEDIAN(Totaal!$L$3:$L$102),"0,0"),"Standaard")</f>
        <v>#NUM!</v>
      </c>
      <c r="AL60" t="str">
        <f>Totaal!M$1</f>
        <v>I</v>
      </c>
      <c r="AM60" t="str">
        <f>TEXT(TEXT(Totaal!$M60,"0,0"),"Standaard")</f>
        <v>0</v>
      </c>
      <c r="AN60" t="str">
        <f>TEXT(Totaal!$M$2,"0")</f>
        <v>0</v>
      </c>
      <c r="AO60" t="e">
        <f>TEXT(TEXT(MEDIAN(Totaal!$M$3:$M$102),"0,0"),"Standaard")</f>
        <v>#NUM!</v>
      </c>
      <c r="AP60" t="str">
        <f>Totaal!N$1</f>
        <v>J</v>
      </c>
      <c r="AQ60" t="str">
        <f>TEXT(TEXT(Totaal!$N60,"0,0"),"Standaard")</f>
        <v>0</v>
      </c>
      <c r="AR60" t="str">
        <f>TEXT(Totaal!$N$2,"0")</f>
        <v>0</v>
      </c>
      <c r="AS60" t="e">
        <f>TEXT(TEXT(MEDIAN(Totaal!$N$3:$N$102),"0,0"),"Standaard")</f>
        <v>#NUM!</v>
      </c>
      <c r="AT60" t="str">
        <f>Totaal!O$1</f>
        <v>K</v>
      </c>
      <c r="AU60" t="str">
        <f>TEXT(TEXT(Totaal!$O60,"0,0"),"Standaard")</f>
        <v>0</v>
      </c>
      <c r="AV60" t="str">
        <f>TEXT(Totaal!$O$2,"0")</f>
        <v>0</v>
      </c>
      <c r="AW60" t="e">
        <f>TEXT(TEXT(MEDIAN(Totaal!$O$3:$O$102),"0,0"),"Standaard")</f>
        <v>#NUM!</v>
      </c>
      <c r="AX60" t="str">
        <f>Totaal!P$1</f>
        <v>L</v>
      </c>
      <c r="AY60" t="str">
        <f>TEXT(TEXT(Totaal!$P60,"0,0"),"Standaard")</f>
        <v>0</v>
      </c>
      <c r="AZ60" t="str">
        <f>TEXT(Totaal!$P$2,"0")</f>
        <v>0</v>
      </c>
      <c r="BA60" t="e">
        <f>TEXT(TEXT(MEDIAN(Totaal!$P$3:$P$102),"0,0"),"Standaard")</f>
        <v>#NUM!</v>
      </c>
      <c r="BB60" t="str">
        <f>Totaal!Q$1</f>
        <v>M</v>
      </c>
      <c r="BC60" t="str">
        <f>TEXT(TEXT(Totaal!$Q60,"0,0"),"Standaard")</f>
        <v>0</v>
      </c>
      <c r="BD60" t="str">
        <f>TEXT(Totaal!$Q$2,"0")</f>
        <v>0</v>
      </c>
      <c r="BE60" t="e">
        <f>TEXT(TEXT(MEDIAN(Totaal!$Q$3:$Q$102),"0,0"),"Standaard")</f>
        <v>#NUM!</v>
      </c>
      <c r="BF60" t="str">
        <f>Totaal!R$1</f>
        <v>N</v>
      </c>
      <c r="BG60" t="str">
        <f>TEXT(TEXT(Totaal!$R60,"0,0"),"Standaard")</f>
        <v>0</v>
      </c>
      <c r="BH60" t="str">
        <f>TEXT(Totaal!$R$2,"0")</f>
        <v>0</v>
      </c>
      <c r="BI60" t="e">
        <f>TEXT(TEXT(MEDIAN(Totaal!$R$3:$R$102),"0,0"),"Standaard")</f>
        <v>#NUM!</v>
      </c>
      <c r="BJ60" t="str">
        <f>Totaal!S$1</f>
        <v>O</v>
      </c>
      <c r="BK60" t="str">
        <f>TEXT(TEXT(Totaal!$S60,"0,0"),"Standaard")</f>
        <v>0</v>
      </c>
      <c r="BL60" t="str">
        <f>TEXT(Totaal!$S$2,"0")</f>
        <v>0</v>
      </c>
      <c r="BM60" t="e">
        <f>TEXT(TEXT(MEDIAN(Totaal!$S$3:$S$102),"0,0"),"Standaard")</f>
        <v>#NUM!</v>
      </c>
      <c r="BN60" t="str">
        <f>Totaal!T$1</f>
        <v>P</v>
      </c>
      <c r="BO60" t="str">
        <f>TEXT(TEXT(Totaal!$T60,"0,0"),"Standaard")</f>
        <v>0</v>
      </c>
      <c r="BP60" t="str">
        <f>TEXT(Totaal!$T$2,"0")</f>
        <v>0</v>
      </c>
      <c r="BQ60" t="e">
        <f>TEXT(TEXT(MEDIAN(Totaal!$T$3:$T$102),"0,0"),"Standaard")</f>
        <v>#NUM!</v>
      </c>
      <c r="BR60" t="str">
        <f>IF(Totaal!U60="","",Totaal!U60)</f>
        <v/>
      </c>
    </row>
    <row r="61" spans="1:70">
      <c r="A61">
        <f>Totaal!A61</f>
        <v>59</v>
      </c>
      <c r="B61" s="22" t="str">
        <f>IF(Totaal!B61="","",Totaal!B61)</f>
        <v/>
      </c>
      <c r="C61" s="8" t="e">
        <f>TEXT(TEXT(Totaal!C61,"0,0"),"Standaard")</f>
        <v>#DIV/0!</v>
      </c>
      <c r="D61" s="8" t="str">
        <f>TEXT(Totaal!C$2,"0")</f>
        <v>100</v>
      </c>
      <c r="E61" s="22" t="e">
        <f>TEXT(TEXT(SUM(Totaal!C$3:C$102)/COUNTIF(Totaal!C$3:C$102,"&lt;&gt;0"),"0,0"),"Standaard")</f>
        <v>#DIV/0!</v>
      </c>
      <c r="F61" t="str">
        <f>Totaal!E$1</f>
        <v>A</v>
      </c>
      <c r="G61" t="str">
        <f>TEXT(TEXT(Totaal!E61,"0,0"),"Standaard")</f>
        <v>0</v>
      </c>
      <c r="H61" t="str">
        <f>TEXT(Totaal!E$2,"0")</f>
        <v>0</v>
      </c>
      <c r="I61" t="e">
        <f>TEXT(TEXT(MEDIAN(Totaal!E$3:E$102),"0,0"),"Standaard")</f>
        <v>#NUM!</v>
      </c>
      <c r="J61" t="str">
        <f>Totaal!F$1</f>
        <v>B</v>
      </c>
      <c r="K61" t="str">
        <f>TEXT(TEXT(Totaal!$F61,"0,0"),"Standaard")</f>
        <v>0</v>
      </c>
      <c r="L61" t="str">
        <f>TEXT(Totaal!F$2,"0")</f>
        <v>0</v>
      </c>
      <c r="M61" t="e">
        <f>TEXT(TEXT(MEDIAN(Totaal!$F$3:$F$102),"0,0"),"Standaard")</f>
        <v>#NUM!</v>
      </c>
      <c r="N61" t="str">
        <f>Totaal!G$1</f>
        <v>C</v>
      </c>
      <c r="O61" t="str">
        <f>TEXT(TEXT(Totaal!$G61,"0,0"),"Standaard")</f>
        <v>0</v>
      </c>
      <c r="P61" t="str">
        <f>TEXT(Totaal!$G$2,"0")</f>
        <v>0</v>
      </c>
      <c r="Q61" t="e">
        <f>TEXT(TEXT(MEDIAN(Totaal!$G$3:$G$102),"0,0"),"Standaard")</f>
        <v>#NUM!</v>
      </c>
      <c r="R61" t="str">
        <f>Totaal!H$1</f>
        <v>D</v>
      </c>
      <c r="S61" t="str">
        <f>TEXT(TEXT(Totaal!$H61,"0,0"),"Standaard")</f>
        <v>0</v>
      </c>
      <c r="T61" t="str">
        <f>TEXT(Totaal!$H$2,"0")</f>
        <v>0</v>
      </c>
      <c r="U61" t="e">
        <f>TEXT(TEXT(MEDIAN(Totaal!$H$3:$H$102),"0,0"),"Standaard")</f>
        <v>#NUM!</v>
      </c>
      <c r="V61" t="str">
        <f>Totaal!I$1</f>
        <v>E</v>
      </c>
      <c r="W61" t="str">
        <f>TEXT(TEXT(Totaal!$I61,"0,0"),"Standaard")</f>
        <v>0</v>
      </c>
      <c r="X61" t="str">
        <f>TEXT(Totaal!$I$2,"0")</f>
        <v>0</v>
      </c>
      <c r="Y61" t="e">
        <f>TEXT(TEXT(MEDIAN(Totaal!$I$3:$I$102),"0,0"),"Standaard")</f>
        <v>#NUM!</v>
      </c>
      <c r="Z61" t="str">
        <f>Totaal!J$1</f>
        <v>F</v>
      </c>
      <c r="AA61" t="str">
        <f>TEXT(TEXT(Totaal!$J61,"0,0"),"Standaard")</f>
        <v>0</v>
      </c>
      <c r="AB61" t="str">
        <f>TEXT(Totaal!$J$2,"0")</f>
        <v>0</v>
      </c>
      <c r="AC61" t="e">
        <f>TEXT(TEXT(MEDIAN(Totaal!$J$3:$J$102),"0,0"),"Standaard")</f>
        <v>#NUM!</v>
      </c>
      <c r="AD61" t="str">
        <f>Totaal!K$1</f>
        <v>G</v>
      </c>
      <c r="AE61" t="str">
        <f>TEXT(TEXT(Totaal!$K61,"0,0"),"Standaard")</f>
        <v>0</v>
      </c>
      <c r="AF61" t="str">
        <f>TEXT(Totaal!$K$2,"0")</f>
        <v>0</v>
      </c>
      <c r="AG61" t="e">
        <f>TEXT(TEXT(MEDIAN(Totaal!$K$3:$K$102),"0,0"),"Standaard")</f>
        <v>#NUM!</v>
      </c>
      <c r="AH61" t="str">
        <f>Totaal!L$1</f>
        <v>H</v>
      </c>
      <c r="AI61" t="str">
        <f>TEXT(TEXT(Totaal!$L61,"0,0"),"Standaard")</f>
        <v>0</v>
      </c>
      <c r="AJ61" t="str">
        <f>TEXT(Totaal!$L$2,"0")</f>
        <v>0</v>
      </c>
      <c r="AK61" t="e">
        <f>TEXT(TEXT(MEDIAN(Totaal!$L$3:$L$102),"0,0"),"Standaard")</f>
        <v>#NUM!</v>
      </c>
      <c r="AL61" t="str">
        <f>Totaal!M$1</f>
        <v>I</v>
      </c>
      <c r="AM61" t="str">
        <f>TEXT(TEXT(Totaal!$M61,"0,0"),"Standaard")</f>
        <v>0</v>
      </c>
      <c r="AN61" t="str">
        <f>TEXT(Totaal!$M$2,"0")</f>
        <v>0</v>
      </c>
      <c r="AO61" t="e">
        <f>TEXT(TEXT(MEDIAN(Totaal!$M$3:$M$102),"0,0"),"Standaard")</f>
        <v>#NUM!</v>
      </c>
      <c r="AP61" t="str">
        <f>Totaal!N$1</f>
        <v>J</v>
      </c>
      <c r="AQ61" t="str">
        <f>TEXT(TEXT(Totaal!$N61,"0,0"),"Standaard")</f>
        <v>0</v>
      </c>
      <c r="AR61" t="str">
        <f>TEXT(Totaal!$N$2,"0")</f>
        <v>0</v>
      </c>
      <c r="AS61" t="e">
        <f>TEXT(TEXT(MEDIAN(Totaal!$N$3:$N$102),"0,0"),"Standaard")</f>
        <v>#NUM!</v>
      </c>
      <c r="AT61" t="str">
        <f>Totaal!O$1</f>
        <v>K</v>
      </c>
      <c r="AU61" t="str">
        <f>TEXT(TEXT(Totaal!$O61,"0,0"),"Standaard")</f>
        <v>0</v>
      </c>
      <c r="AV61" t="str">
        <f>TEXT(Totaal!$O$2,"0")</f>
        <v>0</v>
      </c>
      <c r="AW61" t="e">
        <f>TEXT(TEXT(MEDIAN(Totaal!$O$3:$O$102),"0,0"),"Standaard")</f>
        <v>#NUM!</v>
      </c>
      <c r="AX61" t="str">
        <f>Totaal!P$1</f>
        <v>L</v>
      </c>
      <c r="AY61" t="str">
        <f>TEXT(TEXT(Totaal!$P61,"0,0"),"Standaard")</f>
        <v>0</v>
      </c>
      <c r="AZ61" t="str">
        <f>TEXT(Totaal!$P$2,"0")</f>
        <v>0</v>
      </c>
      <c r="BA61" t="e">
        <f>TEXT(TEXT(MEDIAN(Totaal!$P$3:$P$102),"0,0"),"Standaard")</f>
        <v>#NUM!</v>
      </c>
      <c r="BB61" t="str">
        <f>Totaal!Q$1</f>
        <v>M</v>
      </c>
      <c r="BC61" t="str">
        <f>TEXT(TEXT(Totaal!$Q61,"0,0"),"Standaard")</f>
        <v>0</v>
      </c>
      <c r="BD61" t="str">
        <f>TEXT(Totaal!$Q$2,"0")</f>
        <v>0</v>
      </c>
      <c r="BE61" t="e">
        <f>TEXT(TEXT(MEDIAN(Totaal!$Q$3:$Q$102),"0,0"),"Standaard")</f>
        <v>#NUM!</v>
      </c>
      <c r="BF61" t="str">
        <f>Totaal!R$1</f>
        <v>N</v>
      </c>
      <c r="BG61" t="str">
        <f>TEXT(TEXT(Totaal!$R61,"0,0"),"Standaard")</f>
        <v>0</v>
      </c>
      <c r="BH61" t="str">
        <f>TEXT(Totaal!$R$2,"0")</f>
        <v>0</v>
      </c>
      <c r="BI61" t="e">
        <f>TEXT(TEXT(MEDIAN(Totaal!$R$3:$R$102),"0,0"),"Standaard")</f>
        <v>#NUM!</v>
      </c>
      <c r="BJ61" t="str">
        <f>Totaal!S$1</f>
        <v>O</v>
      </c>
      <c r="BK61" t="str">
        <f>TEXT(TEXT(Totaal!$S61,"0,0"),"Standaard")</f>
        <v>0</v>
      </c>
      <c r="BL61" t="str">
        <f>TEXT(Totaal!$S$2,"0")</f>
        <v>0</v>
      </c>
      <c r="BM61" t="e">
        <f>TEXT(TEXT(MEDIAN(Totaal!$S$3:$S$102),"0,0"),"Standaard")</f>
        <v>#NUM!</v>
      </c>
      <c r="BN61" t="str">
        <f>Totaal!T$1</f>
        <v>P</v>
      </c>
      <c r="BO61" t="str">
        <f>TEXT(TEXT(Totaal!$T61,"0,0"),"Standaard")</f>
        <v>0</v>
      </c>
      <c r="BP61" t="str">
        <f>TEXT(Totaal!$T$2,"0")</f>
        <v>0</v>
      </c>
      <c r="BQ61" t="e">
        <f>TEXT(TEXT(MEDIAN(Totaal!$T$3:$T$102),"0,0"),"Standaard")</f>
        <v>#NUM!</v>
      </c>
      <c r="BR61" t="str">
        <f>IF(Totaal!U61="","",Totaal!U61)</f>
        <v/>
      </c>
    </row>
    <row r="62" spans="1:70">
      <c r="A62">
        <f>Totaal!A62</f>
        <v>60</v>
      </c>
      <c r="B62" s="22" t="str">
        <f>IF(Totaal!B62="","",Totaal!B62)</f>
        <v/>
      </c>
      <c r="C62" s="8" t="e">
        <f>TEXT(TEXT(Totaal!C62,"0,0"),"Standaard")</f>
        <v>#DIV/0!</v>
      </c>
      <c r="D62" s="8" t="str">
        <f>TEXT(Totaal!C$2,"0")</f>
        <v>100</v>
      </c>
      <c r="E62" s="22" t="e">
        <f>TEXT(TEXT(SUM(Totaal!C$3:C$102)/COUNTIF(Totaal!C$3:C$102,"&lt;&gt;0"),"0,0"),"Standaard")</f>
        <v>#DIV/0!</v>
      </c>
      <c r="F62" t="str">
        <f>Totaal!E$1</f>
        <v>A</v>
      </c>
      <c r="G62" t="str">
        <f>TEXT(TEXT(Totaal!E62,"0,0"),"Standaard")</f>
        <v>0</v>
      </c>
      <c r="H62" t="str">
        <f>TEXT(Totaal!E$2,"0")</f>
        <v>0</v>
      </c>
      <c r="I62" t="e">
        <f>TEXT(TEXT(MEDIAN(Totaal!E$3:E$102),"0,0"),"Standaard")</f>
        <v>#NUM!</v>
      </c>
      <c r="J62" t="str">
        <f>Totaal!F$1</f>
        <v>B</v>
      </c>
      <c r="K62" t="str">
        <f>TEXT(TEXT(Totaal!$F62,"0,0"),"Standaard")</f>
        <v>0</v>
      </c>
      <c r="L62" t="str">
        <f>TEXT(Totaal!F$2,"0")</f>
        <v>0</v>
      </c>
      <c r="M62" t="e">
        <f>TEXT(TEXT(MEDIAN(Totaal!$F$3:$F$102),"0,0"),"Standaard")</f>
        <v>#NUM!</v>
      </c>
      <c r="N62" t="str">
        <f>Totaal!G$1</f>
        <v>C</v>
      </c>
      <c r="O62" t="str">
        <f>TEXT(TEXT(Totaal!$G62,"0,0"),"Standaard")</f>
        <v>0</v>
      </c>
      <c r="P62" t="str">
        <f>TEXT(Totaal!$G$2,"0")</f>
        <v>0</v>
      </c>
      <c r="Q62" t="e">
        <f>TEXT(TEXT(MEDIAN(Totaal!$G$3:$G$102),"0,0"),"Standaard")</f>
        <v>#NUM!</v>
      </c>
      <c r="R62" t="str">
        <f>Totaal!H$1</f>
        <v>D</v>
      </c>
      <c r="S62" t="str">
        <f>TEXT(TEXT(Totaal!$H62,"0,0"),"Standaard")</f>
        <v>0</v>
      </c>
      <c r="T62" t="str">
        <f>TEXT(Totaal!$H$2,"0")</f>
        <v>0</v>
      </c>
      <c r="U62" t="e">
        <f>TEXT(TEXT(MEDIAN(Totaal!$H$3:$H$102),"0,0"),"Standaard")</f>
        <v>#NUM!</v>
      </c>
      <c r="V62" t="str">
        <f>Totaal!I$1</f>
        <v>E</v>
      </c>
      <c r="W62" t="str">
        <f>TEXT(TEXT(Totaal!$I62,"0,0"),"Standaard")</f>
        <v>0</v>
      </c>
      <c r="X62" t="str">
        <f>TEXT(Totaal!$I$2,"0")</f>
        <v>0</v>
      </c>
      <c r="Y62" t="e">
        <f>TEXT(TEXT(MEDIAN(Totaal!$I$3:$I$102),"0,0"),"Standaard")</f>
        <v>#NUM!</v>
      </c>
      <c r="Z62" t="str">
        <f>Totaal!J$1</f>
        <v>F</v>
      </c>
      <c r="AA62" t="str">
        <f>TEXT(TEXT(Totaal!$J62,"0,0"),"Standaard")</f>
        <v>0</v>
      </c>
      <c r="AB62" t="str">
        <f>TEXT(Totaal!$J$2,"0")</f>
        <v>0</v>
      </c>
      <c r="AC62" t="e">
        <f>TEXT(TEXT(MEDIAN(Totaal!$J$3:$J$102),"0,0"),"Standaard")</f>
        <v>#NUM!</v>
      </c>
      <c r="AD62" t="str">
        <f>Totaal!K$1</f>
        <v>G</v>
      </c>
      <c r="AE62" t="str">
        <f>TEXT(TEXT(Totaal!$K62,"0,0"),"Standaard")</f>
        <v>0</v>
      </c>
      <c r="AF62" t="str">
        <f>TEXT(Totaal!$K$2,"0")</f>
        <v>0</v>
      </c>
      <c r="AG62" t="e">
        <f>TEXT(TEXT(MEDIAN(Totaal!$K$3:$K$102),"0,0"),"Standaard")</f>
        <v>#NUM!</v>
      </c>
      <c r="AH62" t="str">
        <f>Totaal!L$1</f>
        <v>H</v>
      </c>
      <c r="AI62" t="str">
        <f>TEXT(TEXT(Totaal!$L62,"0,0"),"Standaard")</f>
        <v>0</v>
      </c>
      <c r="AJ62" t="str">
        <f>TEXT(Totaal!$L$2,"0")</f>
        <v>0</v>
      </c>
      <c r="AK62" t="e">
        <f>TEXT(TEXT(MEDIAN(Totaal!$L$3:$L$102),"0,0"),"Standaard")</f>
        <v>#NUM!</v>
      </c>
      <c r="AL62" t="str">
        <f>Totaal!M$1</f>
        <v>I</v>
      </c>
      <c r="AM62" t="str">
        <f>TEXT(TEXT(Totaal!$M62,"0,0"),"Standaard")</f>
        <v>0</v>
      </c>
      <c r="AN62" t="str">
        <f>TEXT(Totaal!$M$2,"0")</f>
        <v>0</v>
      </c>
      <c r="AO62" t="e">
        <f>TEXT(TEXT(MEDIAN(Totaal!$M$3:$M$102),"0,0"),"Standaard")</f>
        <v>#NUM!</v>
      </c>
      <c r="AP62" t="str">
        <f>Totaal!N$1</f>
        <v>J</v>
      </c>
      <c r="AQ62" t="str">
        <f>TEXT(TEXT(Totaal!$N62,"0,0"),"Standaard")</f>
        <v>0</v>
      </c>
      <c r="AR62" t="str">
        <f>TEXT(Totaal!$N$2,"0")</f>
        <v>0</v>
      </c>
      <c r="AS62" t="e">
        <f>TEXT(TEXT(MEDIAN(Totaal!$N$3:$N$102),"0,0"),"Standaard")</f>
        <v>#NUM!</v>
      </c>
      <c r="AT62" t="str">
        <f>Totaal!O$1</f>
        <v>K</v>
      </c>
      <c r="AU62" t="str">
        <f>TEXT(TEXT(Totaal!$O62,"0,0"),"Standaard")</f>
        <v>0</v>
      </c>
      <c r="AV62" t="str">
        <f>TEXT(Totaal!$O$2,"0")</f>
        <v>0</v>
      </c>
      <c r="AW62" t="e">
        <f>TEXT(TEXT(MEDIAN(Totaal!$O$3:$O$102),"0,0"),"Standaard")</f>
        <v>#NUM!</v>
      </c>
      <c r="AX62" t="str">
        <f>Totaal!P$1</f>
        <v>L</v>
      </c>
      <c r="AY62" t="str">
        <f>TEXT(TEXT(Totaal!$P62,"0,0"),"Standaard")</f>
        <v>0</v>
      </c>
      <c r="AZ62" t="str">
        <f>TEXT(Totaal!$P$2,"0")</f>
        <v>0</v>
      </c>
      <c r="BA62" t="e">
        <f>TEXT(TEXT(MEDIAN(Totaal!$P$3:$P$102),"0,0"),"Standaard")</f>
        <v>#NUM!</v>
      </c>
      <c r="BB62" t="str">
        <f>Totaal!Q$1</f>
        <v>M</v>
      </c>
      <c r="BC62" t="str">
        <f>TEXT(TEXT(Totaal!$Q62,"0,0"),"Standaard")</f>
        <v>0</v>
      </c>
      <c r="BD62" t="str">
        <f>TEXT(Totaal!$Q$2,"0")</f>
        <v>0</v>
      </c>
      <c r="BE62" t="e">
        <f>TEXT(TEXT(MEDIAN(Totaal!$Q$3:$Q$102),"0,0"),"Standaard")</f>
        <v>#NUM!</v>
      </c>
      <c r="BF62" t="str">
        <f>Totaal!R$1</f>
        <v>N</v>
      </c>
      <c r="BG62" t="str">
        <f>TEXT(TEXT(Totaal!$R62,"0,0"),"Standaard")</f>
        <v>0</v>
      </c>
      <c r="BH62" t="str">
        <f>TEXT(Totaal!$R$2,"0")</f>
        <v>0</v>
      </c>
      <c r="BI62" t="e">
        <f>TEXT(TEXT(MEDIAN(Totaal!$R$3:$R$102),"0,0"),"Standaard")</f>
        <v>#NUM!</v>
      </c>
      <c r="BJ62" t="str">
        <f>Totaal!S$1</f>
        <v>O</v>
      </c>
      <c r="BK62" t="str">
        <f>TEXT(TEXT(Totaal!$S62,"0,0"),"Standaard")</f>
        <v>0</v>
      </c>
      <c r="BL62" t="str">
        <f>TEXT(Totaal!$S$2,"0")</f>
        <v>0</v>
      </c>
      <c r="BM62" t="e">
        <f>TEXT(TEXT(MEDIAN(Totaal!$S$3:$S$102),"0,0"),"Standaard")</f>
        <v>#NUM!</v>
      </c>
      <c r="BN62" t="str">
        <f>Totaal!T$1</f>
        <v>P</v>
      </c>
      <c r="BO62" t="str">
        <f>TEXT(TEXT(Totaal!$T62,"0,0"),"Standaard")</f>
        <v>0</v>
      </c>
      <c r="BP62" t="str">
        <f>TEXT(Totaal!$T$2,"0")</f>
        <v>0</v>
      </c>
      <c r="BQ62" t="e">
        <f>TEXT(TEXT(MEDIAN(Totaal!$T$3:$T$102),"0,0"),"Standaard")</f>
        <v>#NUM!</v>
      </c>
      <c r="BR62" t="str">
        <f>IF(Totaal!U62="","",Totaal!U62)</f>
        <v/>
      </c>
    </row>
    <row r="63" spans="1:70">
      <c r="A63">
        <f>Totaal!A63</f>
        <v>61</v>
      </c>
      <c r="B63" s="22" t="str">
        <f>IF(Totaal!B63="","",Totaal!B63)</f>
        <v/>
      </c>
      <c r="C63" s="8" t="e">
        <f>TEXT(TEXT(Totaal!C63,"0,0"),"Standaard")</f>
        <v>#DIV/0!</v>
      </c>
      <c r="D63" s="8" t="str">
        <f>TEXT(Totaal!C$2,"0")</f>
        <v>100</v>
      </c>
      <c r="E63" s="22" t="e">
        <f>TEXT(TEXT(SUM(Totaal!C$3:C$102)/COUNTIF(Totaal!C$3:C$102,"&lt;&gt;0"),"0,0"),"Standaard")</f>
        <v>#DIV/0!</v>
      </c>
      <c r="F63" t="str">
        <f>Totaal!E$1</f>
        <v>A</v>
      </c>
      <c r="G63" t="str">
        <f>TEXT(TEXT(Totaal!E63,"0,0"),"Standaard")</f>
        <v>0</v>
      </c>
      <c r="H63" t="str">
        <f>TEXT(Totaal!E$2,"0")</f>
        <v>0</v>
      </c>
      <c r="I63" t="e">
        <f>TEXT(TEXT(MEDIAN(Totaal!E$3:E$102),"0,0"),"Standaard")</f>
        <v>#NUM!</v>
      </c>
      <c r="J63" t="str">
        <f>Totaal!F$1</f>
        <v>B</v>
      </c>
      <c r="K63" t="str">
        <f>TEXT(TEXT(Totaal!$F63,"0,0"),"Standaard")</f>
        <v>0</v>
      </c>
      <c r="L63" t="str">
        <f>TEXT(Totaal!F$2,"0")</f>
        <v>0</v>
      </c>
      <c r="M63" t="e">
        <f>TEXT(TEXT(MEDIAN(Totaal!$F$3:$F$102),"0,0"),"Standaard")</f>
        <v>#NUM!</v>
      </c>
      <c r="N63" t="str">
        <f>Totaal!G$1</f>
        <v>C</v>
      </c>
      <c r="O63" t="str">
        <f>TEXT(TEXT(Totaal!$G63,"0,0"),"Standaard")</f>
        <v>0</v>
      </c>
      <c r="P63" t="str">
        <f>TEXT(Totaal!$G$2,"0")</f>
        <v>0</v>
      </c>
      <c r="Q63" t="e">
        <f>TEXT(TEXT(MEDIAN(Totaal!$G$3:$G$102),"0,0"),"Standaard")</f>
        <v>#NUM!</v>
      </c>
      <c r="R63" t="str">
        <f>Totaal!H$1</f>
        <v>D</v>
      </c>
      <c r="S63" t="str">
        <f>TEXT(TEXT(Totaal!$H63,"0,0"),"Standaard")</f>
        <v>0</v>
      </c>
      <c r="T63" t="str">
        <f>TEXT(Totaal!$H$2,"0")</f>
        <v>0</v>
      </c>
      <c r="U63" t="e">
        <f>TEXT(TEXT(MEDIAN(Totaal!$H$3:$H$102),"0,0"),"Standaard")</f>
        <v>#NUM!</v>
      </c>
      <c r="V63" t="str">
        <f>Totaal!I$1</f>
        <v>E</v>
      </c>
      <c r="W63" t="str">
        <f>TEXT(TEXT(Totaal!$I63,"0,0"),"Standaard")</f>
        <v>0</v>
      </c>
      <c r="X63" t="str">
        <f>TEXT(Totaal!$I$2,"0")</f>
        <v>0</v>
      </c>
      <c r="Y63" t="e">
        <f>TEXT(TEXT(MEDIAN(Totaal!$I$3:$I$102),"0,0"),"Standaard")</f>
        <v>#NUM!</v>
      </c>
      <c r="Z63" t="str">
        <f>Totaal!J$1</f>
        <v>F</v>
      </c>
      <c r="AA63" t="str">
        <f>TEXT(TEXT(Totaal!$J63,"0,0"),"Standaard")</f>
        <v>0</v>
      </c>
      <c r="AB63" t="str">
        <f>TEXT(Totaal!$J$2,"0")</f>
        <v>0</v>
      </c>
      <c r="AC63" t="e">
        <f>TEXT(TEXT(MEDIAN(Totaal!$J$3:$J$102),"0,0"),"Standaard")</f>
        <v>#NUM!</v>
      </c>
      <c r="AD63" t="str">
        <f>Totaal!K$1</f>
        <v>G</v>
      </c>
      <c r="AE63" t="str">
        <f>TEXT(TEXT(Totaal!$K63,"0,0"),"Standaard")</f>
        <v>0</v>
      </c>
      <c r="AF63" t="str">
        <f>TEXT(Totaal!$K$2,"0")</f>
        <v>0</v>
      </c>
      <c r="AG63" t="e">
        <f>TEXT(TEXT(MEDIAN(Totaal!$K$3:$K$102),"0,0"),"Standaard")</f>
        <v>#NUM!</v>
      </c>
      <c r="AH63" t="str">
        <f>Totaal!L$1</f>
        <v>H</v>
      </c>
      <c r="AI63" t="str">
        <f>TEXT(TEXT(Totaal!$L63,"0,0"),"Standaard")</f>
        <v>0</v>
      </c>
      <c r="AJ63" t="str">
        <f>TEXT(Totaal!$L$2,"0")</f>
        <v>0</v>
      </c>
      <c r="AK63" t="e">
        <f>TEXT(TEXT(MEDIAN(Totaal!$L$3:$L$102),"0,0"),"Standaard")</f>
        <v>#NUM!</v>
      </c>
      <c r="AL63" t="str">
        <f>Totaal!M$1</f>
        <v>I</v>
      </c>
      <c r="AM63" t="str">
        <f>TEXT(TEXT(Totaal!$M63,"0,0"),"Standaard")</f>
        <v>0</v>
      </c>
      <c r="AN63" t="str">
        <f>TEXT(Totaal!$M$2,"0")</f>
        <v>0</v>
      </c>
      <c r="AO63" t="e">
        <f>TEXT(TEXT(MEDIAN(Totaal!$M$3:$M$102),"0,0"),"Standaard")</f>
        <v>#NUM!</v>
      </c>
      <c r="AP63" t="str">
        <f>Totaal!N$1</f>
        <v>J</v>
      </c>
      <c r="AQ63" t="str">
        <f>TEXT(TEXT(Totaal!$N63,"0,0"),"Standaard")</f>
        <v>0</v>
      </c>
      <c r="AR63" t="str">
        <f>TEXT(Totaal!$N$2,"0")</f>
        <v>0</v>
      </c>
      <c r="AS63" t="e">
        <f>TEXT(TEXT(MEDIAN(Totaal!$N$3:$N$102),"0,0"),"Standaard")</f>
        <v>#NUM!</v>
      </c>
      <c r="AT63" t="str">
        <f>Totaal!O$1</f>
        <v>K</v>
      </c>
      <c r="AU63" t="str">
        <f>TEXT(TEXT(Totaal!$O63,"0,0"),"Standaard")</f>
        <v>0</v>
      </c>
      <c r="AV63" t="str">
        <f>TEXT(Totaal!$O$2,"0")</f>
        <v>0</v>
      </c>
      <c r="AW63" t="e">
        <f>TEXT(TEXT(MEDIAN(Totaal!$O$3:$O$102),"0,0"),"Standaard")</f>
        <v>#NUM!</v>
      </c>
      <c r="AX63" t="str">
        <f>Totaal!P$1</f>
        <v>L</v>
      </c>
      <c r="AY63" t="str">
        <f>TEXT(TEXT(Totaal!$P63,"0,0"),"Standaard")</f>
        <v>0</v>
      </c>
      <c r="AZ63" t="str">
        <f>TEXT(Totaal!$P$2,"0")</f>
        <v>0</v>
      </c>
      <c r="BA63" t="e">
        <f>TEXT(TEXT(MEDIAN(Totaal!$P$3:$P$102),"0,0"),"Standaard")</f>
        <v>#NUM!</v>
      </c>
      <c r="BB63" t="str">
        <f>Totaal!Q$1</f>
        <v>M</v>
      </c>
      <c r="BC63" t="str">
        <f>TEXT(TEXT(Totaal!$Q63,"0,0"),"Standaard")</f>
        <v>0</v>
      </c>
      <c r="BD63" t="str">
        <f>TEXT(Totaal!$Q$2,"0")</f>
        <v>0</v>
      </c>
      <c r="BE63" t="e">
        <f>TEXT(TEXT(MEDIAN(Totaal!$Q$3:$Q$102),"0,0"),"Standaard")</f>
        <v>#NUM!</v>
      </c>
      <c r="BF63" t="str">
        <f>Totaal!R$1</f>
        <v>N</v>
      </c>
      <c r="BG63" t="str">
        <f>TEXT(TEXT(Totaal!$R63,"0,0"),"Standaard")</f>
        <v>0</v>
      </c>
      <c r="BH63" t="str">
        <f>TEXT(Totaal!$R$2,"0")</f>
        <v>0</v>
      </c>
      <c r="BI63" t="e">
        <f>TEXT(TEXT(MEDIAN(Totaal!$R$3:$R$102),"0,0"),"Standaard")</f>
        <v>#NUM!</v>
      </c>
      <c r="BJ63" t="str">
        <f>Totaal!S$1</f>
        <v>O</v>
      </c>
      <c r="BK63" t="str">
        <f>TEXT(TEXT(Totaal!$S63,"0,0"),"Standaard")</f>
        <v>0</v>
      </c>
      <c r="BL63" t="str">
        <f>TEXT(Totaal!$S$2,"0")</f>
        <v>0</v>
      </c>
      <c r="BM63" t="e">
        <f>TEXT(TEXT(MEDIAN(Totaal!$S$3:$S$102),"0,0"),"Standaard")</f>
        <v>#NUM!</v>
      </c>
      <c r="BN63" t="str">
        <f>Totaal!T$1</f>
        <v>P</v>
      </c>
      <c r="BO63" t="str">
        <f>TEXT(TEXT(Totaal!$T63,"0,0"),"Standaard")</f>
        <v>0</v>
      </c>
      <c r="BP63" t="str">
        <f>TEXT(Totaal!$T$2,"0")</f>
        <v>0</v>
      </c>
      <c r="BQ63" t="e">
        <f>TEXT(TEXT(MEDIAN(Totaal!$T$3:$T$102),"0,0"),"Standaard")</f>
        <v>#NUM!</v>
      </c>
      <c r="BR63" t="str">
        <f>IF(Totaal!U63="","",Totaal!U63)</f>
        <v/>
      </c>
    </row>
    <row r="64" spans="1:70">
      <c r="A64">
        <f>Totaal!A64</f>
        <v>62</v>
      </c>
      <c r="B64" s="22" t="str">
        <f>IF(Totaal!B64="","",Totaal!B64)</f>
        <v/>
      </c>
      <c r="C64" s="8" t="e">
        <f>TEXT(TEXT(Totaal!C64,"0,0"),"Standaard")</f>
        <v>#DIV/0!</v>
      </c>
      <c r="D64" s="8" t="str">
        <f>TEXT(Totaal!C$2,"0")</f>
        <v>100</v>
      </c>
      <c r="E64" s="22" t="e">
        <f>TEXT(TEXT(SUM(Totaal!C$3:C$102)/COUNTIF(Totaal!C$3:C$102,"&lt;&gt;0"),"0,0"),"Standaard")</f>
        <v>#DIV/0!</v>
      </c>
      <c r="F64" t="str">
        <f>Totaal!E$1</f>
        <v>A</v>
      </c>
      <c r="G64" t="str">
        <f>TEXT(TEXT(Totaal!E64,"0,0"),"Standaard")</f>
        <v>0</v>
      </c>
      <c r="H64" t="str">
        <f>TEXT(Totaal!E$2,"0")</f>
        <v>0</v>
      </c>
      <c r="I64" t="e">
        <f>TEXT(TEXT(MEDIAN(Totaal!E$3:E$102),"0,0"),"Standaard")</f>
        <v>#NUM!</v>
      </c>
      <c r="J64" t="str">
        <f>Totaal!F$1</f>
        <v>B</v>
      </c>
      <c r="K64" t="str">
        <f>TEXT(TEXT(Totaal!$F64,"0,0"),"Standaard")</f>
        <v>0</v>
      </c>
      <c r="L64" t="str">
        <f>TEXT(Totaal!F$2,"0")</f>
        <v>0</v>
      </c>
      <c r="M64" t="e">
        <f>TEXT(TEXT(MEDIAN(Totaal!$F$3:$F$102),"0,0"),"Standaard")</f>
        <v>#NUM!</v>
      </c>
      <c r="N64" t="str">
        <f>Totaal!G$1</f>
        <v>C</v>
      </c>
      <c r="O64" t="str">
        <f>TEXT(TEXT(Totaal!$G64,"0,0"),"Standaard")</f>
        <v>0</v>
      </c>
      <c r="P64" t="str">
        <f>TEXT(Totaal!$G$2,"0")</f>
        <v>0</v>
      </c>
      <c r="Q64" t="e">
        <f>TEXT(TEXT(MEDIAN(Totaal!$G$3:$G$102),"0,0"),"Standaard")</f>
        <v>#NUM!</v>
      </c>
      <c r="R64" t="str">
        <f>Totaal!H$1</f>
        <v>D</v>
      </c>
      <c r="S64" t="str">
        <f>TEXT(TEXT(Totaal!$H64,"0,0"),"Standaard")</f>
        <v>0</v>
      </c>
      <c r="T64" t="str">
        <f>TEXT(Totaal!$H$2,"0")</f>
        <v>0</v>
      </c>
      <c r="U64" t="e">
        <f>TEXT(TEXT(MEDIAN(Totaal!$H$3:$H$102),"0,0"),"Standaard")</f>
        <v>#NUM!</v>
      </c>
      <c r="V64" t="str">
        <f>Totaal!I$1</f>
        <v>E</v>
      </c>
      <c r="W64" t="str">
        <f>TEXT(TEXT(Totaal!$I64,"0,0"),"Standaard")</f>
        <v>0</v>
      </c>
      <c r="X64" t="str">
        <f>TEXT(Totaal!$I$2,"0")</f>
        <v>0</v>
      </c>
      <c r="Y64" t="e">
        <f>TEXT(TEXT(MEDIAN(Totaal!$I$3:$I$102),"0,0"),"Standaard")</f>
        <v>#NUM!</v>
      </c>
      <c r="Z64" t="str">
        <f>Totaal!J$1</f>
        <v>F</v>
      </c>
      <c r="AA64" t="str">
        <f>TEXT(TEXT(Totaal!$J64,"0,0"),"Standaard")</f>
        <v>0</v>
      </c>
      <c r="AB64" t="str">
        <f>TEXT(Totaal!$J$2,"0")</f>
        <v>0</v>
      </c>
      <c r="AC64" t="e">
        <f>TEXT(TEXT(MEDIAN(Totaal!$J$3:$J$102),"0,0"),"Standaard")</f>
        <v>#NUM!</v>
      </c>
      <c r="AD64" t="str">
        <f>Totaal!K$1</f>
        <v>G</v>
      </c>
      <c r="AE64" t="str">
        <f>TEXT(TEXT(Totaal!$K64,"0,0"),"Standaard")</f>
        <v>0</v>
      </c>
      <c r="AF64" t="str">
        <f>TEXT(Totaal!$K$2,"0")</f>
        <v>0</v>
      </c>
      <c r="AG64" t="e">
        <f>TEXT(TEXT(MEDIAN(Totaal!$K$3:$K$102),"0,0"),"Standaard")</f>
        <v>#NUM!</v>
      </c>
      <c r="AH64" t="str">
        <f>Totaal!L$1</f>
        <v>H</v>
      </c>
      <c r="AI64" t="str">
        <f>TEXT(TEXT(Totaal!$L64,"0,0"),"Standaard")</f>
        <v>0</v>
      </c>
      <c r="AJ64" t="str">
        <f>TEXT(Totaal!$L$2,"0")</f>
        <v>0</v>
      </c>
      <c r="AK64" t="e">
        <f>TEXT(TEXT(MEDIAN(Totaal!$L$3:$L$102),"0,0"),"Standaard")</f>
        <v>#NUM!</v>
      </c>
      <c r="AL64" t="str">
        <f>Totaal!M$1</f>
        <v>I</v>
      </c>
      <c r="AM64" t="str">
        <f>TEXT(TEXT(Totaal!$M64,"0,0"),"Standaard")</f>
        <v>0</v>
      </c>
      <c r="AN64" t="str">
        <f>TEXT(Totaal!$M$2,"0")</f>
        <v>0</v>
      </c>
      <c r="AO64" t="e">
        <f>TEXT(TEXT(MEDIAN(Totaal!$M$3:$M$102),"0,0"),"Standaard")</f>
        <v>#NUM!</v>
      </c>
      <c r="AP64" t="str">
        <f>Totaal!N$1</f>
        <v>J</v>
      </c>
      <c r="AQ64" t="str">
        <f>TEXT(TEXT(Totaal!$N64,"0,0"),"Standaard")</f>
        <v>0</v>
      </c>
      <c r="AR64" t="str">
        <f>TEXT(Totaal!$N$2,"0")</f>
        <v>0</v>
      </c>
      <c r="AS64" t="e">
        <f>TEXT(TEXT(MEDIAN(Totaal!$N$3:$N$102),"0,0"),"Standaard")</f>
        <v>#NUM!</v>
      </c>
      <c r="AT64" t="str">
        <f>Totaal!O$1</f>
        <v>K</v>
      </c>
      <c r="AU64" t="str">
        <f>TEXT(TEXT(Totaal!$O64,"0,0"),"Standaard")</f>
        <v>0</v>
      </c>
      <c r="AV64" t="str">
        <f>TEXT(Totaal!$O$2,"0")</f>
        <v>0</v>
      </c>
      <c r="AW64" t="e">
        <f>TEXT(TEXT(MEDIAN(Totaal!$O$3:$O$102),"0,0"),"Standaard")</f>
        <v>#NUM!</v>
      </c>
      <c r="AX64" t="str">
        <f>Totaal!P$1</f>
        <v>L</v>
      </c>
      <c r="AY64" t="str">
        <f>TEXT(TEXT(Totaal!$P64,"0,0"),"Standaard")</f>
        <v>0</v>
      </c>
      <c r="AZ64" t="str">
        <f>TEXT(Totaal!$P$2,"0")</f>
        <v>0</v>
      </c>
      <c r="BA64" t="e">
        <f>TEXT(TEXT(MEDIAN(Totaal!$P$3:$P$102),"0,0"),"Standaard")</f>
        <v>#NUM!</v>
      </c>
      <c r="BB64" t="str">
        <f>Totaal!Q$1</f>
        <v>M</v>
      </c>
      <c r="BC64" t="str">
        <f>TEXT(TEXT(Totaal!$Q64,"0,0"),"Standaard")</f>
        <v>0</v>
      </c>
      <c r="BD64" t="str">
        <f>TEXT(Totaal!$Q$2,"0")</f>
        <v>0</v>
      </c>
      <c r="BE64" t="e">
        <f>TEXT(TEXT(MEDIAN(Totaal!$Q$3:$Q$102),"0,0"),"Standaard")</f>
        <v>#NUM!</v>
      </c>
      <c r="BF64" t="str">
        <f>Totaal!R$1</f>
        <v>N</v>
      </c>
      <c r="BG64" t="str">
        <f>TEXT(TEXT(Totaal!$R64,"0,0"),"Standaard")</f>
        <v>0</v>
      </c>
      <c r="BH64" t="str">
        <f>TEXT(Totaal!$R$2,"0")</f>
        <v>0</v>
      </c>
      <c r="BI64" t="e">
        <f>TEXT(TEXT(MEDIAN(Totaal!$R$3:$R$102),"0,0"),"Standaard")</f>
        <v>#NUM!</v>
      </c>
      <c r="BJ64" t="str">
        <f>Totaal!S$1</f>
        <v>O</v>
      </c>
      <c r="BK64" t="str">
        <f>TEXT(TEXT(Totaal!$S64,"0,0"),"Standaard")</f>
        <v>0</v>
      </c>
      <c r="BL64" t="str">
        <f>TEXT(Totaal!$S$2,"0")</f>
        <v>0</v>
      </c>
      <c r="BM64" t="e">
        <f>TEXT(TEXT(MEDIAN(Totaal!$S$3:$S$102),"0,0"),"Standaard")</f>
        <v>#NUM!</v>
      </c>
      <c r="BN64" t="str">
        <f>Totaal!T$1</f>
        <v>P</v>
      </c>
      <c r="BO64" t="str">
        <f>TEXT(TEXT(Totaal!$T64,"0,0"),"Standaard")</f>
        <v>0</v>
      </c>
      <c r="BP64" t="str">
        <f>TEXT(Totaal!$T$2,"0")</f>
        <v>0</v>
      </c>
      <c r="BQ64" t="e">
        <f>TEXT(TEXT(MEDIAN(Totaal!$T$3:$T$102),"0,0"),"Standaard")</f>
        <v>#NUM!</v>
      </c>
      <c r="BR64" t="str">
        <f>IF(Totaal!U64="","",Totaal!U64)</f>
        <v/>
      </c>
    </row>
    <row r="65" spans="1:70">
      <c r="A65">
        <f>Totaal!A65</f>
        <v>63</v>
      </c>
      <c r="B65" s="22" t="str">
        <f>IF(Totaal!B65="","",Totaal!B65)</f>
        <v/>
      </c>
      <c r="C65" s="8" t="e">
        <f>TEXT(TEXT(Totaal!C65,"0,0"),"Standaard")</f>
        <v>#DIV/0!</v>
      </c>
      <c r="D65" s="8" t="str">
        <f>TEXT(Totaal!C$2,"0")</f>
        <v>100</v>
      </c>
      <c r="E65" s="22" t="e">
        <f>TEXT(TEXT(SUM(Totaal!C$3:C$102)/COUNTIF(Totaal!C$3:C$102,"&lt;&gt;0"),"0,0"),"Standaard")</f>
        <v>#DIV/0!</v>
      </c>
      <c r="F65" t="str">
        <f>Totaal!E$1</f>
        <v>A</v>
      </c>
      <c r="G65" t="str">
        <f>TEXT(TEXT(Totaal!E65,"0,0"),"Standaard")</f>
        <v>0</v>
      </c>
      <c r="H65" t="str">
        <f>TEXT(Totaal!E$2,"0")</f>
        <v>0</v>
      </c>
      <c r="I65" t="e">
        <f>TEXT(TEXT(MEDIAN(Totaal!E$3:E$102),"0,0"),"Standaard")</f>
        <v>#NUM!</v>
      </c>
      <c r="J65" t="str">
        <f>Totaal!F$1</f>
        <v>B</v>
      </c>
      <c r="K65" t="str">
        <f>TEXT(TEXT(Totaal!$F65,"0,0"),"Standaard")</f>
        <v>0</v>
      </c>
      <c r="L65" t="str">
        <f>TEXT(Totaal!F$2,"0")</f>
        <v>0</v>
      </c>
      <c r="M65" t="e">
        <f>TEXT(TEXT(MEDIAN(Totaal!$F$3:$F$102),"0,0"),"Standaard")</f>
        <v>#NUM!</v>
      </c>
      <c r="N65" t="str">
        <f>Totaal!G$1</f>
        <v>C</v>
      </c>
      <c r="O65" t="str">
        <f>TEXT(TEXT(Totaal!$G65,"0,0"),"Standaard")</f>
        <v>0</v>
      </c>
      <c r="P65" t="str">
        <f>TEXT(Totaal!$G$2,"0")</f>
        <v>0</v>
      </c>
      <c r="Q65" t="e">
        <f>TEXT(TEXT(MEDIAN(Totaal!$G$3:$G$102),"0,0"),"Standaard")</f>
        <v>#NUM!</v>
      </c>
      <c r="R65" t="str">
        <f>Totaal!H$1</f>
        <v>D</v>
      </c>
      <c r="S65" t="str">
        <f>TEXT(TEXT(Totaal!$H65,"0,0"),"Standaard")</f>
        <v>0</v>
      </c>
      <c r="T65" t="str">
        <f>TEXT(Totaal!$H$2,"0")</f>
        <v>0</v>
      </c>
      <c r="U65" t="e">
        <f>TEXT(TEXT(MEDIAN(Totaal!$H$3:$H$102),"0,0"),"Standaard")</f>
        <v>#NUM!</v>
      </c>
      <c r="V65" t="str">
        <f>Totaal!I$1</f>
        <v>E</v>
      </c>
      <c r="W65" t="str">
        <f>TEXT(TEXT(Totaal!$I65,"0,0"),"Standaard")</f>
        <v>0</v>
      </c>
      <c r="X65" t="str">
        <f>TEXT(Totaal!$I$2,"0")</f>
        <v>0</v>
      </c>
      <c r="Y65" t="e">
        <f>TEXT(TEXT(MEDIAN(Totaal!$I$3:$I$102),"0,0"),"Standaard")</f>
        <v>#NUM!</v>
      </c>
      <c r="Z65" t="str">
        <f>Totaal!J$1</f>
        <v>F</v>
      </c>
      <c r="AA65" t="str">
        <f>TEXT(TEXT(Totaal!$J65,"0,0"),"Standaard")</f>
        <v>0</v>
      </c>
      <c r="AB65" t="str">
        <f>TEXT(Totaal!$J$2,"0")</f>
        <v>0</v>
      </c>
      <c r="AC65" t="e">
        <f>TEXT(TEXT(MEDIAN(Totaal!$J$3:$J$102),"0,0"),"Standaard")</f>
        <v>#NUM!</v>
      </c>
      <c r="AD65" t="str">
        <f>Totaal!K$1</f>
        <v>G</v>
      </c>
      <c r="AE65" t="str">
        <f>TEXT(TEXT(Totaal!$K65,"0,0"),"Standaard")</f>
        <v>0</v>
      </c>
      <c r="AF65" t="str">
        <f>TEXT(Totaal!$K$2,"0")</f>
        <v>0</v>
      </c>
      <c r="AG65" t="e">
        <f>TEXT(TEXT(MEDIAN(Totaal!$K$3:$K$102),"0,0"),"Standaard")</f>
        <v>#NUM!</v>
      </c>
      <c r="AH65" t="str">
        <f>Totaal!L$1</f>
        <v>H</v>
      </c>
      <c r="AI65" t="str">
        <f>TEXT(TEXT(Totaal!$L65,"0,0"),"Standaard")</f>
        <v>0</v>
      </c>
      <c r="AJ65" t="str">
        <f>TEXT(Totaal!$L$2,"0")</f>
        <v>0</v>
      </c>
      <c r="AK65" t="e">
        <f>TEXT(TEXT(MEDIAN(Totaal!$L$3:$L$102),"0,0"),"Standaard")</f>
        <v>#NUM!</v>
      </c>
      <c r="AL65" t="str">
        <f>Totaal!M$1</f>
        <v>I</v>
      </c>
      <c r="AM65" t="str">
        <f>TEXT(TEXT(Totaal!$M65,"0,0"),"Standaard")</f>
        <v>0</v>
      </c>
      <c r="AN65" t="str">
        <f>TEXT(Totaal!$M$2,"0")</f>
        <v>0</v>
      </c>
      <c r="AO65" t="e">
        <f>TEXT(TEXT(MEDIAN(Totaal!$M$3:$M$102),"0,0"),"Standaard")</f>
        <v>#NUM!</v>
      </c>
      <c r="AP65" t="str">
        <f>Totaal!N$1</f>
        <v>J</v>
      </c>
      <c r="AQ65" t="str">
        <f>TEXT(TEXT(Totaal!$N65,"0,0"),"Standaard")</f>
        <v>0</v>
      </c>
      <c r="AR65" t="str">
        <f>TEXT(Totaal!$N$2,"0")</f>
        <v>0</v>
      </c>
      <c r="AS65" t="e">
        <f>TEXT(TEXT(MEDIAN(Totaal!$N$3:$N$102),"0,0"),"Standaard")</f>
        <v>#NUM!</v>
      </c>
      <c r="AT65" t="str">
        <f>Totaal!O$1</f>
        <v>K</v>
      </c>
      <c r="AU65" t="str">
        <f>TEXT(TEXT(Totaal!$O65,"0,0"),"Standaard")</f>
        <v>0</v>
      </c>
      <c r="AV65" t="str">
        <f>TEXT(Totaal!$O$2,"0")</f>
        <v>0</v>
      </c>
      <c r="AW65" t="e">
        <f>TEXT(TEXT(MEDIAN(Totaal!$O$3:$O$102),"0,0"),"Standaard")</f>
        <v>#NUM!</v>
      </c>
      <c r="AX65" t="str">
        <f>Totaal!P$1</f>
        <v>L</v>
      </c>
      <c r="AY65" t="str">
        <f>TEXT(TEXT(Totaal!$P65,"0,0"),"Standaard")</f>
        <v>0</v>
      </c>
      <c r="AZ65" t="str">
        <f>TEXT(Totaal!$P$2,"0")</f>
        <v>0</v>
      </c>
      <c r="BA65" t="e">
        <f>TEXT(TEXT(MEDIAN(Totaal!$P$3:$P$102),"0,0"),"Standaard")</f>
        <v>#NUM!</v>
      </c>
      <c r="BB65" t="str">
        <f>Totaal!Q$1</f>
        <v>M</v>
      </c>
      <c r="BC65" t="str">
        <f>TEXT(TEXT(Totaal!$Q65,"0,0"),"Standaard")</f>
        <v>0</v>
      </c>
      <c r="BD65" t="str">
        <f>TEXT(Totaal!$Q$2,"0")</f>
        <v>0</v>
      </c>
      <c r="BE65" t="e">
        <f>TEXT(TEXT(MEDIAN(Totaal!$Q$3:$Q$102),"0,0"),"Standaard")</f>
        <v>#NUM!</v>
      </c>
      <c r="BF65" t="str">
        <f>Totaal!R$1</f>
        <v>N</v>
      </c>
      <c r="BG65" t="str">
        <f>TEXT(TEXT(Totaal!$R65,"0,0"),"Standaard")</f>
        <v>0</v>
      </c>
      <c r="BH65" t="str">
        <f>TEXT(Totaal!$R$2,"0")</f>
        <v>0</v>
      </c>
      <c r="BI65" t="e">
        <f>TEXT(TEXT(MEDIAN(Totaal!$R$3:$R$102),"0,0"),"Standaard")</f>
        <v>#NUM!</v>
      </c>
      <c r="BJ65" t="str">
        <f>Totaal!S$1</f>
        <v>O</v>
      </c>
      <c r="BK65" t="str">
        <f>TEXT(TEXT(Totaal!$S65,"0,0"),"Standaard")</f>
        <v>0</v>
      </c>
      <c r="BL65" t="str">
        <f>TEXT(Totaal!$S$2,"0")</f>
        <v>0</v>
      </c>
      <c r="BM65" t="e">
        <f>TEXT(TEXT(MEDIAN(Totaal!$S$3:$S$102),"0,0"),"Standaard")</f>
        <v>#NUM!</v>
      </c>
      <c r="BN65" t="str">
        <f>Totaal!T$1</f>
        <v>P</v>
      </c>
      <c r="BO65" t="str">
        <f>TEXT(TEXT(Totaal!$T65,"0,0"),"Standaard")</f>
        <v>0</v>
      </c>
      <c r="BP65" t="str">
        <f>TEXT(Totaal!$T$2,"0")</f>
        <v>0</v>
      </c>
      <c r="BQ65" t="e">
        <f>TEXT(TEXT(MEDIAN(Totaal!$T$3:$T$102),"0,0"),"Standaard")</f>
        <v>#NUM!</v>
      </c>
      <c r="BR65" t="str">
        <f>IF(Totaal!U65="","",Totaal!U65)</f>
        <v/>
      </c>
    </row>
    <row r="66" spans="1:70">
      <c r="A66">
        <f>Totaal!A66</f>
        <v>64</v>
      </c>
      <c r="B66" s="22" t="str">
        <f>IF(Totaal!B66="","",Totaal!B66)</f>
        <v/>
      </c>
      <c r="C66" s="8" t="e">
        <f>TEXT(TEXT(Totaal!C66,"0,0"),"Standaard")</f>
        <v>#DIV/0!</v>
      </c>
      <c r="D66" s="8" t="str">
        <f>TEXT(Totaal!C$2,"0")</f>
        <v>100</v>
      </c>
      <c r="E66" s="22" t="e">
        <f>TEXT(TEXT(SUM(Totaal!C$3:C$102)/COUNTIF(Totaal!C$3:C$102,"&lt;&gt;0"),"0,0"),"Standaard")</f>
        <v>#DIV/0!</v>
      </c>
      <c r="F66" t="str">
        <f>Totaal!E$1</f>
        <v>A</v>
      </c>
      <c r="G66" t="str">
        <f>TEXT(TEXT(Totaal!E66,"0,0"),"Standaard")</f>
        <v>0</v>
      </c>
      <c r="H66" t="str">
        <f>TEXT(Totaal!E$2,"0")</f>
        <v>0</v>
      </c>
      <c r="I66" t="e">
        <f>TEXT(TEXT(MEDIAN(Totaal!E$3:E$102),"0,0"),"Standaard")</f>
        <v>#NUM!</v>
      </c>
      <c r="J66" t="str">
        <f>Totaal!F$1</f>
        <v>B</v>
      </c>
      <c r="K66" t="str">
        <f>TEXT(TEXT(Totaal!$F66,"0,0"),"Standaard")</f>
        <v>0</v>
      </c>
      <c r="L66" t="str">
        <f>TEXT(Totaal!F$2,"0")</f>
        <v>0</v>
      </c>
      <c r="M66" t="e">
        <f>TEXT(TEXT(MEDIAN(Totaal!$F$3:$F$102),"0,0"),"Standaard")</f>
        <v>#NUM!</v>
      </c>
      <c r="N66" t="str">
        <f>Totaal!G$1</f>
        <v>C</v>
      </c>
      <c r="O66" t="str">
        <f>TEXT(TEXT(Totaal!$G66,"0,0"),"Standaard")</f>
        <v>0</v>
      </c>
      <c r="P66" t="str">
        <f>TEXT(Totaal!$G$2,"0")</f>
        <v>0</v>
      </c>
      <c r="Q66" t="e">
        <f>TEXT(TEXT(MEDIAN(Totaal!$G$3:$G$102),"0,0"),"Standaard")</f>
        <v>#NUM!</v>
      </c>
      <c r="R66" t="str">
        <f>Totaal!H$1</f>
        <v>D</v>
      </c>
      <c r="S66" t="str">
        <f>TEXT(TEXT(Totaal!$H66,"0,0"),"Standaard")</f>
        <v>0</v>
      </c>
      <c r="T66" t="str">
        <f>TEXT(Totaal!$H$2,"0")</f>
        <v>0</v>
      </c>
      <c r="U66" t="e">
        <f>TEXT(TEXT(MEDIAN(Totaal!$H$3:$H$102),"0,0"),"Standaard")</f>
        <v>#NUM!</v>
      </c>
      <c r="V66" t="str">
        <f>Totaal!I$1</f>
        <v>E</v>
      </c>
      <c r="W66" t="str">
        <f>TEXT(TEXT(Totaal!$I66,"0,0"),"Standaard")</f>
        <v>0</v>
      </c>
      <c r="X66" t="str">
        <f>TEXT(Totaal!$I$2,"0")</f>
        <v>0</v>
      </c>
      <c r="Y66" t="e">
        <f>TEXT(TEXT(MEDIAN(Totaal!$I$3:$I$102),"0,0"),"Standaard")</f>
        <v>#NUM!</v>
      </c>
      <c r="Z66" t="str">
        <f>Totaal!J$1</f>
        <v>F</v>
      </c>
      <c r="AA66" t="str">
        <f>TEXT(TEXT(Totaal!$J66,"0,0"),"Standaard")</f>
        <v>0</v>
      </c>
      <c r="AB66" t="str">
        <f>TEXT(Totaal!$J$2,"0")</f>
        <v>0</v>
      </c>
      <c r="AC66" t="e">
        <f>TEXT(TEXT(MEDIAN(Totaal!$J$3:$J$102),"0,0"),"Standaard")</f>
        <v>#NUM!</v>
      </c>
      <c r="AD66" t="str">
        <f>Totaal!K$1</f>
        <v>G</v>
      </c>
      <c r="AE66" t="str">
        <f>TEXT(TEXT(Totaal!$K66,"0,0"),"Standaard")</f>
        <v>0</v>
      </c>
      <c r="AF66" t="str">
        <f>TEXT(Totaal!$K$2,"0")</f>
        <v>0</v>
      </c>
      <c r="AG66" t="e">
        <f>TEXT(TEXT(MEDIAN(Totaal!$K$3:$K$102),"0,0"),"Standaard")</f>
        <v>#NUM!</v>
      </c>
      <c r="AH66" t="str">
        <f>Totaal!L$1</f>
        <v>H</v>
      </c>
      <c r="AI66" t="str">
        <f>TEXT(TEXT(Totaal!$L66,"0,0"),"Standaard")</f>
        <v>0</v>
      </c>
      <c r="AJ66" t="str">
        <f>TEXT(Totaal!$L$2,"0")</f>
        <v>0</v>
      </c>
      <c r="AK66" t="e">
        <f>TEXT(TEXT(MEDIAN(Totaal!$L$3:$L$102),"0,0"),"Standaard")</f>
        <v>#NUM!</v>
      </c>
      <c r="AL66" t="str">
        <f>Totaal!M$1</f>
        <v>I</v>
      </c>
      <c r="AM66" t="str">
        <f>TEXT(TEXT(Totaal!$M66,"0,0"),"Standaard")</f>
        <v>0</v>
      </c>
      <c r="AN66" t="str">
        <f>TEXT(Totaal!$M$2,"0")</f>
        <v>0</v>
      </c>
      <c r="AO66" t="e">
        <f>TEXT(TEXT(MEDIAN(Totaal!$M$3:$M$102),"0,0"),"Standaard")</f>
        <v>#NUM!</v>
      </c>
      <c r="AP66" t="str">
        <f>Totaal!N$1</f>
        <v>J</v>
      </c>
      <c r="AQ66" t="str">
        <f>TEXT(TEXT(Totaal!$N66,"0,0"),"Standaard")</f>
        <v>0</v>
      </c>
      <c r="AR66" t="str">
        <f>TEXT(Totaal!$N$2,"0")</f>
        <v>0</v>
      </c>
      <c r="AS66" t="e">
        <f>TEXT(TEXT(MEDIAN(Totaal!$N$3:$N$102),"0,0"),"Standaard")</f>
        <v>#NUM!</v>
      </c>
      <c r="AT66" t="str">
        <f>Totaal!O$1</f>
        <v>K</v>
      </c>
      <c r="AU66" t="str">
        <f>TEXT(TEXT(Totaal!$O66,"0,0"),"Standaard")</f>
        <v>0</v>
      </c>
      <c r="AV66" t="str">
        <f>TEXT(Totaal!$O$2,"0")</f>
        <v>0</v>
      </c>
      <c r="AW66" t="e">
        <f>TEXT(TEXT(MEDIAN(Totaal!$O$3:$O$102),"0,0"),"Standaard")</f>
        <v>#NUM!</v>
      </c>
      <c r="AX66" t="str">
        <f>Totaal!P$1</f>
        <v>L</v>
      </c>
      <c r="AY66" t="str">
        <f>TEXT(TEXT(Totaal!$P66,"0,0"),"Standaard")</f>
        <v>0</v>
      </c>
      <c r="AZ66" t="str">
        <f>TEXT(Totaal!$P$2,"0")</f>
        <v>0</v>
      </c>
      <c r="BA66" t="e">
        <f>TEXT(TEXT(MEDIAN(Totaal!$P$3:$P$102),"0,0"),"Standaard")</f>
        <v>#NUM!</v>
      </c>
      <c r="BB66" t="str">
        <f>Totaal!Q$1</f>
        <v>M</v>
      </c>
      <c r="BC66" t="str">
        <f>TEXT(TEXT(Totaal!$Q66,"0,0"),"Standaard")</f>
        <v>0</v>
      </c>
      <c r="BD66" t="str">
        <f>TEXT(Totaal!$Q$2,"0")</f>
        <v>0</v>
      </c>
      <c r="BE66" t="e">
        <f>TEXT(TEXT(MEDIAN(Totaal!$Q$3:$Q$102),"0,0"),"Standaard")</f>
        <v>#NUM!</v>
      </c>
      <c r="BF66" t="str">
        <f>Totaal!R$1</f>
        <v>N</v>
      </c>
      <c r="BG66" t="str">
        <f>TEXT(TEXT(Totaal!$R66,"0,0"),"Standaard")</f>
        <v>0</v>
      </c>
      <c r="BH66" t="str">
        <f>TEXT(Totaal!$R$2,"0")</f>
        <v>0</v>
      </c>
      <c r="BI66" t="e">
        <f>TEXT(TEXT(MEDIAN(Totaal!$R$3:$R$102),"0,0"),"Standaard")</f>
        <v>#NUM!</v>
      </c>
      <c r="BJ66" t="str">
        <f>Totaal!S$1</f>
        <v>O</v>
      </c>
      <c r="BK66" t="str">
        <f>TEXT(TEXT(Totaal!$S66,"0,0"),"Standaard")</f>
        <v>0</v>
      </c>
      <c r="BL66" t="str">
        <f>TEXT(Totaal!$S$2,"0")</f>
        <v>0</v>
      </c>
      <c r="BM66" t="e">
        <f>TEXT(TEXT(MEDIAN(Totaal!$S$3:$S$102),"0,0"),"Standaard")</f>
        <v>#NUM!</v>
      </c>
      <c r="BN66" t="str">
        <f>Totaal!T$1</f>
        <v>P</v>
      </c>
      <c r="BO66" t="str">
        <f>TEXT(TEXT(Totaal!$T66,"0,0"),"Standaard")</f>
        <v>0</v>
      </c>
      <c r="BP66" t="str">
        <f>TEXT(Totaal!$T$2,"0")</f>
        <v>0</v>
      </c>
      <c r="BQ66" t="e">
        <f>TEXT(TEXT(MEDIAN(Totaal!$T$3:$T$102),"0,0"),"Standaard")</f>
        <v>#NUM!</v>
      </c>
      <c r="BR66" t="str">
        <f>IF(Totaal!U66="","",Totaal!U66)</f>
        <v/>
      </c>
    </row>
    <row r="67" spans="1:70">
      <c r="A67">
        <f>Totaal!A67</f>
        <v>65</v>
      </c>
      <c r="B67" s="22" t="str">
        <f>IF(Totaal!B67="","",Totaal!B67)</f>
        <v/>
      </c>
      <c r="C67" s="8" t="e">
        <f>TEXT(TEXT(Totaal!C67,"0,0"),"Standaard")</f>
        <v>#DIV/0!</v>
      </c>
      <c r="D67" s="8" t="str">
        <f>TEXT(Totaal!C$2,"0")</f>
        <v>100</v>
      </c>
      <c r="E67" s="22" t="e">
        <f>TEXT(TEXT(SUM(Totaal!C$3:C$102)/COUNTIF(Totaal!C$3:C$102,"&lt;&gt;0"),"0,0"),"Standaard")</f>
        <v>#DIV/0!</v>
      </c>
      <c r="F67" t="str">
        <f>Totaal!E$1</f>
        <v>A</v>
      </c>
      <c r="G67" t="str">
        <f>TEXT(TEXT(Totaal!E67,"0,0"),"Standaard")</f>
        <v>0</v>
      </c>
      <c r="H67" t="str">
        <f>TEXT(Totaal!E$2,"0")</f>
        <v>0</v>
      </c>
      <c r="I67" t="e">
        <f>TEXT(TEXT(MEDIAN(Totaal!E$3:E$102),"0,0"),"Standaard")</f>
        <v>#NUM!</v>
      </c>
      <c r="J67" t="str">
        <f>Totaal!F$1</f>
        <v>B</v>
      </c>
      <c r="K67" t="str">
        <f>TEXT(TEXT(Totaal!$F67,"0,0"),"Standaard")</f>
        <v>0</v>
      </c>
      <c r="L67" t="str">
        <f>TEXT(Totaal!F$2,"0")</f>
        <v>0</v>
      </c>
      <c r="M67" t="e">
        <f>TEXT(TEXT(MEDIAN(Totaal!$F$3:$F$102),"0,0"),"Standaard")</f>
        <v>#NUM!</v>
      </c>
      <c r="N67" t="str">
        <f>Totaal!G$1</f>
        <v>C</v>
      </c>
      <c r="O67" t="str">
        <f>TEXT(TEXT(Totaal!$G67,"0,0"),"Standaard")</f>
        <v>0</v>
      </c>
      <c r="P67" t="str">
        <f>TEXT(Totaal!$G$2,"0")</f>
        <v>0</v>
      </c>
      <c r="Q67" t="e">
        <f>TEXT(TEXT(MEDIAN(Totaal!$G$3:$G$102),"0,0"),"Standaard")</f>
        <v>#NUM!</v>
      </c>
      <c r="R67" t="str">
        <f>Totaal!H$1</f>
        <v>D</v>
      </c>
      <c r="S67" t="str">
        <f>TEXT(TEXT(Totaal!$H67,"0,0"),"Standaard")</f>
        <v>0</v>
      </c>
      <c r="T67" t="str">
        <f>TEXT(Totaal!$H$2,"0")</f>
        <v>0</v>
      </c>
      <c r="U67" t="e">
        <f>TEXT(TEXT(MEDIAN(Totaal!$H$3:$H$102),"0,0"),"Standaard")</f>
        <v>#NUM!</v>
      </c>
      <c r="V67" t="str">
        <f>Totaal!I$1</f>
        <v>E</v>
      </c>
      <c r="W67" t="str">
        <f>TEXT(TEXT(Totaal!$I67,"0,0"),"Standaard")</f>
        <v>0</v>
      </c>
      <c r="X67" t="str">
        <f>TEXT(Totaal!$I$2,"0")</f>
        <v>0</v>
      </c>
      <c r="Y67" t="e">
        <f>TEXT(TEXT(MEDIAN(Totaal!$I$3:$I$102),"0,0"),"Standaard")</f>
        <v>#NUM!</v>
      </c>
      <c r="Z67" t="str">
        <f>Totaal!J$1</f>
        <v>F</v>
      </c>
      <c r="AA67" t="str">
        <f>TEXT(TEXT(Totaal!$J67,"0,0"),"Standaard")</f>
        <v>0</v>
      </c>
      <c r="AB67" t="str">
        <f>TEXT(Totaal!$J$2,"0")</f>
        <v>0</v>
      </c>
      <c r="AC67" t="e">
        <f>TEXT(TEXT(MEDIAN(Totaal!$J$3:$J$102),"0,0"),"Standaard")</f>
        <v>#NUM!</v>
      </c>
      <c r="AD67" t="str">
        <f>Totaal!K$1</f>
        <v>G</v>
      </c>
      <c r="AE67" t="str">
        <f>TEXT(TEXT(Totaal!$K67,"0,0"),"Standaard")</f>
        <v>0</v>
      </c>
      <c r="AF67" t="str">
        <f>TEXT(Totaal!$K$2,"0")</f>
        <v>0</v>
      </c>
      <c r="AG67" t="e">
        <f>TEXT(TEXT(MEDIAN(Totaal!$K$3:$K$102),"0,0"),"Standaard")</f>
        <v>#NUM!</v>
      </c>
      <c r="AH67" t="str">
        <f>Totaal!L$1</f>
        <v>H</v>
      </c>
      <c r="AI67" t="str">
        <f>TEXT(TEXT(Totaal!$L67,"0,0"),"Standaard")</f>
        <v>0</v>
      </c>
      <c r="AJ67" t="str">
        <f>TEXT(Totaal!$L$2,"0")</f>
        <v>0</v>
      </c>
      <c r="AK67" t="e">
        <f>TEXT(TEXT(MEDIAN(Totaal!$L$3:$L$102),"0,0"),"Standaard")</f>
        <v>#NUM!</v>
      </c>
      <c r="AL67" t="str">
        <f>Totaal!M$1</f>
        <v>I</v>
      </c>
      <c r="AM67" t="str">
        <f>TEXT(TEXT(Totaal!$M67,"0,0"),"Standaard")</f>
        <v>0</v>
      </c>
      <c r="AN67" t="str">
        <f>TEXT(Totaal!$M$2,"0")</f>
        <v>0</v>
      </c>
      <c r="AO67" t="e">
        <f>TEXT(TEXT(MEDIAN(Totaal!$M$3:$M$102),"0,0"),"Standaard")</f>
        <v>#NUM!</v>
      </c>
      <c r="AP67" t="str">
        <f>Totaal!N$1</f>
        <v>J</v>
      </c>
      <c r="AQ67" t="str">
        <f>TEXT(TEXT(Totaal!$N67,"0,0"),"Standaard")</f>
        <v>0</v>
      </c>
      <c r="AR67" t="str">
        <f>TEXT(Totaal!$N$2,"0")</f>
        <v>0</v>
      </c>
      <c r="AS67" t="e">
        <f>TEXT(TEXT(MEDIAN(Totaal!$N$3:$N$102),"0,0"),"Standaard")</f>
        <v>#NUM!</v>
      </c>
      <c r="AT67" t="str">
        <f>Totaal!O$1</f>
        <v>K</v>
      </c>
      <c r="AU67" t="str">
        <f>TEXT(TEXT(Totaal!$O67,"0,0"),"Standaard")</f>
        <v>0</v>
      </c>
      <c r="AV67" t="str">
        <f>TEXT(Totaal!$O$2,"0")</f>
        <v>0</v>
      </c>
      <c r="AW67" t="e">
        <f>TEXT(TEXT(MEDIAN(Totaal!$O$3:$O$102),"0,0"),"Standaard")</f>
        <v>#NUM!</v>
      </c>
      <c r="AX67" t="str">
        <f>Totaal!P$1</f>
        <v>L</v>
      </c>
      <c r="AY67" t="str">
        <f>TEXT(TEXT(Totaal!$P67,"0,0"),"Standaard")</f>
        <v>0</v>
      </c>
      <c r="AZ67" t="str">
        <f>TEXT(Totaal!$P$2,"0")</f>
        <v>0</v>
      </c>
      <c r="BA67" t="e">
        <f>TEXT(TEXT(MEDIAN(Totaal!$P$3:$P$102),"0,0"),"Standaard")</f>
        <v>#NUM!</v>
      </c>
      <c r="BB67" t="str">
        <f>Totaal!Q$1</f>
        <v>M</v>
      </c>
      <c r="BC67" t="str">
        <f>TEXT(TEXT(Totaal!$Q67,"0,0"),"Standaard")</f>
        <v>0</v>
      </c>
      <c r="BD67" t="str">
        <f>TEXT(Totaal!$Q$2,"0")</f>
        <v>0</v>
      </c>
      <c r="BE67" t="e">
        <f>TEXT(TEXT(MEDIAN(Totaal!$Q$3:$Q$102),"0,0"),"Standaard")</f>
        <v>#NUM!</v>
      </c>
      <c r="BF67" t="str">
        <f>Totaal!R$1</f>
        <v>N</v>
      </c>
      <c r="BG67" t="str">
        <f>TEXT(TEXT(Totaal!$R67,"0,0"),"Standaard")</f>
        <v>0</v>
      </c>
      <c r="BH67" t="str">
        <f>TEXT(Totaal!$R$2,"0")</f>
        <v>0</v>
      </c>
      <c r="BI67" t="e">
        <f>TEXT(TEXT(MEDIAN(Totaal!$R$3:$R$102),"0,0"),"Standaard")</f>
        <v>#NUM!</v>
      </c>
      <c r="BJ67" t="str">
        <f>Totaal!S$1</f>
        <v>O</v>
      </c>
      <c r="BK67" t="str">
        <f>TEXT(TEXT(Totaal!$S67,"0,0"),"Standaard")</f>
        <v>0</v>
      </c>
      <c r="BL67" t="str">
        <f>TEXT(Totaal!$S$2,"0")</f>
        <v>0</v>
      </c>
      <c r="BM67" t="e">
        <f>TEXT(TEXT(MEDIAN(Totaal!$S$3:$S$102),"0,0"),"Standaard")</f>
        <v>#NUM!</v>
      </c>
      <c r="BN67" t="str">
        <f>Totaal!T$1</f>
        <v>P</v>
      </c>
      <c r="BO67" t="str">
        <f>TEXT(TEXT(Totaal!$T67,"0,0"),"Standaard")</f>
        <v>0</v>
      </c>
      <c r="BP67" t="str">
        <f>TEXT(Totaal!$T$2,"0")</f>
        <v>0</v>
      </c>
      <c r="BQ67" t="e">
        <f>TEXT(TEXT(MEDIAN(Totaal!$T$3:$T$102),"0,0"),"Standaard")</f>
        <v>#NUM!</v>
      </c>
      <c r="BR67" t="str">
        <f>IF(Totaal!U67="","",Totaal!U67)</f>
        <v/>
      </c>
    </row>
    <row r="68" spans="1:70">
      <c r="A68">
        <f>Totaal!A68</f>
        <v>66</v>
      </c>
      <c r="B68" s="22" t="str">
        <f>IF(Totaal!B68="","",Totaal!B68)</f>
        <v/>
      </c>
      <c r="C68" s="8" t="e">
        <f>TEXT(TEXT(Totaal!C68,"0,0"),"Standaard")</f>
        <v>#DIV/0!</v>
      </c>
      <c r="D68" s="8" t="str">
        <f>TEXT(Totaal!C$2,"0")</f>
        <v>100</v>
      </c>
      <c r="E68" s="22" t="e">
        <f>TEXT(TEXT(SUM(Totaal!C$3:C$102)/COUNTIF(Totaal!C$3:C$102,"&lt;&gt;0"),"0,0"),"Standaard")</f>
        <v>#DIV/0!</v>
      </c>
      <c r="F68" t="str">
        <f>Totaal!E$1</f>
        <v>A</v>
      </c>
      <c r="G68" t="str">
        <f>TEXT(TEXT(Totaal!E68,"0,0"),"Standaard")</f>
        <v>0</v>
      </c>
      <c r="H68" t="str">
        <f>TEXT(Totaal!E$2,"0")</f>
        <v>0</v>
      </c>
      <c r="I68" t="e">
        <f>TEXT(TEXT(MEDIAN(Totaal!E$3:E$102),"0,0"),"Standaard")</f>
        <v>#NUM!</v>
      </c>
      <c r="J68" t="str">
        <f>Totaal!F$1</f>
        <v>B</v>
      </c>
      <c r="K68" t="str">
        <f>TEXT(TEXT(Totaal!$F68,"0,0"),"Standaard")</f>
        <v>0</v>
      </c>
      <c r="L68" t="str">
        <f>TEXT(Totaal!F$2,"0")</f>
        <v>0</v>
      </c>
      <c r="M68" t="e">
        <f>TEXT(TEXT(MEDIAN(Totaal!$F$3:$F$102),"0,0"),"Standaard")</f>
        <v>#NUM!</v>
      </c>
      <c r="N68" t="str">
        <f>Totaal!G$1</f>
        <v>C</v>
      </c>
      <c r="O68" t="str">
        <f>TEXT(TEXT(Totaal!$G68,"0,0"),"Standaard")</f>
        <v>0</v>
      </c>
      <c r="P68" t="str">
        <f>TEXT(Totaal!$G$2,"0")</f>
        <v>0</v>
      </c>
      <c r="Q68" t="e">
        <f>TEXT(TEXT(MEDIAN(Totaal!$G$3:$G$102),"0,0"),"Standaard")</f>
        <v>#NUM!</v>
      </c>
      <c r="R68" t="str">
        <f>Totaal!H$1</f>
        <v>D</v>
      </c>
      <c r="S68" t="str">
        <f>TEXT(TEXT(Totaal!$H68,"0,0"),"Standaard")</f>
        <v>0</v>
      </c>
      <c r="T68" t="str">
        <f>TEXT(Totaal!$H$2,"0")</f>
        <v>0</v>
      </c>
      <c r="U68" t="e">
        <f>TEXT(TEXT(MEDIAN(Totaal!$H$3:$H$102),"0,0"),"Standaard")</f>
        <v>#NUM!</v>
      </c>
      <c r="V68" t="str">
        <f>Totaal!I$1</f>
        <v>E</v>
      </c>
      <c r="W68" t="str">
        <f>TEXT(TEXT(Totaal!$I68,"0,0"),"Standaard")</f>
        <v>0</v>
      </c>
      <c r="X68" t="str">
        <f>TEXT(Totaal!$I$2,"0")</f>
        <v>0</v>
      </c>
      <c r="Y68" t="e">
        <f>TEXT(TEXT(MEDIAN(Totaal!$I$3:$I$102),"0,0"),"Standaard")</f>
        <v>#NUM!</v>
      </c>
      <c r="Z68" t="str">
        <f>Totaal!J$1</f>
        <v>F</v>
      </c>
      <c r="AA68" t="str">
        <f>TEXT(TEXT(Totaal!$J68,"0,0"),"Standaard")</f>
        <v>0</v>
      </c>
      <c r="AB68" t="str">
        <f>TEXT(Totaal!$J$2,"0")</f>
        <v>0</v>
      </c>
      <c r="AC68" t="e">
        <f>TEXT(TEXT(MEDIAN(Totaal!$J$3:$J$102),"0,0"),"Standaard")</f>
        <v>#NUM!</v>
      </c>
      <c r="AD68" t="str">
        <f>Totaal!K$1</f>
        <v>G</v>
      </c>
      <c r="AE68" t="str">
        <f>TEXT(TEXT(Totaal!$K68,"0,0"),"Standaard")</f>
        <v>0</v>
      </c>
      <c r="AF68" t="str">
        <f>TEXT(Totaal!$K$2,"0")</f>
        <v>0</v>
      </c>
      <c r="AG68" t="e">
        <f>TEXT(TEXT(MEDIAN(Totaal!$K$3:$K$102),"0,0"),"Standaard")</f>
        <v>#NUM!</v>
      </c>
      <c r="AH68" t="str">
        <f>Totaal!L$1</f>
        <v>H</v>
      </c>
      <c r="AI68" t="str">
        <f>TEXT(TEXT(Totaal!$L68,"0,0"),"Standaard")</f>
        <v>0</v>
      </c>
      <c r="AJ68" t="str">
        <f>TEXT(Totaal!$L$2,"0")</f>
        <v>0</v>
      </c>
      <c r="AK68" t="e">
        <f>TEXT(TEXT(MEDIAN(Totaal!$L$3:$L$102),"0,0"),"Standaard")</f>
        <v>#NUM!</v>
      </c>
      <c r="AL68" t="str">
        <f>Totaal!M$1</f>
        <v>I</v>
      </c>
      <c r="AM68" t="str">
        <f>TEXT(TEXT(Totaal!$M68,"0,0"),"Standaard")</f>
        <v>0</v>
      </c>
      <c r="AN68" t="str">
        <f>TEXT(Totaal!$M$2,"0")</f>
        <v>0</v>
      </c>
      <c r="AO68" t="e">
        <f>TEXT(TEXT(MEDIAN(Totaal!$M$3:$M$102),"0,0"),"Standaard")</f>
        <v>#NUM!</v>
      </c>
      <c r="AP68" t="str">
        <f>Totaal!N$1</f>
        <v>J</v>
      </c>
      <c r="AQ68" t="str">
        <f>TEXT(TEXT(Totaal!$N68,"0,0"),"Standaard")</f>
        <v>0</v>
      </c>
      <c r="AR68" t="str">
        <f>TEXT(Totaal!$N$2,"0")</f>
        <v>0</v>
      </c>
      <c r="AS68" t="e">
        <f>TEXT(TEXT(MEDIAN(Totaal!$N$3:$N$102),"0,0"),"Standaard")</f>
        <v>#NUM!</v>
      </c>
      <c r="AT68" t="str">
        <f>Totaal!O$1</f>
        <v>K</v>
      </c>
      <c r="AU68" t="str">
        <f>TEXT(TEXT(Totaal!$O68,"0,0"),"Standaard")</f>
        <v>0</v>
      </c>
      <c r="AV68" t="str">
        <f>TEXT(Totaal!$O$2,"0")</f>
        <v>0</v>
      </c>
      <c r="AW68" t="e">
        <f>TEXT(TEXT(MEDIAN(Totaal!$O$3:$O$102),"0,0"),"Standaard")</f>
        <v>#NUM!</v>
      </c>
      <c r="AX68" t="str">
        <f>Totaal!P$1</f>
        <v>L</v>
      </c>
      <c r="AY68" t="str">
        <f>TEXT(TEXT(Totaal!$P68,"0,0"),"Standaard")</f>
        <v>0</v>
      </c>
      <c r="AZ68" t="str">
        <f>TEXT(Totaal!$P$2,"0")</f>
        <v>0</v>
      </c>
      <c r="BA68" t="e">
        <f>TEXT(TEXT(MEDIAN(Totaal!$P$3:$P$102),"0,0"),"Standaard")</f>
        <v>#NUM!</v>
      </c>
      <c r="BB68" t="str">
        <f>Totaal!Q$1</f>
        <v>M</v>
      </c>
      <c r="BC68" t="str">
        <f>TEXT(TEXT(Totaal!$Q68,"0,0"),"Standaard")</f>
        <v>0</v>
      </c>
      <c r="BD68" t="str">
        <f>TEXT(Totaal!$Q$2,"0")</f>
        <v>0</v>
      </c>
      <c r="BE68" t="e">
        <f>TEXT(TEXT(MEDIAN(Totaal!$Q$3:$Q$102),"0,0"),"Standaard")</f>
        <v>#NUM!</v>
      </c>
      <c r="BF68" t="str">
        <f>Totaal!R$1</f>
        <v>N</v>
      </c>
      <c r="BG68" t="str">
        <f>TEXT(TEXT(Totaal!$R68,"0,0"),"Standaard")</f>
        <v>0</v>
      </c>
      <c r="BH68" t="str">
        <f>TEXT(Totaal!$R$2,"0")</f>
        <v>0</v>
      </c>
      <c r="BI68" t="e">
        <f>TEXT(TEXT(MEDIAN(Totaal!$R$3:$R$102),"0,0"),"Standaard")</f>
        <v>#NUM!</v>
      </c>
      <c r="BJ68" t="str">
        <f>Totaal!S$1</f>
        <v>O</v>
      </c>
      <c r="BK68" t="str">
        <f>TEXT(TEXT(Totaal!$S68,"0,0"),"Standaard")</f>
        <v>0</v>
      </c>
      <c r="BL68" t="str">
        <f>TEXT(Totaal!$S$2,"0")</f>
        <v>0</v>
      </c>
      <c r="BM68" t="e">
        <f>TEXT(TEXT(MEDIAN(Totaal!$S$3:$S$102),"0,0"),"Standaard")</f>
        <v>#NUM!</v>
      </c>
      <c r="BN68" t="str">
        <f>Totaal!T$1</f>
        <v>P</v>
      </c>
      <c r="BO68" t="str">
        <f>TEXT(TEXT(Totaal!$T68,"0,0"),"Standaard")</f>
        <v>0</v>
      </c>
      <c r="BP68" t="str">
        <f>TEXT(Totaal!$T$2,"0")</f>
        <v>0</v>
      </c>
      <c r="BQ68" t="e">
        <f>TEXT(TEXT(MEDIAN(Totaal!$T$3:$T$102),"0,0"),"Standaard")</f>
        <v>#NUM!</v>
      </c>
      <c r="BR68" t="str">
        <f>IF(Totaal!U68="","",Totaal!U68)</f>
        <v/>
      </c>
    </row>
    <row r="69" spans="1:70">
      <c r="A69">
        <f>Totaal!A69</f>
        <v>67</v>
      </c>
      <c r="B69" s="22" t="str">
        <f>IF(Totaal!B69="","",Totaal!B69)</f>
        <v/>
      </c>
      <c r="C69" s="8" t="e">
        <f>TEXT(TEXT(Totaal!C69,"0,0"),"Standaard")</f>
        <v>#DIV/0!</v>
      </c>
      <c r="D69" s="8" t="str">
        <f>TEXT(Totaal!C$2,"0")</f>
        <v>100</v>
      </c>
      <c r="E69" s="22" t="e">
        <f>TEXT(TEXT(SUM(Totaal!C$3:C$102)/COUNTIF(Totaal!C$3:C$102,"&lt;&gt;0"),"0,0"),"Standaard")</f>
        <v>#DIV/0!</v>
      </c>
      <c r="F69" t="str">
        <f>Totaal!E$1</f>
        <v>A</v>
      </c>
      <c r="G69" t="str">
        <f>TEXT(TEXT(Totaal!E69,"0,0"),"Standaard")</f>
        <v>0</v>
      </c>
      <c r="H69" t="str">
        <f>TEXT(Totaal!E$2,"0")</f>
        <v>0</v>
      </c>
      <c r="I69" t="e">
        <f>TEXT(TEXT(MEDIAN(Totaal!E$3:E$102),"0,0"),"Standaard")</f>
        <v>#NUM!</v>
      </c>
      <c r="J69" t="str">
        <f>Totaal!F$1</f>
        <v>B</v>
      </c>
      <c r="K69" t="str">
        <f>TEXT(TEXT(Totaal!$F69,"0,0"),"Standaard")</f>
        <v>0</v>
      </c>
      <c r="L69" t="str">
        <f>TEXT(Totaal!F$2,"0")</f>
        <v>0</v>
      </c>
      <c r="M69" t="e">
        <f>TEXT(TEXT(MEDIAN(Totaal!$F$3:$F$102),"0,0"),"Standaard")</f>
        <v>#NUM!</v>
      </c>
      <c r="N69" t="str">
        <f>Totaal!G$1</f>
        <v>C</v>
      </c>
      <c r="O69" t="str">
        <f>TEXT(TEXT(Totaal!$G69,"0,0"),"Standaard")</f>
        <v>0</v>
      </c>
      <c r="P69" t="str">
        <f>TEXT(Totaal!$G$2,"0")</f>
        <v>0</v>
      </c>
      <c r="Q69" t="e">
        <f>TEXT(TEXT(MEDIAN(Totaal!$G$3:$G$102),"0,0"),"Standaard")</f>
        <v>#NUM!</v>
      </c>
      <c r="R69" t="str">
        <f>Totaal!H$1</f>
        <v>D</v>
      </c>
      <c r="S69" t="str">
        <f>TEXT(TEXT(Totaal!$H69,"0,0"),"Standaard")</f>
        <v>0</v>
      </c>
      <c r="T69" t="str">
        <f>TEXT(Totaal!$H$2,"0")</f>
        <v>0</v>
      </c>
      <c r="U69" t="e">
        <f>TEXT(TEXT(MEDIAN(Totaal!$H$3:$H$102),"0,0"),"Standaard")</f>
        <v>#NUM!</v>
      </c>
      <c r="V69" t="str">
        <f>Totaal!I$1</f>
        <v>E</v>
      </c>
      <c r="W69" t="str">
        <f>TEXT(TEXT(Totaal!$I69,"0,0"),"Standaard")</f>
        <v>0</v>
      </c>
      <c r="X69" t="str">
        <f>TEXT(Totaal!$I$2,"0")</f>
        <v>0</v>
      </c>
      <c r="Y69" t="e">
        <f>TEXT(TEXT(MEDIAN(Totaal!$I$3:$I$102),"0,0"),"Standaard")</f>
        <v>#NUM!</v>
      </c>
      <c r="Z69" t="str">
        <f>Totaal!J$1</f>
        <v>F</v>
      </c>
      <c r="AA69" t="str">
        <f>TEXT(TEXT(Totaal!$J69,"0,0"),"Standaard")</f>
        <v>0</v>
      </c>
      <c r="AB69" t="str">
        <f>TEXT(Totaal!$J$2,"0")</f>
        <v>0</v>
      </c>
      <c r="AC69" t="e">
        <f>TEXT(TEXT(MEDIAN(Totaal!$J$3:$J$102),"0,0"),"Standaard")</f>
        <v>#NUM!</v>
      </c>
      <c r="AD69" t="str">
        <f>Totaal!K$1</f>
        <v>G</v>
      </c>
      <c r="AE69" t="str">
        <f>TEXT(TEXT(Totaal!$K69,"0,0"),"Standaard")</f>
        <v>0</v>
      </c>
      <c r="AF69" t="str">
        <f>TEXT(Totaal!$K$2,"0")</f>
        <v>0</v>
      </c>
      <c r="AG69" t="e">
        <f>TEXT(TEXT(MEDIAN(Totaal!$K$3:$K$102),"0,0"),"Standaard")</f>
        <v>#NUM!</v>
      </c>
      <c r="AH69" t="str">
        <f>Totaal!L$1</f>
        <v>H</v>
      </c>
      <c r="AI69" t="str">
        <f>TEXT(TEXT(Totaal!$L69,"0,0"),"Standaard")</f>
        <v>0</v>
      </c>
      <c r="AJ69" t="str">
        <f>TEXT(Totaal!$L$2,"0")</f>
        <v>0</v>
      </c>
      <c r="AK69" t="e">
        <f>TEXT(TEXT(MEDIAN(Totaal!$L$3:$L$102),"0,0"),"Standaard")</f>
        <v>#NUM!</v>
      </c>
      <c r="AL69" t="str">
        <f>Totaal!M$1</f>
        <v>I</v>
      </c>
      <c r="AM69" t="str">
        <f>TEXT(TEXT(Totaal!$M69,"0,0"),"Standaard")</f>
        <v>0</v>
      </c>
      <c r="AN69" t="str">
        <f>TEXT(Totaal!$M$2,"0")</f>
        <v>0</v>
      </c>
      <c r="AO69" t="e">
        <f>TEXT(TEXT(MEDIAN(Totaal!$M$3:$M$102),"0,0"),"Standaard")</f>
        <v>#NUM!</v>
      </c>
      <c r="AP69" t="str">
        <f>Totaal!N$1</f>
        <v>J</v>
      </c>
      <c r="AQ69" t="str">
        <f>TEXT(TEXT(Totaal!$N69,"0,0"),"Standaard")</f>
        <v>0</v>
      </c>
      <c r="AR69" t="str">
        <f>TEXT(Totaal!$N$2,"0")</f>
        <v>0</v>
      </c>
      <c r="AS69" t="e">
        <f>TEXT(TEXT(MEDIAN(Totaal!$N$3:$N$102),"0,0"),"Standaard")</f>
        <v>#NUM!</v>
      </c>
      <c r="AT69" t="str">
        <f>Totaal!O$1</f>
        <v>K</v>
      </c>
      <c r="AU69" t="str">
        <f>TEXT(TEXT(Totaal!$O69,"0,0"),"Standaard")</f>
        <v>0</v>
      </c>
      <c r="AV69" t="str">
        <f>TEXT(Totaal!$O$2,"0")</f>
        <v>0</v>
      </c>
      <c r="AW69" t="e">
        <f>TEXT(TEXT(MEDIAN(Totaal!$O$3:$O$102),"0,0"),"Standaard")</f>
        <v>#NUM!</v>
      </c>
      <c r="AX69" t="str">
        <f>Totaal!P$1</f>
        <v>L</v>
      </c>
      <c r="AY69" t="str">
        <f>TEXT(TEXT(Totaal!$P69,"0,0"),"Standaard")</f>
        <v>0</v>
      </c>
      <c r="AZ69" t="str">
        <f>TEXT(Totaal!$P$2,"0")</f>
        <v>0</v>
      </c>
      <c r="BA69" t="e">
        <f>TEXT(TEXT(MEDIAN(Totaal!$P$3:$P$102),"0,0"),"Standaard")</f>
        <v>#NUM!</v>
      </c>
      <c r="BB69" t="str">
        <f>Totaal!Q$1</f>
        <v>M</v>
      </c>
      <c r="BC69" t="str">
        <f>TEXT(TEXT(Totaal!$Q69,"0,0"),"Standaard")</f>
        <v>0</v>
      </c>
      <c r="BD69" t="str">
        <f>TEXT(Totaal!$Q$2,"0")</f>
        <v>0</v>
      </c>
      <c r="BE69" t="e">
        <f>TEXT(TEXT(MEDIAN(Totaal!$Q$3:$Q$102),"0,0"),"Standaard")</f>
        <v>#NUM!</v>
      </c>
      <c r="BF69" t="str">
        <f>Totaal!R$1</f>
        <v>N</v>
      </c>
      <c r="BG69" t="str">
        <f>TEXT(TEXT(Totaal!$R69,"0,0"),"Standaard")</f>
        <v>0</v>
      </c>
      <c r="BH69" t="str">
        <f>TEXT(Totaal!$R$2,"0")</f>
        <v>0</v>
      </c>
      <c r="BI69" t="e">
        <f>TEXT(TEXT(MEDIAN(Totaal!$R$3:$R$102),"0,0"),"Standaard")</f>
        <v>#NUM!</v>
      </c>
      <c r="BJ69" t="str">
        <f>Totaal!S$1</f>
        <v>O</v>
      </c>
      <c r="BK69" t="str">
        <f>TEXT(TEXT(Totaal!$S69,"0,0"),"Standaard")</f>
        <v>0</v>
      </c>
      <c r="BL69" t="str">
        <f>TEXT(Totaal!$S$2,"0")</f>
        <v>0</v>
      </c>
      <c r="BM69" t="e">
        <f>TEXT(TEXT(MEDIAN(Totaal!$S$3:$S$102),"0,0"),"Standaard")</f>
        <v>#NUM!</v>
      </c>
      <c r="BN69" t="str">
        <f>Totaal!T$1</f>
        <v>P</v>
      </c>
      <c r="BO69" t="str">
        <f>TEXT(TEXT(Totaal!$T69,"0,0"),"Standaard")</f>
        <v>0</v>
      </c>
      <c r="BP69" t="str">
        <f>TEXT(Totaal!$T$2,"0")</f>
        <v>0</v>
      </c>
      <c r="BQ69" t="e">
        <f>TEXT(TEXT(MEDIAN(Totaal!$T$3:$T$102),"0,0"),"Standaard")</f>
        <v>#NUM!</v>
      </c>
      <c r="BR69" t="str">
        <f>IF(Totaal!U69="","",Totaal!U69)</f>
        <v/>
      </c>
    </row>
    <row r="70" spans="1:70">
      <c r="A70">
        <f>Totaal!A70</f>
        <v>68</v>
      </c>
      <c r="B70" s="22" t="str">
        <f>IF(Totaal!B70="","",Totaal!B70)</f>
        <v/>
      </c>
      <c r="C70" s="8" t="e">
        <f>TEXT(TEXT(Totaal!C70,"0,0"),"Standaard")</f>
        <v>#DIV/0!</v>
      </c>
      <c r="D70" s="8" t="str">
        <f>TEXT(Totaal!C$2,"0")</f>
        <v>100</v>
      </c>
      <c r="E70" s="22" t="e">
        <f>TEXT(TEXT(SUM(Totaal!C$3:C$102)/COUNTIF(Totaal!C$3:C$102,"&lt;&gt;0"),"0,0"),"Standaard")</f>
        <v>#DIV/0!</v>
      </c>
      <c r="F70" t="str">
        <f>Totaal!E$1</f>
        <v>A</v>
      </c>
      <c r="G70" t="str">
        <f>TEXT(TEXT(Totaal!E70,"0,0"),"Standaard")</f>
        <v>0</v>
      </c>
      <c r="H70" t="str">
        <f>TEXT(Totaal!E$2,"0")</f>
        <v>0</v>
      </c>
      <c r="I70" t="e">
        <f>TEXT(TEXT(MEDIAN(Totaal!E$3:E$102),"0,0"),"Standaard")</f>
        <v>#NUM!</v>
      </c>
      <c r="J70" t="str">
        <f>Totaal!F$1</f>
        <v>B</v>
      </c>
      <c r="K70" t="str">
        <f>TEXT(TEXT(Totaal!$F70,"0,0"),"Standaard")</f>
        <v>0</v>
      </c>
      <c r="L70" t="str">
        <f>TEXT(Totaal!F$2,"0")</f>
        <v>0</v>
      </c>
      <c r="M70" t="e">
        <f>TEXT(TEXT(MEDIAN(Totaal!$F$3:$F$102),"0,0"),"Standaard")</f>
        <v>#NUM!</v>
      </c>
      <c r="N70" t="str">
        <f>Totaal!G$1</f>
        <v>C</v>
      </c>
      <c r="O70" t="str">
        <f>TEXT(TEXT(Totaal!$G70,"0,0"),"Standaard")</f>
        <v>0</v>
      </c>
      <c r="P70" t="str">
        <f>TEXT(Totaal!$G$2,"0")</f>
        <v>0</v>
      </c>
      <c r="Q70" t="e">
        <f>TEXT(TEXT(MEDIAN(Totaal!$G$3:$G$102),"0,0"),"Standaard")</f>
        <v>#NUM!</v>
      </c>
      <c r="R70" t="str">
        <f>Totaal!H$1</f>
        <v>D</v>
      </c>
      <c r="S70" t="str">
        <f>TEXT(TEXT(Totaal!$H70,"0,0"),"Standaard")</f>
        <v>0</v>
      </c>
      <c r="T70" t="str">
        <f>TEXT(Totaal!$H$2,"0")</f>
        <v>0</v>
      </c>
      <c r="U70" t="e">
        <f>TEXT(TEXT(MEDIAN(Totaal!$H$3:$H$102),"0,0"),"Standaard")</f>
        <v>#NUM!</v>
      </c>
      <c r="V70" t="str">
        <f>Totaal!I$1</f>
        <v>E</v>
      </c>
      <c r="W70" t="str">
        <f>TEXT(TEXT(Totaal!$I70,"0,0"),"Standaard")</f>
        <v>0</v>
      </c>
      <c r="X70" t="str">
        <f>TEXT(Totaal!$I$2,"0")</f>
        <v>0</v>
      </c>
      <c r="Y70" t="e">
        <f>TEXT(TEXT(MEDIAN(Totaal!$I$3:$I$102),"0,0"),"Standaard")</f>
        <v>#NUM!</v>
      </c>
      <c r="Z70" t="str">
        <f>Totaal!J$1</f>
        <v>F</v>
      </c>
      <c r="AA70" t="str">
        <f>TEXT(TEXT(Totaal!$J70,"0,0"),"Standaard")</f>
        <v>0</v>
      </c>
      <c r="AB70" t="str">
        <f>TEXT(Totaal!$J$2,"0")</f>
        <v>0</v>
      </c>
      <c r="AC70" t="e">
        <f>TEXT(TEXT(MEDIAN(Totaal!$J$3:$J$102),"0,0"),"Standaard")</f>
        <v>#NUM!</v>
      </c>
      <c r="AD70" t="str">
        <f>Totaal!K$1</f>
        <v>G</v>
      </c>
      <c r="AE70" t="str">
        <f>TEXT(TEXT(Totaal!$K70,"0,0"),"Standaard")</f>
        <v>0</v>
      </c>
      <c r="AF70" t="str">
        <f>TEXT(Totaal!$K$2,"0")</f>
        <v>0</v>
      </c>
      <c r="AG70" t="e">
        <f>TEXT(TEXT(MEDIAN(Totaal!$K$3:$K$102),"0,0"),"Standaard")</f>
        <v>#NUM!</v>
      </c>
      <c r="AH70" t="str">
        <f>Totaal!L$1</f>
        <v>H</v>
      </c>
      <c r="AI70" t="str">
        <f>TEXT(TEXT(Totaal!$L70,"0,0"),"Standaard")</f>
        <v>0</v>
      </c>
      <c r="AJ70" t="str">
        <f>TEXT(Totaal!$L$2,"0")</f>
        <v>0</v>
      </c>
      <c r="AK70" t="e">
        <f>TEXT(TEXT(MEDIAN(Totaal!$L$3:$L$102),"0,0"),"Standaard")</f>
        <v>#NUM!</v>
      </c>
      <c r="AL70" t="str">
        <f>Totaal!M$1</f>
        <v>I</v>
      </c>
      <c r="AM70" t="str">
        <f>TEXT(TEXT(Totaal!$M70,"0,0"),"Standaard")</f>
        <v>0</v>
      </c>
      <c r="AN70" t="str">
        <f>TEXT(Totaal!$M$2,"0")</f>
        <v>0</v>
      </c>
      <c r="AO70" t="e">
        <f>TEXT(TEXT(MEDIAN(Totaal!$M$3:$M$102),"0,0"),"Standaard")</f>
        <v>#NUM!</v>
      </c>
      <c r="AP70" t="str">
        <f>Totaal!N$1</f>
        <v>J</v>
      </c>
      <c r="AQ70" t="str">
        <f>TEXT(TEXT(Totaal!$N70,"0,0"),"Standaard")</f>
        <v>0</v>
      </c>
      <c r="AR70" t="str">
        <f>TEXT(Totaal!$N$2,"0")</f>
        <v>0</v>
      </c>
      <c r="AS70" t="e">
        <f>TEXT(TEXT(MEDIAN(Totaal!$N$3:$N$102),"0,0"),"Standaard")</f>
        <v>#NUM!</v>
      </c>
      <c r="AT70" t="str">
        <f>Totaal!O$1</f>
        <v>K</v>
      </c>
      <c r="AU70" t="str">
        <f>TEXT(TEXT(Totaal!$O70,"0,0"),"Standaard")</f>
        <v>0</v>
      </c>
      <c r="AV70" t="str">
        <f>TEXT(Totaal!$O$2,"0")</f>
        <v>0</v>
      </c>
      <c r="AW70" t="e">
        <f>TEXT(TEXT(MEDIAN(Totaal!$O$3:$O$102),"0,0"),"Standaard")</f>
        <v>#NUM!</v>
      </c>
      <c r="AX70" t="str">
        <f>Totaal!P$1</f>
        <v>L</v>
      </c>
      <c r="AY70" t="str">
        <f>TEXT(TEXT(Totaal!$P70,"0,0"),"Standaard")</f>
        <v>0</v>
      </c>
      <c r="AZ70" t="str">
        <f>TEXT(Totaal!$P$2,"0")</f>
        <v>0</v>
      </c>
      <c r="BA70" t="e">
        <f>TEXT(TEXT(MEDIAN(Totaal!$P$3:$P$102),"0,0"),"Standaard")</f>
        <v>#NUM!</v>
      </c>
      <c r="BB70" t="str">
        <f>Totaal!Q$1</f>
        <v>M</v>
      </c>
      <c r="BC70" t="str">
        <f>TEXT(TEXT(Totaal!$Q70,"0,0"),"Standaard")</f>
        <v>0</v>
      </c>
      <c r="BD70" t="str">
        <f>TEXT(Totaal!$Q$2,"0")</f>
        <v>0</v>
      </c>
      <c r="BE70" t="e">
        <f>TEXT(TEXT(MEDIAN(Totaal!$Q$3:$Q$102),"0,0"),"Standaard")</f>
        <v>#NUM!</v>
      </c>
      <c r="BF70" t="str">
        <f>Totaal!R$1</f>
        <v>N</v>
      </c>
      <c r="BG70" t="str">
        <f>TEXT(TEXT(Totaal!$R70,"0,0"),"Standaard")</f>
        <v>0</v>
      </c>
      <c r="BH70" t="str">
        <f>TEXT(Totaal!$R$2,"0")</f>
        <v>0</v>
      </c>
      <c r="BI70" t="e">
        <f>TEXT(TEXT(MEDIAN(Totaal!$R$3:$R$102),"0,0"),"Standaard")</f>
        <v>#NUM!</v>
      </c>
      <c r="BJ70" t="str">
        <f>Totaal!S$1</f>
        <v>O</v>
      </c>
      <c r="BK70" t="str">
        <f>TEXT(TEXT(Totaal!$S70,"0,0"),"Standaard")</f>
        <v>0</v>
      </c>
      <c r="BL70" t="str">
        <f>TEXT(Totaal!$S$2,"0")</f>
        <v>0</v>
      </c>
      <c r="BM70" t="e">
        <f>TEXT(TEXT(MEDIAN(Totaal!$S$3:$S$102),"0,0"),"Standaard")</f>
        <v>#NUM!</v>
      </c>
      <c r="BN70" t="str">
        <f>Totaal!T$1</f>
        <v>P</v>
      </c>
      <c r="BO70" t="str">
        <f>TEXT(TEXT(Totaal!$T70,"0,0"),"Standaard")</f>
        <v>0</v>
      </c>
      <c r="BP70" t="str">
        <f>TEXT(Totaal!$T$2,"0")</f>
        <v>0</v>
      </c>
      <c r="BQ70" t="e">
        <f>TEXT(TEXT(MEDIAN(Totaal!$T$3:$T$102),"0,0"),"Standaard")</f>
        <v>#NUM!</v>
      </c>
      <c r="BR70" t="str">
        <f>IF(Totaal!U70="","",Totaal!U70)</f>
        <v/>
      </c>
    </row>
    <row r="71" spans="1:70">
      <c r="A71">
        <f>Totaal!A71</f>
        <v>69</v>
      </c>
      <c r="B71" s="22" t="str">
        <f>IF(Totaal!B71="","",Totaal!B71)</f>
        <v/>
      </c>
      <c r="C71" s="8" t="e">
        <f>TEXT(TEXT(Totaal!C71,"0,0"),"Standaard")</f>
        <v>#DIV/0!</v>
      </c>
      <c r="D71" s="8" t="str">
        <f>TEXT(Totaal!C$2,"0")</f>
        <v>100</v>
      </c>
      <c r="E71" s="22" t="e">
        <f>TEXT(TEXT(SUM(Totaal!C$3:C$102)/COUNTIF(Totaal!C$3:C$102,"&lt;&gt;0"),"0,0"),"Standaard")</f>
        <v>#DIV/0!</v>
      </c>
      <c r="F71" t="str">
        <f>Totaal!E$1</f>
        <v>A</v>
      </c>
      <c r="G71" t="str">
        <f>TEXT(TEXT(Totaal!E71,"0,0"),"Standaard")</f>
        <v>0</v>
      </c>
      <c r="H71" t="str">
        <f>TEXT(Totaal!E$2,"0")</f>
        <v>0</v>
      </c>
      <c r="I71" t="e">
        <f>TEXT(TEXT(MEDIAN(Totaal!E$3:E$102),"0,0"),"Standaard")</f>
        <v>#NUM!</v>
      </c>
      <c r="J71" t="str">
        <f>Totaal!F$1</f>
        <v>B</v>
      </c>
      <c r="K71" t="str">
        <f>TEXT(TEXT(Totaal!$F71,"0,0"),"Standaard")</f>
        <v>0</v>
      </c>
      <c r="L71" t="str">
        <f>TEXT(Totaal!F$2,"0")</f>
        <v>0</v>
      </c>
      <c r="M71" t="e">
        <f>TEXT(TEXT(MEDIAN(Totaal!$F$3:$F$102),"0,0"),"Standaard")</f>
        <v>#NUM!</v>
      </c>
      <c r="N71" t="str">
        <f>Totaal!G$1</f>
        <v>C</v>
      </c>
      <c r="O71" t="str">
        <f>TEXT(TEXT(Totaal!$G71,"0,0"),"Standaard")</f>
        <v>0</v>
      </c>
      <c r="P71" t="str">
        <f>TEXT(Totaal!$G$2,"0")</f>
        <v>0</v>
      </c>
      <c r="Q71" t="e">
        <f>TEXT(TEXT(MEDIAN(Totaal!$G$3:$G$102),"0,0"),"Standaard")</f>
        <v>#NUM!</v>
      </c>
      <c r="R71" t="str">
        <f>Totaal!H$1</f>
        <v>D</v>
      </c>
      <c r="S71" t="str">
        <f>TEXT(TEXT(Totaal!$H71,"0,0"),"Standaard")</f>
        <v>0</v>
      </c>
      <c r="T71" t="str">
        <f>TEXT(Totaal!$H$2,"0")</f>
        <v>0</v>
      </c>
      <c r="U71" t="e">
        <f>TEXT(TEXT(MEDIAN(Totaal!$H$3:$H$102),"0,0"),"Standaard")</f>
        <v>#NUM!</v>
      </c>
      <c r="V71" t="str">
        <f>Totaal!I$1</f>
        <v>E</v>
      </c>
      <c r="W71" t="str">
        <f>TEXT(TEXT(Totaal!$I71,"0,0"),"Standaard")</f>
        <v>0</v>
      </c>
      <c r="X71" t="str">
        <f>TEXT(Totaal!$I$2,"0")</f>
        <v>0</v>
      </c>
      <c r="Y71" t="e">
        <f>TEXT(TEXT(MEDIAN(Totaal!$I$3:$I$102),"0,0"),"Standaard")</f>
        <v>#NUM!</v>
      </c>
      <c r="Z71" t="str">
        <f>Totaal!J$1</f>
        <v>F</v>
      </c>
      <c r="AA71" t="str">
        <f>TEXT(TEXT(Totaal!$J71,"0,0"),"Standaard")</f>
        <v>0</v>
      </c>
      <c r="AB71" t="str">
        <f>TEXT(Totaal!$J$2,"0")</f>
        <v>0</v>
      </c>
      <c r="AC71" t="e">
        <f>TEXT(TEXT(MEDIAN(Totaal!$J$3:$J$102),"0,0"),"Standaard")</f>
        <v>#NUM!</v>
      </c>
      <c r="AD71" t="str">
        <f>Totaal!K$1</f>
        <v>G</v>
      </c>
      <c r="AE71" t="str">
        <f>TEXT(TEXT(Totaal!$K71,"0,0"),"Standaard")</f>
        <v>0</v>
      </c>
      <c r="AF71" t="str">
        <f>TEXT(Totaal!$K$2,"0")</f>
        <v>0</v>
      </c>
      <c r="AG71" t="e">
        <f>TEXT(TEXT(MEDIAN(Totaal!$K$3:$K$102),"0,0"),"Standaard")</f>
        <v>#NUM!</v>
      </c>
      <c r="AH71" t="str">
        <f>Totaal!L$1</f>
        <v>H</v>
      </c>
      <c r="AI71" t="str">
        <f>TEXT(TEXT(Totaal!$L71,"0,0"),"Standaard")</f>
        <v>0</v>
      </c>
      <c r="AJ71" t="str">
        <f>TEXT(Totaal!$L$2,"0")</f>
        <v>0</v>
      </c>
      <c r="AK71" t="e">
        <f>TEXT(TEXT(MEDIAN(Totaal!$L$3:$L$102),"0,0"),"Standaard")</f>
        <v>#NUM!</v>
      </c>
      <c r="AL71" t="str">
        <f>Totaal!M$1</f>
        <v>I</v>
      </c>
      <c r="AM71" t="str">
        <f>TEXT(TEXT(Totaal!$M71,"0,0"),"Standaard")</f>
        <v>0</v>
      </c>
      <c r="AN71" t="str">
        <f>TEXT(Totaal!$M$2,"0")</f>
        <v>0</v>
      </c>
      <c r="AO71" t="e">
        <f>TEXT(TEXT(MEDIAN(Totaal!$M$3:$M$102),"0,0"),"Standaard")</f>
        <v>#NUM!</v>
      </c>
      <c r="AP71" t="str">
        <f>Totaal!N$1</f>
        <v>J</v>
      </c>
      <c r="AQ71" t="str">
        <f>TEXT(TEXT(Totaal!$N71,"0,0"),"Standaard")</f>
        <v>0</v>
      </c>
      <c r="AR71" t="str">
        <f>TEXT(Totaal!$N$2,"0")</f>
        <v>0</v>
      </c>
      <c r="AS71" t="e">
        <f>TEXT(TEXT(MEDIAN(Totaal!$N$3:$N$102),"0,0"),"Standaard")</f>
        <v>#NUM!</v>
      </c>
      <c r="AT71" t="str">
        <f>Totaal!O$1</f>
        <v>K</v>
      </c>
      <c r="AU71" t="str">
        <f>TEXT(TEXT(Totaal!$O71,"0,0"),"Standaard")</f>
        <v>0</v>
      </c>
      <c r="AV71" t="str">
        <f>TEXT(Totaal!$O$2,"0")</f>
        <v>0</v>
      </c>
      <c r="AW71" t="e">
        <f>TEXT(TEXT(MEDIAN(Totaal!$O$3:$O$102),"0,0"),"Standaard")</f>
        <v>#NUM!</v>
      </c>
      <c r="AX71" t="str">
        <f>Totaal!P$1</f>
        <v>L</v>
      </c>
      <c r="AY71" t="str">
        <f>TEXT(TEXT(Totaal!$P71,"0,0"),"Standaard")</f>
        <v>0</v>
      </c>
      <c r="AZ71" t="str">
        <f>TEXT(Totaal!$P$2,"0")</f>
        <v>0</v>
      </c>
      <c r="BA71" t="e">
        <f>TEXT(TEXT(MEDIAN(Totaal!$P$3:$P$102),"0,0"),"Standaard")</f>
        <v>#NUM!</v>
      </c>
      <c r="BB71" t="str">
        <f>Totaal!Q$1</f>
        <v>M</v>
      </c>
      <c r="BC71" t="str">
        <f>TEXT(TEXT(Totaal!$Q71,"0,0"),"Standaard")</f>
        <v>0</v>
      </c>
      <c r="BD71" t="str">
        <f>TEXT(Totaal!$Q$2,"0")</f>
        <v>0</v>
      </c>
      <c r="BE71" t="e">
        <f>TEXT(TEXT(MEDIAN(Totaal!$Q$3:$Q$102),"0,0"),"Standaard")</f>
        <v>#NUM!</v>
      </c>
      <c r="BF71" t="str">
        <f>Totaal!R$1</f>
        <v>N</v>
      </c>
      <c r="BG71" t="str">
        <f>TEXT(TEXT(Totaal!$R71,"0,0"),"Standaard")</f>
        <v>0</v>
      </c>
      <c r="BH71" t="str">
        <f>TEXT(Totaal!$R$2,"0")</f>
        <v>0</v>
      </c>
      <c r="BI71" t="e">
        <f>TEXT(TEXT(MEDIAN(Totaal!$R$3:$R$102),"0,0"),"Standaard")</f>
        <v>#NUM!</v>
      </c>
      <c r="BJ71" t="str">
        <f>Totaal!S$1</f>
        <v>O</v>
      </c>
      <c r="BK71" t="str">
        <f>TEXT(TEXT(Totaal!$S71,"0,0"),"Standaard")</f>
        <v>0</v>
      </c>
      <c r="BL71" t="str">
        <f>TEXT(Totaal!$S$2,"0")</f>
        <v>0</v>
      </c>
      <c r="BM71" t="e">
        <f>TEXT(TEXT(MEDIAN(Totaal!$S$3:$S$102),"0,0"),"Standaard")</f>
        <v>#NUM!</v>
      </c>
      <c r="BN71" t="str">
        <f>Totaal!T$1</f>
        <v>P</v>
      </c>
      <c r="BO71" t="str">
        <f>TEXT(TEXT(Totaal!$T71,"0,0"),"Standaard")</f>
        <v>0</v>
      </c>
      <c r="BP71" t="str">
        <f>TEXT(Totaal!$T$2,"0")</f>
        <v>0</v>
      </c>
      <c r="BQ71" t="e">
        <f>TEXT(TEXT(MEDIAN(Totaal!$T$3:$T$102),"0,0"),"Standaard")</f>
        <v>#NUM!</v>
      </c>
      <c r="BR71" t="str">
        <f>IF(Totaal!U71="","",Totaal!U71)</f>
        <v/>
      </c>
    </row>
    <row r="72" spans="1:70">
      <c r="A72">
        <f>Totaal!A72</f>
        <v>70</v>
      </c>
      <c r="B72" s="22" t="str">
        <f>IF(Totaal!B72="","",Totaal!B72)</f>
        <v/>
      </c>
      <c r="C72" s="8" t="e">
        <f>TEXT(TEXT(Totaal!C72,"0,0"),"Standaard")</f>
        <v>#DIV/0!</v>
      </c>
      <c r="D72" s="8" t="str">
        <f>TEXT(Totaal!C$2,"0")</f>
        <v>100</v>
      </c>
      <c r="E72" s="22" t="e">
        <f>TEXT(TEXT(SUM(Totaal!C$3:C$102)/COUNTIF(Totaal!C$3:C$102,"&lt;&gt;0"),"0,0"),"Standaard")</f>
        <v>#DIV/0!</v>
      </c>
      <c r="F72" t="str">
        <f>Totaal!E$1</f>
        <v>A</v>
      </c>
      <c r="G72" t="str">
        <f>TEXT(TEXT(Totaal!E72,"0,0"),"Standaard")</f>
        <v>0</v>
      </c>
      <c r="H72" t="str">
        <f>TEXT(Totaal!E$2,"0")</f>
        <v>0</v>
      </c>
      <c r="I72" t="e">
        <f>TEXT(TEXT(MEDIAN(Totaal!E$3:E$102),"0,0"),"Standaard")</f>
        <v>#NUM!</v>
      </c>
      <c r="J72" t="str">
        <f>Totaal!F$1</f>
        <v>B</v>
      </c>
      <c r="K72" t="str">
        <f>TEXT(TEXT(Totaal!$F72,"0,0"),"Standaard")</f>
        <v>0</v>
      </c>
      <c r="L72" t="str">
        <f>TEXT(Totaal!F$2,"0")</f>
        <v>0</v>
      </c>
      <c r="M72" t="e">
        <f>TEXT(TEXT(MEDIAN(Totaal!$F$3:$F$102),"0,0"),"Standaard")</f>
        <v>#NUM!</v>
      </c>
      <c r="N72" t="str">
        <f>Totaal!G$1</f>
        <v>C</v>
      </c>
      <c r="O72" t="str">
        <f>TEXT(TEXT(Totaal!$G72,"0,0"),"Standaard")</f>
        <v>0</v>
      </c>
      <c r="P72" t="str">
        <f>TEXT(Totaal!$G$2,"0")</f>
        <v>0</v>
      </c>
      <c r="Q72" t="e">
        <f>TEXT(TEXT(MEDIAN(Totaal!$G$3:$G$102),"0,0"),"Standaard")</f>
        <v>#NUM!</v>
      </c>
      <c r="R72" t="str">
        <f>Totaal!H$1</f>
        <v>D</v>
      </c>
      <c r="S72" t="str">
        <f>TEXT(TEXT(Totaal!$H72,"0,0"),"Standaard")</f>
        <v>0</v>
      </c>
      <c r="T72" t="str">
        <f>TEXT(Totaal!$H$2,"0")</f>
        <v>0</v>
      </c>
      <c r="U72" t="e">
        <f>TEXT(TEXT(MEDIAN(Totaal!$H$3:$H$102),"0,0"),"Standaard")</f>
        <v>#NUM!</v>
      </c>
      <c r="V72" t="str">
        <f>Totaal!I$1</f>
        <v>E</v>
      </c>
      <c r="W72" t="str">
        <f>TEXT(TEXT(Totaal!$I72,"0,0"),"Standaard")</f>
        <v>0</v>
      </c>
      <c r="X72" t="str">
        <f>TEXT(Totaal!$I$2,"0")</f>
        <v>0</v>
      </c>
      <c r="Y72" t="e">
        <f>TEXT(TEXT(MEDIAN(Totaal!$I$3:$I$102),"0,0"),"Standaard")</f>
        <v>#NUM!</v>
      </c>
      <c r="Z72" t="str">
        <f>Totaal!J$1</f>
        <v>F</v>
      </c>
      <c r="AA72" t="str">
        <f>TEXT(TEXT(Totaal!$J72,"0,0"),"Standaard")</f>
        <v>0</v>
      </c>
      <c r="AB72" t="str">
        <f>TEXT(Totaal!$J$2,"0")</f>
        <v>0</v>
      </c>
      <c r="AC72" t="e">
        <f>TEXT(TEXT(MEDIAN(Totaal!$J$3:$J$102),"0,0"),"Standaard")</f>
        <v>#NUM!</v>
      </c>
      <c r="AD72" t="str">
        <f>Totaal!K$1</f>
        <v>G</v>
      </c>
      <c r="AE72" t="str">
        <f>TEXT(TEXT(Totaal!$K72,"0,0"),"Standaard")</f>
        <v>0</v>
      </c>
      <c r="AF72" t="str">
        <f>TEXT(Totaal!$K$2,"0")</f>
        <v>0</v>
      </c>
      <c r="AG72" t="e">
        <f>TEXT(TEXT(MEDIAN(Totaal!$K$3:$K$102),"0,0"),"Standaard")</f>
        <v>#NUM!</v>
      </c>
      <c r="AH72" t="str">
        <f>Totaal!L$1</f>
        <v>H</v>
      </c>
      <c r="AI72" t="str">
        <f>TEXT(TEXT(Totaal!$L72,"0,0"),"Standaard")</f>
        <v>0</v>
      </c>
      <c r="AJ72" t="str">
        <f>TEXT(Totaal!$L$2,"0")</f>
        <v>0</v>
      </c>
      <c r="AK72" t="e">
        <f>TEXT(TEXT(MEDIAN(Totaal!$L$3:$L$102),"0,0"),"Standaard")</f>
        <v>#NUM!</v>
      </c>
      <c r="AL72" t="str">
        <f>Totaal!M$1</f>
        <v>I</v>
      </c>
      <c r="AM72" t="str">
        <f>TEXT(TEXT(Totaal!$M72,"0,0"),"Standaard")</f>
        <v>0</v>
      </c>
      <c r="AN72" t="str">
        <f>TEXT(Totaal!$M$2,"0")</f>
        <v>0</v>
      </c>
      <c r="AO72" t="e">
        <f>TEXT(TEXT(MEDIAN(Totaal!$M$3:$M$102),"0,0"),"Standaard")</f>
        <v>#NUM!</v>
      </c>
      <c r="AP72" t="str">
        <f>Totaal!N$1</f>
        <v>J</v>
      </c>
      <c r="AQ72" t="str">
        <f>TEXT(TEXT(Totaal!$N72,"0,0"),"Standaard")</f>
        <v>0</v>
      </c>
      <c r="AR72" t="str">
        <f>TEXT(Totaal!$N$2,"0")</f>
        <v>0</v>
      </c>
      <c r="AS72" t="e">
        <f>TEXT(TEXT(MEDIAN(Totaal!$N$3:$N$102),"0,0"),"Standaard")</f>
        <v>#NUM!</v>
      </c>
      <c r="AT72" t="str">
        <f>Totaal!O$1</f>
        <v>K</v>
      </c>
      <c r="AU72" t="str">
        <f>TEXT(TEXT(Totaal!$O72,"0,0"),"Standaard")</f>
        <v>0</v>
      </c>
      <c r="AV72" t="str">
        <f>TEXT(Totaal!$O$2,"0")</f>
        <v>0</v>
      </c>
      <c r="AW72" t="e">
        <f>TEXT(TEXT(MEDIAN(Totaal!$O$3:$O$102),"0,0"),"Standaard")</f>
        <v>#NUM!</v>
      </c>
      <c r="AX72" t="str">
        <f>Totaal!P$1</f>
        <v>L</v>
      </c>
      <c r="AY72" t="str">
        <f>TEXT(TEXT(Totaal!$P72,"0,0"),"Standaard")</f>
        <v>0</v>
      </c>
      <c r="AZ72" t="str">
        <f>TEXT(Totaal!$P$2,"0")</f>
        <v>0</v>
      </c>
      <c r="BA72" t="e">
        <f>TEXT(TEXT(MEDIAN(Totaal!$P$3:$P$102),"0,0"),"Standaard")</f>
        <v>#NUM!</v>
      </c>
      <c r="BB72" t="str">
        <f>Totaal!Q$1</f>
        <v>M</v>
      </c>
      <c r="BC72" t="str">
        <f>TEXT(TEXT(Totaal!$Q72,"0,0"),"Standaard")</f>
        <v>0</v>
      </c>
      <c r="BD72" t="str">
        <f>TEXT(Totaal!$Q$2,"0")</f>
        <v>0</v>
      </c>
      <c r="BE72" t="e">
        <f>TEXT(TEXT(MEDIAN(Totaal!$Q$3:$Q$102),"0,0"),"Standaard")</f>
        <v>#NUM!</v>
      </c>
      <c r="BF72" t="str">
        <f>Totaal!R$1</f>
        <v>N</v>
      </c>
      <c r="BG72" t="str">
        <f>TEXT(TEXT(Totaal!$R72,"0,0"),"Standaard")</f>
        <v>0</v>
      </c>
      <c r="BH72" t="str">
        <f>TEXT(Totaal!$R$2,"0")</f>
        <v>0</v>
      </c>
      <c r="BI72" t="e">
        <f>TEXT(TEXT(MEDIAN(Totaal!$R$3:$R$102),"0,0"),"Standaard")</f>
        <v>#NUM!</v>
      </c>
      <c r="BJ72" t="str">
        <f>Totaal!S$1</f>
        <v>O</v>
      </c>
      <c r="BK72" t="str">
        <f>TEXT(TEXT(Totaal!$S72,"0,0"),"Standaard")</f>
        <v>0</v>
      </c>
      <c r="BL72" t="str">
        <f>TEXT(Totaal!$S$2,"0")</f>
        <v>0</v>
      </c>
      <c r="BM72" t="e">
        <f>TEXT(TEXT(MEDIAN(Totaal!$S$3:$S$102),"0,0"),"Standaard")</f>
        <v>#NUM!</v>
      </c>
      <c r="BN72" t="str">
        <f>Totaal!T$1</f>
        <v>P</v>
      </c>
      <c r="BO72" t="str">
        <f>TEXT(TEXT(Totaal!$T72,"0,0"),"Standaard")</f>
        <v>0</v>
      </c>
      <c r="BP72" t="str">
        <f>TEXT(Totaal!$T$2,"0")</f>
        <v>0</v>
      </c>
      <c r="BQ72" t="e">
        <f>TEXT(TEXT(MEDIAN(Totaal!$T$3:$T$102),"0,0"),"Standaard")</f>
        <v>#NUM!</v>
      </c>
      <c r="BR72" t="str">
        <f>IF(Totaal!U72="","",Totaal!U72)</f>
        <v/>
      </c>
    </row>
    <row r="73" spans="1:70">
      <c r="A73">
        <f>Totaal!A73</f>
        <v>71</v>
      </c>
      <c r="B73" s="22" t="str">
        <f>IF(Totaal!B73="","",Totaal!B73)</f>
        <v/>
      </c>
      <c r="C73" s="8" t="e">
        <f>TEXT(TEXT(Totaal!C73,"0,0"),"Standaard")</f>
        <v>#DIV/0!</v>
      </c>
      <c r="D73" s="8" t="str">
        <f>TEXT(Totaal!C$2,"0")</f>
        <v>100</v>
      </c>
      <c r="E73" s="22" t="e">
        <f>TEXT(TEXT(SUM(Totaal!C$3:C$102)/COUNTIF(Totaal!C$3:C$102,"&lt;&gt;0"),"0,0"),"Standaard")</f>
        <v>#DIV/0!</v>
      </c>
      <c r="F73" t="str">
        <f>Totaal!E$1</f>
        <v>A</v>
      </c>
      <c r="G73" t="str">
        <f>TEXT(TEXT(Totaal!E73,"0,0"),"Standaard")</f>
        <v>0</v>
      </c>
      <c r="H73" t="str">
        <f>TEXT(Totaal!E$2,"0")</f>
        <v>0</v>
      </c>
      <c r="I73" t="e">
        <f>TEXT(TEXT(MEDIAN(Totaal!E$3:E$102),"0,0"),"Standaard")</f>
        <v>#NUM!</v>
      </c>
      <c r="J73" t="str">
        <f>Totaal!F$1</f>
        <v>B</v>
      </c>
      <c r="K73" t="str">
        <f>TEXT(TEXT(Totaal!$F73,"0,0"),"Standaard")</f>
        <v>0</v>
      </c>
      <c r="L73" t="str">
        <f>TEXT(Totaal!F$2,"0")</f>
        <v>0</v>
      </c>
      <c r="M73" t="e">
        <f>TEXT(TEXT(MEDIAN(Totaal!$F$3:$F$102),"0,0"),"Standaard")</f>
        <v>#NUM!</v>
      </c>
      <c r="N73" t="str">
        <f>Totaal!G$1</f>
        <v>C</v>
      </c>
      <c r="O73" t="str">
        <f>TEXT(TEXT(Totaal!$G73,"0,0"),"Standaard")</f>
        <v>0</v>
      </c>
      <c r="P73" t="str">
        <f>TEXT(Totaal!$G$2,"0")</f>
        <v>0</v>
      </c>
      <c r="Q73" t="e">
        <f>TEXT(TEXT(MEDIAN(Totaal!$G$3:$G$102),"0,0"),"Standaard")</f>
        <v>#NUM!</v>
      </c>
      <c r="R73" t="str">
        <f>Totaal!H$1</f>
        <v>D</v>
      </c>
      <c r="S73" t="str">
        <f>TEXT(TEXT(Totaal!$H73,"0,0"),"Standaard")</f>
        <v>0</v>
      </c>
      <c r="T73" t="str">
        <f>TEXT(Totaal!$H$2,"0")</f>
        <v>0</v>
      </c>
      <c r="U73" t="e">
        <f>TEXT(TEXT(MEDIAN(Totaal!$H$3:$H$102),"0,0"),"Standaard")</f>
        <v>#NUM!</v>
      </c>
      <c r="V73" t="str">
        <f>Totaal!I$1</f>
        <v>E</v>
      </c>
      <c r="W73" t="str">
        <f>TEXT(TEXT(Totaal!$I73,"0,0"),"Standaard")</f>
        <v>0</v>
      </c>
      <c r="X73" t="str">
        <f>TEXT(Totaal!$I$2,"0")</f>
        <v>0</v>
      </c>
      <c r="Y73" t="e">
        <f>TEXT(TEXT(MEDIAN(Totaal!$I$3:$I$102),"0,0"),"Standaard")</f>
        <v>#NUM!</v>
      </c>
      <c r="Z73" t="str">
        <f>Totaal!J$1</f>
        <v>F</v>
      </c>
      <c r="AA73" t="str">
        <f>TEXT(TEXT(Totaal!$J73,"0,0"),"Standaard")</f>
        <v>0</v>
      </c>
      <c r="AB73" t="str">
        <f>TEXT(Totaal!$J$2,"0")</f>
        <v>0</v>
      </c>
      <c r="AC73" t="e">
        <f>TEXT(TEXT(MEDIAN(Totaal!$J$3:$J$102),"0,0"),"Standaard")</f>
        <v>#NUM!</v>
      </c>
      <c r="AD73" t="str">
        <f>Totaal!K$1</f>
        <v>G</v>
      </c>
      <c r="AE73" t="str">
        <f>TEXT(TEXT(Totaal!$K73,"0,0"),"Standaard")</f>
        <v>0</v>
      </c>
      <c r="AF73" t="str">
        <f>TEXT(Totaal!$K$2,"0")</f>
        <v>0</v>
      </c>
      <c r="AG73" t="e">
        <f>TEXT(TEXT(MEDIAN(Totaal!$K$3:$K$102),"0,0"),"Standaard")</f>
        <v>#NUM!</v>
      </c>
      <c r="AH73" t="str">
        <f>Totaal!L$1</f>
        <v>H</v>
      </c>
      <c r="AI73" t="str">
        <f>TEXT(TEXT(Totaal!$L73,"0,0"),"Standaard")</f>
        <v>0</v>
      </c>
      <c r="AJ73" t="str">
        <f>TEXT(Totaal!$L$2,"0")</f>
        <v>0</v>
      </c>
      <c r="AK73" t="e">
        <f>TEXT(TEXT(MEDIAN(Totaal!$L$3:$L$102),"0,0"),"Standaard")</f>
        <v>#NUM!</v>
      </c>
      <c r="AL73" t="str">
        <f>Totaal!M$1</f>
        <v>I</v>
      </c>
      <c r="AM73" t="str">
        <f>TEXT(TEXT(Totaal!$M73,"0,0"),"Standaard")</f>
        <v>0</v>
      </c>
      <c r="AN73" t="str">
        <f>TEXT(Totaal!$M$2,"0")</f>
        <v>0</v>
      </c>
      <c r="AO73" t="e">
        <f>TEXT(TEXT(MEDIAN(Totaal!$M$3:$M$102),"0,0"),"Standaard")</f>
        <v>#NUM!</v>
      </c>
      <c r="AP73" t="str">
        <f>Totaal!N$1</f>
        <v>J</v>
      </c>
      <c r="AQ73" t="str">
        <f>TEXT(TEXT(Totaal!$N73,"0,0"),"Standaard")</f>
        <v>0</v>
      </c>
      <c r="AR73" t="str">
        <f>TEXT(Totaal!$N$2,"0")</f>
        <v>0</v>
      </c>
      <c r="AS73" t="e">
        <f>TEXT(TEXT(MEDIAN(Totaal!$N$3:$N$102),"0,0"),"Standaard")</f>
        <v>#NUM!</v>
      </c>
      <c r="AT73" t="str">
        <f>Totaal!O$1</f>
        <v>K</v>
      </c>
      <c r="AU73" t="str">
        <f>TEXT(TEXT(Totaal!$O73,"0,0"),"Standaard")</f>
        <v>0</v>
      </c>
      <c r="AV73" t="str">
        <f>TEXT(Totaal!$O$2,"0")</f>
        <v>0</v>
      </c>
      <c r="AW73" t="e">
        <f>TEXT(TEXT(MEDIAN(Totaal!$O$3:$O$102),"0,0"),"Standaard")</f>
        <v>#NUM!</v>
      </c>
      <c r="AX73" t="str">
        <f>Totaal!P$1</f>
        <v>L</v>
      </c>
      <c r="AY73" t="str">
        <f>TEXT(TEXT(Totaal!$P73,"0,0"),"Standaard")</f>
        <v>0</v>
      </c>
      <c r="AZ73" t="str">
        <f>TEXT(Totaal!$P$2,"0")</f>
        <v>0</v>
      </c>
      <c r="BA73" t="e">
        <f>TEXT(TEXT(MEDIAN(Totaal!$P$3:$P$102),"0,0"),"Standaard")</f>
        <v>#NUM!</v>
      </c>
      <c r="BB73" t="str">
        <f>Totaal!Q$1</f>
        <v>M</v>
      </c>
      <c r="BC73" t="str">
        <f>TEXT(TEXT(Totaal!$Q73,"0,0"),"Standaard")</f>
        <v>0</v>
      </c>
      <c r="BD73" t="str">
        <f>TEXT(Totaal!$Q$2,"0")</f>
        <v>0</v>
      </c>
      <c r="BE73" t="e">
        <f>TEXT(TEXT(MEDIAN(Totaal!$Q$3:$Q$102),"0,0"),"Standaard")</f>
        <v>#NUM!</v>
      </c>
      <c r="BF73" t="str">
        <f>Totaal!R$1</f>
        <v>N</v>
      </c>
      <c r="BG73" t="str">
        <f>TEXT(TEXT(Totaal!$R73,"0,0"),"Standaard")</f>
        <v>0</v>
      </c>
      <c r="BH73" t="str">
        <f>TEXT(Totaal!$R$2,"0")</f>
        <v>0</v>
      </c>
      <c r="BI73" t="e">
        <f>TEXT(TEXT(MEDIAN(Totaal!$R$3:$R$102),"0,0"),"Standaard")</f>
        <v>#NUM!</v>
      </c>
      <c r="BJ73" t="str">
        <f>Totaal!S$1</f>
        <v>O</v>
      </c>
      <c r="BK73" t="str">
        <f>TEXT(TEXT(Totaal!$S73,"0,0"),"Standaard")</f>
        <v>0</v>
      </c>
      <c r="BL73" t="str">
        <f>TEXT(Totaal!$S$2,"0")</f>
        <v>0</v>
      </c>
      <c r="BM73" t="e">
        <f>TEXT(TEXT(MEDIAN(Totaal!$S$3:$S$102),"0,0"),"Standaard")</f>
        <v>#NUM!</v>
      </c>
      <c r="BN73" t="str">
        <f>Totaal!T$1</f>
        <v>P</v>
      </c>
      <c r="BO73" t="str">
        <f>TEXT(TEXT(Totaal!$T73,"0,0"),"Standaard")</f>
        <v>0</v>
      </c>
      <c r="BP73" t="str">
        <f>TEXT(Totaal!$T$2,"0")</f>
        <v>0</v>
      </c>
      <c r="BQ73" t="e">
        <f>TEXT(TEXT(MEDIAN(Totaal!$T$3:$T$102),"0,0"),"Standaard")</f>
        <v>#NUM!</v>
      </c>
      <c r="BR73" t="str">
        <f>IF(Totaal!U73="","",Totaal!U73)</f>
        <v/>
      </c>
    </row>
    <row r="74" spans="1:70">
      <c r="A74">
        <f>Totaal!A74</f>
        <v>72</v>
      </c>
      <c r="B74" s="22" t="str">
        <f>IF(Totaal!B74="","",Totaal!B74)</f>
        <v/>
      </c>
      <c r="C74" s="8" t="e">
        <f>TEXT(TEXT(Totaal!C74,"0,0"),"Standaard")</f>
        <v>#DIV/0!</v>
      </c>
      <c r="D74" s="8" t="str">
        <f>TEXT(Totaal!C$2,"0")</f>
        <v>100</v>
      </c>
      <c r="E74" s="22" t="e">
        <f>TEXT(TEXT(SUM(Totaal!C$3:C$102)/COUNTIF(Totaal!C$3:C$102,"&lt;&gt;0"),"0,0"),"Standaard")</f>
        <v>#DIV/0!</v>
      </c>
      <c r="F74" t="str">
        <f>Totaal!E$1</f>
        <v>A</v>
      </c>
      <c r="G74" t="str">
        <f>TEXT(TEXT(Totaal!E74,"0,0"),"Standaard")</f>
        <v>0</v>
      </c>
      <c r="H74" t="str">
        <f>TEXT(Totaal!E$2,"0")</f>
        <v>0</v>
      </c>
      <c r="I74" t="e">
        <f>TEXT(TEXT(MEDIAN(Totaal!E$3:E$102),"0,0"),"Standaard")</f>
        <v>#NUM!</v>
      </c>
      <c r="J74" t="str">
        <f>Totaal!F$1</f>
        <v>B</v>
      </c>
      <c r="K74" t="str">
        <f>TEXT(TEXT(Totaal!$F74,"0,0"),"Standaard")</f>
        <v>0</v>
      </c>
      <c r="L74" t="str">
        <f>TEXT(Totaal!F$2,"0")</f>
        <v>0</v>
      </c>
      <c r="M74" t="e">
        <f>TEXT(TEXT(MEDIAN(Totaal!$F$3:$F$102),"0,0"),"Standaard")</f>
        <v>#NUM!</v>
      </c>
      <c r="N74" t="str">
        <f>Totaal!G$1</f>
        <v>C</v>
      </c>
      <c r="O74" t="str">
        <f>TEXT(TEXT(Totaal!$G74,"0,0"),"Standaard")</f>
        <v>0</v>
      </c>
      <c r="P74" t="str">
        <f>TEXT(Totaal!$G$2,"0")</f>
        <v>0</v>
      </c>
      <c r="Q74" t="e">
        <f>TEXT(TEXT(MEDIAN(Totaal!$G$3:$G$102),"0,0"),"Standaard")</f>
        <v>#NUM!</v>
      </c>
      <c r="R74" t="str">
        <f>Totaal!H$1</f>
        <v>D</v>
      </c>
      <c r="S74" t="str">
        <f>TEXT(TEXT(Totaal!$H74,"0,0"),"Standaard")</f>
        <v>0</v>
      </c>
      <c r="T74" t="str">
        <f>TEXT(Totaal!$H$2,"0")</f>
        <v>0</v>
      </c>
      <c r="U74" t="e">
        <f>TEXT(TEXT(MEDIAN(Totaal!$H$3:$H$102),"0,0"),"Standaard")</f>
        <v>#NUM!</v>
      </c>
      <c r="V74" t="str">
        <f>Totaal!I$1</f>
        <v>E</v>
      </c>
      <c r="W74" t="str">
        <f>TEXT(TEXT(Totaal!$I74,"0,0"),"Standaard")</f>
        <v>0</v>
      </c>
      <c r="X74" t="str">
        <f>TEXT(Totaal!$I$2,"0")</f>
        <v>0</v>
      </c>
      <c r="Y74" t="e">
        <f>TEXT(TEXT(MEDIAN(Totaal!$I$3:$I$102),"0,0"),"Standaard")</f>
        <v>#NUM!</v>
      </c>
      <c r="Z74" t="str">
        <f>Totaal!J$1</f>
        <v>F</v>
      </c>
      <c r="AA74" t="str">
        <f>TEXT(TEXT(Totaal!$J74,"0,0"),"Standaard")</f>
        <v>0</v>
      </c>
      <c r="AB74" t="str">
        <f>TEXT(Totaal!$J$2,"0")</f>
        <v>0</v>
      </c>
      <c r="AC74" t="e">
        <f>TEXT(TEXT(MEDIAN(Totaal!$J$3:$J$102),"0,0"),"Standaard")</f>
        <v>#NUM!</v>
      </c>
      <c r="AD74" t="str">
        <f>Totaal!K$1</f>
        <v>G</v>
      </c>
      <c r="AE74" t="str">
        <f>TEXT(TEXT(Totaal!$K74,"0,0"),"Standaard")</f>
        <v>0</v>
      </c>
      <c r="AF74" t="str">
        <f>TEXT(Totaal!$K$2,"0")</f>
        <v>0</v>
      </c>
      <c r="AG74" t="e">
        <f>TEXT(TEXT(MEDIAN(Totaal!$K$3:$K$102),"0,0"),"Standaard")</f>
        <v>#NUM!</v>
      </c>
      <c r="AH74" t="str">
        <f>Totaal!L$1</f>
        <v>H</v>
      </c>
      <c r="AI74" t="str">
        <f>TEXT(TEXT(Totaal!$L74,"0,0"),"Standaard")</f>
        <v>0</v>
      </c>
      <c r="AJ74" t="str">
        <f>TEXT(Totaal!$L$2,"0")</f>
        <v>0</v>
      </c>
      <c r="AK74" t="e">
        <f>TEXT(TEXT(MEDIAN(Totaal!$L$3:$L$102),"0,0"),"Standaard")</f>
        <v>#NUM!</v>
      </c>
      <c r="AL74" t="str">
        <f>Totaal!M$1</f>
        <v>I</v>
      </c>
      <c r="AM74" t="str">
        <f>TEXT(TEXT(Totaal!$M74,"0,0"),"Standaard")</f>
        <v>0</v>
      </c>
      <c r="AN74" t="str">
        <f>TEXT(Totaal!$M$2,"0")</f>
        <v>0</v>
      </c>
      <c r="AO74" t="e">
        <f>TEXT(TEXT(MEDIAN(Totaal!$M$3:$M$102),"0,0"),"Standaard")</f>
        <v>#NUM!</v>
      </c>
      <c r="AP74" t="str">
        <f>Totaal!N$1</f>
        <v>J</v>
      </c>
      <c r="AQ74" t="str">
        <f>TEXT(TEXT(Totaal!$N74,"0,0"),"Standaard")</f>
        <v>0</v>
      </c>
      <c r="AR74" t="str">
        <f>TEXT(Totaal!$N$2,"0")</f>
        <v>0</v>
      </c>
      <c r="AS74" t="e">
        <f>TEXT(TEXT(MEDIAN(Totaal!$N$3:$N$102),"0,0"),"Standaard")</f>
        <v>#NUM!</v>
      </c>
      <c r="AT74" t="str">
        <f>Totaal!O$1</f>
        <v>K</v>
      </c>
      <c r="AU74" t="str">
        <f>TEXT(TEXT(Totaal!$O74,"0,0"),"Standaard")</f>
        <v>0</v>
      </c>
      <c r="AV74" t="str">
        <f>TEXT(Totaal!$O$2,"0")</f>
        <v>0</v>
      </c>
      <c r="AW74" t="e">
        <f>TEXT(TEXT(MEDIAN(Totaal!$O$3:$O$102),"0,0"),"Standaard")</f>
        <v>#NUM!</v>
      </c>
      <c r="AX74" t="str">
        <f>Totaal!P$1</f>
        <v>L</v>
      </c>
      <c r="AY74" t="str">
        <f>TEXT(TEXT(Totaal!$P74,"0,0"),"Standaard")</f>
        <v>0</v>
      </c>
      <c r="AZ74" t="str">
        <f>TEXT(Totaal!$P$2,"0")</f>
        <v>0</v>
      </c>
      <c r="BA74" t="e">
        <f>TEXT(TEXT(MEDIAN(Totaal!$P$3:$P$102),"0,0"),"Standaard")</f>
        <v>#NUM!</v>
      </c>
      <c r="BB74" t="str">
        <f>Totaal!Q$1</f>
        <v>M</v>
      </c>
      <c r="BC74" t="str">
        <f>TEXT(TEXT(Totaal!$Q74,"0,0"),"Standaard")</f>
        <v>0</v>
      </c>
      <c r="BD74" t="str">
        <f>TEXT(Totaal!$Q$2,"0")</f>
        <v>0</v>
      </c>
      <c r="BE74" t="e">
        <f>TEXT(TEXT(MEDIAN(Totaal!$Q$3:$Q$102),"0,0"),"Standaard")</f>
        <v>#NUM!</v>
      </c>
      <c r="BF74" t="str">
        <f>Totaal!R$1</f>
        <v>N</v>
      </c>
      <c r="BG74" t="str">
        <f>TEXT(TEXT(Totaal!$R74,"0,0"),"Standaard")</f>
        <v>0</v>
      </c>
      <c r="BH74" t="str">
        <f>TEXT(Totaal!$R$2,"0")</f>
        <v>0</v>
      </c>
      <c r="BI74" t="e">
        <f>TEXT(TEXT(MEDIAN(Totaal!$R$3:$R$102),"0,0"),"Standaard")</f>
        <v>#NUM!</v>
      </c>
      <c r="BJ74" t="str">
        <f>Totaal!S$1</f>
        <v>O</v>
      </c>
      <c r="BK74" t="str">
        <f>TEXT(TEXT(Totaal!$S74,"0,0"),"Standaard")</f>
        <v>0</v>
      </c>
      <c r="BL74" t="str">
        <f>TEXT(Totaal!$S$2,"0")</f>
        <v>0</v>
      </c>
      <c r="BM74" t="e">
        <f>TEXT(TEXT(MEDIAN(Totaal!$S$3:$S$102),"0,0"),"Standaard")</f>
        <v>#NUM!</v>
      </c>
      <c r="BN74" t="str">
        <f>Totaal!T$1</f>
        <v>P</v>
      </c>
      <c r="BO74" t="str">
        <f>TEXT(TEXT(Totaal!$T74,"0,0"),"Standaard")</f>
        <v>0</v>
      </c>
      <c r="BP74" t="str">
        <f>TEXT(Totaal!$T$2,"0")</f>
        <v>0</v>
      </c>
      <c r="BQ74" t="e">
        <f>TEXT(TEXT(MEDIAN(Totaal!$T$3:$T$102),"0,0"),"Standaard")</f>
        <v>#NUM!</v>
      </c>
      <c r="BR74" t="str">
        <f>IF(Totaal!U74="","",Totaal!U74)</f>
        <v/>
      </c>
    </row>
    <row r="75" spans="1:70">
      <c r="A75">
        <f>Totaal!A75</f>
        <v>73</v>
      </c>
      <c r="B75" s="22" t="str">
        <f>IF(Totaal!B75="","",Totaal!B75)</f>
        <v/>
      </c>
      <c r="C75" s="8" t="e">
        <f>TEXT(TEXT(Totaal!C75,"0,0"),"Standaard")</f>
        <v>#DIV/0!</v>
      </c>
      <c r="D75" s="8" t="str">
        <f>TEXT(Totaal!C$2,"0")</f>
        <v>100</v>
      </c>
      <c r="E75" s="22" t="e">
        <f>TEXT(TEXT(SUM(Totaal!C$3:C$102)/COUNTIF(Totaal!C$3:C$102,"&lt;&gt;0"),"0,0"),"Standaard")</f>
        <v>#DIV/0!</v>
      </c>
      <c r="F75" t="str">
        <f>Totaal!E$1</f>
        <v>A</v>
      </c>
      <c r="G75" t="str">
        <f>TEXT(TEXT(Totaal!E75,"0,0"),"Standaard")</f>
        <v>0</v>
      </c>
      <c r="H75" t="str">
        <f>TEXT(Totaal!E$2,"0")</f>
        <v>0</v>
      </c>
      <c r="I75" t="e">
        <f>TEXT(TEXT(MEDIAN(Totaal!E$3:E$102),"0,0"),"Standaard")</f>
        <v>#NUM!</v>
      </c>
      <c r="J75" t="str">
        <f>Totaal!F$1</f>
        <v>B</v>
      </c>
      <c r="K75" t="str">
        <f>TEXT(TEXT(Totaal!$F75,"0,0"),"Standaard")</f>
        <v>0</v>
      </c>
      <c r="L75" t="str">
        <f>TEXT(Totaal!F$2,"0")</f>
        <v>0</v>
      </c>
      <c r="M75" t="e">
        <f>TEXT(TEXT(MEDIAN(Totaal!$F$3:$F$102),"0,0"),"Standaard")</f>
        <v>#NUM!</v>
      </c>
      <c r="N75" t="str">
        <f>Totaal!G$1</f>
        <v>C</v>
      </c>
      <c r="O75" t="str">
        <f>TEXT(TEXT(Totaal!$G75,"0,0"),"Standaard")</f>
        <v>0</v>
      </c>
      <c r="P75" t="str">
        <f>TEXT(Totaal!$G$2,"0")</f>
        <v>0</v>
      </c>
      <c r="Q75" t="e">
        <f>TEXT(TEXT(MEDIAN(Totaal!$G$3:$G$102),"0,0"),"Standaard")</f>
        <v>#NUM!</v>
      </c>
      <c r="R75" t="str">
        <f>Totaal!H$1</f>
        <v>D</v>
      </c>
      <c r="S75" t="str">
        <f>TEXT(TEXT(Totaal!$H75,"0,0"),"Standaard")</f>
        <v>0</v>
      </c>
      <c r="T75" t="str">
        <f>TEXT(Totaal!$H$2,"0")</f>
        <v>0</v>
      </c>
      <c r="U75" t="e">
        <f>TEXT(TEXT(MEDIAN(Totaal!$H$3:$H$102),"0,0"),"Standaard")</f>
        <v>#NUM!</v>
      </c>
      <c r="V75" t="str">
        <f>Totaal!I$1</f>
        <v>E</v>
      </c>
      <c r="W75" t="str">
        <f>TEXT(TEXT(Totaal!$I75,"0,0"),"Standaard")</f>
        <v>0</v>
      </c>
      <c r="X75" t="str">
        <f>TEXT(Totaal!$I$2,"0")</f>
        <v>0</v>
      </c>
      <c r="Y75" t="e">
        <f>TEXT(TEXT(MEDIAN(Totaal!$I$3:$I$102),"0,0"),"Standaard")</f>
        <v>#NUM!</v>
      </c>
      <c r="Z75" t="str">
        <f>Totaal!J$1</f>
        <v>F</v>
      </c>
      <c r="AA75" t="str">
        <f>TEXT(TEXT(Totaal!$J75,"0,0"),"Standaard")</f>
        <v>0</v>
      </c>
      <c r="AB75" t="str">
        <f>TEXT(Totaal!$J$2,"0")</f>
        <v>0</v>
      </c>
      <c r="AC75" t="e">
        <f>TEXT(TEXT(MEDIAN(Totaal!$J$3:$J$102),"0,0"),"Standaard")</f>
        <v>#NUM!</v>
      </c>
      <c r="AD75" t="str">
        <f>Totaal!K$1</f>
        <v>G</v>
      </c>
      <c r="AE75" t="str">
        <f>TEXT(TEXT(Totaal!$K75,"0,0"),"Standaard")</f>
        <v>0</v>
      </c>
      <c r="AF75" t="str">
        <f>TEXT(Totaal!$K$2,"0")</f>
        <v>0</v>
      </c>
      <c r="AG75" t="e">
        <f>TEXT(TEXT(MEDIAN(Totaal!$K$3:$K$102),"0,0"),"Standaard")</f>
        <v>#NUM!</v>
      </c>
      <c r="AH75" t="str">
        <f>Totaal!L$1</f>
        <v>H</v>
      </c>
      <c r="AI75" t="str">
        <f>TEXT(TEXT(Totaal!$L75,"0,0"),"Standaard")</f>
        <v>0</v>
      </c>
      <c r="AJ75" t="str">
        <f>TEXT(Totaal!$L$2,"0")</f>
        <v>0</v>
      </c>
      <c r="AK75" t="e">
        <f>TEXT(TEXT(MEDIAN(Totaal!$L$3:$L$102),"0,0"),"Standaard")</f>
        <v>#NUM!</v>
      </c>
      <c r="AL75" t="str">
        <f>Totaal!M$1</f>
        <v>I</v>
      </c>
      <c r="AM75" t="str">
        <f>TEXT(TEXT(Totaal!$M75,"0,0"),"Standaard")</f>
        <v>0</v>
      </c>
      <c r="AN75" t="str">
        <f>TEXT(Totaal!$M$2,"0")</f>
        <v>0</v>
      </c>
      <c r="AO75" t="e">
        <f>TEXT(TEXT(MEDIAN(Totaal!$M$3:$M$102),"0,0"),"Standaard")</f>
        <v>#NUM!</v>
      </c>
      <c r="AP75" t="str">
        <f>Totaal!N$1</f>
        <v>J</v>
      </c>
      <c r="AQ75" t="str">
        <f>TEXT(TEXT(Totaal!$N75,"0,0"),"Standaard")</f>
        <v>0</v>
      </c>
      <c r="AR75" t="str">
        <f>TEXT(Totaal!$N$2,"0")</f>
        <v>0</v>
      </c>
      <c r="AS75" t="e">
        <f>TEXT(TEXT(MEDIAN(Totaal!$N$3:$N$102),"0,0"),"Standaard")</f>
        <v>#NUM!</v>
      </c>
      <c r="AT75" t="str">
        <f>Totaal!O$1</f>
        <v>K</v>
      </c>
      <c r="AU75" t="str">
        <f>TEXT(TEXT(Totaal!$O75,"0,0"),"Standaard")</f>
        <v>0</v>
      </c>
      <c r="AV75" t="str">
        <f>TEXT(Totaal!$O$2,"0")</f>
        <v>0</v>
      </c>
      <c r="AW75" t="e">
        <f>TEXT(TEXT(MEDIAN(Totaal!$O$3:$O$102),"0,0"),"Standaard")</f>
        <v>#NUM!</v>
      </c>
      <c r="AX75" t="str">
        <f>Totaal!P$1</f>
        <v>L</v>
      </c>
      <c r="AY75" t="str">
        <f>TEXT(TEXT(Totaal!$P75,"0,0"),"Standaard")</f>
        <v>0</v>
      </c>
      <c r="AZ75" t="str">
        <f>TEXT(Totaal!$P$2,"0")</f>
        <v>0</v>
      </c>
      <c r="BA75" t="e">
        <f>TEXT(TEXT(MEDIAN(Totaal!$P$3:$P$102),"0,0"),"Standaard")</f>
        <v>#NUM!</v>
      </c>
      <c r="BB75" t="str">
        <f>Totaal!Q$1</f>
        <v>M</v>
      </c>
      <c r="BC75" t="str">
        <f>TEXT(TEXT(Totaal!$Q75,"0,0"),"Standaard")</f>
        <v>0</v>
      </c>
      <c r="BD75" t="str">
        <f>TEXT(Totaal!$Q$2,"0")</f>
        <v>0</v>
      </c>
      <c r="BE75" t="e">
        <f>TEXT(TEXT(MEDIAN(Totaal!$Q$3:$Q$102),"0,0"),"Standaard")</f>
        <v>#NUM!</v>
      </c>
      <c r="BF75" t="str">
        <f>Totaal!R$1</f>
        <v>N</v>
      </c>
      <c r="BG75" t="str">
        <f>TEXT(TEXT(Totaal!$R75,"0,0"),"Standaard")</f>
        <v>0</v>
      </c>
      <c r="BH75" t="str">
        <f>TEXT(Totaal!$R$2,"0")</f>
        <v>0</v>
      </c>
      <c r="BI75" t="e">
        <f>TEXT(TEXT(MEDIAN(Totaal!$R$3:$R$102),"0,0"),"Standaard")</f>
        <v>#NUM!</v>
      </c>
      <c r="BJ75" t="str">
        <f>Totaal!S$1</f>
        <v>O</v>
      </c>
      <c r="BK75" t="str">
        <f>TEXT(TEXT(Totaal!$S75,"0,0"),"Standaard")</f>
        <v>0</v>
      </c>
      <c r="BL75" t="str">
        <f>TEXT(Totaal!$S$2,"0")</f>
        <v>0</v>
      </c>
      <c r="BM75" t="e">
        <f>TEXT(TEXT(MEDIAN(Totaal!$S$3:$S$102),"0,0"),"Standaard")</f>
        <v>#NUM!</v>
      </c>
      <c r="BN75" t="str">
        <f>Totaal!T$1</f>
        <v>P</v>
      </c>
      <c r="BO75" t="str">
        <f>TEXT(TEXT(Totaal!$T75,"0,0"),"Standaard")</f>
        <v>0</v>
      </c>
      <c r="BP75" t="str">
        <f>TEXT(Totaal!$T$2,"0")</f>
        <v>0</v>
      </c>
      <c r="BQ75" t="e">
        <f>TEXT(TEXT(MEDIAN(Totaal!$T$3:$T$102),"0,0"),"Standaard")</f>
        <v>#NUM!</v>
      </c>
      <c r="BR75" t="str">
        <f>IF(Totaal!U75="","",Totaal!U75)</f>
        <v/>
      </c>
    </row>
    <row r="76" spans="1:70">
      <c r="A76">
        <f>Totaal!A76</f>
        <v>74</v>
      </c>
      <c r="B76" s="22" t="str">
        <f>IF(Totaal!B76="","",Totaal!B76)</f>
        <v/>
      </c>
      <c r="C76" s="8" t="e">
        <f>TEXT(TEXT(Totaal!C76,"0,0"),"Standaard")</f>
        <v>#DIV/0!</v>
      </c>
      <c r="D76" s="8" t="str">
        <f>TEXT(Totaal!C$2,"0")</f>
        <v>100</v>
      </c>
      <c r="E76" s="22" t="e">
        <f>TEXT(TEXT(SUM(Totaal!C$3:C$102)/COUNTIF(Totaal!C$3:C$102,"&lt;&gt;0"),"0,0"),"Standaard")</f>
        <v>#DIV/0!</v>
      </c>
      <c r="F76" t="str">
        <f>Totaal!E$1</f>
        <v>A</v>
      </c>
      <c r="G76" t="str">
        <f>TEXT(TEXT(Totaal!E76,"0,0"),"Standaard")</f>
        <v>0</v>
      </c>
      <c r="H76" t="str">
        <f>TEXT(Totaal!E$2,"0")</f>
        <v>0</v>
      </c>
      <c r="I76" t="e">
        <f>TEXT(TEXT(MEDIAN(Totaal!E$3:E$102),"0,0"),"Standaard")</f>
        <v>#NUM!</v>
      </c>
      <c r="J76" t="str">
        <f>Totaal!F$1</f>
        <v>B</v>
      </c>
      <c r="K76" t="str">
        <f>TEXT(TEXT(Totaal!$F76,"0,0"),"Standaard")</f>
        <v>0</v>
      </c>
      <c r="L76" t="str">
        <f>TEXT(Totaal!F$2,"0")</f>
        <v>0</v>
      </c>
      <c r="M76" t="e">
        <f>TEXT(TEXT(MEDIAN(Totaal!$F$3:$F$102),"0,0"),"Standaard")</f>
        <v>#NUM!</v>
      </c>
      <c r="N76" t="str">
        <f>Totaal!G$1</f>
        <v>C</v>
      </c>
      <c r="O76" t="str">
        <f>TEXT(TEXT(Totaal!$G76,"0,0"),"Standaard")</f>
        <v>0</v>
      </c>
      <c r="P76" t="str">
        <f>TEXT(Totaal!$G$2,"0")</f>
        <v>0</v>
      </c>
      <c r="Q76" t="e">
        <f>TEXT(TEXT(MEDIAN(Totaal!$G$3:$G$102),"0,0"),"Standaard")</f>
        <v>#NUM!</v>
      </c>
      <c r="R76" t="str">
        <f>Totaal!H$1</f>
        <v>D</v>
      </c>
      <c r="S76" t="str">
        <f>TEXT(TEXT(Totaal!$H76,"0,0"),"Standaard")</f>
        <v>0</v>
      </c>
      <c r="T76" t="str">
        <f>TEXT(Totaal!$H$2,"0")</f>
        <v>0</v>
      </c>
      <c r="U76" t="e">
        <f>TEXT(TEXT(MEDIAN(Totaal!$H$3:$H$102),"0,0"),"Standaard")</f>
        <v>#NUM!</v>
      </c>
      <c r="V76" t="str">
        <f>Totaal!I$1</f>
        <v>E</v>
      </c>
      <c r="W76" t="str">
        <f>TEXT(TEXT(Totaal!$I76,"0,0"),"Standaard")</f>
        <v>0</v>
      </c>
      <c r="X76" t="str">
        <f>TEXT(Totaal!$I$2,"0")</f>
        <v>0</v>
      </c>
      <c r="Y76" t="e">
        <f>TEXT(TEXT(MEDIAN(Totaal!$I$3:$I$102),"0,0"),"Standaard")</f>
        <v>#NUM!</v>
      </c>
      <c r="Z76" t="str">
        <f>Totaal!J$1</f>
        <v>F</v>
      </c>
      <c r="AA76" t="str">
        <f>TEXT(TEXT(Totaal!$J76,"0,0"),"Standaard")</f>
        <v>0</v>
      </c>
      <c r="AB76" t="str">
        <f>TEXT(Totaal!$J$2,"0")</f>
        <v>0</v>
      </c>
      <c r="AC76" t="e">
        <f>TEXT(TEXT(MEDIAN(Totaal!$J$3:$J$102),"0,0"),"Standaard")</f>
        <v>#NUM!</v>
      </c>
      <c r="AD76" t="str">
        <f>Totaal!K$1</f>
        <v>G</v>
      </c>
      <c r="AE76" t="str">
        <f>TEXT(TEXT(Totaal!$K76,"0,0"),"Standaard")</f>
        <v>0</v>
      </c>
      <c r="AF76" t="str">
        <f>TEXT(Totaal!$K$2,"0")</f>
        <v>0</v>
      </c>
      <c r="AG76" t="e">
        <f>TEXT(TEXT(MEDIAN(Totaal!$K$3:$K$102),"0,0"),"Standaard")</f>
        <v>#NUM!</v>
      </c>
      <c r="AH76" t="str">
        <f>Totaal!L$1</f>
        <v>H</v>
      </c>
      <c r="AI76" t="str">
        <f>TEXT(TEXT(Totaal!$L76,"0,0"),"Standaard")</f>
        <v>0</v>
      </c>
      <c r="AJ76" t="str">
        <f>TEXT(Totaal!$L$2,"0")</f>
        <v>0</v>
      </c>
      <c r="AK76" t="e">
        <f>TEXT(TEXT(MEDIAN(Totaal!$L$3:$L$102),"0,0"),"Standaard")</f>
        <v>#NUM!</v>
      </c>
      <c r="AL76" t="str">
        <f>Totaal!M$1</f>
        <v>I</v>
      </c>
      <c r="AM76" t="str">
        <f>TEXT(TEXT(Totaal!$M76,"0,0"),"Standaard")</f>
        <v>0</v>
      </c>
      <c r="AN76" t="str">
        <f>TEXT(Totaal!$M$2,"0")</f>
        <v>0</v>
      </c>
      <c r="AO76" t="e">
        <f>TEXT(TEXT(MEDIAN(Totaal!$M$3:$M$102),"0,0"),"Standaard")</f>
        <v>#NUM!</v>
      </c>
      <c r="AP76" t="str">
        <f>Totaal!N$1</f>
        <v>J</v>
      </c>
      <c r="AQ76" t="str">
        <f>TEXT(TEXT(Totaal!$N76,"0,0"),"Standaard")</f>
        <v>0</v>
      </c>
      <c r="AR76" t="str">
        <f>TEXT(Totaal!$N$2,"0")</f>
        <v>0</v>
      </c>
      <c r="AS76" t="e">
        <f>TEXT(TEXT(MEDIAN(Totaal!$N$3:$N$102),"0,0"),"Standaard")</f>
        <v>#NUM!</v>
      </c>
      <c r="AT76" t="str">
        <f>Totaal!O$1</f>
        <v>K</v>
      </c>
      <c r="AU76" t="str">
        <f>TEXT(TEXT(Totaal!$O76,"0,0"),"Standaard")</f>
        <v>0</v>
      </c>
      <c r="AV76" t="str">
        <f>TEXT(Totaal!$O$2,"0")</f>
        <v>0</v>
      </c>
      <c r="AW76" t="e">
        <f>TEXT(TEXT(MEDIAN(Totaal!$O$3:$O$102),"0,0"),"Standaard")</f>
        <v>#NUM!</v>
      </c>
      <c r="AX76" t="str">
        <f>Totaal!P$1</f>
        <v>L</v>
      </c>
      <c r="AY76" t="str">
        <f>TEXT(TEXT(Totaal!$P76,"0,0"),"Standaard")</f>
        <v>0</v>
      </c>
      <c r="AZ76" t="str">
        <f>TEXT(Totaal!$P$2,"0")</f>
        <v>0</v>
      </c>
      <c r="BA76" t="e">
        <f>TEXT(TEXT(MEDIAN(Totaal!$P$3:$P$102),"0,0"),"Standaard")</f>
        <v>#NUM!</v>
      </c>
      <c r="BB76" t="str">
        <f>Totaal!Q$1</f>
        <v>M</v>
      </c>
      <c r="BC76" t="str">
        <f>TEXT(TEXT(Totaal!$Q76,"0,0"),"Standaard")</f>
        <v>0</v>
      </c>
      <c r="BD76" t="str">
        <f>TEXT(Totaal!$Q$2,"0")</f>
        <v>0</v>
      </c>
      <c r="BE76" t="e">
        <f>TEXT(TEXT(MEDIAN(Totaal!$Q$3:$Q$102),"0,0"),"Standaard")</f>
        <v>#NUM!</v>
      </c>
      <c r="BF76" t="str">
        <f>Totaal!R$1</f>
        <v>N</v>
      </c>
      <c r="BG76" t="str">
        <f>TEXT(TEXT(Totaal!$R76,"0,0"),"Standaard")</f>
        <v>0</v>
      </c>
      <c r="BH76" t="str">
        <f>TEXT(Totaal!$R$2,"0")</f>
        <v>0</v>
      </c>
      <c r="BI76" t="e">
        <f>TEXT(TEXT(MEDIAN(Totaal!$R$3:$R$102),"0,0"),"Standaard")</f>
        <v>#NUM!</v>
      </c>
      <c r="BJ76" t="str">
        <f>Totaal!S$1</f>
        <v>O</v>
      </c>
      <c r="BK76" t="str">
        <f>TEXT(TEXT(Totaal!$S76,"0,0"),"Standaard")</f>
        <v>0</v>
      </c>
      <c r="BL76" t="str">
        <f>TEXT(Totaal!$S$2,"0")</f>
        <v>0</v>
      </c>
      <c r="BM76" t="e">
        <f>TEXT(TEXT(MEDIAN(Totaal!$S$3:$S$102),"0,0"),"Standaard")</f>
        <v>#NUM!</v>
      </c>
      <c r="BN76" t="str">
        <f>Totaal!T$1</f>
        <v>P</v>
      </c>
      <c r="BO76" t="str">
        <f>TEXT(TEXT(Totaal!$T76,"0,0"),"Standaard")</f>
        <v>0</v>
      </c>
      <c r="BP76" t="str">
        <f>TEXT(Totaal!$T$2,"0")</f>
        <v>0</v>
      </c>
      <c r="BQ76" t="e">
        <f>TEXT(TEXT(MEDIAN(Totaal!$T$3:$T$102),"0,0"),"Standaard")</f>
        <v>#NUM!</v>
      </c>
      <c r="BR76" t="str">
        <f>IF(Totaal!U76="","",Totaal!U76)</f>
        <v/>
      </c>
    </row>
    <row r="77" spans="1:70">
      <c r="A77">
        <f>Totaal!A77</f>
        <v>75</v>
      </c>
      <c r="B77" s="22" t="str">
        <f>IF(Totaal!B77="","",Totaal!B77)</f>
        <v/>
      </c>
      <c r="C77" s="8" t="e">
        <f>TEXT(TEXT(Totaal!C77,"0,0"),"Standaard")</f>
        <v>#DIV/0!</v>
      </c>
      <c r="D77" s="8" t="str">
        <f>TEXT(Totaal!C$2,"0")</f>
        <v>100</v>
      </c>
      <c r="E77" s="22" t="e">
        <f>TEXT(TEXT(SUM(Totaal!C$3:C$102)/COUNTIF(Totaal!C$3:C$102,"&lt;&gt;0"),"0,0"),"Standaard")</f>
        <v>#DIV/0!</v>
      </c>
      <c r="F77" t="str">
        <f>Totaal!E$1</f>
        <v>A</v>
      </c>
      <c r="G77" t="str">
        <f>TEXT(TEXT(Totaal!E77,"0,0"),"Standaard")</f>
        <v>0</v>
      </c>
      <c r="H77" t="str">
        <f>TEXT(Totaal!E$2,"0")</f>
        <v>0</v>
      </c>
      <c r="I77" t="e">
        <f>TEXT(TEXT(MEDIAN(Totaal!E$3:E$102),"0,0"),"Standaard")</f>
        <v>#NUM!</v>
      </c>
      <c r="J77" t="str">
        <f>Totaal!F$1</f>
        <v>B</v>
      </c>
      <c r="K77" t="str">
        <f>TEXT(TEXT(Totaal!$F77,"0,0"),"Standaard")</f>
        <v>0</v>
      </c>
      <c r="L77" t="str">
        <f>TEXT(Totaal!F$2,"0")</f>
        <v>0</v>
      </c>
      <c r="M77" t="e">
        <f>TEXT(TEXT(MEDIAN(Totaal!$F$3:$F$102),"0,0"),"Standaard")</f>
        <v>#NUM!</v>
      </c>
      <c r="N77" t="str">
        <f>Totaal!G$1</f>
        <v>C</v>
      </c>
      <c r="O77" t="str">
        <f>TEXT(TEXT(Totaal!$G77,"0,0"),"Standaard")</f>
        <v>0</v>
      </c>
      <c r="P77" t="str">
        <f>TEXT(Totaal!$G$2,"0")</f>
        <v>0</v>
      </c>
      <c r="Q77" t="e">
        <f>TEXT(TEXT(MEDIAN(Totaal!$G$3:$G$102),"0,0"),"Standaard")</f>
        <v>#NUM!</v>
      </c>
      <c r="R77" t="str">
        <f>Totaal!H$1</f>
        <v>D</v>
      </c>
      <c r="S77" t="str">
        <f>TEXT(TEXT(Totaal!$H77,"0,0"),"Standaard")</f>
        <v>0</v>
      </c>
      <c r="T77" t="str">
        <f>TEXT(Totaal!$H$2,"0")</f>
        <v>0</v>
      </c>
      <c r="U77" t="e">
        <f>TEXT(TEXT(MEDIAN(Totaal!$H$3:$H$102),"0,0"),"Standaard")</f>
        <v>#NUM!</v>
      </c>
      <c r="V77" t="str">
        <f>Totaal!I$1</f>
        <v>E</v>
      </c>
      <c r="W77" t="str">
        <f>TEXT(TEXT(Totaal!$I77,"0,0"),"Standaard")</f>
        <v>0</v>
      </c>
      <c r="X77" t="str">
        <f>TEXT(Totaal!$I$2,"0")</f>
        <v>0</v>
      </c>
      <c r="Y77" t="e">
        <f>TEXT(TEXT(MEDIAN(Totaal!$I$3:$I$102),"0,0"),"Standaard")</f>
        <v>#NUM!</v>
      </c>
      <c r="Z77" t="str">
        <f>Totaal!J$1</f>
        <v>F</v>
      </c>
      <c r="AA77" t="str">
        <f>TEXT(TEXT(Totaal!$J77,"0,0"),"Standaard")</f>
        <v>0</v>
      </c>
      <c r="AB77" t="str">
        <f>TEXT(Totaal!$J$2,"0")</f>
        <v>0</v>
      </c>
      <c r="AC77" t="e">
        <f>TEXT(TEXT(MEDIAN(Totaal!$J$3:$J$102),"0,0"),"Standaard")</f>
        <v>#NUM!</v>
      </c>
      <c r="AD77" t="str">
        <f>Totaal!K$1</f>
        <v>G</v>
      </c>
      <c r="AE77" t="str">
        <f>TEXT(TEXT(Totaal!$K77,"0,0"),"Standaard")</f>
        <v>0</v>
      </c>
      <c r="AF77" t="str">
        <f>TEXT(Totaal!$K$2,"0")</f>
        <v>0</v>
      </c>
      <c r="AG77" t="e">
        <f>TEXT(TEXT(MEDIAN(Totaal!$K$3:$K$102),"0,0"),"Standaard")</f>
        <v>#NUM!</v>
      </c>
      <c r="AH77" t="str">
        <f>Totaal!L$1</f>
        <v>H</v>
      </c>
      <c r="AI77" t="str">
        <f>TEXT(TEXT(Totaal!$L77,"0,0"),"Standaard")</f>
        <v>0</v>
      </c>
      <c r="AJ77" t="str">
        <f>TEXT(Totaal!$L$2,"0")</f>
        <v>0</v>
      </c>
      <c r="AK77" t="e">
        <f>TEXT(TEXT(MEDIAN(Totaal!$L$3:$L$102),"0,0"),"Standaard")</f>
        <v>#NUM!</v>
      </c>
      <c r="AL77" t="str">
        <f>Totaal!M$1</f>
        <v>I</v>
      </c>
      <c r="AM77" t="str">
        <f>TEXT(TEXT(Totaal!$M77,"0,0"),"Standaard")</f>
        <v>0</v>
      </c>
      <c r="AN77" t="str">
        <f>TEXT(Totaal!$M$2,"0")</f>
        <v>0</v>
      </c>
      <c r="AO77" t="e">
        <f>TEXT(TEXT(MEDIAN(Totaal!$M$3:$M$102),"0,0"),"Standaard")</f>
        <v>#NUM!</v>
      </c>
      <c r="AP77" t="str">
        <f>Totaal!N$1</f>
        <v>J</v>
      </c>
      <c r="AQ77" t="str">
        <f>TEXT(TEXT(Totaal!$N77,"0,0"),"Standaard")</f>
        <v>0</v>
      </c>
      <c r="AR77" t="str">
        <f>TEXT(Totaal!$N$2,"0")</f>
        <v>0</v>
      </c>
      <c r="AS77" t="e">
        <f>TEXT(TEXT(MEDIAN(Totaal!$N$3:$N$102),"0,0"),"Standaard")</f>
        <v>#NUM!</v>
      </c>
      <c r="AT77" t="str">
        <f>Totaal!O$1</f>
        <v>K</v>
      </c>
      <c r="AU77" t="str">
        <f>TEXT(TEXT(Totaal!$O77,"0,0"),"Standaard")</f>
        <v>0</v>
      </c>
      <c r="AV77" t="str">
        <f>TEXT(Totaal!$O$2,"0")</f>
        <v>0</v>
      </c>
      <c r="AW77" t="e">
        <f>TEXT(TEXT(MEDIAN(Totaal!$O$3:$O$102),"0,0"),"Standaard")</f>
        <v>#NUM!</v>
      </c>
      <c r="AX77" t="str">
        <f>Totaal!P$1</f>
        <v>L</v>
      </c>
      <c r="AY77" t="str">
        <f>TEXT(TEXT(Totaal!$P77,"0,0"),"Standaard")</f>
        <v>0</v>
      </c>
      <c r="AZ77" t="str">
        <f>TEXT(Totaal!$P$2,"0")</f>
        <v>0</v>
      </c>
      <c r="BA77" t="e">
        <f>TEXT(TEXT(MEDIAN(Totaal!$P$3:$P$102),"0,0"),"Standaard")</f>
        <v>#NUM!</v>
      </c>
      <c r="BB77" t="str">
        <f>Totaal!Q$1</f>
        <v>M</v>
      </c>
      <c r="BC77" t="str">
        <f>TEXT(TEXT(Totaal!$Q77,"0,0"),"Standaard")</f>
        <v>0</v>
      </c>
      <c r="BD77" t="str">
        <f>TEXT(Totaal!$Q$2,"0")</f>
        <v>0</v>
      </c>
      <c r="BE77" t="e">
        <f>TEXT(TEXT(MEDIAN(Totaal!$Q$3:$Q$102),"0,0"),"Standaard")</f>
        <v>#NUM!</v>
      </c>
      <c r="BF77" t="str">
        <f>Totaal!R$1</f>
        <v>N</v>
      </c>
      <c r="BG77" t="str">
        <f>TEXT(TEXT(Totaal!$R77,"0,0"),"Standaard")</f>
        <v>0</v>
      </c>
      <c r="BH77" t="str">
        <f>TEXT(Totaal!$R$2,"0")</f>
        <v>0</v>
      </c>
      <c r="BI77" t="e">
        <f>TEXT(TEXT(MEDIAN(Totaal!$R$3:$R$102),"0,0"),"Standaard")</f>
        <v>#NUM!</v>
      </c>
      <c r="BJ77" t="str">
        <f>Totaal!S$1</f>
        <v>O</v>
      </c>
      <c r="BK77" t="str">
        <f>TEXT(TEXT(Totaal!$S77,"0,0"),"Standaard")</f>
        <v>0</v>
      </c>
      <c r="BL77" t="str">
        <f>TEXT(Totaal!$S$2,"0")</f>
        <v>0</v>
      </c>
      <c r="BM77" t="e">
        <f>TEXT(TEXT(MEDIAN(Totaal!$S$3:$S$102),"0,0"),"Standaard")</f>
        <v>#NUM!</v>
      </c>
      <c r="BN77" t="str">
        <f>Totaal!T$1</f>
        <v>P</v>
      </c>
      <c r="BO77" t="str">
        <f>TEXT(TEXT(Totaal!$T77,"0,0"),"Standaard")</f>
        <v>0</v>
      </c>
      <c r="BP77" t="str">
        <f>TEXT(Totaal!$T$2,"0")</f>
        <v>0</v>
      </c>
      <c r="BQ77" t="e">
        <f>TEXT(TEXT(MEDIAN(Totaal!$T$3:$T$102),"0,0"),"Standaard")</f>
        <v>#NUM!</v>
      </c>
      <c r="BR77" t="str">
        <f>IF(Totaal!U77="","",Totaal!U77)</f>
        <v/>
      </c>
    </row>
    <row r="78" spans="1:70">
      <c r="A78">
        <f>Totaal!A78</f>
        <v>76</v>
      </c>
      <c r="B78" s="22" t="str">
        <f>IF(Totaal!B78="","",Totaal!B78)</f>
        <v/>
      </c>
      <c r="C78" s="8" t="e">
        <f>TEXT(TEXT(Totaal!C78,"0,0"),"Standaard")</f>
        <v>#DIV/0!</v>
      </c>
      <c r="D78" s="8" t="str">
        <f>TEXT(Totaal!C$2,"0")</f>
        <v>100</v>
      </c>
      <c r="E78" s="22" t="e">
        <f>TEXT(TEXT(SUM(Totaal!C$3:C$102)/COUNTIF(Totaal!C$3:C$102,"&lt;&gt;0"),"0,0"),"Standaard")</f>
        <v>#DIV/0!</v>
      </c>
      <c r="F78" t="str">
        <f>Totaal!E$1</f>
        <v>A</v>
      </c>
      <c r="G78" t="str">
        <f>TEXT(TEXT(Totaal!E78,"0,0"),"Standaard")</f>
        <v>0</v>
      </c>
      <c r="H78" t="str">
        <f>TEXT(Totaal!E$2,"0")</f>
        <v>0</v>
      </c>
      <c r="I78" t="e">
        <f>TEXT(TEXT(MEDIAN(Totaal!E$3:E$102),"0,0"),"Standaard")</f>
        <v>#NUM!</v>
      </c>
      <c r="J78" t="str">
        <f>Totaal!F$1</f>
        <v>B</v>
      </c>
      <c r="K78" t="str">
        <f>TEXT(TEXT(Totaal!$F78,"0,0"),"Standaard")</f>
        <v>0</v>
      </c>
      <c r="L78" t="str">
        <f>TEXT(Totaal!F$2,"0")</f>
        <v>0</v>
      </c>
      <c r="M78" t="e">
        <f>TEXT(TEXT(MEDIAN(Totaal!$F$3:$F$102),"0,0"),"Standaard")</f>
        <v>#NUM!</v>
      </c>
      <c r="N78" t="str">
        <f>Totaal!G$1</f>
        <v>C</v>
      </c>
      <c r="O78" t="str">
        <f>TEXT(TEXT(Totaal!$G78,"0,0"),"Standaard")</f>
        <v>0</v>
      </c>
      <c r="P78" t="str">
        <f>TEXT(Totaal!$G$2,"0")</f>
        <v>0</v>
      </c>
      <c r="Q78" t="e">
        <f>TEXT(TEXT(MEDIAN(Totaal!$G$3:$G$102),"0,0"),"Standaard")</f>
        <v>#NUM!</v>
      </c>
      <c r="R78" t="str">
        <f>Totaal!H$1</f>
        <v>D</v>
      </c>
      <c r="S78" t="str">
        <f>TEXT(TEXT(Totaal!$H78,"0,0"),"Standaard")</f>
        <v>0</v>
      </c>
      <c r="T78" t="str">
        <f>TEXT(Totaal!$H$2,"0")</f>
        <v>0</v>
      </c>
      <c r="U78" t="e">
        <f>TEXT(TEXT(MEDIAN(Totaal!$H$3:$H$102),"0,0"),"Standaard")</f>
        <v>#NUM!</v>
      </c>
      <c r="V78" t="str">
        <f>Totaal!I$1</f>
        <v>E</v>
      </c>
      <c r="W78" t="str">
        <f>TEXT(TEXT(Totaal!$I78,"0,0"),"Standaard")</f>
        <v>0</v>
      </c>
      <c r="X78" t="str">
        <f>TEXT(Totaal!$I$2,"0")</f>
        <v>0</v>
      </c>
      <c r="Y78" t="e">
        <f>TEXT(TEXT(MEDIAN(Totaal!$I$3:$I$102),"0,0"),"Standaard")</f>
        <v>#NUM!</v>
      </c>
      <c r="Z78" t="str">
        <f>Totaal!J$1</f>
        <v>F</v>
      </c>
      <c r="AA78" t="str">
        <f>TEXT(TEXT(Totaal!$J78,"0,0"),"Standaard")</f>
        <v>0</v>
      </c>
      <c r="AB78" t="str">
        <f>TEXT(Totaal!$J$2,"0")</f>
        <v>0</v>
      </c>
      <c r="AC78" t="e">
        <f>TEXT(TEXT(MEDIAN(Totaal!$J$3:$J$102),"0,0"),"Standaard")</f>
        <v>#NUM!</v>
      </c>
      <c r="AD78" t="str">
        <f>Totaal!K$1</f>
        <v>G</v>
      </c>
      <c r="AE78" t="str">
        <f>TEXT(TEXT(Totaal!$K78,"0,0"),"Standaard")</f>
        <v>0</v>
      </c>
      <c r="AF78" t="str">
        <f>TEXT(Totaal!$K$2,"0")</f>
        <v>0</v>
      </c>
      <c r="AG78" t="e">
        <f>TEXT(TEXT(MEDIAN(Totaal!$K$3:$K$102),"0,0"),"Standaard")</f>
        <v>#NUM!</v>
      </c>
      <c r="AH78" t="str">
        <f>Totaal!L$1</f>
        <v>H</v>
      </c>
      <c r="AI78" t="str">
        <f>TEXT(TEXT(Totaal!$L78,"0,0"),"Standaard")</f>
        <v>0</v>
      </c>
      <c r="AJ78" t="str">
        <f>TEXT(Totaal!$L$2,"0")</f>
        <v>0</v>
      </c>
      <c r="AK78" t="e">
        <f>TEXT(TEXT(MEDIAN(Totaal!$L$3:$L$102),"0,0"),"Standaard")</f>
        <v>#NUM!</v>
      </c>
      <c r="AL78" t="str">
        <f>Totaal!M$1</f>
        <v>I</v>
      </c>
      <c r="AM78" t="str">
        <f>TEXT(TEXT(Totaal!$M78,"0,0"),"Standaard")</f>
        <v>0</v>
      </c>
      <c r="AN78" t="str">
        <f>TEXT(Totaal!$M$2,"0")</f>
        <v>0</v>
      </c>
      <c r="AO78" t="e">
        <f>TEXT(TEXT(MEDIAN(Totaal!$M$3:$M$102),"0,0"),"Standaard")</f>
        <v>#NUM!</v>
      </c>
      <c r="AP78" t="str">
        <f>Totaal!N$1</f>
        <v>J</v>
      </c>
      <c r="AQ78" t="str">
        <f>TEXT(TEXT(Totaal!$N78,"0,0"),"Standaard")</f>
        <v>0</v>
      </c>
      <c r="AR78" t="str">
        <f>TEXT(Totaal!$N$2,"0")</f>
        <v>0</v>
      </c>
      <c r="AS78" t="e">
        <f>TEXT(TEXT(MEDIAN(Totaal!$N$3:$N$102),"0,0"),"Standaard")</f>
        <v>#NUM!</v>
      </c>
      <c r="AT78" t="str">
        <f>Totaal!O$1</f>
        <v>K</v>
      </c>
      <c r="AU78" t="str">
        <f>TEXT(TEXT(Totaal!$O78,"0,0"),"Standaard")</f>
        <v>0</v>
      </c>
      <c r="AV78" t="str">
        <f>TEXT(Totaal!$O$2,"0")</f>
        <v>0</v>
      </c>
      <c r="AW78" t="e">
        <f>TEXT(TEXT(MEDIAN(Totaal!$O$3:$O$102),"0,0"),"Standaard")</f>
        <v>#NUM!</v>
      </c>
      <c r="AX78" t="str">
        <f>Totaal!P$1</f>
        <v>L</v>
      </c>
      <c r="AY78" t="str">
        <f>TEXT(TEXT(Totaal!$P78,"0,0"),"Standaard")</f>
        <v>0</v>
      </c>
      <c r="AZ78" t="str">
        <f>TEXT(Totaal!$P$2,"0")</f>
        <v>0</v>
      </c>
      <c r="BA78" t="e">
        <f>TEXT(TEXT(MEDIAN(Totaal!$P$3:$P$102),"0,0"),"Standaard")</f>
        <v>#NUM!</v>
      </c>
      <c r="BB78" t="str">
        <f>Totaal!Q$1</f>
        <v>M</v>
      </c>
      <c r="BC78" t="str">
        <f>TEXT(TEXT(Totaal!$Q78,"0,0"),"Standaard")</f>
        <v>0</v>
      </c>
      <c r="BD78" t="str">
        <f>TEXT(Totaal!$Q$2,"0")</f>
        <v>0</v>
      </c>
      <c r="BE78" t="e">
        <f>TEXT(TEXT(MEDIAN(Totaal!$Q$3:$Q$102),"0,0"),"Standaard")</f>
        <v>#NUM!</v>
      </c>
      <c r="BF78" t="str">
        <f>Totaal!R$1</f>
        <v>N</v>
      </c>
      <c r="BG78" t="str">
        <f>TEXT(TEXT(Totaal!$R78,"0,0"),"Standaard")</f>
        <v>0</v>
      </c>
      <c r="BH78" t="str">
        <f>TEXT(Totaal!$R$2,"0")</f>
        <v>0</v>
      </c>
      <c r="BI78" t="e">
        <f>TEXT(TEXT(MEDIAN(Totaal!$R$3:$R$102),"0,0"),"Standaard")</f>
        <v>#NUM!</v>
      </c>
      <c r="BJ78" t="str">
        <f>Totaal!S$1</f>
        <v>O</v>
      </c>
      <c r="BK78" t="str">
        <f>TEXT(TEXT(Totaal!$S78,"0,0"),"Standaard")</f>
        <v>0</v>
      </c>
      <c r="BL78" t="str">
        <f>TEXT(Totaal!$S$2,"0")</f>
        <v>0</v>
      </c>
      <c r="BM78" t="e">
        <f>TEXT(TEXT(MEDIAN(Totaal!$S$3:$S$102),"0,0"),"Standaard")</f>
        <v>#NUM!</v>
      </c>
      <c r="BN78" t="str">
        <f>Totaal!T$1</f>
        <v>P</v>
      </c>
      <c r="BO78" t="str">
        <f>TEXT(TEXT(Totaal!$T78,"0,0"),"Standaard")</f>
        <v>0</v>
      </c>
      <c r="BP78" t="str">
        <f>TEXT(Totaal!$T$2,"0")</f>
        <v>0</v>
      </c>
      <c r="BQ78" t="e">
        <f>TEXT(TEXT(MEDIAN(Totaal!$T$3:$T$102),"0,0"),"Standaard")</f>
        <v>#NUM!</v>
      </c>
      <c r="BR78" t="str">
        <f>IF(Totaal!U78="","",Totaal!U78)</f>
        <v/>
      </c>
    </row>
    <row r="79" spans="1:70">
      <c r="A79">
        <f>Totaal!A79</f>
        <v>77</v>
      </c>
      <c r="B79" s="22" t="str">
        <f>IF(Totaal!B79="","",Totaal!B79)</f>
        <v/>
      </c>
      <c r="C79" s="8" t="e">
        <f>TEXT(TEXT(Totaal!C79,"0,0"),"Standaard")</f>
        <v>#DIV/0!</v>
      </c>
      <c r="D79" s="8" t="str">
        <f>TEXT(Totaal!C$2,"0")</f>
        <v>100</v>
      </c>
      <c r="E79" s="22" t="e">
        <f>TEXT(TEXT(SUM(Totaal!C$3:C$102)/COUNTIF(Totaal!C$3:C$102,"&lt;&gt;0"),"0,0"),"Standaard")</f>
        <v>#DIV/0!</v>
      </c>
      <c r="F79" t="str">
        <f>Totaal!E$1</f>
        <v>A</v>
      </c>
      <c r="G79" t="str">
        <f>TEXT(TEXT(Totaal!E79,"0,0"),"Standaard")</f>
        <v>0</v>
      </c>
      <c r="H79" t="str">
        <f>TEXT(Totaal!E$2,"0")</f>
        <v>0</v>
      </c>
      <c r="I79" t="e">
        <f>TEXT(TEXT(MEDIAN(Totaal!E$3:E$102),"0,0"),"Standaard")</f>
        <v>#NUM!</v>
      </c>
      <c r="J79" t="str">
        <f>Totaal!F$1</f>
        <v>B</v>
      </c>
      <c r="K79" t="str">
        <f>TEXT(TEXT(Totaal!$F79,"0,0"),"Standaard")</f>
        <v>0</v>
      </c>
      <c r="L79" t="str">
        <f>TEXT(Totaal!F$2,"0")</f>
        <v>0</v>
      </c>
      <c r="M79" t="e">
        <f>TEXT(TEXT(MEDIAN(Totaal!$F$3:$F$102),"0,0"),"Standaard")</f>
        <v>#NUM!</v>
      </c>
      <c r="N79" t="str">
        <f>Totaal!G$1</f>
        <v>C</v>
      </c>
      <c r="O79" t="str">
        <f>TEXT(TEXT(Totaal!$G79,"0,0"),"Standaard")</f>
        <v>0</v>
      </c>
      <c r="P79" t="str">
        <f>TEXT(Totaal!$G$2,"0")</f>
        <v>0</v>
      </c>
      <c r="Q79" t="e">
        <f>TEXT(TEXT(MEDIAN(Totaal!$G$3:$G$102),"0,0"),"Standaard")</f>
        <v>#NUM!</v>
      </c>
      <c r="R79" t="str">
        <f>Totaal!H$1</f>
        <v>D</v>
      </c>
      <c r="S79" t="str">
        <f>TEXT(TEXT(Totaal!$H79,"0,0"),"Standaard")</f>
        <v>0</v>
      </c>
      <c r="T79" t="str">
        <f>TEXT(Totaal!$H$2,"0")</f>
        <v>0</v>
      </c>
      <c r="U79" t="e">
        <f>TEXT(TEXT(MEDIAN(Totaal!$H$3:$H$102),"0,0"),"Standaard")</f>
        <v>#NUM!</v>
      </c>
      <c r="V79" t="str">
        <f>Totaal!I$1</f>
        <v>E</v>
      </c>
      <c r="W79" t="str">
        <f>TEXT(TEXT(Totaal!$I79,"0,0"),"Standaard")</f>
        <v>0</v>
      </c>
      <c r="X79" t="str">
        <f>TEXT(Totaal!$I$2,"0")</f>
        <v>0</v>
      </c>
      <c r="Y79" t="e">
        <f>TEXT(TEXT(MEDIAN(Totaal!$I$3:$I$102),"0,0"),"Standaard")</f>
        <v>#NUM!</v>
      </c>
      <c r="Z79" t="str">
        <f>Totaal!J$1</f>
        <v>F</v>
      </c>
      <c r="AA79" t="str">
        <f>TEXT(TEXT(Totaal!$J79,"0,0"),"Standaard")</f>
        <v>0</v>
      </c>
      <c r="AB79" t="str">
        <f>TEXT(Totaal!$J$2,"0")</f>
        <v>0</v>
      </c>
      <c r="AC79" t="e">
        <f>TEXT(TEXT(MEDIAN(Totaal!$J$3:$J$102),"0,0"),"Standaard")</f>
        <v>#NUM!</v>
      </c>
      <c r="AD79" t="str">
        <f>Totaal!K$1</f>
        <v>G</v>
      </c>
      <c r="AE79" t="str">
        <f>TEXT(TEXT(Totaal!$K79,"0,0"),"Standaard")</f>
        <v>0</v>
      </c>
      <c r="AF79" t="str">
        <f>TEXT(Totaal!$K$2,"0")</f>
        <v>0</v>
      </c>
      <c r="AG79" t="e">
        <f>TEXT(TEXT(MEDIAN(Totaal!$K$3:$K$102),"0,0"),"Standaard")</f>
        <v>#NUM!</v>
      </c>
      <c r="AH79" t="str">
        <f>Totaal!L$1</f>
        <v>H</v>
      </c>
      <c r="AI79" t="str">
        <f>TEXT(TEXT(Totaal!$L79,"0,0"),"Standaard")</f>
        <v>0</v>
      </c>
      <c r="AJ79" t="str">
        <f>TEXT(Totaal!$L$2,"0")</f>
        <v>0</v>
      </c>
      <c r="AK79" t="e">
        <f>TEXT(TEXT(MEDIAN(Totaal!$L$3:$L$102),"0,0"),"Standaard")</f>
        <v>#NUM!</v>
      </c>
      <c r="AL79" t="str">
        <f>Totaal!M$1</f>
        <v>I</v>
      </c>
      <c r="AM79" t="str">
        <f>TEXT(TEXT(Totaal!$M79,"0,0"),"Standaard")</f>
        <v>0</v>
      </c>
      <c r="AN79" t="str">
        <f>TEXT(Totaal!$M$2,"0")</f>
        <v>0</v>
      </c>
      <c r="AO79" t="e">
        <f>TEXT(TEXT(MEDIAN(Totaal!$M$3:$M$102),"0,0"),"Standaard")</f>
        <v>#NUM!</v>
      </c>
      <c r="AP79" t="str">
        <f>Totaal!N$1</f>
        <v>J</v>
      </c>
      <c r="AQ79" t="str">
        <f>TEXT(TEXT(Totaal!$N79,"0,0"),"Standaard")</f>
        <v>0</v>
      </c>
      <c r="AR79" t="str">
        <f>TEXT(Totaal!$N$2,"0")</f>
        <v>0</v>
      </c>
      <c r="AS79" t="e">
        <f>TEXT(TEXT(MEDIAN(Totaal!$N$3:$N$102),"0,0"),"Standaard")</f>
        <v>#NUM!</v>
      </c>
      <c r="AT79" t="str">
        <f>Totaal!O$1</f>
        <v>K</v>
      </c>
      <c r="AU79" t="str">
        <f>TEXT(TEXT(Totaal!$O79,"0,0"),"Standaard")</f>
        <v>0</v>
      </c>
      <c r="AV79" t="str">
        <f>TEXT(Totaal!$O$2,"0")</f>
        <v>0</v>
      </c>
      <c r="AW79" t="e">
        <f>TEXT(TEXT(MEDIAN(Totaal!$O$3:$O$102),"0,0"),"Standaard")</f>
        <v>#NUM!</v>
      </c>
      <c r="AX79" t="str">
        <f>Totaal!P$1</f>
        <v>L</v>
      </c>
      <c r="AY79" t="str">
        <f>TEXT(TEXT(Totaal!$P79,"0,0"),"Standaard")</f>
        <v>0</v>
      </c>
      <c r="AZ79" t="str">
        <f>TEXT(Totaal!$P$2,"0")</f>
        <v>0</v>
      </c>
      <c r="BA79" t="e">
        <f>TEXT(TEXT(MEDIAN(Totaal!$P$3:$P$102),"0,0"),"Standaard")</f>
        <v>#NUM!</v>
      </c>
      <c r="BB79" t="str">
        <f>Totaal!Q$1</f>
        <v>M</v>
      </c>
      <c r="BC79" t="str">
        <f>TEXT(TEXT(Totaal!$Q79,"0,0"),"Standaard")</f>
        <v>0</v>
      </c>
      <c r="BD79" t="str">
        <f>TEXT(Totaal!$Q$2,"0")</f>
        <v>0</v>
      </c>
      <c r="BE79" t="e">
        <f>TEXT(TEXT(MEDIAN(Totaal!$Q$3:$Q$102),"0,0"),"Standaard")</f>
        <v>#NUM!</v>
      </c>
      <c r="BF79" t="str">
        <f>Totaal!R$1</f>
        <v>N</v>
      </c>
      <c r="BG79" t="str">
        <f>TEXT(TEXT(Totaal!$R79,"0,0"),"Standaard")</f>
        <v>0</v>
      </c>
      <c r="BH79" t="str">
        <f>TEXT(Totaal!$R$2,"0")</f>
        <v>0</v>
      </c>
      <c r="BI79" t="e">
        <f>TEXT(TEXT(MEDIAN(Totaal!$R$3:$R$102),"0,0"),"Standaard")</f>
        <v>#NUM!</v>
      </c>
      <c r="BJ79" t="str">
        <f>Totaal!S$1</f>
        <v>O</v>
      </c>
      <c r="BK79" t="str">
        <f>TEXT(TEXT(Totaal!$S79,"0,0"),"Standaard")</f>
        <v>0</v>
      </c>
      <c r="BL79" t="str">
        <f>TEXT(Totaal!$S$2,"0")</f>
        <v>0</v>
      </c>
      <c r="BM79" t="e">
        <f>TEXT(TEXT(MEDIAN(Totaal!$S$3:$S$102),"0,0"),"Standaard")</f>
        <v>#NUM!</v>
      </c>
      <c r="BN79" t="str">
        <f>Totaal!T$1</f>
        <v>P</v>
      </c>
      <c r="BO79" t="str">
        <f>TEXT(TEXT(Totaal!$T79,"0,0"),"Standaard")</f>
        <v>0</v>
      </c>
      <c r="BP79" t="str">
        <f>TEXT(Totaal!$T$2,"0")</f>
        <v>0</v>
      </c>
      <c r="BQ79" t="e">
        <f>TEXT(TEXT(MEDIAN(Totaal!$T$3:$T$102),"0,0"),"Standaard")</f>
        <v>#NUM!</v>
      </c>
      <c r="BR79" t="str">
        <f>IF(Totaal!U79="","",Totaal!U79)</f>
        <v/>
      </c>
    </row>
    <row r="80" spans="1:70">
      <c r="A80">
        <f>Totaal!A80</f>
        <v>78</v>
      </c>
      <c r="B80" s="22" t="str">
        <f>IF(Totaal!B80="","",Totaal!B80)</f>
        <v/>
      </c>
      <c r="C80" s="8" t="e">
        <f>TEXT(TEXT(Totaal!C80,"0,0"),"Standaard")</f>
        <v>#DIV/0!</v>
      </c>
      <c r="D80" s="8" t="str">
        <f>TEXT(Totaal!C$2,"0")</f>
        <v>100</v>
      </c>
      <c r="E80" s="22" t="e">
        <f>TEXT(TEXT(SUM(Totaal!C$3:C$102)/COUNTIF(Totaal!C$3:C$102,"&lt;&gt;0"),"0,0"),"Standaard")</f>
        <v>#DIV/0!</v>
      </c>
      <c r="F80" t="str">
        <f>Totaal!E$1</f>
        <v>A</v>
      </c>
      <c r="G80" t="str">
        <f>TEXT(TEXT(Totaal!E80,"0,0"),"Standaard")</f>
        <v>0</v>
      </c>
      <c r="H80" t="str">
        <f>TEXT(Totaal!E$2,"0")</f>
        <v>0</v>
      </c>
      <c r="I80" t="e">
        <f>TEXT(TEXT(MEDIAN(Totaal!E$3:E$102),"0,0"),"Standaard")</f>
        <v>#NUM!</v>
      </c>
      <c r="J80" t="str">
        <f>Totaal!F$1</f>
        <v>B</v>
      </c>
      <c r="K80" t="str">
        <f>TEXT(TEXT(Totaal!$F80,"0,0"),"Standaard")</f>
        <v>0</v>
      </c>
      <c r="L80" t="str">
        <f>TEXT(Totaal!F$2,"0")</f>
        <v>0</v>
      </c>
      <c r="M80" t="e">
        <f>TEXT(TEXT(MEDIAN(Totaal!$F$3:$F$102),"0,0"),"Standaard")</f>
        <v>#NUM!</v>
      </c>
      <c r="N80" t="str">
        <f>Totaal!G$1</f>
        <v>C</v>
      </c>
      <c r="O80" t="str">
        <f>TEXT(TEXT(Totaal!$G80,"0,0"),"Standaard")</f>
        <v>0</v>
      </c>
      <c r="P80" t="str">
        <f>TEXT(Totaal!$G$2,"0")</f>
        <v>0</v>
      </c>
      <c r="Q80" t="e">
        <f>TEXT(TEXT(MEDIAN(Totaal!$G$3:$G$102),"0,0"),"Standaard")</f>
        <v>#NUM!</v>
      </c>
      <c r="R80" t="str">
        <f>Totaal!H$1</f>
        <v>D</v>
      </c>
      <c r="S80" t="str">
        <f>TEXT(TEXT(Totaal!$H80,"0,0"),"Standaard")</f>
        <v>0</v>
      </c>
      <c r="T80" t="str">
        <f>TEXT(Totaal!$H$2,"0")</f>
        <v>0</v>
      </c>
      <c r="U80" t="e">
        <f>TEXT(TEXT(MEDIAN(Totaal!$H$3:$H$102),"0,0"),"Standaard")</f>
        <v>#NUM!</v>
      </c>
      <c r="V80" t="str">
        <f>Totaal!I$1</f>
        <v>E</v>
      </c>
      <c r="W80" t="str">
        <f>TEXT(TEXT(Totaal!$I80,"0,0"),"Standaard")</f>
        <v>0</v>
      </c>
      <c r="X80" t="str">
        <f>TEXT(Totaal!$I$2,"0")</f>
        <v>0</v>
      </c>
      <c r="Y80" t="e">
        <f>TEXT(TEXT(MEDIAN(Totaal!$I$3:$I$102),"0,0"),"Standaard")</f>
        <v>#NUM!</v>
      </c>
      <c r="Z80" t="str">
        <f>Totaal!J$1</f>
        <v>F</v>
      </c>
      <c r="AA80" t="str">
        <f>TEXT(TEXT(Totaal!$J80,"0,0"),"Standaard")</f>
        <v>0</v>
      </c>
      <c r="AB80" t="str">
        <f>TEXT(Totaal!$J$2,"0")</f>
        <v>0</v>
      </c>
      <c r="AC80" t="e">
        <f>TEXT(TEXT(MEDIAN(Totaal!$J$3:$J$102),"0,0"),"Standaard")</f>
        <v>#NUM!</v>
      </c>
      <c r="AD80" t="str">
        <f>Totaal!K$1</f>
        <v>G</v>
      </c>
      <c r="AE80" t="str">
        <f>TEXT(TEXT(Totaal!$K80,"0,0"),"Standaard")</f>
        <v>0</v>
      </c>
      <c r="AF80" t="str">
        <f>TEXT(Totaal!$K$2,"0")</f>
        <v>0</v>
      </c>
      <c r="AG80" t="e">
        <f>TEXT(TEXT(MEDIAN(Totaal!$K$3:$K$102),"0,0"),"Standaard")</f>
        <v>#NUM!</v>
      </c>
      <c r="AH80" t="str">
        <f>Totaal!L$1</f>
        <v>H</v>
      </c>
      <c r="AI80" t="str">
        <f>TEXT(TEXT(Totaal!$L80,"0,0"),"Standaard")</f>
        <v>0</v>
      </c>
      <c r="AJ80" t="str">
        <f>TEXT(Totaal!$L$2,"0")</f>
        <v>0</v>
      </c>
      <c r="AK80" t="e">
        <f>TEXT(TEXT(MEDIAN(Totaal!$L$3:$L$102),"0,0"),"Standaard")</f>
        <v>#NUM!</v>
      </c>
      <c r="AL80" t="str">
        <f>Totaal!M$1</f>
        <v>I</v>
      </c>
      <c r="AM80" t="str">
        <f>TEXT(TEXT(Totaal!$M80,"0,0"),"Standaard")</f>
        <v>0</v>
      </c>
      <c r="AN80" t="str">
        <f>TEXT(Totaal!$M$2,"0")</f>
        <v>0</v>
      </c>
      <c r="AO80" t="e">
        <f>TEXT(TEXT(MEDIAN(Totaal!$M$3:$M$102),"0,0"),"Standaard")</f>
        <v>#NUM!</v>
      </c>
      <c r="AP80" t="str">
        <f>Totaal!N$1</f>
        <v>J</v>
      </c>
      <c r="AQ80" t="str">
        <f>TEXT(TEXT(Totaal!$N80,"0,0"),"Standaard")</f>
        <v>0</v>
      </c>
      <c r="AR80" t="str">
        <f>TEXT(Totaal!$N$2,"0")</f>
        <v>0</v>
      </c>
      <c r="AS80" t="e">
        <f>TEXT(TEXT(MEDIAN(Totaal!$N$3:$N$102),"0,0"),"Standaard")</f>
        <v>#NUM!</v>
      </c>
      <c r="AT80" t="str">
        <f>Totaal!O$1</f>
        <v>K</v>
      </c>
      <c r="AU80" t="str">
        <f>TEXT(TEXT(Totaal!$O80,"0,0"),"Standaard")</f>
        <v>0</v>
      </c>
      <c r="AV80" t="str">
        <f>TEXT(Totaal!$O$2,"0")</f>
        <v>0</v>
      </c>
      <c r="AW80" t="e">
        <f>TEXT(TEXT(MEDIAN(Totaal!$O$3:$O$102),"0,0"),"Standaard")</f>
        <v>#NUM!</v>
      </c>
      <c r="AX80" t="str">
        <f>Totaal!P$1</f>
        <v>L</v>
      </c>
      <c r="AY80" t="str">
        <f>TEXT(TEXT(Totaal!$P80,"0,0"),"Standaard")</f>
        <v>0</v>
      </c>
      <c r="AZ80" t="str">
        <f>TEXT(Totaal!$P$2,"0")</f>
        <v>0</v>
      </c>
      <c r="BA80" t="e">
        <f>TEXT(TEXT(MEDIAN(Totaal!$P$3:$P$102),"0,0"),"Standaard")</f>
        <v>#NUM!</v>
      </c>
      <c r="BB80" t="str">
        <f>Totaal!Q$1</f>
        <v>M</v>
      </c>
      <c r="BC80" t="str">
        <f>TEXT(TEXT(Totaal!$Q80,"0,0"),"Standaard")</f>
        <v>0</v>
      </c>
      <c r="BD80" t="str">
        <f>TEXT(Totaal!$Q$2,"0")</f>
        <v>0</v>
      </c>
      <c r="BE80" t="e">
        <f>TEXT(TEXT(MEDIAN(Totaal!$Q$3:$Q$102),"0,0"),"Standaard")</f>
        <v>#NUM!</v>
      </c>
      <c r="BF80" t="str">
        <f>Totaal!R$1</f>
        <v>N</v>
      </c>
      <c r="BG80" t="str">
        <f>TEXT(TEXT(Totaal!$R80,"0,0"),"Standaard")</f>
        <v>0</v>
      </c>
      <c r="BH80" t="str">
        <f>TEXT(Totaal!$R$2,"0")</f>
        <v>0</v>
      </c>
      <c r="BI80" t="e">
        <f>TEXT(TEXT(MEDIAN(Totaal!$R$3:$R$102),"0,0"),"Standaard")</f>
        <v>#NUM!</v>
      </c>
      <c r="BJ80" t="str">
        <f>Totaal!S$1</f>
        <v>O</v>
      </c>
      <c r="BK80" t="str">
        <f>TEXT(TEXT(Totaal!$S80,"0,0"),"Standaard")</f>
        <v>0</v>
      </c>
      <c r="BL80" t="str">
        <f>TEXT(Totaal!$S$2,"0")</f>
        <v>0</v>
      </c>
      <c r="BM80" t="e">
        <f>TEXT(TEXT(MEDIAN(Totaal!$S$3:$S$102),"0,0"),"Standaard")</f>
        <v>#NUM!</v>
      </c>
      <c r="BN80" t="str">
        <f>Totaal!T$1</f>
        <v>P</v>
      </c>
      <c r="BO80" t="str">
        <f>TEXT(TEXT(Totaal!$T80,"0,0"),"Standaard")</f>
        <v>0</v>
      </c>
      <c r="BP80" t="str">
        <f>TEXT(Totaal!$T$2,"0")</f>
        <v>0</v>
      </c>
      <c r="BQ80" t="e">
        <f>TEXT(TEXT(MEDIAN(Totaal!$T$3:$T$102),"0,0"),"Standaard")</f>
        <v>#NUM!</v>
      </c>
      <c r="BR80" t="str">
        <f>IF(Totaal!U80="","",Totaal!U80)</f>
        <v/>
      </c>
    </row>
    <row r="81" spans="1:70">
      <c r="A81">
        <f>Totaal!A81</f>
        <v>79</v>
      </c>
      <c r="B81" s="22" t="str">
        <f>IF(Totaal!B81="","",Totaal!B81)</f>
        <v/>
      </c>
      <c r="C81" s="8" t="e">
        <f>TEXT(TEXT(Totaal!C81,"0,0"),"Standaard")</f>
        <v>#DIV/0!</v>
      </c>
      <c r="D81" s="8" t="str">
        <f>TEXT(Totaal!C$2,"0")</f>
        <v>100</v>
      </c>
      <c r="E81" s="22" t="e">
        <f>TEXT(TEXT(SUM(Totaal!C$3:C$102)/COUNTIF(Totaal!C$3:C$102,"&lt;&gt;0"),"0,0"),"Standaard")</f>
        <v>#DIV/0!</v>
      </c>
      <c r="F81" t="str">
        <f>Totaal!E$1</f>
        <v>A</v>
      </c>
      <c r="G81" t="str">
        <f>TEXT(TEXT(Totaal!E81,"0,0"),"Standaard")</f>
        <v>0</v>
      </c>
      <c r="H81" t="str">
        <f>TEXT(Totaal!E$2,"0")</f>
        <v>0</v>
      </c>
      <c r="I81" t="e">
        <f>TEXT(TEXT(MEDIAN(Totaal!E$3:E$102),"0,0"),"Standaard")</f>
        <v>#NUM!</v>
      </c>
      <c r="J81" t="str">
        <f>Totaal!F$1</f>
        <v>B</v>
      </c>
      <c r="K81" t="str">
        <f>TEXT(TEXT(Totaal!$F81,"0,0"),"Standaard")</f>
        <v>0</v>
      </c>
      <c r="L81" t="str">
        <f>TEXT(Totaal!F$2,"0")</f>
        <v>0</v>
      </c>
      <c r="M81" t="e">
        <f>TEXT(TEXT(MEDIAN(Totaal!$F$3:$F$102),"0,0"),"Standaard")</f>
        <v>#NUM!</v>
      </c>
      <c r="N81" t="str">
        <f>Totaal!G$1</f>
        <v>C</v>
      </c>
      <c r="O81" t="str">
        <f>TEXT(TEXT(Totaal!$G81,"0,0"),"Standaard")</f>
        <v>0</v>
      </c>
      <c r="P81" t="str">
        <f>TEXT(Totaal!$G$2,"0")</f>
        <v>0</v>
      </c>
      <c r="Q81" t="e">
        <f>TEXT(TEXT(MEDIAN(Totaal!$G$3:$G$102),"0,0"),"Standaard")</f>
        <v>#NUM!</v>
      </c>
      <c r="R81" t="str">
        <f>Totaal!H$1</f>
        <v>D</v>
      </c>
      <c r="S81" t="str">
        <f>TEXT(TEXT(Totaal!$H81,"0,0"),"Standaard")</f>
        <v>0</v>
      </c>
      <c r="T81" t="str">
        <f>TEXT(Totaal!$H$2,"0")</f>
        <v>0</v>
      </c>
      <c r="U81" t="e">
        <f>TEXT(TEXT(MEDIAN(Totaal!$H$3:$H$102),"0,0"),"Standaard")</f>
        <v>#NUM!</v>
      </c>
      <c r="V81" t="str">
        <f>Totaal!I$1</f>
        <v>E</v>
      </c>
      <c r="W81" t="str">
        <f>TEXT(TEXT(Totaal!$I81,"0,0"),"Standaard")</f>
        <v>0</v>
      </c>
      <c r="X81" t="str">
        <f>TEXT(Totaal!$I$2,"0")</f>
        <v>0</v>
      </c>
      <c r="Y81" t="e">
        <f>TEXT(TEXT(MEDIAN(Totaal!$I$3:$I$102),"0,0"),"Standaard")</f>
        <v>#NUM!</v>
      </c>
      <c r="Z81" t="str">
        <f>Totaal!J$1</f>
        <v>F</v>
      </c>
      <c r="AA81" t="str">
        <f>TEXT(TEXT(Totaal!$J81,"0,0"),"Standaard")</f>
        <v>0</v>
      </c>
      <c r="AB81" t="str">
        <f>TEXT(Totaal!$J$2,"0")</f>
        <v>0</v>
      </c>
      <c r="AC81" t="e">
        <f>TEXT(TEXT(MEDIAN(Totaal!$J$3:$J$102),"0,0"),"Standaard")</f>
        <v>#NUM!</v>
      </c>
      <c r="AD81" t="str">
        <f>Totaal!K$1</f>
        <v>G</v>
      </c>
      <c r="AE81" t="str">
        <f>TEXT(TEXT(Totaal!$K81,"0,0"),"Standaard")</f>
        <v>0</v>
      </c>
      <c r="AF81" t="str">
        <f>TEXT(Totaal!$K$2,"0")</f>
        <v>0</v>
      </c>
      <c r="AG81" t="e">
        <f>TEXT(TEXT(MEDIAN(Totaal!$K$3:$K$102),"0,0"),"Standaard")</f>
        <v>#NUM!</v>
      </c>
      <c r="AH81" t="str">
        <f>Totaal!L$1</f>
        <v>H</v>
      </c>
      <c r="AI81" t="str">
        <f>TEXT(TEXT(Totaal!$L81,"0,0"),"Standaard")</f>
        <v>0</v>
      </c>
      <c r="AJ81" t="str">
        <f>TEXT(Totaal!$L$2,"0")</f>
        <v>0</v>
      </c>
      <c r="AK81" t="e">
        <f>TEXT(TEXT(MEDIAN(Totaal!$L$3:$L$102),"0,0"),"Standaard")</f>
        <v>#NUM!</v>
      </c>
      <c r="AL81" t="str">
        <f>Totaal!M$1</f>
        <v>I</v>
      </c>
      <c r="AM81" t="str">
        <f>TEXT(TEXT(Totaal!$M81,"0,0"),"Standaard")</f>
        <v>0</v>
      </c>
      <c r="AN81" t="str">
        <f>TEXT(Totaal!$M$2,"0")</f>
        <v>0</v>
      </c>
      <c r="AO81" t="e">
        <f>TEXT(TEXT(MEDIAN(Totaal!$M$3:$M$102),"0,0"),"Standaard")</f>
        <v>#NUM!</v>
      </c>
      <c r="AP81" t="str">
        <f>Totaal!N$1</f>
        <v>J</v>
      </c>
      <c r="AQ81" t="str">
        <f>TEXT(TEXT(Totaal!$N81,"0,0"),"Standaard")</f>
        <v>0</v>
      </c>
      <c r="AR81" t="str">
        <f>TEXT(Totaal!$N$2,"0")</f>
        <v>0</v>
      </c>
      <c r="AS81" t="e">
        <f>TEXT(TEXT(MEDIAN(Totaal!$N$3:$N$102),"0,0"),"Standaard")</f>
        <v>#NUM!</v>
      </c>
      <c r="AT81" t="str">
        <f>Totaal!O$1</f>
        <v>K</v>
      </c>
      <c r="AU81" t="str">
        <f>TEXT(TEXT(Totaal!$O81,"0,0"),"Standaard")</f>
        <v>0</v>
      </c>
      <c r="AV81" t="str">
        <f>TEXT(Totaal!$O$2,"0")</f>
        <v>0</v>
      </c>
      <c r="AW81" t="e">
        <f>TEXT(TEXT(MEDIAN(Totaal!$O$3:$O$102),"0,0"),"Standaard")</f>
        <v>#NUM!</v>
      </c>
      <c r="AX81" t="str">
        <f>Totaal!P$1</f>
        <v>L</v>
      </c>
      <c r="AY81" t="str">
        <f>TEXT(TEXT(Totaal!$P81,"0,0"),"Standaard")</f>
        <v>0</v>
      </c>
      <c r="AZ81" t="str">
        <f>TEXT(Totaal!$P$2,"0")</f>
        <v>0</v>
      </c>
      <c r="BA81" t="e">
        <f>TEXT(TEXT(MEDIAN(Totaal!$P$3:$P$102),"0,0"),"Standaard")</f>
        <v>#NUM!</v>
      </c>
      <c r="BB81" t="str">
        <f>Totaal!Q$1</f>
        <v>M</v>
      </c>
      <c r="BC81" t="str">
        <f>TEXT(TEXT(Totaal!$Q81,"0,0"),"Standaard")</f>
        <v>0</v>
      </c>
      <c r="BD81" t="str">
        <f>TEXT(Totaal!$Q$2,"0")</f>
        <v>0</v>
      </c>
      <c r="BE81" t="e">
        <f>TEXT(TEXT(MEDIAN(Totaal!$Q$3:$Q$102),"0,0"),"Standaard")</f>
        <v>#NUM!</v>
      </c>
      <c r="BF81" t="str">
        <f>Totaal!R$1</f>
        <v>N</v>
      </c>
      <c r="BG81" t="str">
        <f>TEXT(TEXT(Totaal!$R81,"0,0"),"Standaard")</f>
        <v>0</v>
      </c>
      <c r="BH81" t="str">
        <f>TEXT(Totaal!$R$2,"0")</f>
        <v>0</v>
      </c>
      <c r="BI81" t="e">
        <f>TEXT(TEXT(MEDIAN(Totaal!$R$3:$R$102),"0,0"),"Standaard")</f>
        <v>#NUM!</v>
      </c>
      <c r="BJ81" t="str">
        <f>Totaal!S$1</f>
        <v>O</v>
      </c>
      <c r="BK81" t="str">
        <f>TEXT(TEXT(Totaal!$S81,"0,0"),"Standaard")</f>
        <v>0</v>
      </c>
      <c r="BL81" t="str">
        <f>TEXT(Totaal!$S$2,"0")</f>
        <v>0</v>
      </c>
      <c r="BM81" t="e">
        <f>TEXT(TEXT(MEDIAN(Totaal!$S$3:$S$102),"0,0"),"Standaard")</f>
        <v>#NUM!</v>
      </c>
      <c r="BN81" t="str">
        <f>Totaal!T$1</f>
        <v>P</v>
      </c>
      <c r="BO81" t="str">
        <f>TEXT(TEXT(Totaal!$T81,"0,0"),"Standaard")</f>
        <v>0</v>
      </c>
      <c r="BP81" t="str">
        <f>TEXT(Totaal!$T$2,"0")</f>
        <v>0</v>
      </c>
      <c r="BQ81" t="e">
        <f>TEXT(TEXT(MEDIAN(Totaal!$T$3:$T$102),"0,0"),"Standaard")</f>
        <v>#NUM!</v>
      </c>
      <c r="BR81" t="str">
        <f>IF(Totaal!U81="","",Totaal!U81)</f>
        <v/>
      </c>
    </row>
    <row r="82" spans="1:70">
      <c r="A82">
        <f>Totaal!A82</f>
        <v>80</v>
      </c>
      <c r="B82" s="22" t="str">
        <f>IF(Totaal!B82="","",Totaal!B82)</f>
        <v/>
      </c>
      <c r="C82" s="8" t="e">
        <f>TEXT(TEXT(Totaal!C82,"0,0"),"Standaard")</f>
        <v>#DIV/0!</v>
      </c>
      <c r="D82" s="8" t="str">
        <f>TEXT(Totaal!C$2,"0")</f>
        <v>100</v>
      </c>
      <c r="E82" s="22" t="e">
        <f>TEXT(TEXT(SUM(Totaal!C$3:C$102)/COUNTIF(Totaal!C$3:C$102,"&lt;&gt;0"),"0,0"),"Standaard")</f>
        <v>#DIV/0!</v>
      </c>
      <c r="F82" t="str">
        <f>Totaal!E$1</f>
        <v>A</v>
      </c>
      <c r="G82" t="str">
        <f>TEXT(TEXT(Totaal!E82,"0,0"),"Standaard")</f>
        <v>0</v>
      </c>
      <c r="H82" t="str">
        <f>TEXT(Totaal!E$2,"0")</f>
        <v>0</v>
      </c>
      <c r="I82" t="e">
        <f>TEXT(TEXT(MEDIAN(Totaal!E$3:E$102),"0,0"),"Standaard")</f>
        <v>#NUM!</v>
      </c>
      <c r="J82" t="str">
        <f>Totaal!F$1</f>
        <v>B</v>
      </c>
      <c r="K82" t="str">
        <f>TEXT(TEXT(Totaal!$F82,"0,0"),"Standaard")</f>
        <v>0</v>
      </c>
      <c r="L82" t="str">
        <f>TEXT(Totaal!F$2,"0")</f>
        <v>0</v>
      </c>
      <c r="M82" t="e">
        <f>TEXT(TEXT(MEDIAN(Totaal!$F$3:$F$102),"0,0"),"Standaard")</f>
        <v>#NUM!</v>
      </c>
      <c r="N82" t="str">
        <f>Totaal!G$1</f>
        <v>C</v>
      </c>
      <c r="O82" t="str">
        <f>TEXT(TEXT(Totaal!$G82,"0,0"),"Standaard")</f>
        <v>0</v>
      </c>
      <c r="P82" t="str">
        <f>TEXT(Totaal!$G$2,"0")</f>
        <v>0</v>
      </c>
      <c r="Q82" t="e">
        <f>TEXT(TEXT(MEDIAN(Totaal!$G$3:$G$102),"0,0"),"Standaard")</f>
        <v>#NUM!</v>
      </c>
      <c r="R82" t="str">
        <f>Totaal!H$1</f>
        <v>D</v>
      </c>
      <c r="S82" t="str">
        <f>TEXT(TEXT(Totaal!$H82,"0,0"),"Standaard")</f>
        <v>0</v>
      </c>
      <c r="T82" t="str">
        <f>TEXT(Totaal!$H$2,"0")</f>
        <v>0</v>
      </c>
      <c r="U82" t="e">
        <f>TEXT(TEXT(MEDIAN(Totaal!$H$3:$H$102),"0,0"),"Standaard")</f>
        <v>#NUM!</v>
      </c>
      <c r="V82" t="str">
        <f>Totaal!I$1</f>
        <v>E</v>
      </c>
      <c r="W82" t="str">
        <f>TEXT(TEXT(Totaal!$I82,"0,0"),"Standaard")</f>
        <v>0</v>
      </c>
      <c r="X82" t="str">
        <f>TEXT(Totaal!$I$2,"0")</f>
        <v>0</v>
      </c>
      <c r="Y82" t="e">
        <f>TEXT(TEXT(MEDIAN(Totaal!$I$3:$I$102),"0,0"),"Standaard")</f>
        <v>#NUM!</v>
      </c>
      <c r="Z82" t="str">
        <f>Totaal!J$1</f>
        <v>F</v>
      </c>
      <c r="AA82" t="str">
        <f>TEXT(TEXT(Totaal!$J82,"0,0"),"Standaard")</f>
        <v>0</v>
      </c>
      <c r="AB82" t="str">
        <f>TEXT(Totaal!$J$2,"0")</f>
        <v>0</v>
      </c>
      <c r="AC82" t="e">
        <f>TEXT(TEXT(MEDIAN(Totaal!$J$3:$J$102),"0,0"),"Standaard")</f>
        <v>#NUM!</v>
      </c>
      <c r="AD82" t="str">
        <f>Totaal!K$1</f>
        <v>G</v>
      </c>
      <c r="AE82" t="str">
        <f>TEXT(TEXT(Totaal!$K82,"0,0"),"Standaard")</f>
        <v>0</v>
      </c>
      <c r="AF82" t="str">
        <f>TEXT(Totaal!$K$2,"0")</f>
        <v>0</v>
      </c>
      <c r="AG82" t="e">
        <f>TEXT(TEXT(MEDIAN(Totaal!$K$3:$K$102),"0,0"),"Standaard")</f>
        <v>#NUM!</v>
      </c>
      <c r="AH82" t="str">
        <f>Totaal!L$1</f>
        <v>H</v>
      </c>
      <c r="AI82" t="str">
        <f>TEXT(TEXT(Totaal!$L82,"0,0"),"Standaard")</f>
        <v>0</v>
      </c>
      <c r="AJ82" t="str">
        <f>TEXT(Totaal!$L$2,"0")</f>
        <v>0</v>
      </c>
      <c r="AK82" t="e">
        <f>TEXT(TEXT(MEDIAN(Totaal!$L$3:$L$102),"0,0"),"Standaard")</f>
        <v>#NUM!</v>
      </c>
      <c r="AL82" t="str">
        <f>Totaal!M$1</f>
        <v>I</v>
      </c>
      <c r="AM82" t="str">
        <f>TEXT(TEXT(Totaal!$M82,"0,0"),"Standaard")</f>
        <v>0</v>
      </c>
      <c r="AN82" t="str">
        <f>TEXT(Totaal!$M$2,"0")</f>
        <v>0</v>
      </c>
      <c r="AO82" t="e">
        <f>TEXT(TEXT(MEDIAN(Totaal!$M$3:$M$102),"0,0"),"Standaard")</f>
        <v>#NUM!</v>
      </c>
      <c r="AP82" t="str">
        <f>Totaal!N$1</f>
        <v>J</v>
      </c>
      <c r="AQ82" t="str">
        <f>TEXT(TEXT(Totaal!$N82,"0,0"),"Standaard")</f>
        <v>0</v>
      </c>
      <c r="AR82" t="str">
        <f>TEXT(Totaal!$N$2,"0")</f>
        <v>0</v>
      </c>
      <c r="AS82" t="e">
        <f>TEXT(TEXT(MEDIAN(Totaal!$N$3:$N$102),"0,0"),"Standaard")</f>
        <v>#NUM!</v>
      </c>
      <c r="AT82" t="str">
        <f>Totaal!O$1</f>
        <v>K</v>
      </c>
      <c r="AU82" t="str">
        <f>TEXT(TEXT(Totaal!$O82,"0,0"),"Standaard")</f>
        <v>0</v>
      </c>
      <c r="AV82" t="str">
        <f>TEXT(Totaal!$O$2,"0")</f>
        <v>0</v>
      </c>
      <c r="AW82" t="e">
        <f>TEXT(TEXT(MEDIAN(Totaal!$O$3:$O$102),"0,0"),"Standaard")</f>
        <v>#NUM!</v>
      </c>
      <c r="AX82" t="str">
        <f>Totaal!P$1</f>
        <v>L</v>
      </c>
      <c r="AY82" t="str">
        <f>TEXT(TEXT(Totaal!$P82,"0,0"),"Standaard")</f>
        <v>0</v>
      </c>
      <c r="AZ82" t="str">
        <f>TEXT(Totaal!$P$2,"0")</f>
        <v>0</v>
      </c>
      <c r="BA82" t="e">
        <f>TEXT(TEXT(MEDIAN(Totaal!$P$3:$P$102),"0,0"),"Standaard")</f>
        <v>#NUM!</v>
      </c>
      <c r="BB82" t="str">
        <f>Totaal!Q$1</f>
        <v>M</v>
      </c>
      <c r="BC82" t="str">
        <f>TEXT(TEXT(Totaal!$Q82,"0,0"),"Standaard")</f>
        <v>0</v>
      </c>
      <c r="BD82" t="str">
        <f>TEXT(Totaal!$Q$2,"0")</f>
        <v>0</v>
      </c>
      <c r="BE82" t="e">
        <f>TEXT(TEXT(MEDIAN(Totaal!$Q$3:$Q$102),"0,0"),"Standaard")</f>
        <v>#NUM!</v>
      </c>
      <c r="BF82" t="str">
        <f>Totaal!R$1</f>
        <v>N</v>
      </c>
      <c r="BG82" t="str">
        <f>TEXT(TEXT(Totaal!$R82,"0,0"),"Standaard")</f>
        <v>0</v>
      </c>
      <c r="BH82" t="str">
        <f>TEXT(Totaal!$R$2,"0")</f>
        <v>0</v>
      </c>
      <c r="BI82" t="e">
        <f>TEXT(TEXT(MEDIAN(Totaal!$R$3:$R$102),"0,0"),"Standaard")</f>
        <v>#NUM!</v>
      </c>
      <c r="BJ82" t="str">
        <f>Totaal!S$1</f>
        <v>O</v>
      </c>
      <c r="BK82" t="str">
        <f>TEXT(TEXT(Totaal!$S82,"0,0"),"Standaard")</f>
        <v>0</v>
      </c>
      <c r="BL82" t="str">
        <f>TEXT(Totaal!$S$2,"0")</f>
        <v>0</v>
      </c>
      <c r="BM82" t="e">
        <f>TEXT(TEXT(MEDIAN(Totaal!$S$3:$S$102),"0,0"),"Standaard")</f>
        <v>#NUM!</v>
      </c>
      <c r="BN82" t="str">
        <f>Totaal!T$1</f>
        <v>P</v>
      </c>
      <c r="BO82" t="str">
        <f>TEXT(TEXT(Totaal!$T82,"0,0"),"Standaard")</f>
        <v>0</v>
      </c>
      <c r="BP82" t="str">
        <f>TEXT(Totaal!$T$2,"0")</f>
        <v>0</v>
      </c>
      <c r="BQ82" t="e">
        <f>TEXT(TEXT(MEDIAN(Totaal!$T$3:$T$102),"0,0"),"Standaard")</f>
        <v>#NUM!</v>
      </c>
      <c r="BR82" t="str">
        <f>IF(Totaal!U82="","",Totaal!U82)</f>
        <v/>
      </c>
    </row>
    <row r="83" spans="1:70">
      <c r="A83">
        <f>Totaal!A83</f>
        <v>81</v>
      </c>
      <c r="B83" s="22" t="str">
        <f>IF(Totaal!B83="","",Totaal!B83)</f>
        <v/>
      </c>
      <c r="C83" s="8" t="e">
        <f>TEXT(TEXT(Totaal!C83,"0,0"),"Standaard")</f>
        <v>#DIV/0!</v>
      </c>
      <c r="D83" s="8" t="str">
        <f>TEXT(Totaal!C$2,"0")</f>
        <v>100</v>
      </c>
      <c r="E83" s="22" t="e">
        <f>TEXT(TEXT(SUM(Totaal!C$3:C$102)/COUNTIF(Totaal!C$3:C$102,"&lt;&gt;0"),"0,0"),"Standaard")</f>
        <v>#DIV/0!</v>
      </c>
      <c r="F83" t="str">
        <f>Totaal!E$1</f>
        <v>A</v>
      </c>
      <c r="G83" t="str">
        <f>TEXT(TEXT(Totaal!E83,"0,0"),"Standaard")</f>
        <v>0</v>
      </c>
      <c r="H83" t="str">
        <f>TEXT(Totaal!E$2,"0")</f>
        <v>0</v>
      </c>
      <c r="I83" t="e">
        <f>TEXT(TEXT(MEDIAN(Totaal!E$3:E$102),"0,0"),"Standaard")</f>
        <v>#NUM!</v>
      </c>
      <c r="J83" t="str">
        <f>Totaal!F$1</f>
        <v>B</v>
      </c>
      <c r="K83" t="str">
        <f>TEXT(TEXT(Totaal!$F83,"0,0"),"Standaard")</f>
        <v>0</v>
      </c>
      <c r="L83" t="str">
        <f>TEXT(Totaal!F$2,"0")</f>
        <v>0</v>
      </c>
      <c r="M83" t="e">
        <f>TEXT(TEXT(MEDIAN(Totaal!$F$3:$F$102),"0,0"),"Standaard")</f>
        <v>#NUM!</v>
      </c>
      <c r="N83" t="str">
        <f>Totaal!G$1</f>
        <v>C</v>
      </c>
      <c r="O83" t="str">
        <f>TEXT(TEXT(Totaal!$G83,"0,0"),"Standaard")</f>
        <v>0</v>
      </c>
      <c r="P83" t="str">
        <f>TEXT(Totaal!$G$2,"0")</f>
        <v>0</v>
      </c>
      <c r="Q83" t="e">
        <f>TEXT(TEXT(MEDIAN(Totaal!$G$3:$G$102),"0,0"),"Standaard")</f>
        <v>#NUM!</v>
      </c>
      <c r="R83" t="str">
        <f>Totaal!H$1</f>
        <v>D</v>
      </c>
      <c r="S83" t="str">
        <f>TEXT(TEXT(Totaal!$H83,"0,0"),"Standaard")</f>
        <v>0</v>
      </c>
      <c r="T83" t="str">
        <f>TEXT(Totaal!$H$2,"0")</f>
        <v>0</v>
      </c>
      <c r="U83" t="e">
        <f>TEXT(TEXT(MEDIAN(Totaal!$H$3:$H$102),"0,0"),"Standaard")</f>
        <v>#NUM!</v>
      </c>
      <c r="V83" t="str">
        <f>Totaal!I$1</f>
        <v>E</v>
      </c>
      <c r="W83" t="str">
        <f>TEXT(TEXT(Totaal!$I83,"0,0"),"Standaard")</f>
        <v>0</v>
      </c>
      <c r="X83" t="str">
        <f>TEXT(Totaal!$I$2,"0")</f>
        <v>0</v>
      </c>
      <c r="Y83" t="e">
        <f>TEXT(TEXT(MEDIAN(Totaal!$I$3:$I$102),"0,0"),"Standaard")</f>
        <v>#NUM!</v>
      </c>
      <c r="Z83" t="str">
        <f>Totaal!J$1</f>
        <v>F</v>
      </c>
      <c r="AA83" t="str">
        <f>TEXT(TEXT(Totaal!$J83,"0,0"),"Standaard")</f>
        <v>0</v>
      </c>
      <c r="AB83" t="str">
        <f>TEXT(Totaal!$J$2,"0")</f>
        <v>0</v>
      </c>
      <c r="AC83" t="e">
        <f>TEXT(TEXT(MEDIAN(Totaal!$J$3:$J$102),"0,0"),"Standaard")</f>
        <v>#NUM!</v>
      </c>
      <c r="AD83" t="str">
        <f>Totaal!K$1</f>
        <v>G</v>
      </c>
      <c r="AE83" t="str">
        <f>TEXT(TEXT(Totaal!$K83,"0,0"),"Standaard")</f>
        <v>0</v>
      </c>
      <c r="AF83" t="str">
        <f>TEXT(Totaal!$K$2,"0")</f>
        <v>0</v>
      </c>
      <c r="AG83" t="e">
        <f>TEXT(TEXT(MEDIAN(Totaal!$K$3:$K$102),"0,0"),"Standaard")</f>
        <v>#NUM!</v>
      </c>
      <c r="AH83" t="str">
        <f>Totaal!L$1</f>
        <v>H</v>
      </c>
      <c r="AI83" t="str">
        <f>TEXT(TEXT(Totaal!$L83,"0,0"),"Standaard")</f>
        <v>0</v>
      </c>
      <c r="AJ83" t="str">
        <f>TEXT(Totaal!$L$2,"0")</f>
        <v>0</v>
      </c>
      <c r="AK83" t="e">
        <f>TEXT(TEXT(MEDIAN(Totaal!$L$3:$L$102),"0,0"),"Standaard")</f>
        <v>#NUM!</v>
      </c>
      <c r="AL83" t="str">
        <f>Totaal!M$1</f>
        <v>I</v>
      </c>
      <c r="AM83" t="str">
        <f>TEXT(TEXT(Totaal!$M83,"0,0"),"Standaard")</f>
        <v>0</v>
      </c>
      <c r="AN83" t="str">
        <f>TEXT(Totaal!$M$2,"0")</f>
        <v>0</v>
      </c>
      <c r="AO83" t="e">
        <f>TEXT(TEXT(MEDIAN(Totaal!$M$3:$M$102),"0,0"),"Standaard")</f>
        <v>#NUM!</v>
      </c>
      <c r="AP83" t="str">
        <f>Totaal!N$1</f>
        <v>J</v>
      </c>
      <c r="AQ83" t="str">
        <f>TEXT(TEXT(Totaal!$N83,"0,0"),"Standaard")</f>
        <v>0</v>
      </c>
      <c r="AR83" t="str">
        <f>TEXT(Totaal!$N$2,"0")</f>
        <v>0</v>
      </c>
      <c r="AS83" t="e">
        <f>TEXT(TEXT(MEDIAN(Totaal!$N$3:$N$102),"0,0"),"Standaard")</f>
        <v>#NUM!</v>
      </c>
      <c r="AT83" t="str">
        <f>Totaal!O$1</f>
        <v>K</v>
      </c>
      <c r="AU83" t="str">
        <f>TEXT(TEXT(Totaal!$O83,"0,0"),"Standaard")</f>
        <v>0</v>
      </c>
      <c r="AV83" t="str">
        <f>TEXT(Totaal!$O$2,"0")</f>
        <v>0</v>
      </c>
      <c r="AW83" t="e">
        <f>TEXT(TEXT(MEDIAN(Totaal!$O$3:$O$102),"0,0"),"Standaard")</f>
        <v>#NUM!</v>
      </c>
      <c r="AX83" t="str">
        <f>Totaal!P$1</f>
        <v>L</v>
      </c>
      <c r="AY83" t="str">
        <f>TEXT(TEXT(Totaal!$P83,"0,0"),"Standaard")</f>
        <v>0</v>
      </c>
      <c r="AZ83" t="str">
        <f>TEXT(Totaal!$P$2,"0")</f>
        <v>0</v>
      </c>
      <c r="BA83" t="e">
        <f>TEXT(TEXT(MEDIAN(Totaal!$P$3:$P$102),"0,0"),"Standaard")</f>
        <v>#NUM!</v>
      </c>
      <c r="BB83" t="str">
        <f>Totaal!Q$1</f>
        <v>M</v>
      </c>
      <c r="BC83" t="str">
        <f>TEXT(TEXT(Totaal!$Q83,"0,0"),"Standaard")</f>
        <v>0</v>
      </c>
      <c r="BD83" t="str">
        <f>TEXT(Totaal!$Q$2,"0")</f>
        <v>0</v>
      </c>
      <c r="BE83" t="e">
        <f>TEXT(TEXT(MEDIAN(Totaal!$Q$3:$Q$102),"0,0"),"Standaard")</f>
        <v>#NUM!</v>
      </c>
      <c r="BF83" t="str">
        <f>Totaal!R$1</f>
        <v>N</v>
      </c>
      <c r="BG83" t="str">
        <f>TEXT(TEXT(Totaal!$R83,"0,0"),"Standaard")</f>
        <v>0</v>
      </c>
      <c r="BH83" t="str">
        <f>TEXT(Totaal!$R$2,"0")</f>
        <v>0</v>
      </c>
      <c r="BI83" t="e">
        <f>TEXT(TEXT(MEDIAN(Totaal!$R$3:$R$102),"0,0"),"Standaard")</f>
        <v>#NUM!</v>
      </c>
      <c r="BJ83" t="str">
        <f>Totaal!S$1</f>
        <v>O</v>
      </c>
      <c r="BK83" t="str">
        <f>TEXT(TEXT(Totaal!$S83,"0,0"),"Standaard")</f>
        <v>0</v>
      </c>
      <c r="BL83" t="str">
        <f>TEXT(Totaal!$S$2,"0")</f>
        <v>0</v>
      </c>
      <c r="BM83" t="e">
        <f>TEXT(TEXT(MEDIAN(Totaal!$S$3:$S$102),"0,0"),"Standaard")</f>
        <v>#NUM!</v>
      </c>
      <c r="BN83" t="str">
        <f>Totaal!T$1</f>
        <v>P</v>
      </c>
      <c r="BO83" t="str">
        <f>TEXT(TEXT(Totaal!$T83,"0,0"),"Standaard")</f>
        <v>0</v>
      </c>
      <c r="BP83" t="str">
        <f>TEXT(Totaal!$T$2,"0")</f>
        <v>0</v>
      </c>
      <c r="BQ83" t="e">
        <f>TEXT(TEXT(MEDIAN(Totaal!$T$3:$T$102),"0,0"),"Standaard")</f>
        <v>#NUM!</v>
      </c>
      <c r="BR83" t="str">
        <f>IF(Totaal!U83="","",Totaal!U83)</f>
        <v/>
      </c>
    </row>
    <row r="84" spans="1:70">
      <c r="A84">
        <f>Totaal!A84</f>
        <v>82</v>
      </c>
      <c r="B84" s="22" t="str">
        <f>IF(Totaal!B84="","",Totaal!B84)</f>
        <v/>
      </c>
      <c r="C84" s="8" t="e">
        <f>TEXT(TEXT(Totaal!C84,"0,0"),"Standaard")</f>
        <v>#DIV/0!</v>
      </c>
      <c r="D84" s="8" t="str">
        <f>TEXT(Totaal!C$2,"0")</f>
        <v>100</v>
      </c>
      <c r="E84" s="22" t="e">
        <f>TEXT(TEXT(SUM(Totaal!C$3:C$102)/COUNTIF(Totaal!C$3:C$102,"&lt;&gt;0"),"0,0"),"Standaard")</f>
        <v>#DIV/0!</v>
      </c>
      <c r="F84" t="str">
        <f>Totaal!E$1</f>
        <v>A</v>
      </c>
      <c r="G84" t="str">
        <f>TEXT(TEXT(Totaal!E84,"0,0"),"Standaard")</f>
        <v>0</v>
      </c>
      <c r="H84" t="str">
        <f>TEXT(Totaal!E$2,"0")</f>
        <v>0</v>
      </c>
      <c r="I84" t="e">
        <f>TEXT(TEXT(MEDIAN(Totaal!E$3:E$102),"0,0"),"Standaard")</f>
        <v>#NUM!</v>
      </c>
      <c r="J84" t="str">
        <f>Totaal!F$1</f>
        <v>B</v>
      </c>
      <c r="K84" t="str">
        <f>TEXT(TEXT(Totaal!$F84,"0,0"),"Standaard")</f>
        <v>0</v>
      </c>
      <c r="L84" t="str">
        <f>TEXT(Totaal!F$2,"0")</f>
        <v>0</v>
      </c>
      <c r="M84" t="e">
        <f>TEXT(TEXT(MEDIAN(Totaal!$F$3:$F$102),"0,0"),"Standaard")</f>
        <v>#NUM!</v>
      </c>
      <c r="N84" t="str">
        <f>Totaal!G$1</f>
        <v>C</v>
      </c>
      <c r="O84" t="str">
        <f>TEXT(TEXT(Totaal!$G84,"0,0"),"Standaard")</f>
        <v>0</v>
      </c>
      <c r="P84" t="str">
        <f>TEXT(Totaal!$G$2,"0")</f>
        <v>0</v>
      </c>
      <c r="Q84" t="e">
        <f>TEXT(TEXT(MEDIAN(Totaal!$G$3:$G$102),"0,0"),"Standaard")</f>
        <v>#NUM!</v>
      </c>
      <c r="R84" t="str">
        <f>Totaal!H$1</f>
        <v>D</v>
      </c>
      <c r="S84" t="str">
        <f>TEXT(TEXT(Totaal!$H84,"0,0"),"Standaard")</f>
        <v>0</v>
      </c>
      <c r="T84" t="str">
        <f>TEXT(Totaal!$H$2,"0")</f>
        <v>0</v>
      </c>
      <c r="U84" t="e">
        <f>TEXT(TEXT(MEDIAN(Totaal!$H$3:$H$102),"0,0"),"Standaard")</f>
        <v>#NUM!</v>
      </c>
      <c r="V84" t="str">
        <f>Totaal!I$1</f>
        <v>E</v>
      </c>
      <c r="W84" t="str">
        <f>TEXT(TEXT(Totaal!$I84,"0,0"),"Standaard")</f>
        <v>0</v>
      </c>
      <c r="X84" t="str">
        <f>TEXT(Totaal!$I$2,"0")</f>
        <v>0</v>
      </c>
      <c r="Y84" t="e">
        <f>TEXT(TEXT(MEDIAN(Totaal!$I$3:$I$102),"0,0"),"Standaard")</f>
        <v>#NUM!</v>
      </c>
      <c r="Z84" t="str">
        <f>Totaal!J$1</f>
        <v>F</v>
      </c>
      <c r="AA84" t="str">
        <f>TEXT(TEXT(Totaal!$J84,"0,0"),"Standaard")</f>
        <v>0</v>
      </c>
      <c r="AB84" t="str">
        <f>TEXT(Totaal!$J$2,"0")</f>
        <v>0</v>
      </c>
      <c r="AC84" t="e">
        <f>TEXT(TEXT(MEDIAN(Totaal!$J$3:$J$102),"0,0"),"Standaard")</f>
        <v>#NUM!</v>
      </c>
      <c r="AD84" t="str">
        <f>Totaal!K$1</f>
        <v>G</v>
      </c>
      <c r="AE84" t="str">
        <f>TEXT(TEXT(Totaal!$K84,"0,0"),"Standaard")</f>
        <v>0</v>
      </c>
      <c r="AF84" t="str">
        <f>TEXT(Totaal!$K$2,"0")</f>
        <v>0</v>
      </c>
      <c r="AG84" t="e">
        <f>TEXT(TEXT(MEDIAN(Totaal!$K$3:$K$102),"0,0"),"Standaard")</f>
        <v>#NUM!</v>
      </c>
      <c r="AH84" t="str">
        <f>Totaal!L$1</f>
        <v>H</v>
      </c>
      <c r="AI84" t="str">
        <f>TEXT(TEXT(Totaal!$L84,"0,0"),"Standaard")</f>
        <v>0</v>
      </c>
      <c r="AJ84" t="str">
        <f>TEXT(Totaal!$L$2,"0")</f>
        <v>0</v>
      </c>
      <c r="AK84" t="e">
        <f>TEXT(TEXT(MEDIAN(Totaal!$L$3:$L$102),"0,0"),"Standaard")</f>
        <v>#NUM!</v>
      </c>
      <c r="AL84" t="str">
        <f>Totaal!M$1</f>
        <v>I</v>
      </c>
      <c r="AM84" t="str">
        <f>TEXT(TEXT(Totaal!$M84,"0,0"),"Standaard")</f>
        <v>0</v>
      </c>
      <c r="AN84" t="str">
        <f>TEXT(Totaal!$M$2,"0")</f>
        <v>0</v>
      </c>
      <c r="AO84" t="e">
        <f>TEXT(TEXT(MEDIAN(Totaal!$M$3:$M$102),"0,0"),"Standaard")</f>
        <v>#NUM!</v>
      </c>
      <c r="AP84" t="str">
        <f>Totaal!N$1</f>
        <v>J</v>
      </c>
      <c r="AQ84" t="str">
        <f>TEXT(TEXT(Totaal!$N84,"0,0"),"Standaard")</f>
        <v>0</v>
      </c>
      <c r="AR84" t="str">
        <f>TEXT(Totaal!$N$2,"0")</f>
        <v>0</v>
      </c>
      <c r="AS84" t="e">
        <f>TEXT(TEXT(MEDIAN(Totaal!$N$3:$N$102),"0,0"),"Standaard")</f>
        <v>#NUM!</v>
      </c>
      <c r="AT84" t="str">
        <f>Totaal!O$1</f>
        <v>K</v>
      </c>
      <c r="AU84" t="str">
        <f>TEXT(TEXT(Totaal!$O84,"0,0"),"Standaard")</f>
        <v>0</v>
      </c>
      <c r="AV84" t="str">
        <f>TEXT(Totaal!$O$2,"0")</f>
        <v>0</v>
      </c>
      <c r="AW84" t="e">
        <f>TEXT(TEXT(MEDIAN(Totaal!$O$3:$O$102),"0,0"),"Standaard")</f>
        <v>#NUM!</v>
      </c>
      <c r="AX84" t="str">
        <f>Totaal!P$1</f>
        <v>L</v>
      </c>
      <c r="AY84" t="str">
        <f>TEXT(TEXT(Totaal!$P84,"0,0"),"Standaard")</f>
        <v>0</v>
      </c>
      <c r="AZ84" t="str">
        <f>TEXT(Totaal!$P$2,"0")</f>
        <v>0</v>
      </c>
      <c r="BA84" t="e">
        <f>TEXT(TEXT(MEDIAN(Totaal!$P$3:$P$102),"0,0"),"Standaard")</f>
        <v>#NUM!</v>
      </c>
      <c r="BB84" t="str">
        <f>Totaal!Q$1</f>
        <v>M</v>
      </c>
      <c r="BC84" t="str">
        <f>TEXT(TEXT(Totaal!$Q84,"0,0"),"Standaard")</f>
        <v>0</v>
      </c>
      <c r="BD84" t="str">
        <f>TEXT(Totaal!$Q$2,"0")</f>
        <v>0</v>
      </c>
      <c r="BE84" t="e">
        <f>TEXT(TEXT(MEDIAN(Totaal!$Q$3:$Q$102),"0,0"),"Standaard")</f>
        <v>#NUM!</v>
      </c>
      <c r="BF84" t="str">
        <f>Totaal!R$1</f>
        <v>N</v>
      </c>
      <c r="BG84" t="str">
        <f>TEXT(TEXT(Totaal!$R84,"0,0"),"Standaard")</f>
        <v>0</v>
      </c>
      <c r="BH84" t="str">
        <f>TEXT(Totaal!$R$2,"0")</f>
        <v>0</v>
      </c>
      <c r="BI84" t="e">
        <f>TEXT(TEXT(MEDIAN(Totaal!$R$3:$R$102),"0,0"),"Standaard")</f>
        <v>#NUM!</v>
      </c>
      <c r="BJ84" t="str">
        <f>Totaal!S$1</f>
        <v>O</v>
      </c>
      <c r="BK84" t="str">
        <f>TEXT(TEXT(Totaal!$S84,"0,0"),"Standaard")</f>
        <v>0</v>
      </c>
      <c r="BL84" t="str">
        <f>TEXT(Totaal!$S$2,"0")</f>
        <v>0</v>
      </c>
      <c r="BM84" t="e">
        <f>TEXT(TEXT(MEDIAN(Totaal!$S$3:$S$102),"0,0"),"Standaard")</f>
        <v>#NUM!</v>
      </c>
      <c r="BN84" t="str">
        <f>Totaal!T$1</f>
        <v>P</v>
      </c>
      <c r="BO84" t="str">
        <f>TEXT(TEXT(Totaal!$T84,"0,0"),"Standaard")</f>
        <v>0</v>
      </c>
      <c r="BP84" t="str">
        <f>TEXT(Totaal!$T$2,"0")</f>
        <v>0</v>
      </c>
      <c r="BQ84" t="e">
        <f>TEXT(TEXT(MEDIAN(Totaal!$T$3:$T$102),"0,0"),"Standaard")</f>
        <v>#NUM!</v>
      </c>
      <c r="BR84" t="str">
        <f>IF(Totaal!U84="","",Totaal!U84)</f>
        <v/>
      </c>
    </row>
    <row r="85" spans="1:70">
      <c r="A85">
        <f>Totaal!A85</f>
        <v>83</v>
      </c>
      <c r="B85" s="22" t="str">
        <f>IF(Totaal!B85="","",Totaal!B85)</f>
        <v/>
      </c>
      <c r="C85" s="8" t="e">
        <f>TEXT(TEXT(Totaal!C85,"0,0"),"Standaard")</f>
        <v>#DIV/0!</v>
      </c>
      <c r="D85" s="8" t="str">
        <f>TEXT(Totaal!C$2,"0")</f>
        <v>100</v>
      </c>
      <c r="E85" s="22" t="e">
        <f>TEXT(TEXT(SUM(Totaal!C$3:C$102)/COUNTIF(Totaal!C$3:C$102,"&lt;&gt;0"),"0,0"),"Standaard")</f>
        <v>#DIV/0!</v>
      </c>
      <c r="F85" t="str">
        <f>Totaal!E$1</f>
        <v>A</v>
      </c>
      <c r="G85" t="str">
        <f>TEXT(TEXT(Totaal!E85,"0,0"),"Standaard")</f>
        <v>0</v>
      </c>
      <c r="H85" t="str">
        <f>TEXT(Totaal!E$2,"0")</f>
        <v>0</v>
      </c>
      <c r="I85" t="e">
        <f>TEXT(TEXT(MEDIAN(Totaal!E$3:E$102),"0,0"),"Standaard")</f>
        <v>#NUM!</v>
      </c>
      <c r="J85" t="str">
        <f>Totaal!F$1</f>
        <v>B</v>
      </c>
      <c r="K85" t="str">
        <f>TEXT(TEXT(Totaal!$F85,"0,0"),"Standaard")</f>
        <v>0</v>
      </c>
      <c r="L85" t="str">
        <f>TEXT(Totaal!F$2,"0")</f>
        <v>0</v>
      </c>
      <c r="M85" t="e">
        <f>TEXT(TEXT(MEDIAN(Totaal!$F$3:$F$102),"0,0"),"Standaard")</f>
        <v>#NUM!</v>
      </c>
      <c r="N85" t="str">
        <f>Totaal!G$1</f>
        <v>C</v>
      </c>
      <c r="O85" t="str">
        <f>TEXT(TEXT(Totaal!$G85,"0,0"),"Standaard")</f>
        <v>0</v>
      </c>
      <c r="P85" t="str">
        <f>TEXT(Totaal!$G$2,"0")</f>
        <v>0</v>
      </c>
      <c r="Q85" t="e">
        <f>TEXT(TEXT(MEDIAN(Totaal!$G$3:$G$102),"0,0"),"Standaard")</f>
        <v>#NUM!</v>
      </c>
      <c r="R85" t="str">
        <f>Totaal!H$1</f>
        <v>D</v>
      </c>
      <c r="S85" t="str">
        <f>TEXT(TEXT(Totaal!$H85,"0,0"),"Standaard")</f>
        <v>0</v>
      </c>
      <c r="T85" t="str">
        <f>TEXT(Totaal!$H$2,"0")</f>
        <v>0</v>
      </c>
      <c r="U85" t="e">
        <f>TEXT(TEXT(MEDIAN(Totaal!$H$3:$H$102),"0,0"),"Standaard")</f>
        <v>#NUM!</v>
      </c>
      <c r="V85" t="str">
        <f>Totaal!I$1</f>
        <v>E</v>
      </c>
      <c r="W85" t="str">
        <f>TEXT(TEXT(Totaal!$I85,"0,0"),"Standaard")</f>
        <v>0</v>
      </c>
      <c r="X85" t="str">
        <f>TEXT(Totaal!$I$2,"0")</f>
        <v>0</v>
      </c>
      <c r="Y85" t="e">
        <f>TEXT(TEXT(MEDIAN(Totaal!$I$3:$I$102),"0,0"),"Standaard")</f>
        <v>#NUM!</v>
      </c>
      <c r="Z85" t="str">
        <f>Totaal!J$1</f>
        <v>F</v>
      </c>
      <c r="AA85" t="str">
        <f>TEXT(TEXT(Totaal!$J85,"0,0"),"Standaard")</f>
        <v>0</v>
      </c>
      <c r="AB85" t="str">
        <f>TEXT(Totaal!$J$2,"0")</f>
        <v>0</v>
      </c>
      <c r="AC85" t="e">
        <f>TEXT(TEXT(MEDIAN(Totaal!$J$3:$J$102),"0,0"),"Standaard")</f>
        <v>#NUM!</v>
      </c>
      <c r="AD85" t="str">
        <f>Totaal!K$1</f>
        <v>G</v>
      </c>
      <c r="AE85" t="str">
        <f>TEXT(TEXT(Totaal!$K85,"0,0"),"Standaard")</f>
        <v>0</v>
      </c>
      <c r="AF85" t="str">
        <f>TEXT(Totaal!$K$2,"0")</f>
        <v>0</v>
      </c>
      <c r="AG85" t="e">
        <f>TEXT(TEXT(MEDIAN(Totaal!$K$3:$K$102),"0,0"),"Standaard")</f>
        <v>#NUM!</v>
      </c>
      <c r="AH85" t="str">
        <f>Totaal!L$1</f>
        <v>H</v>
      </c>
      <c r="AI85" t="str">
        <f>TEXT(TEXT(Totaal!$L85,"0,0"),"Standaard")</f>
        <v>0</v>
      </c>
      <c r="AJ85" t="str">
        <f>TEXT(Totaal!$L$2,"0")</f>
        <v>0</v>
      </c>
      <c r="AK85" t="e">
        <f>TEXT(TEXT(MEDIAN(Totaal!$L$3:$L$102),"0,0"),"Standaard")</f>
        <v>#NUM!</v>
      </c>
      <c r="AL85" t="str">
        <f>Totaal!M$1</f>
        <v>I</v>
      </c>
      <c r="AM85" t="str">
        <f>TEXT(TEXT(Totaal!$M85,"0,0"),"Standaard")</f>
        <v>0</v>
      </c>
      <c r="AN85" t="str">
        <f>TEXT(Totaal!$M$2,"0")</f>
        <v>0</v>
      </c>
      <c r="AO85" t="e">
        <f>TEXT(TEXT(MEDIAN(Totaal!$M$3:$M$102),"0,0"),"Standaard")</f>
        <v>#NUM!</v>
      </c>
      <c r="AP85" t="str">
        <f>Totaal!N$1</f>
        <v>J</v>
      </c>
      <c r="AQ85" t="str">
        <f>TEXT(TEXT(Totaal!$N85,"0,0"),"Standaard")</f>
        <v>0</v>
      </c>
      <c r="AR85" t="str">
        <f>TEXT(Totaal!$N$2,"0")</f>
        <v>0</v>
      </c>
      <c r="AS85" t="e">
        <f>TEXT(TEXT(MEDIAN(Totaal!$N$3:$N$102),"0,0"),"Standaard")</f>
        <v>#NUM!</v>
      </c>
      <c r="AT85" t="str">
        <f>Totaal!O$1</f>
        <v>K</v>
      </c>
      <c r="AU85" t="str">
        <f>TEXT(TEXT(Totaal!$O85,"0,0"),"Standaard")</f>
        <v>0</v>
      </c>
      <c r="AV85" t="str">
        <f>TEXT(Totaal!$O$2,"0")</f>
        <v>0</v>
      </c>
      <c r="AW85" t="e">
        <f>TEXT(TEXT(MEDIAN(Totaal!$O$3:$O$102),"0,0"),"Standaard")</f>
        <v>#NUM!</v>
      </c>
      <c r="AX85" t="str">
        <f>Totaal!P$1</f>
        <v>L</v>
      </c>
      <c r="AY85" t="str">
        <f>TEXT(TEXT(Totaal!$P85,"0,0"),"Standaard")</f>
        <v>0</v>
      </c>
      <c r="AZ85" t="str">
        <f>TEXT(Totaal!$P$2,"0")</f>
        <v>0</v>
      </c>
      <c r="BA85" t="e">
        <f>TEXT(TEXT(MEDIAN(Totaal!$P$3:$P$102),"0,0"),"Standaard")</f>
        <v>#NUM!</v>
      </c>
      <c r="BB85" t="str">
        <f>Totaal!Q$1</f>
        <v>M</v>
      </c>
      <c r="BC85" t="str">
        <f>TEXT(TEXT(Totaal!$Q85,"0,0"),"Standaard")</f>
        <v>0</v>
      </c>
      <c r="BD85" t="str">
        <f>TEXT(Totaal!$Q$2,"0")</f>
        <v>0</v>
      </c>
      <c r="BE85" t="e">
        <f>TEXT(TEXT(MEDIAN(Totaal!$Q$3:$Q$102),"0,0"),"Standaard")</f>
        <v>#NUM!</v>
      </c>
      <c r="BF85" t="str">
        <f>Totaal!R$1</f>
        <v>N</v>
      </c>
      <c r="BG85" t="str">
        <f>TEXT(TEXT(Totaal!$R85,"0,0"),"Standaard")</f>
        <v>0</v>
      </c>
      <c r="BH85" t="str">
        <f>TEXT(Totaal!$R$2,"0")</f>
        <v>0</v>
      </c>
      <c r="BI85" t="e">
        <f>TEXT(TEXT(MEDIAN(Totaal!$R$3:$R$102),"0,0"),"Standaard")</f>
        <v>#NUM!</v>
      </c>
      <c r="BJ85" t="str">
        <f>Totaal!S$1</f>
        <v>O</v>
      </c>
      <c r="BK85" t="str">
        <f>TEXT(TEXT(Totaal!$S85,"0,0"),"Standaard")</f>
        <v>0</v>
      </c>
      <c r="BL85" t="str">
        <f>TEXT(Totaal!$S$2,"0")</f>
        <v>0</v>
      </c>
      <c r="BM85" t="e">
        <f>TEXT(TEXT(MEDIAN(Totaal!$S$3:$S$102),"0,0"),"Standaard")</f>
        <v>#NUM!</v>
      </c>
      <c r="BN85" t="str">
        <f>Totaal!T$1</f>
        <v>P</v>
      </c>
      <c r="BO85" t="str">
        <f>TEXT(TEXT(Totaal!$T85,"0,0"),"Standaard")</f>
        <v>0</v>
      </c>
      <c r="BP85" t="str">
        <f>TEXT(Totaal!$T$2,"0")</f>
        <v>0</v>
      </c>
      <c r="BQ85" t="e">
        <f>TEXT(TEXT(MEDIAN(Totaal!$T$3:$T$102),"0,0"),"Standaard")</f>
        <v>#NUM!</v>
      </c>
      <c r="BR85" t="str">
        <f>IF(Totaal!U85="","",Totaal!U85)</f>
        <v/>
      </c>
    </row>
    <row r="86" spans="1:70">
      <c r="A86">
        <f>Totaal!A86</f>
        <v>84</v>
      </c>
      <c r="B86" s="22" t="str">
        <f>IF(Totaal!B86="","",Totaal!B86)</f>
        <v/>
      </c>
      <c r="C86" s="8" t="e">
        <f>TEXT(TEXT(Totaal!C86,"0,0"),"Standaard")</f>
        <v>#DIV/0!</v>
      </c>
      <c r="D86" s="8" t="str">
        <f>TEXT(Totaal!C$2,"0")</f>
        <v>100</v>
      </c>
      <c r="E86" s="22" t="e">
        <f>TEXT(TEXT(SUM(Totaal!C$3:C$102)/COUNTIF(Totaal!C$3:C$102,"&lt;&gt;0"),"0,0"),"Standaard")</f>
        <v>#DIV/0!</v>
      </c>
      <c r="F86" t="str">
        <f>Totaal!E$1</f>
        <v>A</v>
      </c>
      <c r="G86" t="str">
        <f>TEXT(TEXT(Totaal!E86,"0,0"),"Standaard")</f>
        <v>0</v>
      </c>
      <c r="H86" t="str">
        <f>TEXT(Totaal!E$2,"0")</f>
        <v>0</v>
      </c>
      <c r="I86" t="e">
        <f>TEXT(TEXT(MEDIAN(Totaal!E$3:E$102),"0,0"),"Standaard")</f>
        <v>#NUM!</v>
      </c>
      <c r="J86" t="str">
        <f>Totaal!F$1</f>
        <v>B</v>
      </c>
      <c r="K86" t="str">
        <f>TEXT(TEXT(Totaal!$F86,"0,0"),"Standaard")</f>
        <v>0</v>
      </c>
      <c r="L86" t="str">
        <f>TEXT(Totaal!F$2,"0")</f>
        <v>0</v>
      </c>
      <c r="M86" t="e">
        <f>TEXT(TEXT(MEDIAN(Totaal!$F$3:$F$102),"0,0"),"Standaard")</f>
        <v>#NUM!</v>
      </c>
      <c r="N86" t="str">
        <f>Totaal!G$1</f>
        <v>C</v>
      </c>
      <c r="O86" t="str">
        <f>TEXT(TEXT(Totaal!$G86,"0,0"),"Standaard")</f>
        <v>0</v>
      </c>
      <c r="P86" t="str">
        <f>TEXT(Totaal!$G$2,"0")</f>
        <v>0</v>
      </c>
      <c r="Q86" t="e">
        <f>TEXT(TEXT(MEDIAN(Totaal!$G$3:$G$102),"0,0"),"Standaard")</f>
        <v>#NUM!</v>
      </c>
      <c r="R86" t="str">
        <f>Totaal!H$1</f>
        <v>D</v>
      </c>
      <c r="S86" t="str">
        <f>TEXT(TEXT(Totaal!$H86,"0,0"),"Standaard")</f>
        <v>0</v>
      </c>
      <c r="T86" t="str">
        <f>TEXT(Totaal!$H$2,"0")</f>
        <v>0</v>
      </c>
      <c r="U86" t="e">
        <f>TEXT(TEXT(MEDIAN(Totaal!$H$3:$H$102),"0,0"),"Standaard")</f>
        <v>#NUM!</v>
      </c>
      <c r="V86" t="str">
        <f>Totaal!I$1</f>
        <v>E</v>
      </c>
      <c r="W86" t="str">
        <f>TEXT(TEXT(Totaal!$I86,"0,0"),"Standaard")</f>
        <v>0</v>
      </c>
      <c r="X86" t="str">
        <f>TEXT(Totaal!$I$2,"0")</f>
        <v>0</v>
      </c>
      <c r="Y86" t="e">
        <f>TEXT(TEXT(MEDIAN(Totaal!$I$3:$I$102),"0,0"),"Standaard")</f>
        <v>#NUM!</v>
      </c>
      <c r="Z86" t="str">
        <f>Totaal!J$1</f>
        <v>F</v>
      </c>
      <c r="AA86" t="str">
        <f>TEXT(TEXT(Totaal!$J86,"0,0"),"Standaard")</f>
        <v>0</v>
      </c>
      <c r="AB86" t="str">
        <f>TEXT(Totaal!$J$2,"0")</f>
        <v>0</v>
      </c>
      <c r="AC86" t="e">
        <f>TEXT(TEXT(MEDIAN(Totaal!$J$3:$J$102),"0,0"),"Standaard")</f>
        <v>#NUM!</v>
      </c>
      <c r="AD86" t="str">
        <f>Totaal!K$1</f>
        <v>G</v>
      </c>
      <c r="AE86" t="str">
        <f>TEXT(TEXT(Totaal!$K86,"0,0"),"Standaard")</f>
        <v>0</v>
      </c>
      <c r="AF86" t="str">
        <f>TEXT(Totaal!$K$2,"0")</f>
        <v>0</v>
      </c>
      <c r="AG86" t="e">
        <f>TEXT(TEXT(MEDIAN(Totaal!$K$3:$K$102),"0,0"),"Standaard")</f>
        <v>#NUM!</v>
      </c>
      <c r="AH86" t="str">
        <f>Totaal!L$1</f>
        <v>H</v>
      </c>
      <c r="AI86" t="str">
        <f>TEXT(TEXT(Totaal!$L86,"0,0"),"Standaard")</f>
        <v>0</v>
      </c>
      <c r="AJ86" t="str">
        <f>TEXT(Totaal!$L$2,"0")</f>
        <v>0</v>
      </c>
      <c r="AK86" t="e">
        <f>TEXT(TEXT(MEDIAN(Totaal!$L$3:$L$102),"0,0"),"Standaard")</f>
        <v>#NUM!</v>
      </c>
      <c r="AL86" t="str">
        <f>Totaal!M$1</f>
        <v>I</v>
      </c>
      <c r="AM86" t="str">
        <f>TEXT(TEXT(Totaal!$M86,"0,0"),"Standaard")</f>
        <v>0</v>
      </c>
      <c r="AN86" t="str">
        <f>TEXT(Totaal!$M$2,"0")</f>
        <v>0</v>
      </c>
      <c r="AO86" t="e">
        <f>TEXT(TEXT(MEDIAN(Totaal!$M$3:$M$102),"0,0"),"Standaard")</f>
        <v>#NUM!</v>
      </c>
      <c r="AP86" t="str">
        <f>Totaal!N$1</f>
        <v>J</v>
      </c>
      <c r="AQ86" t="str">
        <f>TEXT(TEXT(Totaal!$N86,"0,0"),"Standaard")</f>
        <v>0</v>
      </c>
      <c r="AR86" t="str">
        <f>TEXT(Totaal!$N$2,"0")</f>
        <v>0</v>
      </c>
      <c r="AS86" t="e">
        <f>TEXT(TEXT(MEDIAN(Totaal!$N$3:$N$102),"0,0"),"Standaard")</f>
        <v>#NUM!</v>
      </c>
      <c r="AT86" t="str">
        <f>Totaal!O$1</f>
        <v>K</v>
      </c>
      <c r="AU86" t="str">
        <f>TEXT(TEXT(Totaal!$O86,"0,0"),"Standaard")</f>
        <v>0</v>
      </c>
      <c r="AV86" t="str">
        <f>TEXT(Totaal!$O$2,"0")</f>
        <v>0</v>
      </c>
      <c r="AW86" t="e">
        <f>TEXT(TEXT(MEDIAN(Totaal!$O$3:$O$102),"0,0"),"Standaard")</f>
        <v>#NUM!</v>
      </c>
      <c r="AX86" t="str">
        <f>Totaal!P$1</f>
        <v>L</v>
      </c>
      <c r="AY86" t="str">
        <f>TEXT(TEXT(Totaal!$P86,"0,0"),"Standaard")</f>
        <v>0</v>
      </c>
      <c r="AZ86" t="str">
        <f>TEXT(Totaal!$P$2,"0")</f>
        <v>0</v>
      </c>
      <c r="BA86" t="e">
        <f>TEXT(TEXT(MEDIAN(Totaal!$P$3:$P$102),"0,0"),"Standaard")</f>
        <v>#NUM!</v>
      </c>
      <c r="BB86" t="str">
        <f>Totaal!Q$1</f>
        <v>M</v>
      </c>
      <c r="BC86" t="str">
        <f>TEXT(TEXT(Totaal!$Q86,"0,0"),"Standaard")</f>
        <v>0</v>
      </c>
      <c r="BD86" t="str">
        <f>TEXT(Totaal!$Q$2,"0")</f>
        <v>0</v>
      </c>
      <c r="BE86" t="e">
        <f>TEXT(TEXT(MEDIAN(Totaal!$Q$3:$Q$102),"0,0"),"Standaard")</f>
        <v>#NUM!</v>
      </c>
      <c r="BF86" t="str">
        <f>Totaal!R$1</f>
        <v>N</v>
      </c>
      <c r="BG86" t="str">
        <f>TEXT(TEXT(Totaal!$R86,"0,0"),"Standaard")</f>
        <v>0</v>
      </c>
      <c r="BH86" t="str">
        <f>TEXT(Totaal!$R$2,"0")</f>
        <v>0</v>
      </c>
      <c r="BI86" t="e">
        <f>TEXT(TEXT(MEDIAN(Totaal!$R$3:$R$102),"0,0"),"Standaard")</f>
        <v>#NUM!</v>
      </c>
      <c r="BJ86" t="str">
        <f>Totaal!S$1</f>
        <v>O</v>
      </c>
      <c r="BK86" t="str">
        <f>TEXT(TEXT(Totaal!$S86,"0,0"),"Standaard")</f>
        <v>0</v>
      </c>
      <c r="BL86" t="str">
        <f>TEXT(Totaal!$S$2,"0")</f>
        <v>0</v>
      </c>
      <c r="BM86" t="e">
        <f>TEXT(TEXT(MEDIAN(Totaal!$S$3:$S$102),"0,0"),"Standaard")</f>
        <v>#NUM!</v>
      </c>
      <c r="BN86" t="str">
        <f>Totaal!T$1</f>
        <v>P</v>
      </c>
      <c r="BO86" t="str">
        <f>TEXT(TEXT(Totaal!$T86,"0,0"),"Standaard")</f>
        <v>0</v>
      </c>
      <c r="BP86" t="str">
        <f>TEXT(Totaal!$T$2,"0")</f>
        <v>0</v>
      </c>
      <c r="BQ86" t="e">
        <f>TEXT(TEXT(MEDIAN(Totaal!$T$3:$T$102),"0,0"),"Standaard")</f>
        <v>#NUM!</v>
      </c>
      <c r="BR86" t="str">
        <f>IF(Totaal!U86="","",Totaal!U86)</f>
        <v/>
      </c>
    </row>
    <row r="87" spans="1:70">
      <c r="A87">
        <f>Totaal!A87</f>
        <v>85</v>
      </c>
      <c r="B87" s="22" t="str">
        <f>IF(Totaal!B87="","",Totaal!B87)</f>
        <v/>
      </c>
      <c r="C87" s="8" t="e">
        <f>TEXT(TEXT(Totaal!C87,"0,0"),"Standaard")</f>
        <v>#DIV/0!</v>
      </c>
      <c r="D87" s="8" t="str">
        <f>TEXT(Totaal!C$2,"0")</f>
        <v>100</v>
      </c>
      <c r="E87" s="22" t="e">
        <f>TEXT(TEXT(SUM(Totaal!C$3:C$102)/COUNTIF(Totaal!C$3:C$102,"&lt;&gt;0"),"0,0"),"Standaard")</f>
        <v>#DIV/0!</v>
      </c>
      <c r="F87" t="str">
        <f>Totaal!E$1</f>
        <v>A</v>
      </c>
      <c r="G87" t="str">
        <f>TEXT(TEXT(Totaal!E87,"0,0"),"Standaard")</f>
        <v>0</v>
      </c>
      <c r="H87" t="str">
        <f>TEXT(Totaal!E$2,"0")</f>
        <v>0</v>
      </c>
      <c r="I87" t="e">
        <f>TEXT(TEXT(MEDIAN(Totaal!E$3:E$102),"0,0"),"Standaard")</f>
        <v>#NUM!</v>
      </c>
      <c r="J87" t="str">
        <f>Totaal!F$1</f>
        <v>B</v>
      </c>
      <c r="K87" t="str">
        <f>TEXT(TEXT(Totaal!$F87,"0,0"),"Standaard")</f>
        <v>0</v>
      </c>
      <c r="L87" t="str">
        <f>TEXT(Totaal!F$2,"0")</f>
        <v>0</v>
      </c>
      <c r="M87" t="e">
        <f>TEXT(TEXT(MEDIAN(Totaal!$F$3:$F$102),"0,0"),"Standaard")</f>
        <v>#NUM!</v>
      </c>
      <c r="N87" t="str">
        <f>Totaal!G$1</f>
        <v>C</v>
      </c>
      <c r="O87" t="str">
        <f>TEXT(TEXT(Totaal!$G87,"0,0"),"Standaard")</f>
        <v>0</v>
      </c>
      <c r="P87" t="str">
        <f>TEXT(Totaal!$G$2,"0")</f>
        <v>0</v>
      </c>
      <c r="Q87" t="e">
        <f>TEXT(TEXT(MEDIAN(Totaal!$G$3:$G$102),"0,0"),"Standaard")</f>
        <v>#NUM!</v>
      </c>
      <c r="R87" t="str">
        <f>Totaal!H$1</f>
        <v>D</v>
      </c>
      <c r="S87" t="str">
        <f>TEXT(TEXT(Totaal!$H87,"0,0"),"Standaard")</f>
        <v>0</v>
      </c>
      <c r="T87" t="str">
        <f>TEXT(Totaal!$H$2,"0")</f>
        <v>0</v>
      </c>
      <c r="U87" t="e">
        <f>TEXT(TEXT(MEDIAN(Totaal!$H$3:$H$102),"0,0"),"Standaard")</f>
        <v>#NUM!</v>
      </c>
      <c r="V87" t="str">
        <f>Totaal!I$1</f>
        <v>E</v>
      </c>
      <c r="W87" t="str">
        <f>TEXT(TEXT(Totaal!$I87,"0,0"),"Standaard")</f>
        <v>0</v>
      </c>
      <c r="X87" t="str">
        <f>TEXT(Totaal!$I$2,"0")</f>
        <v>0</v>
      </c>
      <c r="Y87" t="e">
        <f>TEXT(TEXT(MEDIAN(Totaal!$I$3:$I$102),"0,0"),"Standaard")</f>
        <v>#NUM!</v>
      </c>
      <c r="Z87" t="str">
        <f>Totaal!J$1</f>
        <v>F</v>
      </c>
      <c r="AA87" t="str">
        <f>TEXT(TEXT(Totaal!$J87,"0,0"),"Standaard")</f>
        <v>0</v>
      </c>
      <c r="AB87" t="str">
        <f>TEXT(Totaal!$J$2,"0")</f>
        <v>0</v>
      </c>
      <c r="AC87" t="e">
        <f>TEXT(TEXT(MEDIAN(Totaal!$J$3:$J$102),"0,0"),"Standaard")</f>
        <v>#NUM!</v>
      </c>
      <c r="AD87" t="str">
        <f>Totaal!K$1</f>
        <v>G</v>
      </c>
      <c r="AE87" t="str">
        <f>TEXT(TEXT(Totaal!$K87,"0,0"),"Standaard")</f>
        <v>0</v>
      </c>
      <c r="AF87" t="str">
        <f>TEXT(Totaal!$K$2,"0")</f>
        <v>0</v>
      </c>
      <c r="AG87" t="e">
        <f>TEXT(TEXT(MEDIAN(Totaal!$K$3:$K$102),"0,0"),"Standaard")</f>
        <v>#NUM!</v>
      </c>
      <c r="AH87" t="str">
        <f>Totaal!L$1</f>
        <v>H</v>
      </c>
      <c r="AI87" t="str">
        <f>TEXT(TEXT(Totaal!$L87,"0,0"),"Standaard")</f>
        <v>0</v>
      </c>
      <c r="AJ87" t="str">
        <f>TEXT(Totaal!$L$2,"0")</f>
        <v>0</v>
      </c>
      <c r="AK87" t="e">
        <f>TEXT(TEXT(MEDIAN(Totaal!$L$3:$L$102),"0,0"),"Standaard")</f>
        <v>#NUM!</v>
      </c>
      <c r="AL87" t="str">
        <f>Totaal!M$1</f>
        <v>I</v>
      </c>
      <c r="AM87" t="str">
        <f>TEXT(TEXT(Totaal!$M87,"0,0"),"Standaard")</f>
        <v>0</v>
      </c>
      <c r="AN87" t="str">
        <f>TEXT(Totaal!$M$2,"0")</f>
        <v>0</v>
      </c>
      <c r="AO87" t="e">
        <f>TEXT(TEXT(MEDIAN(Totaal!$M$3:$M$102),"0,0"),"Standaard")</f>
        <v>#NUM!</v>
      </c>
      <c r="AP87" t="str">
        <f>Totaal!N$1</f>
        <v>J</v>
      </c>
      <c r="AQ87" t="str">
        <f>TEXT(TEXT(Totaal!$N87,"0,0"),"Standaard")</f>
        <v>0</v>
      </c>
      <c r="AR87" t="str">
        <f>TEXT(Totaal!$N$2,"0")</f>
        <v>0</v>
      </c>
      <c r="AS87" t="e">
        <f>TEXT(TEXT(MEDIAN(Totaal!$N$3:$N$102),"0,0"),"Standaard")</f>
        <v>#NUM!</v>
      </c>
      <c r="AT87" t="str">
        <f>Totaal!O$1</f>
        <v>K</v>
      </c>
      <c r="AU87" t="str">
        <f>TEXT(TEXT(Totaal!$O87,"0,0"),"Standaard")</f>
        <v>0</v>
      </c>
      <c r="AV87" t="str">
        <f>TEXT(Totaal!$O$2,"0")</f>
        <v>0</v>
      </c>
      <c r="AW87" t="e">
        <f>TEXT(TEXT(MEDIAN(Totaal!$O$3:$O$102),"0,0"),"Standaard")</f>
        <v>#NUM!</v>
      </c>
      <c r="AX87" t="str">
        <f>Totaal!P$1</f>
        <v>L</v>
      </c>
      <c r="AY87" t="str">
        <f>TEXT(TEXT(Totaal!$P87,"0,0"),"Standaard")</f>
        <v>0</v>
      </c>
      <c r="AZ87" t="str">
        <f>TEXT(Totaal!$P$2,"0")</f>
        <v>0</v>
      </c>
      <c r="BA87" t="e">
        <f>TEXT(TEXT(MEDIAN(Totaal!$P$3:$P$102),"0,0"),"Standaard")</f>
        <v>#NUM!</v>
      </c>
      <c r="BB87" t="str">
        <f>Totaal!Q$1</f>
        <v>M</v>
      </c>
      <c r="BC87" t="str">
        <f>TEXT(TEXT(Totaal!$Q87,"0,0"),"Standaard")</f>
        <v>0</v>
      </c>
      <c r="BD87" t="str">
        <f>TEXT(Totaal!$Q$2,"0")</f>
        <v>0</v>
      </c>
      <c r="BE87" t="e">
        <f>TEXT(TEXT(MEDIAN(Totaal!$Q$3:$Q$102),"0,0"),"Standaard")</f>
        <v>#NUM!</v>
      </c>
      <c r="BF87" t="str">
        <f>Totaal!R$1</f>
        <v>N</v>
      </c>
      <c r="BG87" t="str">
        <f>TEXT(TEXT(Totaal!$R87,"0,0"),"Standaard")</f>
        <v>0</v>
      </c>
      <c r="BH87" t="str">
        <f>TEXT(Totaal!$R$2,"0")</f>
        <v>0</v>
      </c>
      <c r="BI87" t="e">
        <f>TEXT(TEXT(MEDIAN(Totaal!$R$3:$R$102),"0,0"),"Standaard")</f>
        <v>#NUM!</v>
      </c>
      <c r="BJ87" t="str">
        <f>Totaal!S$1</f>
        <v>O</v>
      </c>
      <c r="BK87" t="str">
        <f>TEXT(TEXT(Totaal!$S87,"0,0"),"Standaard")</f>
        <v>0</v>
      </c>
      <c r="BL87" t="str">
        <f>TEXT(Totaal!$S$2,"0")</f>
        <v>0</v>
      </c>
      <c r="BM87" t="e">
        <f>TEXT(TEXT(MEDIAN(Totaal!$S$3:$S$102),"0,0"),"Standaard")</f>
        <v>#NUM!</v>
      </c>
      <c r="BN87" t="str">
        <f>Totaal!T$1</f>
        <v>P</v>
      </c>
      <c r="BO87" t="str">
        <f>TEXT(TEXT(Totaal!$T87,"0,0"),"Standaard")</f>
        <v>0</v>
      </c>
      <c r="BP87" t="str">
        <f>TEXT(Totaal!$T$2,"0")</f>
        <v>0</v>
      </c>
      <c r="BQ87" t="e">
        <f>TEXT(TEXT(MEDIAN(Totaal!$T$3:$T$102),"0,0"),"Standaard")</f>
        <v>#NUM!</v>
      </c>
      <c r="BR87" t="str">
        <f>IF(Totaal!U87="","",Totaal!U87)</f>
        <v/>
      </c>
    </row>
    <row r="88" spans="1:70">
      <c r="A88">
        <f>Totaal!A88</f>
        <v>86</v>
      </c>
      <c r="B88" s="22" t="str">
        <f>IF(Totaal!B88="","",Totaal!B88)</f>
        <v/>
      </c>
      <c r="C88" s="8" t="e">
        <f>TEXT(TEXT(Totaal!C88,"0,0"),"Standaard")</f>
        <v>#DIV/0!</v>
      </c>
      <c r="D88" s="8" t="str">
        <f>TEXT(Totaal!C$2,"0")</f>
        <v>100</v>
      </c>
      <c r="E88" s="22" t="e">
        <f>TEXT(TEXT(SUM(Totaal!C$3:C$102)/COUNTIF(Totaal!C$3:C$102,"&lt;&gt;0"),"0,0"),"Standaard")</f>
        <v>#DIV/0!</v>
      </c>
      <c r="F88" t="str">
        <f>Totaal!E$1</f>
        <v>A</v>
      </c>
      <c r="G88" t="str">
        <f>TEXT(TEXT(Totaal!E88,"0,0"),"Standaard")</f>
        <v>0</v>
      </c>
      <c r="H88" t="str">
        <f>TEXT(Totaal!E$2,"0")</f>
        <v>0</v>
      </c>
      <c r="I88" t="e">
        <f>TEXT(TEXT(MEDIAN(Totaal!E$3:E$102),"0,0"),"Standaard")</f>
        <v>#NUM!</v>
      </c>
      <c r="J88" t="str">
        <f>Totaal!F$1</f>
        <v>B</v>
      </c>
      <c r="K88" t="str">
        <f>TEXT(TEXT(Totaal!$F88,"0,0"),"Standaard")</f>
        <v>0</v>
      </c>
      <c r="L88" t="str">
        <f>TEXT(Totaal!F$2,"0")</f>
        <v>0</v>
      </c>
      <c r="M88" t="e">
        <f>TEXT(TEXT(MEDIAN(Totaal!$F$3:$F$102),"0,0"),"Standaard")</f>
        <v>#NUM!</v>
      </c>
      <c r="N88" t="str">
        <f>Totaal!G$1</f>
        <v>C</v>
      </c>
      <c r="O88" t="str">
        <f>TEXT(TEXT(Totaal!$G88,"0,0"),"Standaard")</f>
        <v>0</v>
      </c>
      <c r="P88" t="str">
        <f>TEXT(Totaal!$G$2,"0")</f>
        <v>0</v>
      </c>
      <c r="Q88" t="e">
        <f>TEXT(TEXT(MEDIAN(Totaal!$G$3:$G$102),"0,0"),"Standaard")</f>
        <v>#NUM!</v>
      </c>
      <c r="R88" t="str">
        <f>Totaal!H$1</f>
        <v>D</v>
      </c>
      <c r="S88" t="str">
        <f>TEXT(TEXT(Totaal!$H88,"0,0"),"Standaard")</f>
        <v>0</v>
      </c>
      <c r="T88" t="str">
        <f>TEXT(Totaal!$H$2,"0")</f>
        <v>0</v>
      </c>
      <c r="U88" t="e">
        <f>TEXT(TEXT(MEDIAN(Totaal!$H$3:$H$102),"0,0"),"Standaard")</f>
        <v>#NUM!</v>
      </c>
      <c r="V88" t="str">
        <f>Totaal!I$1</f>
        <v>E</v>
      </c>
      <c r="W88" t="str">
        <f>TEXT(TEXT(Totaal!$I88,"0,0"),"Standaard")</f>
        <v>0</v>
      </c>
      <c r="X88" t="str">
        <f>TEXT(Totaal!$I$2,"0")</f>
        <v>0</v>
      </c>
      <c r="Y88" t="e">
        <f>TEXT(TEXT(MEDIAN(Totaal!$I$3:$I$102),"0,0"),"Standaard")</f>
        <v>#NUM!</v>
      </c>
      <c r="Z88" t="str">
        <f>Totaal!J$1</f>
        <v>F</v>
      </c>
      <c r="AA88" t="str">
        <f>TEXT(TEXT(Totaal!$J88,"0,0"),"Standaard")</f>
        <v>0</v>
      </c>
      <c r="AB88" t="str">
        <f>TEXT(Totaal!$J$2,"0")</f>
        <v>0</v>
      </c>
      <c r="AC88" t="e">
        <f>TEXT(TEXT(MEDIAN(Totaal!$J$3:$J$102),"0,0"),"Standaard")</f>
        <v>#NUM!</v>
      </c>
      <c r="AD88" t="str">
        <f>Totaal!K$1</f>
        <v>G</v>
      </c>
      <c r="AE88" t="str">
        <f>TEXT(TEXT(Totaal!$K88,"0,0"),"Standaard")</f>
        <v>0</v>
      </c>
      <c r="AF88" t="str">
        <f>TEXT(Totaal!$K$2,"0")</f>
        <v>0</v>
      </c>
      <c r="AG88" t="e">
        <f>TEXT(TEXT(MEDIAN(Totaal!$K$3:$K$102),"0,0"),"Standaard")</f>
        <v>#NUM!</v>
      </c>
      <c r="AH88" t="str">
        <f>Totaal!L$1</f>
        <v>H</v>
      </c>
      <c r="AI88" t="str">
        <f>TEXT(TEXT(Totaal!$L88,"0,0"),"Standaard")</f>
        <v>0</v>
      </c>
      <c r="AJ88" t="str">
        <f>TEXT(Totaal!$L$2,"0")</f>
        <v>0</v>
      </c>
      <c r="AK88" t="e">
        <f>TEXT(TEXT(MEDIAN(Totaal!$L$3:$L$102),"0,0"),"Standaard")</f>
        <v>#NUM!</v>
      </c>
      <c r="AL88" t="str">
        <f>Totaal!M$1</f>
        <v>I</v>
      </c>
      <c r="AM88" t="str">
        <f>TEXT(TEXT(Totaal!$M88,"0,0"),"Standaard")</f>
        <v>0</v>
      </c>
      <c r="AN88" t="str">
        <f>TEXT(Totaal!$M$2,"0")</f>
        <v>0</v>
      </c>
      <c r="AO88" t="e">
        <f>TEXT(TEXT(MEDIAN(Totaal!$M$3:$M$102),"0,0"),"Standaard")</f>
        <v>#NUM!</v>
      </c>
      <c r="AP88" t="str">
        <f>Totaal!N$1</f>
        <v>J</v>
      </c>
      <c r="AQ88" t="str">
        <f>TEXT(TEXT(Totaal!$N88,"0,0"),"Standaard")</f>
        <v>0</v>
      </c>
      <c r="AR88" t="str">
        <f>TEXT(Totaal!$N$2,"0")</f>
        <v>0</v>
      </c>
      <c r="AS88" t="e">
        <f>TEXT(TEXT(MEDIAN(Totaal!$N$3:$N$102),"0,0"),"Standaard")</f>
        <v>#NUM!</v>
      </c>
      <c r="AT88" t="str">
        <f>Totaal!O$1</f>
        <v>K</v>
      </c>
      <c r="AU88" t="str">
        <f>TEXT(TEXT(Totaal!$O88,"0,0"),"Standaard")</f>
        <v>0</v>
      </c>
      <c r="AV88" t="str">
        <f>TEXT(Totaal!$O$2,"0")</f>
        <v>0</v>
      </c>
      <c r="AW88" t="e">
        <f>TEXT(TEXT(MEDIAN(Totaal!$O$3:$O$102),"0,0"),"Standaard")</f>
        <v>#NUM!</v>
      </c>
      <c r="AX88" t="str">
        <f>Totaal!P$1</f>
        <v>L</v>
      </c>
      <c r="AY88" t="str">
        <f>TEXT(TEXT(Totaal!$P88,"0,0"),"Standaard")</f>
        <v>0</v>
      </c>
      <c r="AZ88" t="str">
        <f>TEXT(Totaal!$P$2,"0")</f>
        <v>0</v>
      </c>
      <c r="BA88" t="e">
        <f>TEXT(TEXT(MEDIAN(Totaal!$P$3:$P$102),"0,0"),"Standaard")</f>
        <v>#NUM!</v>
      </c>
      <c r="BB88" t="str">
        <f>Totaal!Q$1</f>
        <v>M</v>
      </c>
      <c r="BC88" t="str">
        <f>TEXT(TEXT(Totaal!$Q88,"0,0"),"Standaard")</f>
        <v>0</v>
      </c>
      <c r="BD88" t="str">
        <f>TEXT(Totaal!$Q$2,"0")</f>
        <v>0</v>
      </c>
      <c r="BE88" t="e">
        <f>TEXT(TEXT(MEDIAN(Totaal!$Q$3:$Q$102),"0,0"),"Standaard")</f>
        <v>#NUM!</v>
      </c>
      <c r="BF88" t="str">
        <f>Totaal!R$1</f>
        <v>N</v>
      </c>
      <c r="BG88" t="str">
        <f>TEXT(TEXT(Totaal!$R88,"0,0"),"Standaard")</f>
        <v>0</v>
      </c>
      <c r="BH88" t="str">
        <f>TEXT(Totaal!$R$2,"0")</f>
        <v>0</v>
      </c>
      <c r="BI88" t="e">
        <f>TEXT(TEXT(MEDIAN(Totaal!$R$3:$R$102),"0,0"),"Standaard")</f>
        <v>#NUM!</v>
      </c>
      <c r="BJ88" t="str">
        <f>Totaal!S$1</f>
        <v>O</v>
      </c>
      <c r="BK88" t="str">
        <f>TEXT(TEXT(Totaal!$S88,"0,0"),"Standaard")</f>
        <v>0</v>
      </c>
      <c r="BL88" t="str">
        <f>TEXT(Totaal!$S$2,"0")</f>
        <v>0</v>
      </c>
      <c r="BM88" t="e">
        <f>TEXT(TEXT(MEDIAN(Totaal!$S$3:$S$102),"0,0"),"Standaard")</f>
        <v>#NUM!</v>
      </c>
      <c r="BN88" t="str">
        <f>Totaal!T$1</f>
        <v>P</v>
      </c>
      <c r="BO88" t="str">
        <f>TEXT(TEXT(Totaal!$T88,"0,0"),"Standaard")</f>
        <v>0</v>
      </c>
      <c r="BP88" t="str">
        <f>TEXT(Totaal!$T$2,"0")</f>
        <v>0</v>
      </c>
      <c r="BQ88" t="e">
        <f>TEXT(TEXT(MEDIAN(Totaal!$T$3:$T$102),"0,0"),"Standaard")</f>
        <v>#NUM!</v>
      </c>
      <c r="BR88" t="str">
        <f>IF(Totaal!U88="","",Totaal!U88)</f>
        <v/>
      </c>
    </row>
    <row r="89" spans="1:70">
      <c r="A89">
        <f>Totaal!A89</f>
        <v>87</v>
      </c>
      <c r="B89" s="22" t="str">
        <f>IF(Totaal!B89="","",Totaal!B89)</f>
        <v/>
      </c>
      <c r="C89" s="8" t="e">
        <f>TEXT(TEXT(Totaal!C89,"0,0"),"Standaard")</f>
        <v>#DIV/0!</v>
      </c>
      <c r="D89" s="8" t="str">
        <f>TEXT(Totaal!C$2,"0")</f>
        <v>100</v>
      </c>
      <c r="E89" s="22" t="e">
        <f>TEXT(TEXT(SUM(Totaal!C$3:C$102)/COUNTIF(Totaal!C$3:C$102,"&lt;&gt;0"),"0,0"),"Standaard")</f>
        <v>#DIV/0!</v>
      </c>
      <c r="F89" t="str">
        <f>Totaal!E$1</f>
        <v>A</v>
      </c>
      <c r="G89" t="str">
        <f>TEXT(TEXT(Totaal!E89,"0,0"),"Standaard")</f>
        <v>0</v>
      </c>
      <c r="H89" t="str">
        <f>TEXT(Totaal!E$2,"0")</f>
        <v>0</v>
      </c>
      <c r="I89" t="e">
        <f>TEXT(TEXT(MEDIAN(Totaal!E$3:E$102),"0,0"),"Standaard")</f>
        <v>#NUM!</v>
      </c>
      <c r="J89" t="str">
        <f>Totaal!F$1</f>
        <v>B</v>
      </c>
      <c r="K89" t="str">
        <f>TEXT(TEXT(Totaal!$F89,"0,0"),"Standaard")</f>
        <v>0</v>
      </c>
      <c r="L89" t="str">
        <f>TEXT(Totaal!F$2,"0")</f>
        <v>0</v>
      </c>
      <c r="M89" t="e">
        <f>TEXT(TEXT(MEDIAN(Totaal!$F$3:$F$102),"0,0"),"Standaard")</f>
        <v>#NUM!</v>
      </c>
      <c r="N89" t="str">
        <f>Totaal!G$1</f>
        <v>C</v>
      </c>
      <c r="O89" t="str">
        <f>TEXT(TEXT(Totaal!$G89,"0,0"),"Standaard")</f>
        <v>0</v>
      </c>
      <c r="P89" t="str">
        <f>TEXT(Totaal!$G$2,"0")</f>
        <v>0</v>
      </c>
      <c r="Q89" t="e">
        <f>TEXT(TEXT(MEDIAN(Totaal!$G$3:$G$102),"0,0"),"Standaard")</f>
        <v>#NUM!</v>
      </c>
      <c r="R89" t="str">
        <f>Totaal!H$1</f>
        <v>D</v>
      </c>
      <c r="S89" t="str">
        <f>TEXT(TEXT(Totaal!$H89,"0,0"),"Standaard")</f>
        <v>0</v>
      </c>
      <c r="T89" t="str">
        <f>TEXT(Totaal!$H$2,"0")</f>
        <v>0</v>
      </c>
      <c r="U89" t="e">
        <f>TEXT(TEXT(MEDIAN(Totaal!$H$3:$H$102),"0,0"),"Standaard")</f>
        <v>#NUM!</v>
      </c>
      <c r="V89" t="str">
        <f>Totaal!I$1</f>
        <v>E</v>
      </c>
      <c r="W89" t="str">
        <f>TEXT(TEXT(Totaal!$I89,"0,0"),"Standaard")</f>
        <v>0</v>
      </c>
      <c r="X89" t="str">
        <f>TEXT(Totaal!$I$2,"0")</f>
        <v>0</v>
      </c>
      <c r="Y89" t="e">
        <f>TEXT(TEXT(MEDIAN(Totaal!$I$3:$I$102),"0,0"),"Standaard")</f>
        <v>#NUM!</v>
      </c>
      <c r="Z89" t="str">
        <f>Totaal!J$1</f>
        <v>F</v>
      </c>
      <c r="AA89" t="str">
        <f>TEXT(TEXT(Totaal!$J89,"0,0"),"Standaard")</f>
        <v>0</v>
      </c>
      <c r="AB89" t="str">
        <f>TEXT(Totaal!$J$2,"0")</f>
        <v>0</v>
      </c>
      <c r="AC89" t="e">
        <f>TEXT(TEXT(MEDIAN(Totaal!$J$3:$J$102),"0,0"),"Standaard")</f>
        <v>#NUM!</v>
      </c>
      <c r="AD89" t="str">
        <f>Totaal!K$1</f>
        <v>G</v>
      </c>
      <c r="AE89" t="str">
        <f>TEXT(TEXT(Totaal!$K89,"0,0"),"Standaard")</f>
        <v>0</v>
      </c>
      <c r="AF89" t="str">
        <f>TEXT(Totaal!$K$2,"0")</f>
        <v>0</v>
      </c>
      <c r="AG89" t="e">
        <f>TEXT(TEXT(MEDIAN(Totaal!$K$3:$K$102),"0,0"),"Standaard")</f>
        <v>#NUM!</v>
      </c>
      <c r="AH89" t="str">
        <f>Totaal!L$1</f>
        <v>H</v>
      </c>
      <c r="AI89" t="str">
        <f>TEXT(TEXT(Totaal!$L89,"0,0"),"Standaard")</f>
        <v>0</v>
      </c>
      <c r="AJ89" t="str">
        <f>TEXT(Totaal!$L$2,"0")</f>
        <v>0</v>
      </c>
      <c r="AK89" t="e">
        <f>TEXT(TEXT(MEDIAN(Totaal!$L$3:$L$102),"0,0"),"Standaard")</f>
        <v>#NUM!</v>
      </c>
      <c r="AL89" t="str">
        <f>Totaal!M$1</f>
        <v>I</v>
      </c>
      <c r="AM89" t="str">
        <f>TEXT(TEXT(Totaal!$M89,"0,0"),"Standaard")</f>
        <v>0</v>
      </c>
      <c r="AN89" t="str">
        <f>TEXT(Totaal!$M$2,"0")</f>
        <v>0</v>
      </c>
      <c r="AO89" t="e">
        <f>TEXT(TEXT(MEDIAN(Totaal!$M$3:$M$102),"0,0"),"Standaard")</f>
        <v>#NUM!</v>
      </c>
      <c r="AP89" t="str">
        <f>Totaal!N$1</f>
        <v>J</v>
      </c>
      <c r="AQ89" t="str">
        <f>TEXT(TEXT(Totaal!$N89,"0,0"),"Standaard")</f>
        <v>0</v>
      </c>
      <c r="AR89" t="str">
        <f>TEXT(Totaal!$N$2,"0")</f>
        <v>0</v>
      </c>
      <c r="AS89" t="e">
        <f>TEXT(TEXT(MEDIAN(Totaal!$N$3:$N$102),"0,0"),"Standaard")</f>
        <v>#NUM!</v>
      </c>
      <c r="AT89" t="str">
        <f>Totaal!O$1</f>
        <v>K</v>
      </c>
      <c r="AU89" t="str">
        <f>TEXT(TEXT(Totaal!$O89,"0,0"),"Standaard")</f>
        <v>0</v>
      </c>
      <c r="AV89" t="str">
        <f>TEXT(Totaal!$O$2,"0")</f>
        <v>0</v>
      </c>
      <c r="AW89" t="e">
        <f>TEXT(TEXT(MEDIAN(Totaal!$O$3:$O$102),"0,0"),"Standaard")</f>
        <v>#NUM!</v>
      </c>
      <c r="AX89" t="str">
        <f>Totaal!P$1</f>
        <v>L</v>
      </c>
      <c r="AY89" t="str">
        <f>TEXT(TEXT(Totaal!$P89,"0,0"),"Standaard")</f>
        <v>0</v>
      </c>
      <c r="AZ89" t="str">
        <f>TEXT(Totaal!$P$2,"0")</f>
        <v>0</v>
      </c>
      <c r="BA89" t="e">
        <f>TEXT(TEXT(MEDIAN(Totaal!$P$3:$P$102),"0,0"),"Standaard")</f>
        <v>#NUM!</v>
      </c>
      <c r="BB89" t="str">
        <f>Totaal!Q$1</f>
        <v>M</v>
      </c>
      <c r="BC89" t="str">
        <f>TEXT(TEXT(Totaal!$Q89,"0,0"),"Standaard")</f>
        <v>0</v>
      </c>
      <c r="BD89" t="str">
        <f>TEXT(Totaal!$Q$2,"0")</f>
        <v>0</v>
      </c>
      <c r="BE89" t="e">
        <f>TEXT(TEXT(MEDIAN(Totaal!$Q$3:$Q$102),"0,0"),"Standaard")</f>
        <v>#NUM!</v>
      </c>
      <c r="BF89" t="str">
        <f>Totaal!R$1</f>
        <v>N</v>
      </c>
      <c r="BG89" t="str">
        <f>TEXT(TEXT(Totaal!$R89,"0,0"),"Standaard")</f>
        <v>0</v>
      </c>
      <c r="BH89" t="str">
        <f>TEXT(Totaal!$R$2,"0")</f>
        <v>0</v>
      </c>
      <c r="BI89" t="e">
        <f>TEXT(TEXT(MEDIAN(Totaal!$R$3:$R$102),"0,0"),"Standaard")</f>
        <v>#NUM!</v>
      </c>
      <c r="BJ89" t="str">
        <f>Totaal!S$1</f>
        <v>O</v>
      </c>
      <c r="BK89" t="str">
        <f>TEXT(TEXT(Totaal!$S89,"0,0"),"Standaard")</f>
        <v>0</v>
      </c>
      <c r="BL89" t="str">
        <f>TEXT(Totaal!$S$2,"0")</f>
        <v>0</v>
      </c>
      <c r="BM89" t="e">
        <f>TEXT(TEXT(MEDIAN(Totaal!$S$3:$S$102),"0,0"),"Standaard")</f>
        <v>#NUM!</v>
      </c>
      <c r="BN89" t="str">
        <f>Totaal!T$1</f>
        <v>P</v>
      </c>
      <c r="BO89" t="str">
        <f>TEXT(TEXT(Totaal!$T89,"0,0"),"Standaard")</f>
        <v>0</v>
      </c>
      <c r="BP89" t="str">
        <f>TEXT(Totaal!$T$2,"0")</f>
        <v>0</v>
      </c>
      <c r="BQ89" t="e">
        <f>TEXT(TEXT(MEDIAN(Totaal!$T$3:$T$102),"0,0"),"Standaard")</f>
        <v>#NUM!</v>
      </c>
      <c r="BR89" t="str">
        <f>IF(Totaal!U89="","",Totaal!U89)</f>
        <v/>
      </c>
    </row>
    <row r="90" spans="1:70">
      <c r="A90">
        <f>Totaal!A90</f>
        <v>88</v>
      </c>
      <c r="B90" s="22" t="str">
        <f>IF(Totaal!B90="","",Totaal!B90)</f>
        <v/>
      </c>
      <c r="C90" s="8" t="e">
        <f>TEXT(TEXT(Totaal!C90,"0,0"),"Standaard")</f>
        <v>#DIV/0!</v>
      </c>
      <c r="D90" s="8" t="str">
        <f>TEXT(Totaal!C$2,"0")</f>
        <v>100</v>
      </c>
      <c r="E90" s="22" t="e">
        <f>TEXT(TEXT(SUM(Totaal!C$3:C$102)/COUNTIF(Totaal!C$3:C$102,"&lt;&gt;0"),"0,0"),"Standaard")</f>
        <v>#DIV/0!</v>
      </c>
      <c r="F90" t="str">
        <f>Totaal!E$1</f>
        <v>A</v>
      </c>
      <c r="G90" t="str">
        <f>TEXT(TEXT(Totaal!E90,"0,0"),"Standaard")</f>
        <v>0</v>
      </c>
      <c r="H90" t="str">
        <f>TEXT(Totaal!E$2,"0")</f>
        <v>0</v>
      </c>
      <c r="I90" t="e">
        <f>TEXT(TEXT(MEDIAN(Totaal!E$3:E$102),"0,0"),"Standaard")</f>
        <v>#NUM!</v>
      </c>
      <c r="J90" t="str">
        <f>Totaal!F$1</f>
        <v>B</v>
      </c>
      <c r="K90" t="str">
        <f>TEXT(TEXT(Totaal!$F90,"0,0"),"Standaard")</f>
        <v>0</v>
      </c>
      <c r="L90" t="str">
        <f>TEXT(Totaal!F$2,"0")</f>
        <v>0</v>
      </c>
      <c r="M90" t="e">
        <f>TEXT(TEXT(MEDIAN(Totaal!$F$3:$F$102),"0,0"),"Standaard")</f>
        <v>#NUM!</v>
      </c>
      <c r="N90" t="str">
        <f>Totaal!G$1</f>
        <v>C</v>
      </c>
      <c r="O90" t="str">
        <f>TEXT(TEXT(Totaal!$G90,"0,0"),"Standaard")</f>
        <v>0</v>
      </c>
      <c r="P90" t="str">
        <f>TEXT(Totaal!$G$2,"0")</f>
        <v>0</v>
      </c>
      <c r="Q90" t="e">
        <f>TEXT(TEXT(MEDIAN(Totaal!$G$3:$G$102),"0,0"),"Standaard")</f>
        <v>#NUM!</v>
      </c>
      <c r="R90" t="str">
        <f>Totaal!H$1</f>
        <v>D</v>
      </c>
      <c r="S90" t="str">
        <f>TEXT(TEXT(Totaal!$H90,"0,0"),"Standaard")</f>
        <v>0</v>
      </c>
      <c r="T90" t="str">
        <f>TEXT(Totaal!$H$2,"0")</f>
        <v>0</v>
      </c>
      <c r="U90" t="e">
        <f>TEXT(TEXT(MEDIAN(Totaal!$H$3:$H$102),"0,0"),"Standaard")</f>
        <v>#NUM!</v>
      </c>
      <c r="V90" t="str">
        <f>Totaal!I$1</f>
        <v>E</v>
      </c>
      <c r="W90" t="str">
        <f>TEXT(TEXT(Totaal!$I90,"0,0"),"Standaard")</f>
        <v>0</v>
      </c>
      <c r="X90" t="str">
        <f>TEXT(Totaal!$I$2,"0")</f>
        <v>0</v>
      </c>
      <c r="Y90" t="e">
        <f>TEXT(TEXT(MEDIAN(Totaal!$I$3:$I$102),"0,0"),"Standaard")</f>
        <v>#NUM!</v>
      </c>
      <c r="Z90" t="str">
        <f>Totaal!J$1</f>
        <v>F</v>
      </c>
      <c r="AA90" t="str">
        <f>TEXT(TEXT(Totaal!$J90,"0,0"),"Standaard")</f>
        <v>0</v>
      </c>
      <c r="AB90" t="str">
        <f>TEXT(Totaal!$J$2,"0")</f>
        <v>0</v>
      </c>
      <c r="AC90" t="e">
        <f>TEXT(TEXT(MEDIAN(Totaal!$J$3:$J$102),"0,0"),"Standaard")</f>
        <v>#NUM!</v>
      </c>
      <c r="AD90" t="str">
        <f>Totaal!K$1</f>
        <v>G</v>
      </c>
      <c r="AE90" t="str">
        <f>TEXT(TEXT(Totaal!$K90,"0,0"),"Standaard")</f>
        <v>0</v>
      </c>
      <c r="AF90" t="str">
        <f>TEXT(Totaal!$K$2,"0")</f>
        <v>0</v>
      </c>
      <c r="AG90" t="e">
        <f>TEXT(TEXT(MEDIAN(Totaal!$K$3:$K$102),"0,0"),"Standaard")</f>
        <v>#NUM!</v>
      </c>
      <c r="AH90" t="str">
        <f>Totaal!L$1</f>
        <v>H</v>
      </c>
      <c r="AI90" t="str">
        <f>TEXT(TEXT(Totaal!$L90,"0,0"),"Standaard")</f>
        <v>0</v>
      </c>
      <c r="AJ90" t="str">
        <f>TEXT(Totaal!$L$2,"0")</f>
        <v>0</v>
      </c>
      <c r="AK90" t="e">
        <f>TEXT(TEXT(MEDIAN(Totaal!$L$3:$L$102),"0,0"),"Standaard")</f>
        <v>#NUM!</v>
      </c>
      <c r="AL90" t="str">
        <f>Totaal!M$1</f>
        <v>I</v>
      </c>
      <c r="AM90" t="str">
        <f>TEXT(TEXT(Totaal!$M90,"0,0"),"Standaard")</f>
        <v>0</v>
      </c>
      <c r="AN90" t="str">
        <f>TEXT(Totaal!$M$2,"0")</f>
        <v>0</v>
      </c>
      <c r="AO90" t="e">
        <f>TEXT(TEXT(MEDIAN(Totaal!$M$3:$M$102),"0,0"),"Standaard")</f>
        <v>#NUM!</v>
      </c>
      <c r="AP90" t="str">
        <f>Totaal!N$1</f>
        <v>J</v>
      </c>
      <c r="AQ90" t="str">
        <f>TEXT(TEXT(Totaal!$N90,"0,0"),"Standaard")</f>
        <v>0</v>
      </c>
      <c r="AR90" t="str">
        <f>TEXT(Totaal!$N$2,"0")</f>
        <v>0</v>
      </c>
      <c r="AS90" t="e">
        <f>TEXT(TEXT(MEDIAN(Totaal!$N$3:$N$102),"0,0"),"Standaard")</f>
        <v>#NUM!</v>
      </c>
      <c r="AT90" t="str">
        <f>Totaal!O$1</f>
        <v>K</v>
      </c>
      <c r="AU90" t="str">
        <f>TEXT(TEXT(Totaal!$O90,"0,0"),"Standaard")</f>
        <v>0</v>
      </c>
      <c r="AV90" t="str">
        <f>TEXT(Totaal!$O$2,"0")</f>
        <v>0</v>
      </c>
      <c r="AW90" t="e">
        <f>TEXT(TEXT(MEDIAN(Totaal!$O$3:$O$102),"0,0"),"Standaard")</f>
        <v>#NUM!</v>
      </c>
      <c r="AX90" t="str">
        <f>Totaal!P$1</f>
        <v>L</v>
      </c>
      <c r="AY90" t="str">
        <f>TEXT(TEXT(Totaal!$P90,"0,0"),"Standaard")</f>
        <v>0</v>
      </c>
      <c r="AZ90" t="str">
        <f>TEXT(Totaal!$P$2,"0")</f>
        <v>0</v>
      </c>
      <c r="BA90" t="e">
        <f>TEXT(TEXT(MEDIAN(Totaal!$P$3:$P$102),"0,0"),"Standaard")</f>
        <v>#NUM!</v>
      </c>
      <c r="BB90" t="str">
        <f>Totaal!Q$1</f>
        <v>M</v>
      </c>
      <c r="BC90" t="str">
        <f>TEXT(TEXT(Totaal!$Q90,"0,0"),"Standaard")</f>
        <v>0</v>
      </c>
      <c r="BD90" t="str">
        <f>TEXT(Totaal!$Q$2,"0")</f>
        <v>0</v>
      </c>
      <c r="BE90" t="e">
        <f>TEXT(TEXT(MEDIAN(Totaal!$Q$3:$Q$102),"0,0"),"Standaard")</f>
        <v>#NUM!</v>
      </c>
      <c r="BF90" t="str">
        <f>Totaal!R$1</f>
        <v>N</v>
      </c>
      <c r="BG90" t="str">
        <f>TEXT(TEXT(Totaal!$R90,"0,0"),"Standaard")</f>
        <v>0</v>
      </c>
      <c r="BH90" t="str">
        <f>TEXT(Totaal!$R$2,"0")</f>
        <v>0</v>
      </c>
      <c r="BI90" t="e">
        <f>TEXT(TEXT(MEDIAN(Totaal!$R$3:$R$102),"0,0"),"Standaard")</f>
        <v>#NUM!</v>
      </c>
      <c r="BJ90" t="str">
        <f>Totaal!S$1</f>
        <v>O</v>
      </c>
      <c r="BK90" t="str">
        <f>TEXT(TEXT(Totaal!$S90,"0,0"),"Standaard")</f>
        <v>0</v>
      </c>
      <c r="BL90" t="str">
        <f>TEXT(Totaal!$S$2,"0")</f>
        <v>0</v>
      </c>
      <c r="BM90" t="e">
        <f>TEXT(TEXT(MEDIAN(Totaal!$S$3:$S$102),"0,0"),"Standaard")</f>
        <v>#NUM!</v>
      </c>
      <c r="BN90" t="str">
        <f>Totaal!T$1</f>
        <v>P</v>
      </c>
      <c r="BO90" t="str">
        <f>TEXT(TEXT(Totaal!$T90,"0,0"),"Standaard")</f>
        <v>0</v>
      </c>
      <c r="BP90" t="str">
        <f>TEXT(Totaal!$T$2,"0")</f>
        <v>0</v>
      </c>
      <c r="BQ90" t="e">
        <f>TEXT(TEXT(MEDIAN(Totaal!$T$3:$T$102),"0,0"),"Standaard")</f>
        <v>#NUM!</v>
      </c>
      <c r="BR90" t="str">
        <f>IF(Totaal!U90="","",Totaal!U90)</f>
        <v/>
      </c>
    </row>
    <row r="91" spans="1:70">
      <c r="A91">
        <f>Totaal!A91</f>
        <v>89</v>
      </c>
      <c r="B91" s="22" t="str">
        <f>IF(Totaal!B91="","",Totaal!B91)</f>
        <v/>
      </c>
      <c r="C91" s="8" t="e">
        <f>TEXT(TEXT(Totaal!C91,"0,0"),"Standaard")</f>
        <v>#DIV/0!</v>
      </c>
      <c r="D91" s="8" t="str">
        <f>TEXT(Totaal!C$2,"0")</f>
        <v>100</v>
      </c>
      <c r="E91" s="22" t="e">
        <f>TEXT(TEXT(SUM(Totaal!C$3:C$102)/COUNTIF(Totaal!C$3:C$102,"&lt;&gt;0"),"0,0"),"Standaard")</f>
        <v>#DIV/0!</v>
      </c>
      <c r="F91" t="str">
        <f>Totaal!E$1</f>
        <v>A</v>
      </c>
      <c r="G91" t="str">
        <f>TEXT(TEXT(Totaal!E91,"0,0"),"Standaard")</f>
        <v>0</v>
      </c>
      <c r="H91" t="str">
        <f>TEXT(Totaal!E$2,"0")</f>
        <v>0</v>
      </c>
      <c r="I91" t="e">
        <f>TEXT(TEXT(MEDIAN(Totaal!E$3:E$102),"0,0"),"Standaard")</f>
        <v>#NUM!</v>
      </c>
      <c r="J91" t="str">
        <f>Totaal!F$1</f>
        <v>B</v>
      </c>
      <c r="K91" t="str">
        <f>TEXT(TEXT(Totaal!$F91,"0,0"),"Standaard")</f>
        <v>0</v>
      </c>
      <c r="L91" t="str">
        <f>TEXT(Totaal!F$2,"0")</f>
        <v>0</v>
      </c>
      <c r="M91" t="e">
        <f>TEXT(TEXT(MEDIAN(Totaal!$F$3:$F$102),"0,0"),"Standaard")</f>
        <v>#NUM!</v>
      </c>
      <c r="N91" t="str">
        <f>Totaal!G$1</f>
        <v>C</v>
      </c>
      <c r="O91" t="str">
        <f>TEXT(TEXT(Totaal!$G91,"0,0"),"Standaard")</f>
        <v>0</v>
      </c>
      <c r="P91" t="str">
        <f>TEXT(Totaal!$G$2,"0")</f>
        <v>0</v>
      </c>
      <c r="Q91" t="e">
        <f>TEXT(TEXT(MEDIAN(Totaal!$G$3:$G$102),"0,0"),"Standaard")</f>
        <v>#NUM!</v>
      </c>
      <c r="R91" t="str">
        <f>Totaal!H$1</f>
        <v>D</v>
      </c>
      <c r="S91" t="str">
        <f>TEXT(TEXT(Totaal!$H91,"0,0"),"Standaard")</f>
        <v>0</v>
      </c>
      <c r="T91" t="str">
        <f>TEXT(Totaal!$H$2,"0")</f>
        <v>0</v>
      </c>
      <c r="U91" t="e">
        <f>TEXT(TEXT(MEDIAN(Totaal!$H$3:$H$102),"0,0"),"Standaard")</f>
        <v>#NUM!</v>
      </c>
      <c r="V91" t="str">
        <f>Totaal!I$1</f>
        <v>E</v>
      </c>
      <c r="W91" t="str">
        <f>TEXT(TEXT(Totaal!$I91,"0,0"),"Standaard")</f>
        <v>0</v>
      </c>
      <c r="X91" t="str">
        <f>TEXT(Totaal!$I$2,"0")</f>
        <v>0</v>
      </c>
      <c r="Y91" t="e">
        <f>TEXT(TEXT(MEDIAN(Totaal!$I$3:$I$102),"0,0"),"Standaard")</f>
        <v>#NUM!</v>
      </c>
      <c r="Z91" t="str">
        <f>Totaal!J$1</f>
        <v>F</v>
      </c>
      <c r="AA91" t="str">
        <f>TEXT(TEXT(Totaal!$J91,"0,0"),"Standaard")</f>
        <v>0</v>
      </c>
      <c r="AB91" t="str">
        <f>TEXT(Totaal!$J$2,"0")</f>
        <v>0</v>
      </c>
      <c r="AC91" t="e">
        <f>TEXT(TEXT(MEDIAN(Totaal!$J$3:$J$102),"0,0"),"Standaard")</f>
        <v>#NUM!</v>
      </c>
      <c r="AD91" t="str">
        <f>Totaal!K$1</f>
        <v>G</v>
      </c>
      <c r="AE91" t="str">
        <f>TEXT(TEXT(Totaal!$K91,"0,0"),"Standaard")</f>
        <v>0</v>
      </c>
      <c r="AF91" t="str">
        <f>TEXT(Totaal!$K$2,"0")</f>
        <v>0</v>
      </c>
      <c r="AG91" t="e">
        <f>TEXT(TEXT(MEDIAN(Totaal!$K$3:$K$102),"0,0"),"Standaard")</f>
        <v>#NUM!</v>
      </c>
      <c r="AH91" t="str">
        <f>Totaal!L$1</f>
        <v>H</v>
      </c>
      <c r="AI91" t="str">
        <f>TEXT(TEXT(Totaal!$L91,"0,0"),"Standaard")</f>
        <v>0</v>
      </c>
      <c r="AJ91" t="str">
        <f>TEXT(Totaal!$L$2,"0")</f>
        <v>0</v>
      </c>
      <c r="AK91" t="e">
        <f>TEXT(TEXT(MEDIAN(Totaal!$L$3:$L$102),"0,0"),"Standaard")</f>
        <v>#NUM!</v>
      </c>
      <c r="AL91" t="str">
        <f>Totaal!M$1</f>
        <v>I</v>
      </c>
      <c r="AM91" t="str">
        <f>TEXT(TEXT(Totaal!$M91,"0,0"),"Standaard")</f>
        <v>0</v>
      </c>
      <c r="AN91" t="str">
        <f>TEXT(Totaal!$M$2,"0")</f>
        <v>0</v>
      </c>
      <c r="AO91" t="e">
        <f>TEXT(TEXT(MEDIAN(Totaal!$M$3:$M$102),"0,0"),"Standaard")</f>
        <v>#NUM!</v>
      </c>
      <c r="AP91" t="str">
        <f>Totaal!N$1</f>
        <v>J</v>
      </c>
      <c r="AQ91" t="str">
        <f>TEXT(TEXT(Totaal!$N91,"0,0"),"Standaard")</f>
        <v>0</v>
      </c>
      <c r="AR91" t="str">
        <f>TEXT(Totaal!$N$2,"0")</f>
        <v>0</v>
      </c>
      <c r="AS91" t="e">
        <f>TEXT(TEXT(MEDIAN(Totaal!$N$3:$N$102),"0,0"),"Standaard")</f>
        <v>#NUM!</v>
      </c>
      <c r="AT91" t="str">
        <f>Totaal!O$1</f>
        <v>K</v>
      </c>
      <c r="AU91" t="str">
        <f>TEXT(TEXT(Totaal!$O91,"0,0"),"Standaard")</f>
        <v>0</v>
      </c>
      <c r="AV91" t="str">
        <f>TEXT(Totaal!$O$2,"0")</f>
        <v>0</v>
      </c>
      <c r="AW91" t="e">
        <f>TEXT(TEXT(MEDIAN(Totaal!$O$3:$O$102),"0,0"),"Standaard")</f>
        <v>#NUM!</v>
      </c>
      <c r="AX91" t="str">
        <f>Totaal!P$1</f>
        <v>L</v>
      </c>
      <c r="AY91" t="str">
        <f>TEXT(TEXT(Totaal!$P91,"0,0"),"Standaard")</f>
        <v>0</v>
      </c>
      <c r="AZ91" t="str">
        <f>TEXT(Totaal!$P$2,"0")</f>
        <v>0</v>
      </c>
      <c r="BA91" t="e">
        <f>TEXT(TEXT(MEDIAN(Totaal!$P$3:$P$102),"0,0"),"Standaard")</f>
        <v>#NUM!</v>
      </c>
      <c r="BB91" t="str">
        <f>Totaal!Q$1</f>
        <v>M</v>
      </c>
      <c r="BC91" t="str">
        <f>TEXT(TEXT(Totaal!$Q91,"0,0"),"Standaard")</f>
        <v>0</v>
      </c>
      <c r="BD91" t="str">
        <f>TEXT(Totaal!$Q$2,"0")</f>
        <v>0</v>
      </c>
      <c r="BE91" t="e">
        <f>TEXT(TEXT(MEDIAN(Totaal!$Q$3:$Q$102),"0,0"),"Standaard")</f>
        <v>#NUM!</v>
      </c>
      <c r="BF91" t="str">
        <f>Totaal!R$1</f>
        <v>N</v>
      </c>
      <c r="BG91" t="str">
        <f>TEXT(TEXT(Totaal!$R91,"0,0"),"Standaard")</f>
        <v>0</v>
      </c>
      <c r="BH91" t="str">
        <f>TEXT(Totaal!$R$2,"0")</f>
        <v>0</v>
      </c>
      <c r="BI91" t="e">
        <f>TEXT(TEXT(MEDIAN(Totaal!$R$3:$R$102),"0,0"),"Standaard")</f>
        <v>#NUM!</v>
      </c>
      <c r="BJ91" t="str">
        <f>Totaal!S$1</f>
        <v>O</v>
      </c>
      <c r="BK91" t="str">
        <f>TEXT(TEXT(Totaal!$S91,"0,0"),"Standaard")</f>
        <v>0</v>
      </c>
      <c r="BL91" t="str">
        <f>TEXT(Totaal!$S$2,"0")</f>
        <v>0</v>
      </c>
      <c r="BM91" t="e">
        <f>TEXT(TEXT(MEDIAN(Totaal!$S$3:$S$102),"0,0"),"Standaard")</f>
        <v>#NUM!</v>
      </c>
      <c r="BN91" t="str">
        <f>Totaal!T$1</f>
        <v>P</v>
      </c>
      <c r="BO91" t="str">
        <f>TEXT(TEXT(Totaal!$T91,"0,0"),"Standaard")</f>
        <v>0</v>
      </c>
      <c r="BP91" t="str">
        <f>TEXT(Totaal!$T$2,"0")</f>
        <v>0</v>
      </c>
      <c r="BQ91" t="e">
        <f>TEXT(TEXT(MEDIAN(Totaal!$T$3:$T$102),"0,0"),"Standaard")</f>
        <v>#NUM!</v>
      </c>
      <c r="BR91" t="str">
        <f>IF(Totaal!U91="","",Totaal!U91)</f>
        <v/>
      </c>
    </row>
    <row r="92" spans="1:70">
      <c r="A92">
        <f>Totaal!A92</f>
        <v>90</v>
      </c>
      <c r="B92" s="22" t="str">
        <f>IF(Totaal!B92="","",Totaal!B92)</f>
        <v/>
      </c>
      <c r="C92" s="8" t="e">
        <f>TEXT(TEXT(Totaal!C92,"0,0"),"Standaard")</f>
        <v>#DIV/0!</v>
      </c>
      <c r="D92" s="8" t="str">
        <f>TEXT(Totaal!C$2,"0")</f>
        <v>100</v>
      </c>
      <c r="E92" s="22" t="e">
        <f>TEXT(TEXT(SUM(Totaal!C$3:C$102)/COUNTIF(Totaal!C$3:C$102,"&lt;&gt;0"),"0,0"),"Standaard")</f>
        <v>#DIV/0!</v>
      </c>
      <c r="F92" t="str">
        <f>Totaal!E$1</f>
        <v>A</v>
      </c>
      <c r="G92" t="str">
        <f>TEXT(TEXT(Totaal!E92,"0,0"),"Standaard")</f>
        <v>0</v>
      </c>
      <c r="H92" t="str">
        <f>TEXT(Totaal!E$2,"0")</f>
        <v>0</v>
      </c>
      <c r="I92" t="e">
        <f>TEXT(TEXT(MEDIAN(Totaal!E$3:E$102),"0,0"),"Standaard")</f>
        <v>#NUM!</v>
      </c>
      <c r="J92" t="str">
        <f>Totaal!F$1</f>
        <v>B</v>
      </c>
      <c r="K92" t="str">
        <f>TEXT(TEXT(Totaal!$F92,"0,0"),"Standaard")</f>
        <v>0</v>
      </c>
      <c r="L92" t="str">
        <f>TEXT(Totaal!F$2,"0")</f>
        <v>0</v>
      </c>
      <c r="M92" t="e">
        <f>TEXT(TEXT(MEDIAN(Totaal!$F$3:$F$102),"0,0"),"Standaard")</f>
        <v>#NUM!</v>
      </c>
      <c r="N92" t="str">
        <f>Totaal!G$1</f>
        <v>C</v>
      </c>
      <c r="O92" t="str">
        <f>TEXT(TEXT(Totaal!$G92,"0,0"),"Standaard")</f>
        <v>0</v>
      </c>
      <c r="P92" t="str">
        <f>TEXT(Totaal!$G$2,"0")</f>
        <v>0</v>
      </c>
      <c r="Q92" t="e">
        <f>TEXT(TEXT(MEDIAN(Totaal!$G$3:$G$102),"0,0"),"Standaard")</f>
        <v>#NUM!</v>
      </c>
      <c r="R92" t="str">
        <f>Totaal!H$1</f>
        <v>D</v>
      </c>
      <c r="S92" t="str">
        <f>TEXT(TEXT(Totaal!$H92,"0,0"),"Standaard")</f>
        <v>0</v>
      </c>
      <c r="T92" t="str">
        <f>TEXT(Totaal!$H$2,"0")</f>
        <v>0</v>
      </c>
      <c r="U92" t="e">
        <f>TEXT(TEXT(MEDIAN(Totaal!$H$3:$H$102),"0,0"),"Standaard")</f>
        <v>#NUM!</v>
      </c>
      <c r="V92" t="str">
        <f>Totaal!I$1</f>
        <v>E</v>
      </c>
      <c r="W92" t="str">
        <f>TEXT(TEXT(Totaal!$I92,"0,0"),"Standaard")</f>
        <v>0</v>
      </c>
      <c r="X92" t="str">
        <f>TEXT(Totaal!$I$2,"0")</f>
        <v>0</v>
      </c>
      <c r="Y92" t="e">
        <f>TEXT(TEXT(MEDIAN(Totaal!$I$3:$I$102),"0,0"),"Standaard")</f>
        <v>#NUM!</v>
      </c>
      <c r="Z92" t="str">
        <f>Totaal!J$1</f>
        <v>F</v>
      </c>
      <c r="AA92" t="str">
        <f>TEXT(TEXT(Totaal!$J92,"0,0"),"Standaard")</f>
        <v>0</v>
      </c>
      <c r="AB92" t="str">
        <f>TEXT(Totaal!$J$2,"0")</f>
        <v>0</v>
      </c>
      <c r="AC92" t="e">
        <f>TEXT(TEXT(MEDIAN(Totaal!$J$3:$J$102),"0,0"),"Standaard")</f>
        <v>#NUM!</v>
      </c>
      <c r="AD92" t="str">
        <f>Totaal!K$1</f>
        <v>G</v>
      </c>
      <c r="AE92" t="str">
        <f>TEXT(TEXT(Totaal!$K92,"0,0"),"Standaard")</f>
        <v>0</v>
      </c>
      <c r="AF92" t="str">
        <f>TEXT(Totaal!$K$2,"0")</f>
        <v>0</v>
      </c>
      <c r="AG92" t="e">
        <f>TEXT(TEXT(MEDIAN(Totaal!$K$3:$K$102),"0,0"),"Standaard")</f>
        <v>#NUM!</v>
      </c>
      <c r="AH92" t="str">
        <f>Totaal!L$1</f>
        <v>H</v>
      </c>
      <c r="AI92" t="str">
        <f>TEXT(TEXT(Totaal!$L92,"0,0"),"Standaard")</f>
        <v>0</v>
      </c>
      <c r="AJ92" t="str">
        <f>TEXT(Totaal!$L$2,"0")</f>
        <v>0</v>
      </c>
      <c r="AK92" t="e">
        <f>TEXT(TEXT(MEDIAN(Totaal!$L$3:$L$102),"0,0"),"Standaard")</f>
        <v>#NUM!</v>
      </c>
      <c r="AL92" t="str">
        <f>Totaal!M$1</f>
        <v>I</v>
      </c>
      <c r="AM92" t="str">
        <f>TEXT(TEXT(Totaal!$M92,"0,0"),"Standaard")</f>
        <v>0</v>
      </c>
      <c r="AN92" t="str">
        <f>TEXT(Totaal!$M$2,"0")</f>
        <v>0</v>
      </c>
      <c r="AO92" t="e">
        <f>TEXT(TEXT(MEDIAN(Totaal!$M$3:$M$102),"0,0"),"Standaard")</f>
        <v>#NUM!</v>
      </c>
      <c r="AP92" t="str">
        <f>Totaal!N$1</f>
        <v>J</v>
      </c>
      <c r="AQ92" t="str">
        <f>TEXT(TEXT(Totaal!$N92,"0,0"),"Standaard")</f>
        <v>0</v>
      </c>
      <c r="AR92" t="str">
        <f>TEXT(Totaal!$N$2,"0")</f>
        <v>0</v>
      </c>
      <c r="AS92" t="e">
        <f>TEXT(TEXT(MEDIAN(Totaal!$N$3:$N$102),"0,0"),"Standaard")</f>
        <v>#NUM!</v>
      </c>
      <c r="AT92" t="str">
        <f>Totaal!O$1</f>
        <v>K</v>
      </c>
      <c r="AU92" t="str">
        <f>TEXT(TEXT(Totaal!$O92,"0,0"),"Standaard")</f>
        <v>0</v>
      </c>
      <c r="AV92" t="str">
        <f>TEXT(Totaal!$O$2,"0")</f>
        <v>0</v>
      </c>
      <c r="AW92" t="e">
        <f>TEXT(TEXT(MEDIAN(Totaal!$O$3:$O$102),"0,0"),"Standaard")</f>
        <v>#NUM!</v>
      </c>
      <c r="AX92" t="str">
        <f>Totaal!P$1</f>
        <v>L</v>
      </c>
      <c r="AY92" t="str">
        <f>TEXT(TEXT(Totaal!$P92,"0,0"),"Standaard")</f>
        <v>0</v>
      </c>
      <c r="AZ92" t="str">
        <f>TEXT(Totaal!$P$2,"0")</f>
        <v>0</v>
      </c>
      <c r="BA92" t="e">
        <f>TEXT(TEXT(MEDIAN(Totaal!$P$3:$P$102),"0,0"),"Standaard")</f>
        <v>#NUM!</v>
      </c>
      <c r="BB92" t="str">
        <f>Totaal!Q$1</f>
        <v>M</v>
      </c>
      <c r="BC92" t="str">
        <f>TEXT(TEXT(Totaal!$Q92,"0,0"),"Standaard")</f>
        <v>0</v>
      </c>
      <c r="BD92" t="str">
        <f>TEXT(Totaal!$Q$2,"0")</f>
        <v>0</v>
      </c>
      <c r="BE92" t="e">
        <f>TEXT(TEXT(MEDIAN(Totaal!$Q$3:$Q$102),"0,0"),"Standaard")</f>
        <v>#NUM!</v>
      </c>
      <c r="BF92" t="str">
        <f>Totaal!R$1</f>
        <v>N</v>
      </c>
      <c r="BG92" t="str">
        <f>TEXT(TEXT(Totaal!$R92,"0,0"),"Standaard")</f>
        <v>0</v>
      </c>
      <c r="BH92" t="str">
        <f>TEXT(Totaal!$R$2,"0")</f>
        <v>0</v>
      </c>
      <c r="BI92" t="e">
        <f>TEXT(TEXT(MEDIAN(Totaal!$R$3:$R$102),"0,0"),"Standaard")</f>
        <v>#NUM!</v>
      </c>
      <c r="BJ92" t="str">
        <f>Totaal!S$1</f>
        <v>O</v>
      </c>
      <c r="BK92" t="str">
        <f>TEXT(TEXT(Totaal!$S92,"0,0"),"Standaard")</f>
        <v>0</v>
      </c>
      <c r="BL92" t="str">
        <f>TEXT(Totaal!$S$2,"0")</f>
        <v>0</v>
      </c>
      <c r="BM92" t="e">
        <f>TEXT(TEXT(MEDIAN(Totaal!$S$3:$S$102),"0,0"),"Standaard")</f>
        <v>#NUM!</v>
      </c>
      <c r="BN92" t="str">
        <f>Totaal!T$1</f>
        <v>P</v>
      </c>
      <c r="BO92" t="str">
        <f>TEXT(TEXT(Totaal!$T92,"0,0"),"Standaard")</f>
        <v>0</v>
      </c>
      <c r="BP92" t="str">
        <f>TEXT(Totaal!$T$2,"0")</f>
        <v>0</v>
      </c>
      <c r="BQ92" t="e">
        <f>TEXT(TEXT(MEDIAN(Totaal!$T$3:$T$102),"0,0"),"Standaard")</f>
        <v>#NUM!</v>
      </c>
      <c r="BR92" t="str">
        <f>IF(Totaal!U92="","",Totaal!U92)</f>
        <v/>
      </c>
    </row>
    <row r="93" spans="1:70">
      <c r="A93">
        <f>Totaal!A93</f>
        <v>91</v>
      </c>
      <c r="B93" s="22" t="str">
        <f>IF(Totaal!B93="","",Totaal!B93)</f>
        <v/>
      </c>
      <c r="C93" s="8" t="e">
        <f>TEXT(TEXT(Totaal!C93,"0,0"),"Standaard")</f>
        <v>#DIV/0!</v>
      </c>
      <c r="D93" s="8" t="str">
        <f>TEXT(Totaal!C$2,"0")</f>
        <v>100</v>
      </c>
      <c r="E93" s="22" t="e">
        <f>TEXT(TEXT(SUM(Totaal!C$3:C$102)/COUNTIF(Totaal!C$3:C$102,"&lt;&gt;0"),"0,0"),"Standaard")</f>
        <v>#DIV/0!</v>
      </c>
      <c r="F93" t="str">
        <f>Totaal!E$1</f>
        <v>A</v>
      </c>
      <c r="G93" t="str">
        <f>TEXT(TEXT(Totaal!E93,"0,0"),"Standaard")</f>
        <v>0</v>
      </c>
      <c r="H93" t="str">
        <f>TEXT(Totaal!E$2,"0")</f>
        <v>0</v>
      </c>
      <c r="I93" t="e">
        <f>TEXT(TEXT(MEDIAN(Totaal!E$3:E$102),"0,0"),"Standaard")</f>
        <v>#NUM!</v>
      </c>
      <c r="J93" t="str">
        <f>Totaal!F$1</f>
        <v>B</v>
      </c>
      <c r="K93" t="str">
        <f>TEXT(TEXT(Totaal!$F93,"0,0"),"Standaard")</f>
        <v>0</v>
      </c>
      <c r="L93" t="str">
        <f>TEXT(Totaal!F$2,"0")</f>
        <v>0</v>
      </c>
      <c r="M93" t="e">
        <f>TEXT(TEXT(MEDIAN(Totaal!$F$3:$F$102),"0,0"),"Standaard")</f>
        <v>#NUM!</v>
      </c>
      <c r="N93" t="str">
        <f>Totaal!G$1</f>
        <v>C</v>
      </c>
      <c r="O93" t="str">
        <f>TEXT(TEXT(Totaal!$G93,"0,0"),"Standaard")</f>
        <v>0</v>
      </c>
      <c r="P93" t="str">
        <f>TEXT(Totaal!$G$2,"0")</f>
        <v>0</v>
      </c>
      <c r="Q93" t="e">
        <f>TEXT(TEXT(MEDIAN(Totaal!$G$3:$G$102),"0,0"),"Standaard")</f>
        <v>#NUM!</v>
      </c>
      <c r="R93" t="str">
        <f>Totaal!H$1</f>
        <v>D</v>
      </c>
      <c r="S93" t="str">
        <f>TEXT(TEXT(Totaal!$H93,"0,0"),"Standaard")</f>
        <v>0</v>
      </c>
      <c r="T93" t="str">
        <f>TEXT(Totaal!$H$2,"0")</f>
        <v>0</v>
      </c>
      <c r="U93" t="e">
        <f>TEXT(TEXT(MEDIAN(Totaal!$H$3:$H$102),"0,0"),"Standaard")</f>
        <v>#NUM!</v>
      </c>
      <c r="V93" t="str">
        <f>Totaal!I$1</f>
        <v>E</v>
      </c>
      <c r="W93" t="str">
        <f>TEXT(TEXT(Totaal!$I93,"0,0"),"Standaard")</f>
        <v>0</v>
      </c>
      <c r="X93" t="str">
        <f>TEXT(Totaal!$I$2,"0")</f>
        <v>0</v>
      </c>
      <c r="Y93" t="e">
        <f>TEXT(TEXT(MEDIAN(Totaal!$I$3:$I$102),"0,0"),"Standaard")</f>
        <v>#NUM!</v>
      </c>
      <c r="Z93" t="str">
        <f>Totaal!J$1</f>
        <v>F</v>
      </c>
      <c r="AA93" t="str">
        <f>TEXT(TEXT(Totaal!$J93,"0,0"),"Standaard")</f>
        <v>0</v>
      </c>
      <c r="AB93" t="str">
        <f>TEXT(Totaal!$J$2,"0")</f>
        <v>0</v>
      </c>
      <c r="AC93" t="e">
        <f>TEXT(TEXT(MEDIAN(Totaal!$J$3:$J$102),"0,0"),"Standaard")</f>
        <v>#NUM!</v>
      </c>
      <c r="AD93" t="str">
        <f>Totaal!K$1</f>
        <v>G</v>
      </c>
      <c r="AE93" t="str">
        <f>TEXT(TEXT(Totaal!$K93,"0,0"),"Standaard")</f>
        <v>0</v>
      </c>
      <c r="AF93" t="str">
        <f>TEXT(Totaal!$K$2,"0")</f>
        <v>0</v>
      </c>
      <c r="AG93" t="e">
        <f>TEXT(TEXT(MEDIAN(Totaal!$K$3:$K$102),"0,0"),"Standaard")</f>
        <v>#NUM!</v>
      </c>
      <c r="AH93" t="str">
        <f>Totaal!L$1</f>
        <v>H</v>
      </c>
      <c r="AI93" t="str">
        <f>TEXT(TEXT(Totaal!$L93,"0,0"),"Standaard")</f>
        <v>0</v>
      </c>
      <c r="AJ93" t="str">
        <f>TEXT(Totaal!$L$2,"0")</f>
        <v>0</v>
      </c>
      <c r="AK93" t="e">
        <f>TEXT(TEXT(MEDIAN(Totaal!$L$3:$L$102),"0,0"),"Standaard")</f>
        <v>#NUM!</v>
      </c>
      <c r="AL93" t="str">
        <f>Totaal!M$1</f>
        <v>I</v>
      </c>
      <c r="AM93" t="str">
        <f>TEXT(TEXT(Totaal!$M93,"0,0"),"Standaard")</f>
        <v>0</v>
      </c>
      <c r="AN93" t="str">
        <f>TEXT(Totaal!$M$2,"0")</f>
        <v>0</v>
      </c>
      <c r="AO93" t="e">
        <f>TEXT(TEXT(MEDIAN(Totaal!$M$3:$M$102),"0,0"),"Standaard")</f>
        <v>#NUM!</v>
      </c>
      <c r="AP93" t="str">
        <f>Totaal!N$1</f>
        <v>J</v>
      </c>
      <c r="AQ93" t="str">
        <f>TEXT(TEXT(Totaal!$N93,"0,0"),"Standaard")</f>
        <v>0</v>
      </c>
      <c r="AR93" t="str">
        <f>TEXT(Totaal!$N$2,"0")</f>
        <v>0</v>
      </c>
      <c r="AS93" t="e">
        <f>TEXT(TEXT(MEDIAN(Totaal!$N$3:$N$102),"0,0"),"Standaard")</f>
        <v>#NUM!</v>
      </c>
      <c r="AT93" t="str">
        <f>Totaal!O$1</f>
        <v>K</v>
      </c>
      <c r="AU93" t="str">
        <f>TEXT(TEXT(Totaal!$O93,"0,0"),"Standaard")</f>
        <v>0</v>
      </c>
      <c r="AV93" t="str">
        <f>TEXT(Totaal!$O$2,"0")</f>
        <v>0</v>
      </c>
      <c r="AW93" t="e">
        <f>TEXT(TEXT(MEDIAN(Totaal!$O$3:$O$102),"0,0"),"Standaard")</f>
        <v>#NUM!</v>
      </c>
      <c r="AX93" t="str">
        <f>Totaal!P$1</f>
        <v>L</v>
      </c>
      <c r="AY93" t="str">
        <f>TEXT(TEXT(Totaal!$P93,"0,0"),"Standaard")</f>
        <v>0</v>
      </c>
      <c r="AZ93" t="str">
        <f>TEXT(Totaal!$P$2,"0")</f>
        <v>0</v>
      </c>
      <c r="BA93" t="e">
        <f>TEXT(TEXT(MEDIAN(Totaal!$P$3:$P$102),"0,0"),"Standaard")</f>
        <v>#NUM!</v>
      </c>
      <c r="BB93" t="str">
        <f>Totaal!Q$1</f>
        <v>M</v>
      </c>
      <c r="BC93" t="str">
        <f>TEXT(TEXT(Totaal!$Q93,"0,0"),"Standaard")</f>
        <v>0</v>
      </c>
      <c r="BD93" t="str">
        <f>TEXT(Totaal!$Q$2,"0")</f>
        <v>0</v>
      </c>
      <c r="BE93" t="e">
        <f>TEXT(TEXT(MEDIAN(Totaal!$Q$3:$Q$102),"0,0"),"Standaard")</f>
        <v>#NUM!</v>
      </c>
      <c r="BF93" t="str">
        <f>Totaal!R$1</f>
        <v>N</v>
      </c>
      <c r="BG93" t="str">
        <f>TEXT(TEXT(Totaal!$R93,"0,0"),"Standaard")</f>
        <v>0</v>
      </c>
      <c r="BH93" t="str">
        <f>TEXT(Totaal!$R$2,"0")</f>
        <v>0</v>
      </c>
      <c r="BI93" t="e">
        <f>TEXT(TEXT(MEDIAN(Totaal!$R$3:$R$102),"0,0"),"Standaard")</f>
        <v>#NUM!</v>
      </c>
      <c r="BJ93" t="str">
        <f>Totaal!S$1</f>
        <v>O</v>
      </c>
      <c r="BK93" t="str">
        <f>TEXT(TEXT(Totaal!$S93,"0,0"),"Standaard")</f>
        <v>0</v>
      </c>
      <c r="BL93" t="str">
        <f>TEXT(Totaal!$S$2,"0")</f>
        <v>0</v>
      </c>
      <c r="BM93" t="e">
        <f>TEXT(TEXT(MEDIAN(Totaal!$S$3:$S$102),"0,0"),"Standaard")</f>
        <v>#NUM!</v>
      </c>
      <c r="BN93" t="str">
        <f>Totaal!T$1</f>
        <v>P</v>
      </c>
      <c r="BO93" t="str">
        <f>TEXT(TEXT(Totaal!$T93,"0,0"),"Standaard")</f>
        <v>0</v>
      </c>
      <c r="BP93" t="str">
        <f>TEXT(Totaal!$T$2,"0")</f>
        <v>0</v>
      </c>
      <c r="BQ93" t="e">
        <f>TEXT(TEXT(MEDIAN(Totaal!$T$3:$T$102),"0,0"),"Standaard")</f>
        <v>#NUM!</v>
      </c>
      <c r="BR93" t="str">
        <f>IF(Totaal!U93="","",Totaal!U93)</f>
        <v/>
      </c>
    </row>
    <row r="94" spans="1:70">
      <c r="A94">
        <f>Totaal!A94</f>
        <v>92</v>
      </c>
      <c r="B94" s="22" t="str">
        <f>IF(Totaal!B94="","",Totaal!B94)</f>
        <v/>
      </c>
      <c r="C94" s="8" t="e">
        <f>TEXT(TEXT(Totaal!C94,"0,0"),"Standaard")</f>
        <v>#DIV/0!</v>
      </c>
      <c r="D94" s="8" t="str">
        <f>TEXT(Totaal!C$2,"0")</f>
        <v>100</v>
      </c>
      <c r="E94" s="22" t="e">
        <f>TEXT(TEXT(SUM(Totaal!C$3:C$102)/COUNTIF(Totaal!C$3:C$102,"&lt;&gt;0"),"0,0"),"Standaard")</f>
        <v>#DIV/0!</v>
      </c>
      <c r="F94" t="str">
        <f>Totaal!E$1</f>
        <v>A</v>
      </c>
      <c r="G94" t="str">
        <f>TEXT(TEXT(Totaal!E94,"0,0"),"Standaard")</f>
        <v>0</v>
      </c>
      <c r="H94" t="str">
        <f>TEXT(Totaal!E$2,"0")</f>
        <v>0</v>
      </c>
      <c r="I94" t="e">
        <f>TEXT(TEXT(MEDIAN(Totaal!E$3:E$102),"0,0"),"Standaard")</f>
        <v>#NUM!</v>
      </c>
      <c r="J94" t="str">
        <f>Totaal!F$1</f>
        <v>B</v>
      </c>
      <c r="K94" t="str">
        <f>TEXT(TEXT(Totaal!$F94,"0,0"),"Standaard")</f>
        <v>0</v>
      </c>
      <c r="L94" t="str">
        <f>TEXT(Totaal!F$2,"0")</f>
        <v>0</v>
      </c>
      <c r="M94" t="e">
        <f>TEXT(TEXT(MEDIAN(Totaal!$F$3:$F$102),"0,0"),"Standaard")</f>
        <v>#NUM!</v>
      </c>
      <c r="N94" t="str">
        <f>Totaal!G$1</f>
        <v>C</v>
      </c>
      <c r="O94" t="str">
        <f>TEXT(TEXT(Totaal!$G94,"0,0"),"Standaard")</f>
        <v>0</v>
      </c>
      <c r="P94" t="str">
        <f>TEXT(Totaal!$G$2,"0")</f>
        <v>0</v>
      </c>
      <c r="Q94" t="e">
        <f>TEXT(TEXT(MEDIAN(Totaal!$G$3:$G$102),"0,0"),"Standaard")</f>
        <v>#NUM!</v>
      </c>
      <c r="R94" t="str">
        <f>Totaal!H$1</f>
        <v>D</v>
      </c>
      <c r="S94" t="str">
        <f>TEXT(TEXT(Totaal!$H94,"0,0"),"Standaard")</f>
        <v>0</v>
      </c>
      <c r="T94" t="str">
        <f>TEXT(Totaal!$H$2,"0")</f>
        <v>0</v>
      </c>
      <c r="U94" t="e">
        <f>TEXT(TEXT(MEDIAN(Totaal!$H$3:$H$102),"0,0"),"Standaard")</f>
        <v>#NUM!</v>
      </c>
      <c r="V94" t="str">
        <f>Totaal!I$1</f>
        <v>E</v>
      </c>
      <c r="W94" t="str">
        <f>TEXT(TEXT(Totaal!$I94,"0,0"),"Standaard")</f>
        <v>0</v>
      </c>
      <c r="X94" t="str">
        <f>TEXT(Totaal!$I$2,"0")</f>
        <v>0</v>
      </c>
      <c r="Y94" t="e">
        <f>TEXT(TEXT(MEDIAN(Totaal!$I$3:$I$102),"0,0"),"Standaard")</f>
        <v>#NUM!</v>
      </c>
      <c r="Z94" t="str">
        <f>Totaal!J$1</f>
        <v>F</v>
      </c>
      <c r="AA94" t="str">
        <f>TEXT(TEXT(Totaal!$J94,"0,0"),"Standaard")</f>
        <v>0</v>
      </c>
      <c r="AB94" t="str">
        <f>TEXT(Totaal!$J$2,"0")</f>
        <v>0</v>
      </c>
      <c r="AC94" t="e">
        <f>TEXT(TEXT(MEDIAN(Totaal!$J$3:$J$102),"0,0"),"Standaard")</f>
        <v>#NUM!</v>
      </c>
      <c r="AD94" t="str">
        <f>Totaal!K$1</f>
        <v>G</v>
      </c>
      <c r="AE94" t="str">
        <f>TEXT(TEXT(Totaal!$K94,"0,0"),"Standaard")</f>
        <v>0</v>
      </c>
      <c r="AF94" t="str">
        <f>TEXT(Totaal!$K$2,"0")</f>
        <v>0</v>
      </c>
      <c r="AG94" t="e">
        <f>TEXT(TEXT(MEDIAN(Totaal!$K$3:$K$102),"0,0"),"Standaard")</f>
        <v>#NUM!</v>
      </c>
      <c r="AH94" t="str">
        <f>Totaal!L$1</f>
        <v>H</v>
      </c>
      <c r="AI94" t="str">
        <f>TEXT(TEXT(Totaal!$L94,"0,0"),"Standaard")</f>
        <v>0</v>
      </c>
      <c r="AJ94" t="str">
        <f>TEXT(Totaal!$L$2,"0")</f>
        <v>0</v>
      </c>
      <c r="AK94" t="e">
        <f>TEXT(TEXT(MEDIAN(Totaal!$L$3:$L$102),"0,0"),"Standaard")</f>
        <v>#NUM!</v>
      </c>
      <c r="AL94" t="str">
        <f>Totaal!M$1</f>
        <v>I</v>
      </c>
      <c r="AM94" t="str">
        <f>TEXT(TEXT(Totaal!$M94,"0,0"),"Standaard")</f>
        <v>0</v>
      </c>
      <c r="AN94" t="str">
        <f>TEXT(Totaal!$M$2,"0")</f>
        <v>0</v>
      </c>
      <c r="AO94" t="e">
        <f>TEXT(TEXT(MEDIAN(Totaal!$M$3:$M$102),"0,0"),"Standaard")</f>
        <v>#NUM!</v>
      </c>
      <c r="AP94" t="str">
        <f>Totaal!N$1</f>
        <v>J</v>
      </c>
      <c r="AQ94" t="str">
        <f>TEXT(TEXT(Totaal!$N94,"0,0"),"Standaard")</f>
        <v>0</v>
      </c>
      <c r="AR94" t="str">
        <f>TEXT(Totaal!$N$2,"0")</f>
        <v>0</v>
      </c>
      <c r="AS94" t="e">
        <f>TEXT(TEXT(MEDIAN(Totaal!$N$3:$N$102),"0,0"),"Standaard")</f>
        <v>#NUM!</v>
      </c>
      <c r="AT94" t="str">
        <f>Totaal!O$1</f>
        <v>K</v>
      </c>
      <c r="AU94" t="str">
        <f>TEXT(TEXT(Totaal!$O94,"0,0"),"Standaard")</f>
        <v>0</v>
      </c>
      <c r="AV94" t="str">
        <f>TEXT(Totaal!$O$2,"0")</f>
        <v>0</v>
      </c>
      <c r="AW94" t="e">
        <f>TEXT(TEXT(MEDIAN(Totaal!$O$3:$O$102),"0,0"),"Standaard")</f>
        <v>#NUM!</v>
      </c>
      <c r="AX94" t="str">
        <f>Totaal!P$1</f>
        <v>L</v>
      </c>
      <c r="AY94" t="str">
        <f>TEXT(TEXT(Totaal!$P94,"0,0"),"Standaard")</f>
        <v>0</v>
      </c>
      <c r="AZ94" t="str">
        <f>TEXT(Totaal!$P$2,"0")</f>
        <v>0</v>
      </c>
      <c r="BA94" t="e">
        <f>TEXT(TEXT(MEDIAN(Totaal!$P$3:$P$102),"0,0"),"Standaard")</f>
        <v>#NUM!</v>
      </c>
      <c r="BB94" t="str">
        <f>Totaal!Q$1</f>
        <v>M</v>
      </c>
      <c r="BC94" t="str">
        <f>TEXT(TEXT(Totaal!$Q94,"0,0"),"Standaard")</f>
        <v>0</v>
      </c>
      <c r="BD94" t="str">
        <f>TEXT(Totaal!$Q$2,"0")</f>
        <v>0</v>
      </c>
      <c r="BE94" t="e">
        <f>TEXT(TEXT(MEDIAN(Totaal!$Q$3:$Q$102),"0,0"),"Standaard")</f>
        <v>#NUM!</v>
      </c>
      <c r="BF94" t="str">
        <f>Totaal!R$1</f>
        <v>N</v>
      </c>
      <c r="BG94" t="str">
        <f>TEXT(TEXT(Totaal!$R94,"0,0"),"Standaard")</f>
        <v>0</v>
      </c>
      <c r="BH94" t="str">
        <f>TEXT(Totaal!$R$2,"0")</f>
        <v>0</v>
      </c>
      <c r="BI94" t="e">
        <f>TEXT(TEXT(MEDIAN(Totaal!$R$3:$R$102),"0,0"),"Standaard")</f>
        <v>#NUM!</v>
      </c>
      <c r="BJ94" t="str">
        <f>Totaal!S$1</f>
        <v>O</v>
      </c>
      <c r="BK94" t="str">
        <f>TEXT(TEXT(Totaal!$S94,"0,0"),"Standaard")</f>
        <v>0</v>
      </c>
      <c r="BL94" t="str">
        <f>TEXT(Totaal!$S$2,"0")</f>
        <v>0</v>
      </c>
      <c r="BM94" t="e">
        <f>TEXT(TEXT(MEDIAN(Totaal!$S$3:$S$102),"0,0"),"Standaard")</f>
        <v>#NUM!</v>
      </c>
      <c r="BN94" t="str">
        <f>Totaal!T$1</f>
        <v>P</v>
      </c>
      <c r="BO94" t="str">
        <f>TEXT(TEXT(Totaal!$T94,"0,0"),"Standaard")</f>
        <v>0</v>
      </c>
      <c r="BP94" t="str">
        <f>TEXT(Totaal!$T$2,"0")</f>
        <v>0</v>
      </c>
      <c r="BQ94" t="e">
        <f>TEXT(TEXT(MEDIAN(Totaal!$T$3:$T$102),"0,0"),"Standaard")</f>
        <v>#NUM!</v>
      </c>
      <c r="BR94" t="str">
        <f>IF(Totaal!U94="","",Totaal!U94)</f>
        <v/>
      </c>
    </row>
    <row r="95" spans="1:70">
      <c r="A95">
        <f>Totaal!A95</f>
        <v>93</v>
      </c>
      <c r="B95" s="22" t="str">
        <f>IF(Totaal!B95="","",Totaal!B95)</f>
        <v/>
      </c>
      <c r="C95" s="8" t="e">
        <f>TEXT(TEXT(Totaal!C95,"0,0"),"Standaard")</f>
        <v>#DIV/0!</v>
      </c>
      <c r="D95" s="8" t="str">
        <f>TEXT(Totaal!C$2,"0")</f>
        <v>100</v>
      </c>
      <c r="E95" s="22" t="e">
        <f>TEXT(TEXT(SUM(Totaal!C$3:C$102)/COUNTIF(Totaal!C$3:C$102,"&lt;&gt;0"),"0,0"),"Standaard")</f>
        <v>#DIV/0!</v>
      </c>
      <c r="F95" t="str">
        <f>Totaal!E$1</f>
        <v>A</v>
      </c>
      <c r="G95" t="str">
        <f>TEXT(TEXT(Totaal!E95,"0,0"),"Standaard")</f>
        <v>0</v>
      </c>
      <c r="H95" t="str">
        <f>TEXT(Totaal!E$2,"0")</f>
        <v>0</v>
      </c>
      <c r="I95" t="e">
        <f>TEXT(TEXT(MEDIAN(Totaal!E$3:E$102),"0,0"),"Standaard")</f>
        <v>#NUM!</v>
      </c>
      <c r="J95" t="str">
        <f>Totaal!F$1</f>
        <v>B</v>
      </c>
      <c r="K95" t="str">
        <f>TEXT(TEXT(Totaal!$F95,"0,0"),"Standaard")</f>
        <v>0</v>
      </c>
      <c r="L95" t="str">
        <f>TEXT(Totaal!F$2,"0")</f>
        <v>0</v>
      </c>
      <c r="M95" t="e">
        <f>TEXT(TEXT(MEDIAN(Totaal!$F$3:$F$102),"0,0"),"Standaard")</f>
        <v>#NUM!</v>
      </c>
      <c r="N95" t="str">
        <f>Totaal!G$1</f>
        <v>C</v>
      </c>
      <c r="O95" t="str">
        <f>TEXT(TEXT(Totaal!$G95,"0,0"),"Standaard")</f>
        <v>0</v>
      </c>
      <c r="P95" t="str">
        <f>TEXT(Totaal!$G$2,"0")</f>
        <v>0</v>
      </c>
      <c r="Q95" t="e">
        <f>TEXT(TEXT(MEDIAN(Totaal!$G$3:$G$102),"0,0"),"Standaard")</f>
        <v>#NUM!</v>
      </c>
      <c r="R95" t="str">
        <f>Totaal!H$1</f>
        <v>D</v>
      </c>
      <c r="S95" t="str">
        <f>TEXT(TEXT(Totaal!$H95,"0,0"),"Standaard")</f>
        <v>0</v>
      </c>
      <c r="T95" t="str">
        <f>TEXT(Totaal!$H$2,"0")</f>
        <v>0</v>
      </c>
      <c r="U95" t="e">
        <f>TEXT(TEXT(MEDIAN(Totaal!$H$3:$H$102),"0,0"),"Standaard")</f>
        <v>#NUM!</v>
      </c>
      <c r="V95" t="str">
        <f>Totaal!I$1</f>
        <v>E</v>
      </c>
      <c r="W95" t="str">
        <f>TEXT(TEXT(Totaal!$I95,"0,0"),"Standaard")</f>
        <v>0</v>
      </c>
      <c r="X95" t="str">
        <f>TEXT(Totaal!$I$2,"0")</f>
        <v>0</v>
      </c>
      <c r="Y95" t="e">
        <f>TEXT(TEXT(MEDIAN(Totaal!$I$3:$I$102),"0,0"),"Standaard")</f>
        <v>#NUM!</v>
      </c>
      <c r="Z95" t="str">
        <f>Totaal!J$1</f>
        <v>F</v>
      </c>
      <c r="AA95" t="str">
        <f>TEXT(TEXT(Totaal!$J95,"0,0"),"Standaard")</f>
        <v>0</v>
      </c>
      <c r="AB95" t="str">
        <f>TEXT(Totaal!$J$2,"0")</f>
        <v>0</v>
      </c>
      <c r="AC95" t="e">
        <f>TEXT(TEXT(MEDIAN(Totaal!$J$3:$J$102),"0,0"),"Standaard")</f>
        <v>#NUM!</v>
      </c>
      <c r="AD95" t="str">
        <f>Totaal!K$1</f>
        <v>G</v>
      </c>
      <c r="AE95" t="str">
        <f>TEXT(TEXT(Totaal!$K95,"0,0"),"Standaard")</f>
        <v>0</v>
      </c>
      <c r="AF95" t="str">
        <f>TEXT(Totaal!$K$2,"0")</f>
        <v>0</v>
      </c>
      <c r="AG95" t="e">
        <f>TEXT(TEXT(MEDIAN(Totaal!$K$3:$K$102),"0,0"),"Standaard")</f>
        <v>#NUM!</v>
      </c>
      <c r="AH95" t="str">
        <f>Totaal!L$1</f>
        <v>H</v>
      </c>
      <c r="AI95" t="str">
        <f>TEXT(TEXT(Totaal!$L95,"0,0"),"Standaard")</f>
        <v>0</v>
      </c>
      <c r="AJ95" t="str">
        <f>TEXT(Totaal!$L$2,"0")</f>
        <v>0</v>
      </c>
      <c r="AK95" t="e">
        <f>TEXT(TEXT(MEDIAN(Totaal!$L$3:$L$102),"0,0"),"Standaard")</f>
        <v>#NUM!</v>
      </c>
      <c r="AL95" t="str">
        <f>Totaal!M$1</f>
        <v>I</v>
      </c>
      <c r="AM95" t="str">
        <f>TEXT(TEXT(Totaal!$M95,"0,0"),"Standaard")</f>
        <v>0</v>
      </c>
      <c r="AN95" t="str">
        <f>TEXT(Totaal!$M$2,"0")</f>
        <v>0</v>
      </c>
      <c r="AO95" t="e">
        <f>TEXT(TEXT(MEDIAN(Totaal!$M$3:$M$102),"0,0"),"Standaard")</f>
        <v>#NUM!</v>
      </c>
      <c r="AP95" t="str">
        <f>Totaal!N$1</f>
        <v>J</v>
      </c>
      <c r="AQ95" t="str">
        <f>TEXT(TEXT(Totaal!$N95,"0,0"),"Standaard")</f>
        <v>0</v>
      </c>
      <c r="AR95" t="str">
        <f>TEXT(Totaal!$N$2,"0")</f>
        <v>0</v>
      </c>
      <c r="AS95" t="e">
        <f>TEXT(TEXT(MEDIAN(Totaal!$N$3:$N$102),"0,0"),"Standaard")</f>
        <v>#NUM!</v>
      </c>
      <c r="AT95" t="str">
        <f>Totaal!O$1</f>
        <v>K</v>
      </c>
      <c r="AU95" t="str">
        <f>TEXT(TEXT(Totaal!$O95,"0,0"),"Standaard")</f>
        <v>0</v>
      </c>
      <c r="AV95" t="str">
        <f>TEXT(Totaal!$O$2,"0")</f>
        <v>0</v>
      </c>
      <c r="AW95" t="e">
        <f>TEXT(TEXT(MEDIAN(Totaal!$O$3:$O$102),"0,0"),"Standaard")</f>
        <v>#NUM!</v>
      </c>
      <c r="AX95" t="str">
        <f>Totaal!P$1</f>
        <v>L</v>
      </c>
      <c r="AY95" t="str">
        <f>TEXT(TEXT(Totaal!$P95,"0,0"),"Standaard")</f>
        <v>0</v>
      </c>
      <c r="AZ95" t="str">
        <f>TEXT(Totaal!$P$2,"0")</f>
        <v>0</v>
      </c>
      <c r="BA95" t="e">
        <f>TEXT(TEXT(MEDIAN(Totaal!$P$3:$P$102),"0,0"),"Standaard")</f>
        <v>#NUM!</v>
      </c>
      <c r="BB95" t="str">
        <f>Totaal!Q$1</f>
        <v>M</v>
      </c>
      <c r="BC95" t="str">
        <f>TEXT(TEXT(Totaal!$Q95,"0,0"),"Standaard")</f>
        <v>0</v>
      </c>
      <c r="BD95" t="str">
        <f>TEXT(Totaal!$Q$2,"0")</f>
        <v>0</v>
      </c>
      <c r="BE95" t="e">
        <f>TEXT(TEXT(MEDIAN(Totaal!$Q$3:$Q$102),"0,0"),"Standaard")</f>
        <v>#NUM!</v>
      </c>
      <c r="BF95" t="str">
        <f>Totaal!R$1</f>
        <v>N</v>
      </c>
      <c r="BG95" t="str">
        <f>TEXT(TEXT(Totaal!$R95,"0,0"),"Standaard")</f>
        <v>0</v>
      </c>
      <c r="BH95" t="str">
        <f>TEXT(Totaal!$R$2,"0")</f>
        <v>0</v>
      </c>
      <c r="BI95" t="e">
        <f>TEXT(TEXT(MEDIAN(Totaal!$R$3:$R$102),"0,0"),"Standaard")</f>
        <v>#NUM!</v>
      </c>
      <c r="BJ95" t="str">
        <f>Totaal!S$1</f>
        <v>O</v>
      </c>
      <c r="BK95" t="str">
        <f>TEXT(TEXT(Totaal!$S95,"0,0"),"Standaard")</f>
        <v>0</v>
      </c>
      <c r="BL95" t="str">
        <f>TEXT(Totaal!$S$2,"0")</f>
        <v>0</v>
      </c>
      <c r="BM95" t="e">
        <f>TEXT(TEXT(MEDIAN(Totaal!$S$3:$S$102),"0,0"),"Standaard")</f>
        <v>#NUM!</v>
      </c>
      <c r="BN95" t="str">
        <f>Totaal!T$1</f>
        <v>P</v>
      </c>
      <c r="BO95" t="str">
        <f>TEXT(TEXT(Totaal!$T95,"0,0"),"Standaard")</f>
        <v>0</v>
      </c>
      <c r="BP95" t="str">
        <f>TEXT(Totaal!$T$2,"0")</f>
        <v>0</v>
      </c>
      <c r="BQ95" t="e">
        <f>TEXT(TEXT(MEDIAN(Totaal!$T$3:$T$102),"0,0"),"Standaard")</f>
        <v>#NUM!</v>
      </c>
      <c r="BR95" t="str">
        <f>IF(Totaal!U95="","",Totaal!U95)</f>
        <v/>
      </c>
    </row>
    <row r="96" spans="1:70">
      <c r="A96">
        <f>Totaal!A96</f>
        <v>94</v>
      </c>
      <c r="B96" s="22" t="str">
        <f>IF(Totaal!B96="","",Totaal!B96)</f>
        <v/>
      </c>
      <c r="C96" s="8" t="e">
        <f>TEXT(TEXT(Totaal!C96,"0,0"),"Standaard")</f>
        <v>#DIV/0!</v>
      </c>
      <c r="D96" s="8" t="str">
        <f>TEXT(Totaal!C$2,"0")</f>
        <v>100</v>
      </c>
      <c r="E96" s="22" t="e">
        <f>TEXT(TEXT(SUM(Totaal!C$3:C$102)/COUNTIF(Totaal!C$3:C$102,"&lt;&gt;0"),"0,0"),"Standaard")</f>
        <v>#DIV/0!</v>
      </c>
      <c r="F96" t="str">
        <f>Totaal!E$1</f>
        <v>A</v>
      </c>
      <c r="G96" t="str">
        <f>TEXT(TEXT(Totaal!E96,"0,0"),"Standaard")</f>
        <v>0</v>
      </c>
      <c r="H96" t="str">
        <f>TEXT(Totaal!E$2,"0")</f>
        <v>0</v>
      </c>
      <c r="I96" t="e">
        <f>TEXT(TEXT(MEDIAN(Totaal!E$3:E$102),"0,0"),"Standaard")</f>
        <v>#NUM!</v>
      </c>
      <c r="J96" t="str">
        <f>Totaal!F$1</f>
        <v>B</v>
      </c>
      <c r="K96" t="str">
        <f>TEXT(TEXT(Totaal!$F96,"0,0"),"Standaard")</f>
        <v>0</v>
      </c>
      <c r="L96" t="str">
        <f>TEXT(Totaal!F$2,"0")</f>
        <v>0</v>
      </c>
      <c r="M96" t="e">
        <f>TEXT(TEXT(MEDIAN(Totaal!$F$3:$F$102),"0,0"),"Standaard")</f>
        <v>#NUM!</v>
      </c>
      <c r="N96" t="str">
        <f>Totaal!G$1</f>
        <v>C</v>
      </c>
      <c r="O96" t="str">
        <f>TEXT(TEXT(Totaal!$G96,"0,0"),"Standaard")</f>
        <v>0</v>
      </c>
      <c r="P96" t="str">
        <f>TEXT(Totaal!$G$2,"0")</f>
        <v>0</v>
      </c>
      <c r="Q96" t="e">
        <f>TEXT(TEXT(MEDIAN(Totaal!$G$3:$G$102),"0,0"),"Standaard")</f>
        <v>#NUM!</v>
      </c>
      <c r="R96" t="str">
        <f>Totaal!H$1</f>
        <v>D</v>
      </c>
      <c r="S96" t="str">
        <f>TEXT(TEXT(Totaal!$H96,"0,0"),"Standaard")</f>
        <v>0</v>
      </c>
      <c r="T96" t="str">
        <f>TEXT(Totaal!$H$2,"0")</f>
        <v>0</v>
      </c>
      <c r="U96" t="e">
        <f>TEXT(TEXT(MEDIAN(Totaal!$H$3:$H$102),"0,0"),"Standaard")</f>
        <v>#NUM!</v>
      </c>
      <c r="V96" t="str">
        <f>Totaal!I$1</f>
        <v>E</v>
      </c>
      <c r="W96" t="str">
        <f>TEXT(TEXT(Totaal!$I96,"0,0"),"Standaard")</f>
        <v>0</v>
      </c>
      <c r="X96" t="str">
        <f>TEXT(Totaal!$I$2,"0")</f>
        <v>0</v>
      </c>
      <c r="Y96" t="e">
        <f>TEXT(TEXT(MEDIAN(Totaal!$I$3:$I$102),"0,0"),"Standaard")</f>
        <v>#NUM!</v>
      </c>
      <c r="Z96" t="str">
        <f>Totaal!J$1</f>
        <v>F</v>
      </c>
      <c r="AA96" t="str">
        <f>TEXT(TEXT(Totaal!$J96,"0,0"),"Standaard")</f>
        <v>0</v>
      </c>
      <c r="AB96" t="str">
        <f>TEXT(Totaal!$J$2,"0")</f>
        <v>0</v>
      </c>
      <c r="AC96" t="e">
        <f>TEXT(TEXT(MEDIAN(Totaal!$J$3:$J$102),"0,0"),"Standaard")</f>
        <v>#NUM!</v>
      </c>
      <c r="AD96" t="str">
        <f>Totaal!K$1</f>
        <v>G</v>
      </c>
      <c r="AE96" t="str">
        <f>TEXT(TEXT(Totaal!$K96,"0,0"),"Standaard")</f>
        <v>0</v>
      </c>
      <c r="AF96" t="str">
        <f>TEXT(Totaal!$K$2,"0")</f>
        <v>0</v>
      </c>
      <c r="AG96" t="e">
        <f>TEXT(TEXT(MEDIAN(Totaal!$K$3:$K$102),"0,0"),"Standaard")</f>
        <v>#NUM!</v>
      </c>
      <c r="AH96" t="str">
        <f>Totaal!L$1</f>
        <v>H</v>
      </c>
      <c r="AI96" t="str">
        <f>TEXT(TEXT(Totaal!$L96,"0,0"),"Standaard")</f>
        <v>0</v>
      </c>
      <c r="AJ96" t="str">
        <f>TEXT(Totaal!$L$2,"0")</f>
        <v>0</v>
      </c>
      <c r="AK96" t="e">
        <f>TEXT(TEXT(MEDIAN(Totaal!$L$3:$L$102),"0,0"),"Standaard")</f>
        <v>#NUM!</v>
      </c>
      <c r="AL96" t="str">
        <f>Totaal!M$1</f>
        <v>I</v>
      </c>
      <c r="AM96" t="str">
        <f>TEXT(TEXT(Totaal!$M96,"0,0"),"Standaard")</f>
        <v>0</v>
      </c>
      <c r="AN96" t="str">
        <f>TEXT(Totaal!$M$2,"0")</f>
        <v>0</v>
      </c>
      <c r="AO96" t="e">
        <f>TEXT(TEXT(MEDIAN(Totaal!$M$3:$M$102),"0,0"),"Standaard")</f>
        <v>#NUM!</v>
      </c>
      <c r="AP96" t="str">
        <f>Totaal!N$1</f>
        <v>J</v>
      </c>
      <c r="AQ96" t="str">
        <f>TEXT(TEXT(Totaal!$N96,"0,0"),"Standaard")</f>
        <v>0</v>
      </c>
      <c r="AR96" t="str">
        <f>TEXT(Totaal!$N$2,"0")</f>
        <v>0</v>
      </c>
      <c r="AS96" t="e">
        <f>TEXT(TEXT(MEDIAN(Totaal!$N$3:$N$102),"0,0"),"Standaard")</f>
        <v>#NUM!</v>
      </c>
      <c r="AT96" t="str">
        <f>Totaal!O$1</f>
        <v>K</v>
      </c>
      <c r="AU96" t="str">
        <f>TEXT(TEXT(Totaal!$O96,"0,0"),"Standaard")</f>
        <v>0</v>
      </c>
      <c r="AV96" t="str">
        <f>TEXT(Totaal!$O$2,"0")</f>
        <v>0</v>
      </c>
      <c r="AW96" t="e">
        <f>TEXT(TEXT(MEDIAN(Totaal!$O$3:$O$102),"0,0"),"Standaard")</f>
        <v>#NUM!</v>
      </c>
      <c r="AX96" t="str">
        <f>Totaal!P$1</f>
        <v>L</v>
      </c>
      <c r="AY96" t="str">
        <f>TEXT(TEXT(Totaal!$P96,"0,0"),"Standaard")</f>
        <v>0</v>
      </c>
      <c r="AZ96" t="str">
        <f>TEXT(Totaal!$P$2,"0")</f>
        <v>0</v>
      </c>
      <c r="BA96" t="e">
        <f>TEXT(TEXT(MEDIAN(Totaal!$P$3:$P$102),"0,0"),"Standaard")</f>
        <v>#NUM!</v>
      </c>
      <c r="BB96" t="str">
        <f>Totaal!Q$1</f>
        <v>M</v>
      </c>
      <c r="BC96" t="str">
        <f>TEXT(TEXT(Totaal!$Q96,"0,0"),"Standaard")</f>
        <v>0</v>
      </c>
      <c r="BD96" t="str">
        <f>TEXT(Totaal!$Q$2,"0")</f>
        <v>0</v>
      </c>
      <c r="BE96" t="e">
        <f>TEXT(TEXT(MEDIAN(Totaal!$Q$3:$Q$102),"0,0"),"Standaard")</f>
        <v>#NUM!</v>
      </c>
      <c r="BF96" t="str">
        <f>Totaal!R$1</f>
        <v>N</v>
      </c>
      <c r="BG96" t="str">
        <f>TEXT(TEXT(Totaal!$R96,"0,0"),"Standaard")</f>
        <v>0</v>
      </c>
      <c r="BH96" t="str">
        <f>TEXT(Totaal!$R$2,"0")</f>
        <v>0</v>
      </c>
      <c r="BI96" t="e">
        <f>TEXT(TEXT(MEDIAN(Totaal!$R$3:$R$102),"0,0"),"Standaard")</f>
        <v>#NUM!</v>
      </c>
      <c r="BJ96" t="str">
        <f>Totaal!S$1</f>
        <v>O</v>
      </c>
      <c r="BK96" t="str">
        <f>TEXT(TEXT(Totaal!$S96,"0,0"),"Standaard")</f>
        <v>0</v>
      </c>
      <c r="BL96" t="str">
        <f>TEXT(Totaal!$S$2,"0")</f>
        <v>0</v>
      </c>
      <c r="BM96" t="e">
        <f>TEXT(TEXT(MEDIAN(Totaal!$S$3:$S$102),"0,0"),"Standaard")</f>
        <v>#NUM!</v>
      </c>
      <c r="BN96" t="str">
        <f>Totaal!T$1</f>
        <v>P</v>
      </c>
      <c r="BO96" t="str">
        <f>TEXT(TEXT(Totaal!$T96,"0,0"),"Standaard")</f>
        <v>0</v>
      </c>
      <c r="BP96" t="str">
        <f>TEXT(Totaal!$T$2,"0")</f>
        <v>0</v>
      </c>
      <c r="BQ96" t="e">
        <f>TEXT(TEXT(MEDIAN(Totaal!$T$3:$T$102),"0,0"),"Standaard")</f>
        <v>#NUM!</v>
      </c>
      <c r="BR96" t="str">
        <f>IF(Totaal!U96="","",Totaal!U96)</f>
        <v/>
      </c>
    </row>
    <row r="97" spans="1:70">
      <c r="A97">
        <f>Totaal!A97</f>
        <v>95</v>
      </c>
      <c r="B97" s="22" t="str">
        <f>IF(Totaal!B97="","",Totaal!B97)</f>
        <v/>
      </c>
      <c r="C97" s="8" t="e">
        <f>TEXT(TEXT(Totaal!C97,"0,0"),"Standaard")</f>
        <v>#DIV/0!</v>
      </c>
      <c r="D97" s="8" t="str">
        <f>TEXT(Totaal!C$2,"0")</f>
        <v>100</v>
      </c>
      <c r="E97" s="22" t="e">
        <f>TEXT(TEXT(SUM(Totaal!C$3:C$102)/COUNTIF(Totaal!C$3:C$102,"&lt;&gt;0"),"0,0"),"Standaard")</f>
        <v>#DIV/0!</v>
      </c>
      <c r="F97" t="str">
        <f>Totaal!E$1</f>
        <v>A</v>
      </c>
      <c r="G97" t="str">
        <f>TEXT(TEXT(Totaal!E97,"0,0"),"Standaard")</f>
        <v>0</v>
      </c>
      <c r="H97" t="str">
        <f>TEXT(Totaal!E$2,"0")</f>
        <v>0</v>
      </c>
      <c r="I97" t="e">
        <f>TEXT(TEXT(MEDIAN(Totaal!E$3:E$102),"0,0"),"Standaard")</f>
        <v>#NUM!</v>
      </c>
      <c r="J97" t="str">
        <f>Totaal!F$1</f>
        <v>B</v>
      </c>
      <c r="K97" t="str">
        <f>TEXT(TEXT(Totaal!$F97,"0,0"),"Standaard")</f>
        <v>0</v>
      </c>
      <c r="L97" t="str">
        <f>TEXT(Totaal!F$2,"0")</f>
        <v>0</v>
      </c>
      <c r="M97" t="e">
        <f>TEXT(TEXT(MEDIAN(Totaal!$F$3:$F$102),"0,0"),"Standaard")</f>
        <v>#NUM!</v>
      </c>
      <c r="N97" t="str">
        <f>Totaal!G$1</f>
        <v>C</v>
      </c>
      <c r="O97" t="str">
        <f>TEXT(TEXT(Totaal!$G97,"0,0"),"Standaard")</f>
        <v>0</v>
      </c>
      <c r="P97" t="str">
        <f>TEXT(Totaal!$G$2,"0")</f>
        <v>0</v>
      </c>
      <c r="Q97" t="e">
        <f>TEXT(TEXT(MEDIAN(Totaal!$G$3:$G$102),"0,0"),"Standaard")</f>
        <v>#NUM!</v>
      </c>
      <c r="R97" t="str">
        <f>Totaal!H$1</f>
        <v>D</v>
      </c>
      <c r="S97" t="str">
        <f>TEXT(TEXT(Totaal!$H97,"0,0"),"Standaard")</f>
        <v>0</v>
      </c>
      <c r="T97" t="str">
        <f>TEXT(Totaal!$H$2,"0")</f>
        <v>0</v>
      </c>
      <c r="U97" t="e">
        <f>TEXT(TEXT(MEDIAN(Totaal!$H$3:$H$102),"0,0"),"Standaard")</f>
        <v>#NUM!</v>
      </c>
      <c r="V97" t="str">
        <f>Totaal!I$1</f>
        <v>E</v>
      </c>
      <c r="W97" t="str">
        <f>TEXT(TEXT(Totaal!$I97,"0,0"),"Standaard")</f>
        <v>0</v>
      </c>
      <c r="X97" t="str">
        <f>TEXT(Totaal!$I$2,"0")</f>
        <v>0</v>
      </c>
      <c r="Y97" t="e">
        <f>TEXT(TEXT(MEDIAN(Totaal!$I$3:$I$102),"0,0"),"Standaard")</f>
        <v>#NUM!</v>
      </c>
      <c r="Z97" t="str">
        <f>Totaal!J$1</f>
        <v>F</v>
      </c>
      <c r="AA97" t="str">
        <f>TEXT(TEXT(Totaal!$J97,"0,0"),"Standaard")</f>
        <v>0</v>
      </c>
      <c r="AB97" t="str">
        <f>TEXT(Totaal!$J$2,"0")</f>
        <v>0</v>
      </c>
      <c r="AC97" t="e">
        <f>TEXT(TEXT(MEDIAN(Totaal!$J$3:$J$102),"0,0"),"Standaard")</f>
        <v>#NUM!</v>
      </c>
      <c r="AD97" t="str">
        <f>Totaal!K$1</f>
        <v>G</v>
      </c>
      <c r="AE97" t="str">
        <f>TEXT(TEXT(Totaal!$K97,"0,0"),"Standaard")</f>
        <v>0</v>
      </c>
      <c r="AF97" t="str">
        <f>TEXT(Totaal!$K$2,"0")</f>
        <v>0</v>
      </c>
      <c r="AG97" t="e">
        <f>TEXT(TEXT(MEDIAN(Totaal!$K$3:$K$102),"0,0"),"Standaard")</f>
        <v>#NUM!</v>
      </c>
      <c r="AH97" t="str">
        <f>Totaal!L$1</f>
        <v>H</v>
      </c>
      <c r="AI97" t="str">
        <f>TEXT(TEXT(Totaal!$L97,"0,0"),"Standaard")</f>
        <v>0</v>
      </c>
      <c r="AJ97" t="str">
        <f>TEXT(Totaal!$L$2,"0")</f>
        <v>0</v>
      </c>
      <c r="AK97" t="e">
        <f>TEXT(TEXT(MEDIAN(Totaal!$L$3:$L$102),"0,0"),"Standaard")</f>
        <v>#NUM!</v>
      </c>
      <c r="AL97" t="str">
        <f>Totaal!M$1</f>
        <v>I</v>
      </c>
      <c r="AM97" t="str">
        <f>TEXT(TEXT(Totaal!$M97,"0,0"),"Standaard")</f>
        <v>0</v>
      </c>
      <c r="AN97" t="str">
        <f>TEXT(Totaal!$M$2,"0")</f>
        <v>0</v>
      </c>
      <c r="AO97" t="e">
        <f>TEXT(TEXT(MEDIAN(Totaal!$M$3:$M$102),"0,0"),"Standaard")</f>
        <v>#NUM!</v>
      </c>
      <c r="AP97" t="str">
        <f>Totaal!N$1</f>
        <v>J</v>
      </c>
      <c r="AQ97" t="str">
        <f>TEXT(TEXT(Totaal!$N97,"0,0"),"Standaard")</f>
        <v>0</v>
      </c>
      <c r="AR97" t="str">
        <f>TEXT(Totaal!$N$2,"0")</f>
        <v>0</v>
      </c>
      <c r="AS97" t="e">
        <f>TEXT(TEXT(MEDIAN(Totaal!$N$3:$N$102),"0,0"),"Standaard")</f>
        <v>#NUM!</v>
      </c>
      <c r="AT97" t="str">
        <f>Totaal!O$1</f>
        <v>K</v>
      </c>
      <c r="AU97" t="str">
        <f>TEXT(TEXT(Totaal!$O97,"0,0"),"Standaard")</f>
        <v>0</v>
      </c>
      <c r="AV97" t="str">
        <f>TEXT(Totaal!$O$2,"0")</f>
        <v>0</v>
      </c>
      <c r="AW97" t="e">
        <f>TEXT(TEXT(MEDIAN(Totaal!$O$3:$O$102),"0,0"),"Standaard")</f>
        <v>#NUM!</v>
      </c>
      <c r="AX97" t="str">
        <f>Totaal!P$1</f>
        <v>L</v>
      </c>
      <c r="AY97" t="str">
        <f>TEXT(TEXT(Totaal!$P97,"0,0"),"Standaard")</f>
        <v>0</v>
      </c>
      <c r="AZ97" t="str">
        <f>TEXT(Totaal!$P$2,"0")</f>
        <v>0</v>
      </c>
      <c r="BA97" t="e">
        <f>TEXT(TEXT(MEDIAN(Totaal!$P$3:$P$102),"0,0"),"Standaard")</f>
        <v>#NUM!</v>
      </c>
      <c r="BB97" t="str">
        <f>Totaal!Q$1</f>
        <v>M</v>
      </c>
      <c r="BC97" t="str">
        <f>TEXT(TEXT(Totaal!$Q97,"0,0"),"Standaard")</f>
        <v>0</v>
      </c>
      <c r="BD97" t="str">
        <f>TEXT(Totaal!$Q$2,"0")</f>
        <v>0</v>
      </c>
      <c r="BE97" t="e">
        <f>TEXT(TEXT(MEDIAN(Totaal!$Q$3:$Q$102),"0,0"),"Standaard")</f>
        <v>#NUM!</v>
      </c>
      <c r="BF97" t="str">
        <f>Totaal!R$1</f>
        <v>N</v>
      </c>
      <c r="BG97" t="str">
        <f>TEXT(TEXT(Totaal!$R97,"0,0"),"Standaard")</f>
        <v>0</v>
      </c>
      <c r="BH97" t="str">
        <f>TEXT(Totaal!$R$2,"0")</f>
        <v>0</v>
      </c>
      <c r="BI97" t="e">
        <f>TEXT(TEXT(MEDIAN(Totaal!$R$3:$R$102),"0,0"),"Standaard")</f>
        <v>#NUM!</v>
      </c>
      <c r="BJ97" t="str">
        <f>Totaal!S$1</f>
        <v>O</v>
      </c>
      <c r="BK97" t="str">
        <f>TEXT(TEXT(Totaal!$S97,"0,0"),"Standaard")</f>
        <v>0</v>
      </c>
      <c r="BL97" t="str">
        <f>TEXT(Totaal!$S$2,"0")</f>
        <v>0</v>
      </c>
      <c r="BM97" t="e">
        <f>TEXT(TEXT(MEDIAN(Totaal!$S$3:$S$102),"0,0"),"Standaard")</f>
        <v>#NUM!</v>
      </c>
      <c r="BN97" t="str">
        <f>Totaal!T$1</f>
        <v>P</v>
      </c>
      <c r="BO97" t="str">
        <f>TEXT(TEXT(Totaal!$T97,"0,0"),"Standaard")</f>
        <v>0</v>
      </c>
      <c r="BP97" t="str">
        <f>TEXT(Totaal!$T$2,"0")</f>
        <v>0</v>
      </c>
      <c r="BQ97" t="e">
        <f>TEXT(TEXT(MEDIAN(Totaal!$T$3:$T$102),"0,0"),"Standaard")</f>
        <v>#NUM!</v>
      </c>
      <c r="BR97" t="str">
        <f>IF(Totaal!U97="","",Totaal!U97)</f>
        <v/>
      </c>
    </row>
    <row r="98" spans="1:70">
      <c r="A98">
        <f>Totaal!A98</f>
        <v>96</v>
      </c>
      <c r="B98" s="22" t="str">
        <f>IF(Totaal!B98="","",Totaal!B98)</f>
        <v/>
      </c>
      <c r="C98" s="8" t="e">
        <f>TEXT(TEXT(Totaal!C98,"0,0"),"Standaard")</f>
        <v>#DIV/0!</v>
      </c>
      <c r="D98" s="8" t="str">
        <f>TEXT(Totaal!C$2,"0")</f>
        <v>100</v>
      </c>
      <c r="E98" s="22" t="e">
        <f>TEXT(TEXT(SUM(Totaal!C$3:C$102)/COUNTIF(Totaal!C$3:C$102,"&lt;&gt;0"),"0,0"),"Standaard")</f>
        <v>#DIV/0!</v>
      </c>
      <c r="F98" t="str">
        <f>Totaal!E$1</f>
        <v>A</v>
      </c>
      <c r="G98" t="str">
        <f>TEXT(TEXT(Totaal!E98,"0,0"),"Standaard")</f>
        <v>0</v>
      </c>
      <c r="H98" t="str">
        <f>TEXT(Totaal!E$2,"0")</f>
        <v>0</v>
      </c>
      <c r="I98" t="e">
        <f>TEXT(TEXT(MEDIAN(Totaal!E$3:E$102),"0,0"),"Standaard")</f>
        <v>#NUM!</v>
      </c>
      <c r="J98" t="str">
        <f>Totaal!F$1</f>
        <v>B</v>
      </c>
      <c r="K98" t="str">
        <f>TEXT(TEXT(Totaal!$F98,"0,0"),"Standaard")</f>
        <v>0</v>
      </c>
      <c r="L98" t="str">
        <f>TEXT(Totaal!F$2,"0")</f>
        <v>0</v>
      </c>
      <c r="M98" t="e">
        <f>TEXT(TEXT(MEDIAN(Totaal!$F$3:$F$102),"0,0"),"Standaard")</f>
        <v>#NUM!</v>
      </c>
      <c r="N98" t="str">
        <f>Totaal!G$1</f>
        <v>C</v>
      </c>
      <c r="O98" t="str">
        <f>TEXT(TEXT(Totaal!$G98,"0,0"),"Standaard")</f>
        <v>0</v>
      </c>
      <c r="P98" t="str">
        <f>TEXT(Totaal!$G$2,"0")</f>
        <v>0</v>
      </c>
      <c r="Q98" t="e">
        <f>TEXT(TEXT(MEDIAN(Totaal!$G$3:$G$102),"0,0"),"Standaard")</f>
        <v>#NUM!</v>
      </c>
      <c r="R98" t="str">
        <f>Totaal!H$1</f>
        <v>D</v>
      </c>
      <c r="S98" t="str">
        <f>TEXT(TEXT(Totaal!$H98,"0,0"),"Standaard")</f>
        <v>0</v>
      </c>
      <c r="T98" t="str">
        <f>TEXT(Totaal!$H$2,"0")</f>
        <v>0</v>
      </c>
      <c r="U98" t="e">
        <f>TEXT(TEXT(MEDIAN(Totaal!$H$3:$H$102),"0,0"),"Standaard")</f>
        <v>#NUM!</v>
      </c>
      <c r="V98" t="str">
        <f>Totaal!I$1</f>
        <v>E</v>
      </c>
      <c r="W98" t="str">
        <f>TEXT(TEXT(Totaal!$I98,"0,0"),"Standaard")</f>
        <v>0</v>
      </c>
      <c r="X98" t="str">
        <f>TEXT(Totaal!$I$2,"0")</f>
        <v>0</v>
      </c>
      <c r="Y98" t="e">
        <f>TEXT(TEXT(MEDIAN(Totaal!$I$3:$I$102),"0,0"),"Standaard")</f>
        <v>#NUM!</v>
      </c>
      <c r="Z98" t="str">
        <f>Totaal!J$1</f>
        <v>F</v>
      </c>
      <c r="AA98" t="str">
        <f>TEXT(TEXT(Totaal!$J98,"0,0"),"Standaard")</f>
        <v>0</v>
      </c>
      <c r="AB98" t="str">
        <f>TEXT(Totaal!$J$2,"0")</f>
        <v>0</v>
      </c>
      <c r="AC98" t="e">
        <f>TEXT(TEXT(MEDIAN(Totaal!$J$3:$J$102),"0,0"),"Standaard")</f>
        <v>#NUM!</v>
      </c>
      <c r="AD98" t="str">
        <f>Totaal!K$1</f>
        <v>G</v>
      </c>
      <c r="AE98" t="str">
        <f>TEXT(TEXT(Totaal!$K98,"0,0"),"Standaard")</f>
        <v>0</v>
      </c>
      <c r="AF98" t="str">
        <f>TEXT(Totaal!$K$2,"0")</f>
        <v>0</v>
      </c>
      <c r="AG98" t="e">
        <f>TEXT(TEXT(MEDIAN(Totaal!$K$3:$K$102),"0,0"),"Standaard")</f>
        <v>#NUM!</v>
      </c>
      <c r="AH98" t="str">
        <f>Totaal!L$1</f>
        <v>H</v>
      </c>
      <c r="AI98" t="str">
        <f>TEXT(TEXT(Totaal!$L98,"0,0"),"Standaard")</f>
        <v>0</v>
      </c>
      <c r="AJ98" t="str">
        <f>TEXT(Totaal!$L$2,"0")</f>
        <v>0</v>
      </c>
      <c r="AK98" t="e">
        <f>TEXT(TEXT(MEDIAN(Totaal!$L$3:$L$102),"0,0"),"Standaard")</f>
        <v>#NUM!</v>
      </c>
      <c r="AL98" t="str">
        <f>Totaal!M$1</f>
        <v>I</v>
      </c>
      <c r="AM98" t="str">
        <f>TEXT(TEXT(Totaal!$M98,"0,0"),"Standaard")</f>
        <v>0</v>
      </c>
      <c r="AN98" t="str">
        <f>TEXT(Totaal!$M$2,"0")</f>
        <v>0</v>
      </c>
      <c r="AO98" t="e">
        <f>TEXT(TEXT(MEDIAN(Totaal!$M$3:$M$102),"0,0"),"Standaard")</f>
        <v>#NUM!</v>
      </c>
      <c r="AP98" t="str">
        <f>Totaal!N$1</f>
        <v>J</v>
      </c>
      <c r="AQ98" t="str">
        <f>TEXT(TEXT(Totaal!$N98,"0,0"),"Standaard")</f>
        <v>0</v>
      </c>
      <c r="AR98" t="str">
        <f>TEXT(Totaal!$N$2,"0")</f>
        <v>0</v>
      </c>
      <c r="AS98" t="e">
        <f>TEXT(TEXT(MEDIAN(Totaal!$N$3:$N$102),"0,0"),"Standaard")</f>
        <v>#NUM!</v>
      </c>
      <c r="AT98" t="str">
        <f>Totaal!O$1</f>
        <v>K</v>
      </c>
      <c r="AU98" t="str">
        <f>TEXT(TEXT(Totaal!$O98,"0,0"),"Standaard")</f>
        <v>0</v>
      </c>
      <c r="AV98" t="str">
        <f>TEXT(Totaal!$O$2,"0")</f>
        <v>0</v>
      </c>
      <c r="AW98" t="e">
        <f>TEXT(TEXT(MEDIAN(Totaal!$O$3:$O$102),"0,0"),"Standaard")</f>
        <v>#NUM!</v>
      </c>
      <c r="AX98" t="str">
        <f>Totaal!P$1</f>
        <v>L</v>
      </c>
      <c r="AY98" t="str">
        <f>TEXT(TEXT(Totaal!$P98,"0,0"),"Standaard")</f>
        <v>0</v>
      </c>
      <c r="AZ98" t="str">
        <f>TEXT(Totaal!$P$2,"0")</f>
        <v>0</v>
      </c>
      <c r="BA98" t="e">
        <f>TEXT(TEXT(MEDIAN(Totaal!$P$3:$P$102),"0,0"),"Standaard")</f>
        <v>#NUM!</v>
      </c>
      <c r="BB98" t="str">
        <f>Totaal!Q$1</f>
        <v>M</v>
      </c>
      <c r="BC98" t="str">
        <f>TEXT(TEXT(Totaal!$Q98,"0,0"),"Standaard")</f>
        <v>0</v>
      </c>
      <c r="BD98" t="str">
        <f>TEXT(Totaal!$Q$2,"0")</f>
        <v>0</v>
      </c>
      <c r="BE98" t="e">
        <f>TEXT(TEXT(MEDIAN(Totaal!$Q$3:$Q$102),"0,0"),"Standaard")</f>
        <v>#NUM!</v>
      </c>
      <c r="BF98" t="str">
        <f>Totaal!R$1</f>
        <v>N</v>
      </c>
      <c r="BG98" t="str">
        <f>TEXT(TEXT(Totaal!$R98,"0,0"),"Standaard")</f>
        <v>0</v>
      </c>
      <c r="BH98" t="str">
        <f>TEXT(Totaal!$R$2,"0")</f>
        <v>0</v>
      </c>
      <c r="BI98" t="e">
        <f>TEXT(TEXT(MEDIAN(Totaal!$R$3:$R$102),"0,0"),"Standaard")</f>
        <v>#NUM!</v>
      </c>
      <c r="BJ98" t="str">
        <f>Totaal!S$1</f>
        <v>O</v>
      </c>
      <c r="BK98" t="str">
        <f>TEXT(TEXT(Totaal!$S98,"0,0"),"Standaard")</f>
        <v>0</v>
      </c>
      <c r="BL98" t="str">
        <f>TEXT(Totaal!$S$2,"0")</f>
        <v>0</v>
      </c>
      <c r="BM98" t="e">
        <f>TEXT(TEXT(MEDIAN(Totaal!$S$3:$S$102),"0,0"),"Standaard")</f>
        <v>#NUM!</v>
      </c>
      <c r="BN98" t="str">
        <f>Totaal!T$1</f>
        <v>P</v>
      </c>
      <c r="BO98" t="str">
        <f>TEXT(TEXT(Totaal!$T98,"0,0"),"Standaard")</f>
        <v>0</v>
      </c>
      <c r="BP98" t="str">
        <f>TEXT(Totaal!$T$2,"0")</f>
        <v>0</v>
      </c>
      <c r="BQ98" t="e">
        <f>TEXT(TEXT(MEDIAN(Totaal!$T$3:$T$102),"0,0"),"Standaard")</f>
        <v>#NUM!</v>
      </c>
      <c r="BR98" t="str">
        <f>IF(Totaal!U98="","",Totaal!U98)</f>
        <v/>
      </c>
    </row>
    <row r="99" spans="1:70">
      <c r="A99">
        <f>Totaal!A99</f>
        <v>97</v>
      </c>
      <c r="B99" s="22" t="str">
        <f>IF(Totaal!B99="","",Totaal!B99)</f>
        <v/>
      </c>
      <c r="C99" s="8" t="e">
        <f>TEXT(TEXT(Totaal!C99,"0,0"),"Standaard")</f>
        <v>#DIV/0!</v>
      </c>
      <c r="D99" s="8" t="str">
        <f>TEXT(Totaal!C$2,"0")</f>
        <v>100</v>
      </c>
      <c r="E99" s="22" t="e">
        <f>TEXT(TEXT(SUM(Totaal!C$3:C$102)/COUNTIF(Totaal!C$3:C$102,"&lt;&gt;0"),"0,0"),"Standaard")</f>
        <v>#DIV/0!</v>
      </c>
      <c r="F99" t="str">
        <f>Totaal!E$1</f>
        <v>A</v>
      </c>
      <c r="G99" t="str">
        <f>TEXT(TEXT(Totaal!E99,"0,0"),"Standaard")</f>
        <v>0</v>
      </c>
      <c r="H99" t="str">
        <f>TEXT(Totaal!E$2,"0")</f>
        <v>0</v>
      </c>
      <c r="I99" t="e">
        <f>TEXT(TEXT(MEDIAN(Totaal!E$3:E$102),"0,0"),"Standaard")</f>
        <v>#NUM!</v>
      </c>
      <c r="J99" t="str">
        <f>Totaal!F$1</f>
        <v>B</v>
      </c>
      <c r="K99" t="str">
        <f>TEXT(TEXT(Totaal!$F99,"0,0"),"Standaard")</f>
        <v>0</v>
      </c>
      <c r="L99" t="str">
        <f>TEXT(Totaal!F$2,"0")</f>
        <v>0</v>
      </c>
      <c r="M99" t="e">
        <f>TEXT(TEXT(MEDIAN(Totaal!$F$3:$F$102),"0,0"),"Standaard")</f>
        <v>#NUM!</v>
      </c>
      <c r="N99" t="str">
        <f>Totaal!G$1</f>
        <v>C</v>
      </c>
      <c r="O99" t="str">
        <f>TEXT(TEXT(Totaal!$G99,"0,0"),"Standaard")</f>
        <v>0</v>
      </c>
      <c r="P99" t="str">
        <f>TEXT(Totaal!$G$2,"0")</f>
        <v>0</v>
      </c>
      <c r="Q99" t="e">
        <f>TEXT(TEXT(MEDIAN(Totaal!$G$3:$G$102),"0,0"),"Standaard")</f>
        <v>#NUM!</v>
      </c>
      <c r="R99" t="str">
        <f>Totaal!H$1</f>
        <v>D</v>
      </c>
      <c r="S99" t="str">
        <f>TEXT(TEXT(Totaal!$H99,"0,0"),"Standaard")</f>
        <v>0</v>
      </c>
      <c r="T99" t="str">
        <f>TEXT(Totaal!$H$2,"0")</f>
        <v>0</v>
      </c>
      <c r="U99" t="e">
        <f>TEXT(TEXT(MEDIAN(Totaal!$H$3:$H$102),"0,0"),"Standaard")</f>
        <v>#NUM!</v>
      </c>
      <c r="V99" t="str">
        <f>Totaal!I$1</f>
        <v>E</v>
      </c>
      <c r="W99" t="str">
        <f>TEXT(TEXT(Totaal!$I99,"0,0"),"Standaard")</f>
        <v>0</v>
      </c>
      <c r="X99" t="str">
        <f>TEXT(Totaal!$I$2,"0")</f>
        <v>0</v>
      </c>
      <c r="Y99" t="e">
        <f>TEXT(TEXT(MEDIAN(Totaal!$I$3:$I$102),"0,0"),"Standaard")</f>
        <v>#NUM!</v>
      </c>
      <c r="Z99" t="str">
        <f>Totaal!J$1</f>
        <v>F</v>
      </c>
      <c r="AA99" t="str">
        <f>TEXT(TEXT(Totaal!$J99,"0,0"),"Standaard")</f>
        <v>0</v>
      </c>
      <c r="AB99" t="str">
        <f>TEXT(Totaal!$J$2,"0")</f>
        <v>0</v>
      </c>
      <c r="AC99" t="e">
        <f>TEXT(TEXT(MEDIAN(Totaal!$J$3:$J$102),"0,0"),"Standaard")</f>
        <v>#NUM!</v>
      </c>
      <c r="AD99" t="str">
        <f>Totaal!K$1</f>
        <v>G</v>
      </c>
      <c r="AE99" t="str">
        <f>TEXT(TEXT(Totaal!$K99,"0,0"),"Standaard")</f>
        <v>0</v>
      </c>
      <c r="AF99" t="str">
        <f>TEXT(Totaal!$K$2,"0")</f>
        <v>0</v>
      </c>
      <c r="AG99" t="e">
        <f>TEXT(TEXT(MEDIAN(Totaal!$K$3:$K$102),"0,0"),"Standaard")</f>
        <v>#NUM!</v>
      </c>
      <c r="AH99" t="str">
        <f>Totaal!L$1</f>
        <v>H</v>
      </c>
      <c r="AI99" t="str">
        <f>TEXT(TEXT(Totaal!$L99,"0,0"),"Standaard")</f>
        <v>0</v>
      </c>
      <c r="AJ99" t="str">
        <f>TEXT(Totaal!$L$2,"0")</f>
        <v>0</v>
      </c>
      <c r="AK99" t="e">
        <f>TEXT(TEXT(MEDIAN(Totaal!$L$3:$L$102),"0,0"),"Standaard")</f>
        <v>#NUM!</v>
      </c>
      <c r="AL99" t="str">
        <f>Totaal!M$1</f>
        <v>I</v>
      </c>
      <c r="AM99" t="str">
        <f>TEXT(TEXT(Totaal!$M99,"0,0"),"Standaard")</f>
        <v>0</v>
      </c>
      <c r="AN99" t="str">
        <f>TEXT(Totaal!$M$2,"0")</f>
        <v>0</v>
      </c>
      <c r="AO99" t="e">
        <f>TEXT(TEXT(MEDIAN(Totaal!$M$3:$M$102),"0,0"),"Standaard")</f>
        <v>#NUM!</v>
      </c>
      <c r="AP99" t="str">
        <f>Totaal!N$1</f>
        <v>J</v>
      </c>
      <c r="AQ99" t="str">
        <f>TEXT(TEXT(Totaal!$N99,"0,0"),"Standaard")</f>
        <v>0</v>
      </c>
      <c r="AR99" t="str">
        <f>TEXT(Totaal!$N$2,"0")</f>
        <v>0</v>
      </c>
      <c r="AS99" t="e">
        <f>TEXT(TEXT(MEDIAN(Totaal!$N$3:$N$102),"0,0"),"Standaard")</f>
        <v>#NUM!</v>
      </c>
      <c r="AT99" t="str">
        <f>Totaal!O$1</f>
        <v>K</v>
      </c>
      <c r="AU99" t="str">
        <f>TEXT(TEXT(Totaal!$O99,"0,0"),"Standaard")</f>
        <v>0</v>
      </c>
      <c r="AV99" t="str">
        <f>TEXT(Totaal!$O$2,"0")</f>
        <v>0</v>
      </c>
      <c r="AW99" t="e">
        <f>TEXT(TEXT(MEDIAN(Totaal!$O$3:$O$102),"0,0"),"Standaard")</f>
        <v>#NUM!</v>
      </c>
      <c r="AX99" t="str">
        <f>Totaal!P$1</f>
        <v>L</v>
      </c>
      <c r="AY99" t="str">
        <f>TEXT(TEXT(Totaal!$P99,"0,0"),"Standaard")</f>
        <v>0</v>
      </c>
      <c r="AZ99" t="str">
        <f>TEXT(Totaal!$P$2,"0")</f>
        <v>0</v>
      </c>
      <c r="BA99" t="e">
        <f>TEXT(TEXT(MEDIAN(Totaal!$P$3:$P$102),"0,0"),"Standaard")</f>
        <v>#NUM!</v>
      </c>
      <c r="BB99" t="str">
        <f>Totaal!Q$1</f>
        <v>M</v>
      </c>
      <c r="BC99" t="str">
        <f>TEXT(TEXT(Totaal!$Q99,"0,0"),"Standaard")</f>
        <v>0</v>
      </c>
      <c r="BD99" t="str">
        <f>TEXT(Totaal!$Q$2,"0")</f>
        <v>0</v>
      </c>
      <c r="BE99" t="e">
        <f>TEXT(TEXT(MEDIAN(Totaal!$Q$3:$Q$102),"0,0"),"Standaard")</f>
        <v>#NUM!</v>
      </c>
      <c r="BF99" t="str">
        <f>Totaal!R$1</f>
        <v>N</v>
      </c>
      <c r="BG99" t="str">
        <f>TEXT(TEXT(Totaal!$R99,"0,0"),"Standaard")</f>
        <v>0</v>
      </c>
      <c r="BH99" t="str">
        <f>TEXT(Totaal!$R$2,"0")</f>
        <v>0</v>
      </c>
      <c r="BI99" t="e">
        <f>TEXT(TEXT(MEDIAN(Totaal!$R$3:$R$102),"0,0"),"Standaard")</f>
        <v>#NUM!</v>
      </c>
      <c r="BJ99" t="str">
        <f>Totaal!S$1</f>
        <v>O</v>
      </c>
      <c r="BK99" t="str">
        <f>TEXT(TEXT(Totaal!$S99,"0,0"),"Standaard")</f>
        <v>0</v>
      </c>
      <c r="BL99" t="str">
        <f>TEXT(Totaal!$S$2,"0")</f>
        <v>0</v>
      </c>
      <c r="BM99" t="e">
        <f>TEXT(TEXT(MEDIAN(Totaal!$S$3:$S$102),"0,0"),"Standaard")</f>
        <v>#NUM!</v>
      </c>
      <c r="BN99" t="str">
        <f>Totaal!T$1</f>
        <v>P</v>
      </c>
      <c r="BO99" t="str">
        <f>TEXT(TEXT(Totaal!$T99,"0,0"),"Standaard")</f>
        <v>0</v>
      </c>
      <c r="BP99" t="str">
        <f>TEXT(Totaal!$T$2,"0")</f>
        <v>0</v>
      </c>
      <c r="BQ99" t="e">
        <f>TEXT(TEXT(MEDIAN(Totaal!$T$3:$T$102),"0,0"),"Standaard")</f>
        <v>#NUM!</v>
      </c>
      <c r="BR99" t="str">
        <f>IF(Totaal!U99="","",Totaal!U99)</f>
        <v/>
      </c>
    </row>
    <row r="100" spans="1:70">
      <c r="A100">
        <f>Totaal!A100</f>
        <v>98</v>
      </c>
      <c r="B100" s="22" t="str">
        <f>IF(Totaal!B100="","",Totaal!B100)</f>
        <v/>
      </c>
      <c r="C100" s="8" t="e">
        <f>TEXT(TEXT(Totaal!C100,"0,0"),"Standaard")</f>
        <v>#DIV/0!</v>
      </c>
      <c r="D100" s="8" t="str">
        <f>TEXT(Totaal!C$2,"0")</f>
        <v>100</v>
      </c>
      <c r="E100" s="22" t="e">
        <f>TEXT(TEXT(SUM(Totaal!C$3:C$102)/COUNTIF(Totaal!C$3:C$102,"&lt;&gt;0"),"0,0"),"Standaard")</f>
        <v>#DIV/0!</v>
      </c>
      <c r="F100" t="str">
        <f>Totaal!E$1</f>
        <v>A</v>
      </c>
      <c r="G100" t="str">
        <f>TEXT(TEXT(Totaal!E100,"0,0"),"Standaard")</f>
        <v>0</v>
      </c>
      <c r="H100" t="str">
        <f>TEXT(Totaal!E$2,"0")</f>
        <v>0</v>
      </c>
      <c r="I100" t="e">
        <f>TEXT(TEXT(MEDIAN(Totaal!E$3:E$102),"0,0"),"Standaard")</f>
        <v>#NUM!</v>
      </c>
      <c r="J100" t="str">
        <f>Totaal!F$1</f>
        <v>B</v>
      </c>
      <c r="K100" t="str">
        <f>TEXT(TEXT(Totaal!$F100,"0,0"),"Standaard")</f>
        <v>0</v>
      </c>
      <c r="L100" t="str">
        <f>TEXT(Totaal!F$2,"0")</f>
        <v>0</v>
      </c>
      <c r="M100" t="e">
        <f>TEXT(TEXT(MEDIAN(Totaal!$F$3:$F$102),"0,0"),"Standaard")</f>
        <v>#NUM!</v>
      </c>
      <c r="N100" t="str">
        <f>Totaal!G$1</f>
        <v>C</v>
      </c>
      <c r="O100" t="str">
        <f>TEXT(TEXT(Totaal!$G100,"0,0"),"Standaard")</f>
        <v>0</v>
      </c>
      <c r="P100" t="str">
        <f>TEXT(Totaal!$G$2,"0")</f>
        <v>0</v>
      </c>
      <c r="Q100" t="e">
        <f>TEXT(TEXT(MEDIAN(Totaal!$G$3:$G$102),"0,0"),"Standaard")</f>
        <v>#NUM!</v>
      </c>
      <c r="R100" t="str">
        <f>Totaal!H$1</f>
        <v>D</v>
      </c>
      <c r="S100" t="str">
        <f>TEXT(TEXT(Totaal!$H100,"0,0"),"Standaard")</f>
        <v>0</v>
      </c>
      <c r="T100" t="str">
        <f>TEXT(Totaal!$H$2,"0")</f>
        <v>0</v>
      </c>
      <c r="U100" t="e">
        <f>TEXT(TEXT(MEDIAN(Totaal!$H$3:$H$102),"0,0"),"Standaard")</f>
        <v>#NUM!</v>
      </c>
      <c r="V100" t="str">
        <f>Totaal!I$1</f>
        <v>E</v>
      </c>
      <c r="W100" t="str">
        <f>TEXT(TEXT(Totaal!$I100,"0,0"),"Standaard")</f>
        <v>0</v>
      </c>
      <c r="X100" t="str">
        <f>TEXT(Totaal!$I$2,"0")</f>
        <v>0</v>
      </c>
      <c r="Y100" t="e">
        <f>TEXT(TEXT(MEDIAN(Totaal!$I$3:$I$102),"0,0"),"Standaard")</f>
        <v>#NUM!</v>
      </c>
      <c r="Z100" t="str">
        <f>Totaal!J$1</f>
        <v>F</v>
      </c>
      <c r="AA100" t="str">
        <f>TEXT(TEXT(Totaal!$J100,"0,0"),"Standaard")</f>
        <v>0</v>
      </c>
      <c r="AB100" t="str">
        <f>TEXT(Totaal!$J$2,"0")</f>
        <v>0</v>
      </c>
      <c r="AC100" t="e">
        <f>TEXT(TEXT(MEDIAN(Totaal!$J$3:$J$102),"0,0"),"Standaard")</f>
        <v>#NUM!</v>
      </c>
      <c r="AD100" t="str">
        <f>Totaal!K$1</f>
        <v>G</v>
      </c>
      <c r="AE100" t="str">
        <f>TEXT(TEXT(Totaal!$K100,"0,0"),"Standaard")</f>
        <v>0</v>
      </c>
      <c r="AF100" t="str">
        <f>TEXT(Totaal!$K$2,"0")</f>
        <v>0</v>
      </c>
      <c r="AG100" t="e">
        <f>TEXT(TEXT(MEDIAN(Totaal!$K$3:$K$102),"0,0"),"Standaard")</f>
        <v>#NUM!</v>
      </c>
      <c r="AH100" t="str">
        <f>Totaal!L$1</f>
        <v>H</v>
      </c>
      <c r="AI100" t="str">
        <f>TEXT(TEXT(Totaal!$L100,"0,0"),"Standaard")</f>
        <v>0</v>
      </c>
      <c r="AJ100" t="str">
        <f>TEXT(Totaal!$L$2,"0")</f>
        <v>0</v>
      </c>
      <c r="AK100" t="e">
        <f>TEXT(TEXT(MEDIAN(Totaal!$L$3:$L$102),"0,0"),"Standaard")</f>
        <v>#NUM!</v>
      </c>
      <c r="AL100" t="str">
        <f>Totaal!M$1</f>
        <v>I</v>
      </c>
      <c r="AM100" t="str">
        <f>TEXT(TEXT(Totaal!$M100,"0,0"),"Standaard")</f>
        <v>0</v>
      </c>
      <c r="AN100" t="str">
        <f>TEXT(Totaal!$M$2,"0")</f>
        <v>0</v>
      </c>
      <c r="AO100" t="e">
        <f>TEXT(TEXT(MEDIAN(Totaal!$M$3:$M$102),"0,0"),"Standaard")</f>
        <v>#NUM!</v>
      </c>
      <c r="AP100" t="str">
        <f>Totaal!N$1</f>
        <v>J</v>
      </c>
      <c r="AQ100" t="str">
        <f>TEXT(TEXT(Totaal!$N100,"0,0"),"Standaard")</f>
        <v>0</v>
      </c>
      <c r="AR100" t="str">
        <f>TEXT(Totaal!$N$2,"0")</f>
        <v>0</v>
      </c>
      <c r="AS100" t="e">
        <f>TEXT(TEXT(MEDIAN(Totaal!$N$3:$N$102),"0,0"),"Standaard")</f>
        <v>#NUM!</v>
      </c>
      <c r="AT100" t="str">
        <f>Totaal!O$1</f>
        <v>K</v>
      </c>
      <c r="AU100" t="str">
        <f>TEXT(TEXT(Totaal!$O100,"0,0"),"Standaard")</f>
        <v>0</v>
      </c>
      <c r="AV100" t="str">
        <f>TEXT(Totaal!$O$2,"0")</f>
        <v>0</v>
      </c>
      <c r="AW100" t="e">
        <f>TEXT(TEXT(MEDIAN(Totaal!$O$3:$O$102),"0,0"),"Standaard")</f>
        <v>#NUM!</v>
      </c>
      <c r="AX100" t="str">
        <f>Totaal!P$1</f>
        <v>L</v>
      </c>
      <c r="AY100" t="str">
        <f>TEXT(TEXT(Totaal!$P100,"0,0"),"Standaard")</f>
        <v>0</v>
      </c>
      <c r="AZ100" t="str">
        <f>TEXT(Totaal!$P$2,"0")</f>
        <v>0</v>
      </c>
      <c r="BA100" t="e">
        <f>TEXT(TEXT(MEDIAN(Totaal!$P$3:$P$102),"0,0"),"Standaard")</f>
        <v>#NUM!</v>
      </c>
      <c r="BB100" t="str">
        <f>Totaal!Q$1</f>
        <v>M</v>
      </c>
      <c r="BC100" t="str">
        <f>TEXT(TEXT(Totaal!$Q100,"0,0"),"Standaard")</f>
        <v>0</v>
      </c>
      <c r="BD100" t="str">
        <f>TEXT(Totaal!$Q$2,"0")</f>
        <v>0</v>
      </c>
      <c r="BE100" t="e">
        <f>TEXT(TEXT(MEDIAN(Totaal!$Q$3:$Q$102),"0,0"),"Standaard")</f>
        <v>#NUM!</v>
      </c>
      <c r="BF100" t="str">
        <f>Totaal!R$1</f>
        <v>N</v>
      </c>
      <c r="BG100" t="str">
        <f>TEXT(TEXT(Totaal!$R100,"0,0"),"Standaard")</f>
        <v>0</v>
      </c>
      <c r="BH100" t="str">
        <f>TEXT(Totaal!$R$2,"0")</f>
        <v>0</v>
      </c>
      <c r="BI100" t="e">
        <f>TEXT(TEXT(MEDIAN(Totaal!$R$3:$R$102),"0,0"),"Standaard")</f>
        <v>#NUM!</v>
      </c>
      <c r="BJ100" t="str">
        <f>Totaal!S$1</f>
        <v>O</v>
      </c>
      <c r="BK100" t="str">
        <f>TEXT(TEXT(Totaal!$S100,"0,0"),"Standaard")</f>
        <v>0</v>
      </c>
      <c r="BL100" t="str">
        <f>TEXT(Totaal!$S$2,"0")</f>
        <v>0</v>
      </c>
      <c r="BM100" t="e">
        <f>TEXT(TEXT(MEDIAN(Totaal!$S$3:$S$102),"0,0"),"Standaard")</f>
        <v>#NUM!</v>
      </c>
      <c r="BN100" t="str">
        <f>Totaal!T$1</f>
        <v>P</v>
      </c>
      <c r="BO100" t="str">
        <f>TEXT(TEXT(Totaal!$T100,"0,0"),"Standaard")</f>
        <v>0</v>
      </c>
      <c r="BP100" t="str">
        <f>TEXT(Totaal!$T$2,"0")</f>
        <v>0</v>
      </c>
      <c r="BQ100" t="e">
        <f>TEXT(TEXT(MEDIAN(Totaal!$T$3:$T$102),"0,0"),"Standaard")</f>
        <v>#NUM!</v>
      </c>
      <c r="BR100" t="str">
        <f>IF(Totaal!U100="","",Totaal!U100)</f>
        <v/>
      </c>
    </row>
    <row r="101" spans="1:70">
      <c r="A101">
        <f>Totaal!A101</f>
        <v>99</v>
      </c>
      <c r="B101" s="22" t="str">
        <f>IF(Totaal!B101="","",Totaal!B101)</f>
        <v/>
      </c>
      <c r="C101" s="8" t="e">
        <f>TEXT(TEXT(Totaal!C101,"0,0"),"Standaard")</f>
        <v>#DIV/0!</v>
      </c>
      <c r="D101" s="8" t="str">
        <f>TEXT(Totaal!C$2,"0")</f>
        <v>100</v>
      </c>
      <c r="E101" s="22" t="e">
        <f>TEXT(TEXT(SUM(Totaal!C$3:C$102)/COUNTIF(Totaal!C$3:C$102,"&lt;&gt;0"),"0,0"),"Standaard")</f>
        <v>#DIV/0!</v>
      </c>
      <c r="F101" t="str">
        <f>Totaal!E$1</f>
        <v>A</v>
      </c>
      <c r="G101" t="str">
        <f>TEXT(TEXT(Totaal!E101,"0,0"),"Standaard")</f>
        <v>0</v>
      </c>
      <c r="H101" t="str">
        <f>TEXT(Totaal!E$2,"0")</f>
        <v>0</v>
      </c>
      <c r="I101" t="e">
        <f>TEXT(TEXT(MEDIAN(Totaal!E$3:E$102),"0,0"),"Standaard")</f>
        <v>#NUM!</v>
      </c>
      <c r="J101" t="str">
        <f>Totaal!F$1</f>
        <v>B</v>
      </c>
      <c r="K101" t="str">
        <f>TEXT(TEXT(Totaal!$F101,"0,0"),"Standaard")</f>
        <v>0</v>
      </c>
      <c r="L101" t="str">
        <f>TEXT(Totaal!F$2,"0")</f>
        <v>0</v>
      </c>
      <c r="M101" t="e">
        <f>TEXT(TEXT(MEDIAN(Totaal!$F$3:$F$102),"0,0"),"Standaard")</f>
        <v>#NUM!</v>
      </c>
      <c r="N101" t="str">
        <f>Totaal!G$1</f>
        <v>C</v>
      </c>
      <c r="O101" t="str">
        <f>TEXT(TEXT(Totaal!$G101,"0,0"),"Standaard")</f>
        <v>0</v>
      </c>
      <c r="P101" t="str">
        <f>TEXT(Totaal!$G$2,"0")</f>
        <v>0</v>
      </c>
      <c r="Q101" t="e">
        <f>TEXT(TEXT(MEDIAN(Totaal!$G$3:$G$102),"0,0"),"Standaard")</f>
        <v>#NUM!</v>
      </c>
      <c r="R101" t="str">
        <f>Totaal!H$1</f>
        <v>D</v>
      </c>
      <c r="S101" t="str">
        <f>TEXT(TEXT(Totaal!$H101,"0,0"),"Standaard")</f>
        <v>0</v>
      </c>
      <c r="T101" t="str">
        <f>TEXT(Totaal!$H$2,"0")</f>
        <v>0</v>
      </c>
      <c r="U101" t="e">
        <f>TEXT(TEXT(MEDIAN(Totaal!$H$3:$H$102),"0,0"),"Standaard")</f>
        <v>#NUM!</v>
      </c>
      <c r="V101" t="str">
        <f>Totaal!I$1</f>
        <v>E</v>
      </c>
      <c r="W101" t="str">
        <f>TEXT(TEXT(Totaal!$I101,"0,0"),"Standaard")</f>
        <v>0</v>
      </c>
      <c r="X101" t="str">
        <f>TEXT(Totaal!$I$2,"0")</f>
        <v>0</v>
      </c>
      <c r="Y101" t="e">
        <f>TEXT(TEXT(MEDIAN(Totaal!$I$3:$I$102),"0,0"),"Standaard")</f>
        <v>#NUM!</v>
      </c>
      <c r="Z101" t="str">
        <f>Totaal!J$1</f>
        <v>F</v>
      </c>
      <c r="AA101" t="str">
        <f>TEXT(TEXT(Totaal!$J101,"0,0"),"Standaard")</f>
        <v>0</v>
      </c>
      <c r="AB101" t="str">
        <f>TEXT(Totaal!$J$2,"0")</f>
        <v>0</v>
      </c>
      <c r="AC101" t="e">
        <f>TEXT(TEXT(MEDIAN(Totaal!$J$3:$J$102),"0,0"),"Standaard")</f>
        <v>#NUM!</v>
      </c>
      <c r="AD101" t="str">
        <f>Totaal!K$1</f>
        <v>G</v>
      </c>
      <c r="AE101" t="str">
        <f>TEXT(TEXT(Totaal!$K101,"0,0"),"Standaard")</f>
        <v>0</v>
      </c>
      <c r="AF101" t="str">
        <f>TEXT(Totaal!$K$2,"0")</f>
        <v>0</v>
      </c>
      <c r="AG101" t="e">
        <f>TEXT(TEXT(MEDIAN(Totaal!$K$3:$K$102),"0,0"),"Standaard")</f>
        <v>#NUM!</v>
      </c>
      <c r="AH101" t="str">
        <f>Totaal!L$1</f>
        <v>H</v>
      </c>
      <c r="AI101" t="str">
        <f>TEXT(TEXT(Totaal!$L101,"0,0"),"Standaard")</f>
        <v>0</v>
      </c>
      <c r="AJ101" t="str">
        <f>TEXT(Totaal!$L$2,"0")</f>
        <v>0</v>
      </c>
      <c r="AK101" t="e">
        <f>TEXT(TEXT(MEDIAN(Totaal!$L$3:$L$102),"0,0"),"Standaard")</f>
        <v>#NUM!</v>
      </c>
      <c r="AL101" t="str">
        <f>Totaal!M$1</f>
        <v>I</v>
      </c>
      <c r="AM101" t="str">
        <f>TEXT(TEXT(Totaal!$M101,"0,0"),"Standaard")</f>
        <v>0</v>
      </c>
      <c r="AN101" t="str">
        <f>TEXT(Totaal!$M$2,"0")</f>
        <v>0</v>
      </c>
      <c r="AO101" t="e">
        <f>TEXT(TEXT(MEDIAN(Totaal!$M$3:$M$102),"0,0"),"Standaard")</f>
        <v>#NUM!</v>
      </c>
      <c r="AP101" t="str">
        <f>Totaal!N$1</f>
        <v>J</v>
      </c>
      <c r="AQ101" t="str">
        <f>TEXT(TEXT(Totaal!$N101,"0,0"),"Standaard")</f>
        <v>0</v>
      </c>
      <c r="AR101" t="str">
        <f>TEXT(Totaal!$N$2,"0")</f>
        <v>0</v>
      </c>
      <c r="AS101" t="e">
        <f>TEXT(TEXT(MEDIAN(Totaal!$N$3:$N$102),"0,0"),"Standaard")</f>
        <v>#NUM!</v>
      </c>
      <c r="AT101" t="str">
        <f>Totaal!O$1</f>
        <v>K</v>
      </c>
      <c r="AU101" t="str">
        <f>TEXT(TEXT(Totaal!$O101,"0,0"),"Standaard")</f>
        <v>0</v>
      </c>
      <c r="AV101" t="str">
        <f>TEXT(Totaal!$O$2,"0")</f>
        <v>0</v>
      </c>
      <c r="AW101" t="e">
        <f>TEXT(TEXT(MEDIAN(Totaal!$O$3:$O$102),"0,0"),"Standaard")</f>
        <v>#NUM!</v>
      </c>
      <c r="AX101" t="str">
        <f>Totaal!P$1</f>
        <v>L</v>
      </c>
      <c r="AY101" t="str">
        <f>TEXT(TEXT(Totaal!$P101,"0,0"),"Standaard")</f>
        <v>0</v>
      </c>
      <c r="AZ101" t="str">
        <f>TEXT(Totaal!$P$2,"0")</f>
        <v>0</v>
      </c>
      <c r="BA101" t="e">
        <f>TEXT(TEXT(MEDIAN(Totaal!$P$3:$P$102),"0,0"),"Standaard")</f>
        <v>#NUM!</v>
      </c>
      <c r="BB101" t="str">
        <f>Totaal!Q$1</f>
        <v>M</v>
      </c>
      <c r="BC101" t="str">
        <f>TEXT(TEXT(Totaal!$Q101,"0,0"),"Standaard")</f>
        <v>0</v>
      </c>
      <c r="BD101" t="str">
        <f>TEXT(Totaal!$Q$2,"0")</f>
        <v>0</v>
      </c>
      <c r="BE101" t="e">
        <f>TEXT(TEXT(MEDIAN(Totaal!$Q$3:$Q$102),"0,0"),"Standaard")</f>
        <v>#NUM!</v>
      </c>
      <c r="BF101" t="str">
        <f>Totaal!R$1</f>
        <v>N</v>
      </c>
      <c r="BG101" t="str">
        <f>TEXT(TEXT(Totaal!$R101,"0,0"),"Standaard")</f>
        <v>0</v>
      </c>
      <c r="BH101" t="str">
        <f>TEXT(Totaal!$R$2,"0")</f>
        <v>0</v>
      </c>
      <c r="BI101" t="e">
        <f>TEXT(TEXT(MEDIAN(Totaal!$R$3:$R$102),"0,0"),"Standaard")</f>
        <v>#NUM!</v>
      </c>
      <c r="BJ101" t="str">
        <f>Totaal!S$1</f>
        <v>O</v>
      </c>
      <c r="BK101" t="str">
        <f>TEXT(TEXT(Totaal!$S101,"0,0"),"Standaard")</f>
        <v>0</v>
      </c>
      <c r="BL101" t="str">
        <f>TEXT(Totaal!$S$2,"0")</f>
        <v>0</v>
      </c>
      <c r="BM101" t="e">
        <f>TEXT(TEXT(MEDIAN(Totaal!$S$3:$S$102),"0,0"),"Standaard")</f>
        <v>#NUM!</v>
      </c>
      <c r="BN101" t="str">
        <f>Totaal!T$1</f>
        <v>P</v>
      </c>
      <c r="BO101" t="str">
        <f>TEXT(TEXT(Totaal!$T101,"0,0"),"Standaard")</f>
        <v>0</v>
      </c>
      <c r="BP101" t="str">
        <f>TEXT(Totaal!$T$2,"0")</f>
        <v>0</v>
      </c>
      <c r="BQ101" t="e">
        <f>TEXT(TEXT(MEDIAN(Totaal!$T$3:$T$102),"0,0"),"Standaard")</f>
        <v>#NUM!</v>
      </c>
      <c r="BR101" t="str">
        <f>IF(Totaal!U101="","",Totaal!U101)</f>
        <v/>
      </c>
    </row>
    <row r="102" spans="1:70">
      <c r="A102">
        <f>Totaal!A102</f>
        <v>100</v>
      </c>
      <c r="B102" s="22" t="str">
        <f>IF(Totaal!B102="","",Totaal!B102)</f>
        <v/>
      </c>
      <c r="C102" s="8" t="e">
        <f>TEXT(TEXT(Totaal!C102,"0,0"),"Standaard")</f>
        <v>#DIV/0!</v>
      </c>
      <c r="D102" s="8" t="str">
        <f>TEXT(Totaal!C$2,"0")</f>
        <v>100</v>
      </c>
      <c r="E102" s="22" t="e">
        <f>TEXT(TEXT(SUM(Totaal!C$3:C$102)/COUNTIF(Totaal!C$3:C$102,"&lt;&gt;0"),"0,0"),"Standaard")</f>
        <v>#DIV/0!</v>
      </c>
      <c r="F102" t="str">
        <f>Totaal!E$1</f>
        <v>A</v>
      </c>
      <c r="G102" t="str">
        <f>TEXT(TEXT(Totaal!E102,"0,0"),"Standaard")</f>
        <v>0</v>
      </c>
      <c r="H102" t="str">
        <f>TEXT(Totaal!E$2,"0")</f>
        <v>0</v>
      </c>
      <c r="I102" t="e">
        <f>TEXT(TEXT(MEDIAN(Totaal!E$3:E$102),"0,0"),"Standaard")</f>
        <v>#NUM!</v>
      </c>
      <c r="J102" t="str">
        <f>Totaal!F$1</f>
        <v>B</v>
      </c>
      <c r="K102" t="str">
        <f>TEXT(TEXT(Totaal!$F102,"0,0"),"Standaard")</f>
        <v>0</v>
      </c>
      <c r="L102" t="str">
        <f>TEXT(Totaal!F$2,"0")</f>
        <v>0</v>
      </c>
      <c r="M102" t="e">
        <f>TEXT(TEXT(MEDIAN(Totaal!$F$3:$F$102),"0,0"),"Standaard")</f>
        <v>#NUM!</v>
      </c>
      <c r="N102" t="str">
        <f>Totaal!G$1</f>
        <v>C</v>
      </c>
      <c r="O102" t="str">
        <f>TEXT(TEXT(Totaal!$G102,"0,0"),"Standaard")</f>
        <v>0</v>
      </c>
      <c r="P102" t="str">
        <f>TEXT(Totaal!$G$2,"0")</f>
        <v>0</v>
      </c>
      <c r="Q102" t="e">
        <f>TEXT(TEXT(MEDIAN(Totaal!$G$3:$G$102),"0,0"),"Standaard")</f>
        <v>#NUM!</v>
      </c>
      <c r="R102" t="str">
        <f>Totaal!H$1</f>
        <v>D</v>
      </c>
      <c r="S102" t="str">
        <f>TEXT(TEXT(Totaal!$H102,"0,0"),"Standaard")</f>
        <v>0</v>
      </c>
      <c r="T102" t="str">
        <f>TEXT(Totaal!$H$2,"0")</f>
        <v>0</v>
      </c>
      <c r="U102" t="e">
        <f>TEXT(TEXT(MEDIAN(Totaal!$H$3:$H$102),"0,0"),"Standaard")</f>
        <v>#NUM!</v>
      </c>
      <c r="V102" t="str">
        <f>Totaal!I$1</f>
        <v>E</v>
      </c>
      <c r="W102" t="str">
        <f>TEXT(TEXT(Totaal!$I102,"0,0"),"Standaard")</f>
        <v>0</v>
      </c>
      <c r="X102" t="str">
        <f>TEXT(Totaal!$I$2,"0")</f>
        <v>0</v>
      </c>
      <c r="Y102" t="e">
        <f>TEXT(TEXT(MEDIAN(Totaal!$I$3:$I$102),"0,0"),"Standaard")</f>
        <v>#NUM!</v>
      </c>
      <c r="Z102" t="str">
        <f>Totaal!J$1</f>
        <v>F</v>
      </c>
      <c r="AA102" t="str">
        <f>TEXT(TEXT(Totaal!$J102,"0,0"),"Standaard")</f>
        <v>0</v>
      </c>
      <c r="AB102" t="str">
        <f>TEXT(Totaal!$J$2,"0")</f>
        <v>0</v>
      </c>
      <c r="AC102" t="e">
        <f>TEXT(TEXT(MEDIAN(Totaal!$J$3:$J$102),"0,0"),"Standaard")</f>
        <v>#NUM!</v>
      </c>
      <c r="AD102" t="str">
        <f>Totaal!K$1</f>
        <v>G</v>
      </c>
      <c r="AE102" t="str">
        <f>TEXT(TEXT(Totaal!$K102,"0,0"),"Standaard")</f>
        <v>0</v>
      </c>
      <c r="AF102" t="str">
        <f>TEXT(Totaal!$K$2,"0")</f>
        <v>0</v>
      </c>
      <c r="AG102" t="e">
        <f>TEXT(TEXT(MEDIAN(Totaal!$K$3:$K$102),"0,0"),"Standaard")</f>
        <v>#NUM!</v>
      </c>
      <c r="AH102" t="str">
        <f>Totaal!L$1</f>
        <v>H</v>
      </c>
      <c r="AI102" t="str">
        <f>TEXT(TEXT(Totaal!$L102,"0,0"),"Standaard")</f>
        <v>0</v>
      </c>
      <c r="AJ102" t="str">
        <f>TEXT(Totaal!$L$2,"0")</f>
        <v>0</v>
      </c>
      <c r="AK102" t="e">
        <f>TEXT(TEXT(MEDIAN(Totaal!$L$3:$L$102),"0,0"),"Standaard")</f>
        <v>#NUM!</v>
      </c>
      <c r="AL102" t="str">
        <f>Totaal!M$1</f>
        <v>I</v>
      </c>
      <c r="AM102" t="str">
        <f>TEXT(TEXT(Totaal!$M102,"0,0"),"Standaard")</f>
        <v>0</v>
      </c>
      <c r="AN102" t="str">
        <f>TEXT(Totaal!$M$2,"0")</f>
        <v>0</v>
      </c>
      <c r="AO102" t="e">
        <f>TEXT(TEXT(MEDIAN(Totaal!$M$3:$M$102),"0,0"),"Standaard")</f>
        <v>#NUM!</v>
      </c>
      <c r="AP102" t="str">
        <f>Totaal!N$1</f>
        <v>J</v>
      </c>
      <c r="AQ102" t="str">
        <f>TEXT(TEXT(Totaal!$N102,"0,0"),"Standaard")</f>
        <v>0</v>
      </c>
      <c r="AR102" t="str">
        <f>TEXT(Totaal!$N$2,"0")</f>
        <v>0</v>
      </c>
      <c r="AS102" t="e">
        <f>TEXT(TEXT(MEDIAN(Totaal!$N$3:$N$102),"0,0"),"Standaard")</f>
        <v>#NUM!</v>
      </c>
      <c r="AT102" t="str">
        <f>Totaal!O$1</f>
        <v>K</v>
      </c>
      <c r="AU102" t="str">
        <f>TEXT(TEXT(Totaal!$O102,"0,0"),"Standaard")</f>
        <v>0</v>
      </c>
      <c r="AV102" t="str">
        <f>TEXT(Totaal!$O$2,"0")</f>
        <v>0</v>
      </c>
      <c r="AW102" t="e">
        <f>TEXT(TEXT(MEDIAN(Totaal!$O$3:$O$102),"0,0"),"Standaard")</f>
        <v>#NUM!</v>
      </c>
      <c r="AX102" t="str">
        <f>Totaal!P$1</f>
        <v>L</v>
      </c>
      <c r="AY102" t="str">
        <f>TEXT(TEXT(Totaal!$P102,"0,0"),"Standaard")</f>
        <v>0</v>
      </c>
      <c r="AZ102" t="str">
        <f>TEXT(Totaal!$P$2,"0")</f>
        <v>0</v>
      </c>
      <c r="BA102" t="e">
        <f>TEXT(TEXT(MEDIAN(Totaal!$P$3:$P$102),"0,0"),"Standaard")</f>
        <v>#NUM!</v>
      </c>
      <c r="BB102" t="str">
        <f>Totaal!Q$1</f>
        <v>M</v>
      </c>
      <c r="BC102" t="str">
        <f>TEXT(TEXT(Totaal!$Q102,"0,0"),"Standaard")</f>
        <v>0</v>
      </c>
      <c r="BD102" t="str">
        <f>TEXT(Totaal!$Q$2,"0")</f>
        <v>0</v>
      </c>
      <c r="BE102" t="e">
        <f>TEXT(TEXT(MEDIAN(Totaal!$Q$3:$Q$102),"0,0"),"Standaard")</f>
        <v>#NUM!</v>
      </c>
      <c r="BF102" t="str">
        <f>Totaal!R$1</f>
        <v>N</v>
      </c>
      <c r="BG102" t="str">
        <f>TEXT(TEXT(Totaal!$R102,"0,0"),"Standaard")</f>
        <v>0</v>
      </c>
      <c r="BH102" t="str">
        <f>TEXT(Totaal!$R$2,"0")</f>
        <v>0</v>
      </c>
      <c r="BI102" t="e">
        <f>TEXT(TEXT(MEDIAN(Totaal!$R$3:$R$102),"0,0"),"Standaard")</f>
        <v>#NUM!</v>
      </c>
      <c r="BJ102" t="str">
        <f>Totaal!S$1</f>
        <v>O</v>
      </c>
      <c r="BK102" t="str">
        <f>TEXT(TEXT(Totaal!$S102,"0,0"),"Standaard")</f>
        <v>0</v>
      </c>
      <c r="BL102" t="str">
        <f>TEXT(Totaal!$S$2,"0")</f>
        <v>0</v>
      </c>
      <c r="BM102" t="e">
        <f>TEXT(TEXT(MEDIAN(Totaal!$S$3:$S$102),"0,0"),"Standaard")</f>
        <v>#NUM!</v>
      </c>
      <c r="BN102" t="str">
        <f>Totaal!T$1</f>
        <v>P</v>
      </c>
      <c r="BO102" t="str">
        <f>TEXT(TEXT(Totaal!$T102,"0,0"),"Standaard")</f>
        <v>0</v>
      </c>
      <c r="BP102" t="str">
        <f>TEXT(Totaal!$T$2,"0")</f>
        <v>0</v>
      </c>
      <c r="BQ102" t="e">
        <f>TEXT(TEXT(MEDIAN(Totaal!$T$3:$T$102),"0,0"),"Standaard")</f>
        <v>#NUM!</v>
      </c>
      <c r="BR102" t="str">
        <f>IF(Totaal!U102="","",Totaal!U102)</f>
        <v/>
      </c>
    </row>
  </sheetData>
  <sheetProtection sheet="1" objects="1" scenarios="1"/>
  <dataValidations count="1">
    <dataValidation allowBlank="1" showInputMessage="1" showErrorMessage="1" promptTitle="Mediaan" prompt="De berekende mediaan van iedere onderdeel." sqref="BM3:BM102 I3:I102 M3:M102 Q3:Q102 U3:U102 Y3:Y102 AC3:AC102 AG3:AG102 AK3:AK102 AO3:AO102 AS3:AS102 AW3:AW102 BA3:BA102 BE3:BE102 BI3:BI102 BQ3:BQ102"/>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32</vt:i4>
      </vt:variant>
    </vt:vector>
  </HeadingPairs>
  <TitlesOfParts>
    <vt:vector size="36" baseType="lpstr">
      <vt:lpstr>Punten teller</vt:lpstr>
      <vt:lpstr>Totaal</vt:lpstr>
      <vt:lpstr>Config</vt:lpstr>
      <vt:lpstr>MailMerge</vt:lpstr>
      <vt:lpstr>addtototalslabel</vt:lpstr>
      <vt:lpstr>clearlabel</vt:lpstr>
      <vt:lpstr>commentaarcolumn</vt:lpstr>
      <vt:lpstr>commentaarlabel</vt:lpstr>
      <vt:lpstr>gewichtlabel</vt:lpstr>
      <vt:lpstr>halfpointdata</vt:lpstr>
      <vt:lpstr>maxllabel</vt:lpstr>
      <vt:lpstr>naamdeellabel</vt:lpstr>
      <vt:lpstr>nextlabel</vt:lpstr>
      <vt:lpstr>oneandhalfpointdata</vt:lpstr>
      <vt:lpstr>onepointdata</vt:lpstr>
      <vt:lpstr>puntentellerdataendrow</vt:lpstr>
      <vt:lpstr>puntentellerdatastartrow</vt:lpstr>
      <vt:lpstr>puntentellerresultrow</vt:lpstr>
      <vt:lpstr>puntentellersheetname</vt:lpstr>
      <vt:lpstr>puntentellerstartcolumn</vt:lpstr>
      <vt:lpstr>statusmessage</vt:lpstr>
      <vt:lpstr>statusmessagemaxparam</vt:lpstr>
      <vt:lpstr>statusmessagepartparam</vt:lpstr>
      <vt:lpstr>statusmessagepointsparam</vt:lpstr>
      <vt:lpstr>statusmessagestudentnameparam</vt:lpstr>
      <vt:lpstr>statusmessagestudentnrparam</vt:lpstr>
      <vt:lpstr>studentnaamlabel</vt:lpstr>
      <vt:lpstr>studentnrlabel</vt:lpstr>
      <vt:lpstr>subtotaallabel</vt:lpstr>
      <vt:lpstr>totaalop</vt:lpstr>
      <vt:lpstr>totaldataendrow</vt:lpstr>
      <vt:lpstr>totaldatastartcolumn</vt:lpstr>
      <vt:lpstr>totaldatastartrow</vt:lpstr>
      <vt:lpstr>totaldatastudentnamecolumn</vt:lpstr>
      <vt:lpstr>totaldatastudentnrcolumn</vt:lpstr>
      <vt:lpstr>totalsheetname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myT</cp:lastModifiedBy>
  <dcterms:created xsi:type="dcterms:W3CDTF">2010-03-28T10:22:23Z</dcterms:created>
  <dcterms:modified xsi:type="dcterms:W3CDTF">2010-12-17T17:47:26Z</dcterms:modified>
</cp:coreProperties>
</file>