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255" windowWidth="14895" windowHeight="8355" tabRatio="762" firstSheet="8" activeTab="14"/>
  </bookViews>
  <sheets>
    <sheet name="Categorieën" sheetId="21" r:id="rId1"/>
    <sheet name="CrelanData" sheetId="18" r:id="rId2"/>
    <sheet name="CrelanSamenv" sheetId="19" r:id="rId3"/>
    <sheet name="ArgentaGiroData" sheetId="6" r:id="rId4"/>
    <sheet name="ArgentaGiroSamenv" sheetId="7" r:id="rId5"/>
    <sheet name="GiroGrafiek" sheetId="8" r:id="rId6"/>
    <sheet name="ArgentaGemeenschRekData" sheetId="1" r:id="rId7"/>
    <sheet name="ArgentaGemeenschRekSamenv" sheetId="24" r:id="rId8"/>
    <sheet name="ArgentaMaxiData" sheetId="9" r:id="rId9"/>
    <sheet name="ArgentaMaxiSamenv" sheetId="10" r:id="rId10"/>
    <sheet name="KBCCompData" sheetId="14" r:id="rId11"/>
    <sheet name="KBCCompSamenv" sheetId="16" r:id="rId12"/>
    <sheet name="KBCSpaarrekData" sheetId="15" r:id="rId13"/>
    <sheet name="KBCSpaarrekSamenv" sheetId="17" r:id="rId14"/>
    <sheet name="Verbruik" sheetId="20" r:id="rId15"/>
  </sheets>
  <definedNames>
    <definedName name="_xlnm._FilterDatabase" localSheetId="6" hidden="1">ArgentaGemeenschRekData!$A$1:$L$1539</definedName>
    <definedName name="_xlnm._FilterDatabase" localSheetId="3" hidden="1">ArgentaGiroData!$A$1:$L$693</definedName>
    <definedName name="_xlnm._FilterDatabase" localSheetId="8" hidden="1">ArgentaMaxiData!$A$1:$L$96</definedName>
    <definedName name="_xlnm._FilterDatabase" localSheetId="0" hidden="1">Categorieën!$G$1:$P$15</definedName>
    <definedName name="_xlnm._FilterDatabase" localSheetId="1" hidden="1">CrelanData!$A$1:$I$794</definedName>
    <definedName name="_xlnm._FilterDatabase" localSheetId="10" hidden="1">KBCCompData!$A$1:$I$1452</definedName>
    <definedName name="_xlnm._FilterDatabase" localSheetId="12" hidden="1">KBCSpaarrekData!$A$1:$I$242</definedName>
    <definedName name="ManualTypes">Categorieën!$A$1:$A$22</definedName>
    <definedName name="YEARSEvaCompSamenv">KBCCompSamenv!$A$5,KBCCompSamenv!$A$7,KBCCompSamenv!$A$9,KBCCompSamenv!$A$11,KBCCompSamenv!$A$13,KBCCompSamenv!$A$15,KBCCompSamenv!$A$17,KBCCompSamenv!$A$19,KBCCompSamenv!$A$21,KBCCompSamenv!$A$23</definedName>
  </definedNames>
  <calcPr calcId="114210"/>
</workbook>
</file>

<file path=xl/calcChain.xml><?xml version="1.0" encoding="utf-8"?>
<calcChain xmlns="http://schemas.openxmlformats.org/spreadsheetml/2006/main">
  <c r="A16" i="21"/>
  <c r="A15"/>
  <c r="A14"/>
  <c r="A13"/>
  <c r="A12"/>
  <c r="A11"/>
  <c r="A10"/>
  <c r="A9"/>
  <c r="A8"/>
  <c r="A7"/>
  <c r="A6"/>
  <c r="A5"/>
  <c r="A4"/>
  <c r="A3"/>
  <c r="A2"/>
  <c r="K2" i="1"/>
  <c r="K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D16" i="24" a="1"/>
  <c r="D16"/>
  <c r="D17" a="1"/>
  <c r="D17"/>
  <c r="D18" a="1"/>
  <c r="D18"/>
  <c r="D19" a="1"/>
  <c r="D19"/>
  <c r="D20" a="1"/>
  <c r="D20"/>
  <c r="D21" a="1"/>
  <c r="D21"/>
  <c r="D22" a="1"/>
  <c r="D22"/>
  <c r="D23" a="1"/>
  <c r="D23"/>
  <c r="D24" a="1"/>
  <c r="D24"/>
  <c r="D25" a="1"/>
  <c r="D25"/>
  <c r="D26" a="1"/>
  <c r="D26"/>
  <c r="D27" a="1"/>
  <c r="D27"/>
  <c r="D28" a="1"/>
  <c r="D28"/>
  <c r="D29" a="1"/>
  <c r="D29"/>
  <c r="D30" a="1"/>
  <c r="D30"/>
  <c r="D31" a="1"/>
  <c r="D31"/>
  <c r="D32" a="1"/>
  <c r="D32"/>
  <c r="D33" a="1"/>
  <c r="D33"/>
  <c r="D34" a="1"/>
  <c r="D34"/>
  <c r="D35" a="1"/>
  <c r="D35"/>
  <c r="D36" a="1"/>
  <c r="D36"/>
  <c r="D37" a="1"/>
  <c r="D37"/>
  <c r="D38" a="1"/>
  <c r="D38"/>
  <c r="D39" a="1"/>
  <c r="D39"/>
  <c r="D40" a="1"/>
  <c r="D40"/>
  <c r="D41" a="1"/>
  <c r="D41"/>
  <c r="D42" a="1"/>
  <c r="D42"/>
  <c r="D43" a="1"/>
  <c r="D43"/>
  <c r="D44" a="1"/>
  <c r="D44"/>
  <c r="D45" a="1"/>
  <c r="D45"/>
  <c r="D46" a="1"/>
  <c r="D46"/>
  <c r="D47" a="1"/>
  <c r="D47"/>
  <c r="D48" a="1"/>
  <c r="D48"/>
  <c r="D49" a="1"/>
  <c r="D49"/>
  <c r="D50" a="1"/>
  <c r="D50"/>
  <c r="D51" a="1"/>
  <c r="D51"/>
  <c r="D52" a="1"/>
  <c r="D52"/>
  <c r="D53" a="1"/>
  <c r="D53"/>
  <c r="D54" a="1"/>
  <c r="D54"/>
  <c r="D15" a="1"/>
  <c r="D15"/>
  <c r="H2" i="18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D11" i="19" a="1"/>
  <c r="D11"/>
  <c r="D12" a="1"/>
  <c r="D12"/>
  <c r="D13" a="1"/>
  <c r="D13"/>
  <c r="D14" a="1"/>
  <c r="D14"/>
  <c r="D15" a="1"/>
  <c r="D15"/>
  <c r="D16" a="1"/>
  <c r="D16"/>
  <c r="D17" a="1"/>
  <c r="D17"/>
  <c r="D18" a="1"/>
  <c r="D18"/>
  <c r="D19" a="1"/>
  <c r="D19"/>
  <c r="D20" a="1"/>
  <c r="D20"/>
  <c r="D21" a="1"/>
  <c r="D21"/>
  <c r="D22" a="1"/>
  <c r="D22"/>
  <c r="D23" a="1"/>
  <c r="D23"/>
  <c r="D24" a="1"/>
  <c r="D24"/>
  <c r="D25" a="1"/>
  <c r="D25"/>
  <c r="D26" a="1"/>
  <c r="D26"/>
  <c r="D27" a="1"/>
  <c r="D27"/>
  <c r="D3" a="1"/>
  <c r="D3"/>
  <c r="L54" i="24" a="1"/>
  <c r="L54"/>
  <c r="L53" a="1"/>
  <c r="L53"/>
  <c r="L52" a="1"/>
  <c r="L52"/>
  <c r="L51" a="1"/>
  <c r="L51"/>
  <c r="L50" a="1"/>
  <c r="L50"/>
  <c r="L49" a="1"/>
  <c r="L49"/>
  <c r="L48" a="1"/>
  <c r="L48"/>
  <c r="L47" a="1"/>
  <c r="L47"/>
  <c r="L46" a="1"/>
  <c r="L46"/>
  <c r="L45" a="1"/>
  <c r="L45"/>
  <c r="L44" a="1"/>
  <c r="L44"/>
  <c r="L43" a="1"/>
  <c r="L43"/>
  <c r="L42" a="1"/>
  <c r="L42"/>
  <c r="L41" a="1"/>
  <c r="L41"/>
  <c r="L40" a="1"/>
  <c r="L40"/>
  <c r="L39" a="1"/>
  <c r="L39"/>
  <c r="L38" a="1"/>
  <c r="L38"/>
  <c r="L37" a="1"/>
  <c r="L37"/>
  <c r="L36" a="1"/>
  <c r="L36"/>
  <c r="L35" a="1"/>
  <c r="L35"/>
  <c r="L34" a="1"/>
  <c r="L34"/>
  <c r="L33" a="1"/>
  <c r="L33"/>
  <c r="L32" a="1"/>
  <c r="L32"/>
  <c r="L31" a="1"/>
  <c r="L31"/>
  <c r="L30" a="1"/>
  <c r="L30"/>
  <c r="L29" a="1"/>
  <c r="L29"/>
  <c r="L28" a="1"/>
  <c r="L28"/>
  <c r="L27" a="1"/>
  <c r="L27"/>
  <c r="L26" a="1"/>
  <c r="L26"/>
  <c r="L25" a="1"/>
  <c r="L25"/>
  <c r="L24" a="1"/>
  <c r="L24"/>
  <c r="L23" a="1"/>
  <c r="L23"/>
  <c r="L22" a="1"/>
  <c r="L22"/>
  <c r="L21" a="1"/>
  <c r="L21"/>
  <c r="L20" a="1"/>
  <c r="L20"/>
  <c r="L19" a="1"/>
  <c r="L19"/>
  <c r="L18" a="1"/>
  <c r="L18"/>
  <c r="L17" a="1"/>
  <c r="L17"/>
  <c r="L16" a="1"/>
  <c r="L16"/>
  <c r="L15" a="1"/>
  <c r="L15"/>
  <c r="L14"/>
  <c r="L13" a="1"/>
  <c r="L13"/>
  <c r="L12" a="1"/>
  <c r="L12"/>
  <c r="L11" a="1"/>
  <c r="L11"/>
  <c r="L10" a="1"/>
  <c r="L10"/>
  <c r="L9" a="1"/>
  <c r="L9"/>
  <c r="L8" a="1"/>
  <c r="L8"/>
  <c r="L7" a="1"/>
  <c r="L7"/>
  <c r="L6" a="1"/>
  <c r="L6"/>
  <c r="L5" a="1"/>
  <c r="L5"/>
  <c r="L4" a="1"/>
  <c r="L4"/>
  <c r="L3" a="1"/>
  <c r="L3"/>
  <c r="K16" a="1"/>
  <c r="K16"/>
  <c r="K17" a="1"/>
  <c r="K17"/>
  <c r="K18" a="1"/>
  <c r="K18"/>
  <c r="K19" a="1"/>
  <c r="K19"/>
  <c r="K20" a="1"/>
  <c r="K20"/>
  <c r="K21" a="1"/>
  <c r="K21"/>
  <c r="K22" a="1"/>
  <c r="K22"/>
  <c r="K23" a="1"/>
  <c r="K23"/>
  <c r="K24" a="1"/>
  <c r="K24"/>
  <c r="K25" a="1"/>
  <c r="K25"/>
  <c r="K26" a="1"/>
  <c r="K26"/>
  <c r="K27" a="1"/>
  <c r="K27"/>
  <c r="K28" a="1"/>
  <c r="K28"/>
  <c r="K29" a="1"/>
  <c r="K29"/>
  <c r="K30" a="1"/>
  <c r="K30"/>
  <c r="K31" a="1"/>
  <c r="K31"/>
  <c r="K32" a="1"/>
  <c r="K32"/>
  <c r="K33" a="1"/>
  <c r="K33"/>
  <c r="K34" a="1"/>
  <c r="K34"/>
  <c r="K35" a="1"/>
  <c r="K35"/>
  <c r="K36" a="1"/>
  <c r="K36"/>
  <c r="K37" a="1"/>
  <c r="K37"/>
  <c r="K38" a="1"/>
  <c r="K38"/>
  <c r="K39" a="1"/>
  <c r="K39"/>
  <c r="K40" a="1"/>
  <c r="K40"/>
  <c r="K41" a="1"/>
  <c r="K41"/>
  <c r="K42" a="1"/>
  <c r="K42"/>
  <c r="K43" a="1"/>
  <c r="K43"/>
  <c r="K44" a="1"/>
  <c r="K44"/>
  <c r="K45" a="1"/>
  <c r="K45"/>
  <c r="K46" a="1"/>
  <c r="K46"/>
  <c r="K47" a="1"/>
  <c r="K47"/>
  <c r="K48" a="1"/>
  <c r="K48"/>
  <c r="K49" a="1"/>
  <c r="K49"/>
  <c r="K50" a="1"/>
  <c r="K50"/>
  <c r="K51" a="1"/>
  <c r="K51"/>
  <c r="K52" a="1"/>
  <c r="K52"/>
  <c r="K53" a="1"/>
  <c r="K53"/>
  <c r="K54" a="1"/>
  <c r="K54"/>
  <c r="K15" a="1"/>
  <c r="K15"/>
  <c r="E12" i="19"/>
  <c r="E13"/>
  <c r="E14"/>
  <c r="E15"/>
  <c r="E16"/>
  <c r="E17"/>
  <c r="E18"/>
  <c r="E19"/>
  <c r="E20"/>
  <c r="E21"/>
  <c r="E22"/>
  <c r="E23"/>
  <c r="E24"/>
  <c r="E25"/>
  <c r="E26"/>
  <c r="E27"/>
  <c r="E11"/>
  <c r="L12" a="1"/>
  <c r="L12"/>
  <c r="L13" a="1"/>
  <c r="L13"/>
  <c r="L14" a="1"/>
  <c r="L14"/>
  <c r="L15" a="1"/>
  <c r="L15"/>
  <c r="L16" a="1"/>
  <c r="L16"/>
  <c r="L17" a="1"/>
  <c r="L17"/>
  <c r="L18" a="1"/>
  <c r="L18"/>
  <c r="L19" a="1"/>
  <c r="L19"/>
  <c r="L20" a="1"/>
  <c r="L20"/>
  <c r="L21" a="1"/>
  <c r="L21"/>
  <c r="L22" a="1"/>
  <c r="L22"/>
  <c r="L23" a="1"/>
  <c r="L23"/>
  <c r="L24" a="1"/>
  <c r="L24"/>
  <c r="L25" a="1"/>
  <c r="L25"/>
  <c r="L26" a="1"/>
  <c r="L26"/>
  <c r="L27" a="1"/>
  <c r="L27"/>
  <c r="L11" a="1"/>
  <c r="L11"/>
  <c r="K12" a="1"/>
  <c r="K12"/>
  <c r="K13" a="1"/>
  <c r="K13"/>
  <c r="K14" a="1"/>
  <c r="K14"/>
  <c r="K15" a="1"/>
  <c r="K15"/>
  <c r="K16" a="1"/>
  <c r="K16"/>
  <c r="K17" a="1"/>
  <c r="K17"/>
  <c r="K18" a="1"/>
  <c r="K18"/>
  <c r="K19" a="1"/>
  <c r="K19"/>
  <c r="K20" a="1"/>
  <c r="K20"/>
  <c r="K21" a="1"/>
  <c r="K21"/>
  <c r="K22" a="1"/>
  <c r="K22"/>
  <c r="K23" a="1"/>
  <c r="K23"/>
  <c r="K24" a="1"/>
  <c r="K24"/>
  <c r="K25" a="1"/>
  <c r="K25"/>
  <c r="K26" a="1"/>
  <c r="K26"/>
  <c r="K27" a="1"/>
  <c r="K27"/>
  <c r="K11" a="1"/>
  <c r="K11"/>
  <c r="L9" a="1"/>
  <c r="L9"/>
  <c r="L8" a="1"/>
  <c r="L8"/>
  <c r="L7" a="1"/>
  <c r="L7"/>
  <c r="L6" a="1"/>
  <c r="L6"/>
  <c r="L5" a="1"/>
  <c r="L5"/>
  <c r="L4" a="1"/>
  <c r="L4"/>
  <c r="L3" a="1"/>
  <c r="L3"/>
  <c r="F4" i="20"/>
  <c r="H4"/>
  <c r="J4"/>
  <c r="D4"/>
  <c r="C4"/>
  <c r="J5"/>
  <c r="H5"/>
  <c r="F5"/>
  <c r="D5"/>
  <c r="C5"/>
  <c r="J9"/>
  <c r="J10"/>
  <c r="J11"/>
  <c r="J12"/>
  <c r="J13"/>
  <c r="J14"/>
  <c r="J15"/>
  <c r="J16"/>
  <c r="J17"/>
  <c r="J18"/>
  <c r="J19"/>
  <c r="J20"/>
  <c r="J8"/>
  <c r="H9"/>
  <c r="H10"/>
  <c r="H11"/>
  <c r="H12"/>
  <c r="H13"/>
  <c r="H14"/>
  <c r="H15"/>
  <c r="H16"/>
  <c r="H17"/>
  <c r="H18"/>
  <c r="H19"/>
  <c r="H20"/>
  <c r="H8"/>
  <c r="F9"/>
  <c r="F10"/>
  <c r="F11"/>
  <c r="F12"/>
  <c r="F13"/>
  <c r="F14"/>
  <c r="F15"/>
  <c r="F16"/>
  <c r="F17"/>
  <c r="F18"/>
  <c r="F19"/>
  <c r="F20"/>
  <c r="F8"/>
  <c r="C9"/>
  <c r="C10"/>
  <c r="C11"/>
  <c r="C12"/>
  <c r="C13"/>
  <c r="C14"/>
  <c r="C15"/>
  <c r="C16"/>
  <c r="C17"/>
  <c r="C18"/>
  <c r="C19"/>
  <c r="C20"/>
  <c r="C8"/>
  <c r="D8"/>
  <c r="D9"/>
  <c r="D10"/>
  <c r="D11"/>
  <c r="D12"/>
  <c r="D13"/>
  <c r="D14"/>
  <c r="D15"/>
  <c r="D16"/>
  <c r="D17"/>
  <c r="D18"/>
  <c r="D19"/>
  <c r="D20"/>
  <c r="D7"/>
  <c r="G3" i="15"/>
  <c r="I3"/>
  <c r="G4"/>
  <c r="I4"/>
  <c r="G5"/>
  <c r="I5"/>
  <c r="G6"/>
  <c r="I6"/>
  <c r="G7"/>
  <c r="I7"/>
  <c r="G8"/>
  <c r="I8"/>
  <c r="G9"/>
  <c r="I9"/>
  <c r="G10"/>
  <c r="I10"/>
  <c r="G11"/>
  <c r="I11"/>
  <c r="G12"/>
  <c r="I12"/>
  <c r="G13"/>
  <c r="I13"/>
  <c r="G14"/>
  <c r="I14"/>
  <c r="G15"/>
  <c r="I15"/>
  <c r="G16"/>
  <c r="I16"/>
  <c r="G17"/>
  <c r="I17"/>
  <c r="G18"/>
  <c r="I18"/>
  <c r="G19"/>
  <c r="I19"/>
  <c r="G20"/>
  <c r="I20"/>
  <c r="G21"/>
  <c r="I21"/>
  <c r="G22"/>
  <c r="I22"/>
  <c r="G23"/>
  <c r="I23"/>
  <c r="G24"/>
  <c r="I24"/>
  <c r="G25"/>
  <c r="I25"/>
  <c r="G26"/>
  <c r="I26"/>
  <c r="G27"/>
  <c r="I27"/>
  <c r="G28"/>
  <c r="I28"/>
  <c r="G29"/>
  <c r="I29"/>
  <c r="G30"/>
  <c r="I30"/>
  <c r="G31"/>
  <c r="I31"/>
  <c r="G32"/>
  <c r="I32"/>
  <c r="G33"/>
  <c r="I33"/>
  <c r="G34"/>
  <c r="I34"/>
  <c r="G35"/>
  <c r="I35"/>
  <c r="G36"/>
  <c r="I36"/>
  <c r="G37"/>
  <c r="I37"/>
  <c r="G38"/>
  <c r="I38"/>
  <c r="G39"/>
  <c r="I39"/>
  <c r="G40"/>
  <c r="I40"/>
  <c r="G41"/>
  <c r="I41"/>
  <c r="G42"/>
  <c r="I42"/>
  <c r="G43"/>
  <c r="I43"/>
  <c r="G44"/>
  <c r="I44"/>
  <c r="G45"/>
  <c r="I45"/>
  <c r="G46"/>
  <c r="I46"/>
  <c r="G47"/>
  <c r="I47"/>
  <c r="G48"/>
  <c r="I48"/>
  <c r="G49"/>
  <c r="I49"/>
  <c r="G50"/>
  <c r="I50"/>
  <c r="G51"/>
  <c r="I51"/>
  <c r="G52"/>
  <c r="I52"/>
  <c r="G53"/>
  <c r="I53"/>
  <c r="G54"/>
  <c r="I54"/>
  <c r="G55"/>
  <c r="I55"/>
  <c r="G56"/>
  <c r="I56"/>
  <c r="G57"/>
  <c r="I57"/>
  <c r="G58"/>
  <c r="I58"/>
  <c r="G59"/>
  <c r="I59"/>
  <c r="G60"/>
  <c r="I60"/>
  <c r="G61"/>
  <c r="I61"/>
  <c r="G62"/>
  <c r="I62"/>
  <c r="G63"/>
  <c r="I63"/>
  <c r="G64"/>
  <c r="I64"/>
  <c r="G65"/>
  <c r="I65"/>
  <c r="G66"/>
  <c r="I66"/>
  <c r="G67"/>
  <c r="I67"/>
  <c r="G68"/>
  <c r="I68"/>
  <c r="G69"/>
  <c r="I69"/>
  <c r="G70"/>
  <c r="I70"/>
  <c r="G71"/>
  <c r="I71"/>
  <c r="G72"/>
  <c r="I72"/>
  <c r="G73"/>
  <c r="I73"/>
  <c r="G74"/>
  <c r="I74"/>
  <c r="G75"/>
  <c r="I75"/>
  <c r="G76"/>
  <c r="I76"/>
  <c r="G77"/>
  <c r="I77"/>
  <c r="G78"/>
  <c r="I78"/>
  <c r="G79"/>
  <c r="I79"/>
  <c r="G80"/>
  <c r="I80"/>
  <c r="G81"/>
  <c r="I81"/>
  <c r="G82"/>
  <c r="I82"/>
  <c r="G83"/>
  <c r="I83"/>
  <c r="G84"/>
  <c r="I84"/>
  <c r="G85"/>
  <c r="I85"/>
  <c r="G86"/>
  <c r="I86"/>
  <c r="G87"/>
  <c r="I87"/>
  <c r="G88"/>
  <c r="I88"/>
  <c r="G89"/>
  <c r="I89"/>
  <c r="G90"/>
  <c r="I90"/>
  <c r="G91"/>
  <c r="I91"/>
  <c r="G92"/>
  <c r="I92"/>
  <c r="G93"/>
  <c r="I93"/>
  <c r="G94"/>
  <c r="I94"/>
  <c r="G95"/>
  <c r="I95"/>
  <c r="G96"/>
  <c r="I96"/>
  <c r="G97"/>
  <c r="I97"/>
  <c r="G98"/>
  <c r="I98"/>
  <c r="G99"/>
  <c r="I99"/>
  <c r="G100"/>
  <c r="I100"/>
  <c r="G101"/>
  <c r="I101"/>
  <c r="G102"/>
  <c r="I102"/>
  <c r="G103"/>
  <c r="I103"/>
  <c r="G104"/>
  <c r="I104"/>
  <c r="G105"/>
  <c r="I105"/>
  <c r="G106"/>
  <c r="I106"/>
  <c r="G107"/>
  <c r="I107"/>
  <c r="G108"/>
  <c r="I108"/>
  <c r="G109"/>
  <c r="I109"/>
  <c r="G110"/>
  <c r="I110"/>
  <c r="G111"/>
  <c r="I111"/>
  <c r="G112"/>
  <c r="I112"/>
  <c r="G113"/>
  <c r="I113"/>
  <c r="G114"/>
  <c r="I114"/>
  <c r="G115"/>
  <c r="I115"/>
  <c r="G116"/>
  <c r="I116"/>
  <c r="G117"/>
  <c r="I117"/>
  <c r="G118"/>
  <c r="I118"/>
  <c r="G119"/>
  <c r="I119"/>
  <c r="G120"/>
  <c r="I120"/>
  <c r="G121"/>
  <c r="I121"/>
  <c r="G122"/>
  <c r="I122"/>
  <c r="G123"/>
  <c r="I123"/>
  <c r="G124"/>
  <c r="I124"/>
  <c r="G125"/>
  <c r="I125"/>
  <c r="G126"/>
  <c r="I126"/>
  <c r="G127"/>
  <c r="I127"/>
  <c r="G128"/>
  <c r="I128"/>
  <c r="G129"/>
  <c r="I129"/>
  <c r="G130"/>
  <c r="I130"/>
  <c r="G131"/>
  <c r="I131"/>
  <c r="G132"/>
  <c r="I132"/>
  <c r="G133"/>
  <c r="I133"/>
  <c r="G134"/>
  <c r="I134"/>
  <c r="G135"/>
  <c r="I135"/>
  <c r="G136"/>
  <c r="I136"/>
  <c r="G137"/>
  <c r="I137"/>
  <c r="G138"/>
  <c r="I138"/>
  <c r="G139"/>
  <c r="I139"/>
  <c r="G140"/>
  <c r="I140"/>
  <c r="G141"/>
  <c r="I141"/>
  <c r="G142"/>
  <c r="I142"/>
  <c r="G143"/>
  <c r="I143"/>
  <c r="G144"/>
  <c r="I144"/>
  <c r="G145"/>
  <c r="I145"/>
  <c r="G146"/>
  <c r="I146"/>
  <c r="G147"/>
  <c r="I147"/>
  <c r="G148"/>
  <c r="I148"/>
  <c r="G149"/>
  <c r="I149"/>
  <c r="G150"/>
  <c r="I150"/>
  <c r="G151"/>
  <c r="I151"/>
  <c r="G152"/>
  <c r="I152"/>
  <c r="G153"/>
  <c r="I153"/>
  <c r="G154"/>
  <c r="I154"/>
  <c r="G155"/>
  <c r="I155"/>
  <c r="G156"/>
  <c r="I156"/>
  <c r="G157"/>
  <c r="I157"/>
  <c r="G158"/>
  <c r="I158"/>
  <c r="G159"/>
  <c r="I159"/>
  <c r="G160"/>
  <c r="I160"/>
  <c r="G161"/>
  <c r="I161"/>
  <c r="G162"/>
  <c r="I162"/>
  <c r="G163"/>
  <c r="I163"/>
  <c r="G164"/>
  <c r="I164"/>
  <c r="G165"/>
  <c r="I165"/>
  <c r="G166"/>
  <c r="I166"/>
  <c r="G167"/>
  <c r="I167"/>
  <c r="G168"/>
  <c r="I168"/>
  <c r="G169"/>
  <c r="I169"/>
  <c r="G170"/>
  <c r="I170"/>
  <c r="G171"/>
  <c r="I171"/>
  <c r="G172"/>
  <c r="I172"/>
  <c r="G173"/>
  <c r="I173"/>
  <c r="G174"/>
  <c r="I174"/>
  <c r="G175"/>
  <c r="I175"/>
  <c r="G176"/>
  <c r="I176"/>
  <c r="G177"/>
  <c r="I177"/>
  <c r="G178"/>
  <c r="I178"/>
  <c r="G179"/>
  <c r="I179"/>
  <c r="G180"/>
  <c r="I180"/>
  <c r="G181"/>
  <c r="I181"/>
  <c r="G182"/>
  <c r="I182"/>
  <c r="G183"/>
  <c r="I183"/>
  <c r="G184"/>
  <c r="I184"/>
  <c r="G185"/>
  <c r="I185"/>
  <c r="G186"/>
  <c r="I186"/>
  <c r="G187"/>
  <c r="I187"/>
  <c r="G188"/>
  <c r="I188"/>
  <c r="G189"/>
  <c r="I189"/>
  <c r="G190"/>
  <c r="I190"/>
  <c r="G191"/>
  <c r="I191"/>
  <c r="G192"/>
  <c r="I192"/>
  <c r="G193"/>
  <c r="I193"/>
  <c r="G194"/>
  <c r="I194"/>
  <c r="G195"/>
  <c r="I195"/>
  <c r="G196"/>
  <c r="I196"/>
  <c r="G197"/>
  <c r="I197"/>
  <c r="G198"/>
  <c r="I198"/>
  <c r="G199"/>
  <c r="I199"/>
  <c r="G200"/>
  <c r="I200"/>
  <c r="G201"/>
  <c r="I201"/>
  <c r="G202"/>
  <c r="I202"/>
  <c r="G203"/>
  <c r="I203"/>
  <c r="G204"/>
  <c r="I204"/>
  <c r="G205"/>
  <c r="I205"/>
  <c r="G206"/>
  <c r="I206"/>
  <c r="G207"/>
  <c r="I207"/>
  <c r="G208"/>
  <c r="I208"/>
  <c r="G209"/>
  <c r="I209"/>
  <c r="G210"/>
  <c r="I210"/>
  <c r="G211"/>
  <c r="I211"/>
  <c r="G212"/>
  <c r="I212"/>
  <c r="G213"/>
  <c r="I213"/>
  <c r="G214"/>
  <c r="I214"/>
  <c r="G215"/>
  <c r="I215"/>
  <c r="G216"/>
  <c r="I216"/>
  <c r="G217"/>
  <c r="I217"/>
  <c r="G218"/>
  <c r="I218"/>
  <c r="G219"/>
  <c r="I219"/>
  <c r="G220"/>
  <c r="I220"/>
  <c r="G221"/>
  <c r="I221"/>
  <c r="G222"/>
  <c r="I222"/>
  <c r="G223"/>
  <c r="I223"/>
  <c r="G224"/>
  <c r="I224"/>
  <c r="G225"/>
  <c r="I225"/>
  <c r="G226"/>
  <c r="I226"/>
  <c r="G227"/>
  <c r="I227"/>
  <c r="G228"/>
  <c r="I228"/>
  <c r="G229"/>
  <c r="I229"/>
  <c r="G230"/>
  <c r="I230"/>
  <c r="G231"/>
  <c r="I231"/>
  <c r="G232"/>
  <c r="I232"/>
  <c r="G233"/>
  <c r="I233"/>
  <c r="G234"/>
  <c r="I234"/>
  <c r="G235"/>
  <c r="I235"/>
  <c r="G236"/>
  <c r="I236"/>
  <c r="G237"/>
  <c r="I237"/>
  <c r="G238"/>
  <c r="I238"/>
  <c r="G239"/>
  <c r="I239"/>
  <c r="G240"/>
  <c r="I240"/>
  <c r="G241"/>
  <c r="I241"/>
  <c r="G242"/>
  <c r="I242"/>
  <c r="G243"/>
  <c r="I243"/>
  <c r="G244"/>
  <c r="I244"/>
  <c r="G245"/>
  <c r="I245"/>
  <c r="G246"/>
  <c r="I246"/>
  <c r="G247"/>
  <c r="I247"/>
  <c r="G248"/>
  <c r="I248"/>
  <c r="G249"/>
  <c r="I249"/>
  <c r="G250"/>
  <c r="I250"/>
  <c r="G251"/>
  <c r="I251"/>
  <c r="G252"/>
  <c r="I252"/>
  <c r="G253"/>
  <c r="I253"/>
  <c r="G254"/>
  <c r="I254"/>
  <c r="G255"/>
  <c r="I255"/>
  <c r="G256"/>
  <c r="I256"/>
  <c r="G257"/>
  <c r="I257"/>
  <c r="G258"/>
  <c r="I258"/>
  <c r="G259"/>
  <c r="I259"/>
  <c r="G260"/>
  <c r="I260"/>
  <c r="G261"/>
  <c r="I261"/>
  <c r="G262"/>
  <c r="I262"/>
  <c r="G263"/>
  <c r="I263"/>
  <c r="G264"/>
  <c r="I264"/>
  <c r="G265"/>
  <c r="I265"/>
  <c r="G266"/>
  <c r="I266"/>
  <c r="G267"/>
  <c r="I267"/>
  <c r="G268"/>
  <c r="I268"/>
  <c r="G269"/>
  <c r="I269"/>
  <c r="G270"/>
  <c r="I270"/>
  <c r="G271"/>
  <c r="I271"/>
  <c r="G272"/>
  <c r="I272"/>
  <c r="G273"/>
  <c r="I273"/>
  <c r="G274"/>
  <c r="I274"/>
  <c r="G275"/>
  <c r="I275"/>
  <c r="G276"/>
  <c r="I276"/>
  <c r="G277"/>
  <c r="I277"/>
  <c r="G278"/>
  <c r="I278"/>
  <c r="G279"/>
  <c r="I279"/>
  <c r="G280"/>
  <c r="I280"/>
  <c r="G281"/>
  <c r="I281"/>
  <c r="G282"/>
  <c r="I282"/>
  <c r="G283"/>
  <c r="I283"/>
  <c r="G284"/>
  <c r="I284"/>
  <c r="G285"/>
  <c r="I285"/>
  <c r="G286"/>
  <c r="I286"/>
  <c r="G287"/>
  <c r="I287"/>
  <c r="G288"/>
  <c r="I288"/>
  <c r="G289"/>
  <c r="I289"/>
  <c r="G290"/>
  <c r="I290"/>
  <c r="G291"/>
  <c r="I291"/>
  <c r="G292"/>
  <c r="I292"/>
  <c r="G293"/>
  <c r="I293"/>
  <c r="G294"/>
  <c r="I294"/>
  <c r="G295"/>
  <c r="I295"/>
  <c r="G296"/>
  <c r="I296"/>
  <c r="G297"/>
  <c r="I297"/>
  <c r="G298"/>
  <c r="I298"/>
  <c r="G299"/>
  <c r="I299"/>
  <c r="G300"/>
  <c r="I300"/>
  <c r="I2"/>
  <c r="G2"/>
  <c r="G3" i="14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2"/>
  <c r="K3" i="9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2"/>
  <c r="K74" i="6"/>
  <c r="G74" i="7"/>
  <c r="K73" i="6"/>
  <c r="G73" i="7"/>
  <c r="K72" i="6"/>
  <c r="G72" i="7"/>
  <c r="K71" i="6"/>
  <c r="G71" i="7"/>
  <c r="K70" i="6"/>
  <c r="G70" i="7"/>
  <c r="K69" i="6"/>
  <c r="G69" i="7"/>
  <c r="K68" i="6"/>
  <c r="G68" i="7"/>
  <c r="K67" i="6"/>
  <c r="G67" i="7"/>
  <c r="K66" i="6"/>
  <c r="G66" i="7"/>
  <c r="K65" i="6"/>
  <c r="G65" i="7"/>
  <c r="K64" i="6"/>
  <c r="G64" i="7"/>
  <c r="K63" i="6"/>
  <c r="G63" i="7"/>
  <c r="K62" i="6"/>
  <c r="G62" i="7"/>
  <c r="K61" i="6"/>
  <c r="G61" i="7"/>
  <c r="K60" i="6"/>
  <c r="G60" i="7"/>
  <c r="K59" i="6"/>
  <c r="G59" i="7"/>
  <c r="K58" i="6"/>
  <c r="G58" i="7"/>
  <c r="K57" i="6"/>
  <c r="G57" i="7"/>
  <c r="K56" i="6"/>
  <c r="G56" i="7"/>
  <c r="K55" i="6"/>
  <c r="G55" i="7"/>
  <c r="K54" i="6"/>
  <c r="G54" i="7"/>
  <c r="K53" i="6"/>
  <c r="G53" i="7"/>
  <c r="K52" i="6"/>
  <c r="G52" i="7"/>
  <c r="K51" i="6"/>
  <c r="G51" i="7"/>
  <c r="K50" i="6"/>
  <c r="G50" i="7"/>
  <c r="K49" i="6"/>
  <c r="G49" i="7"/>
  <c r="K48" i="6"/>
  <c r="G48" i="7"/>
  <c r="K47" i="6"/>
  <c r="G47" i="7"/>
  <c r="K46" i="6"/>
  <c r="G46" i="7"/>
  <c r="K45" i="6"/>
  <c r="G45" i="7"/>
  <c r="K44" i="6"/>
  <c r="G44" i="7"/>
  <c r="K43" i="6"/>
  <c r="G43" i="7"/>
  <c r="K42" i="6"/>
  <c r="G42" i="7"/>
  <c r="K41" i="6"/>
  <c r="G41" i="7"/>
  <c r="K40" i="6"/>
  <c r="G40" i="7"/>
  <c r="K39" i="6"/>
  <c r="G39" i="7"/>
  <c r="K38" i="6"/>
  <c r="G38" i="7"/>
  <c r="K37" i="6"/>
  <c r="G37" i="7"/>
  <c r="K36" i="6"/>
  <c r="G36" i="7"/>
  <c r="K35" i="6"/>
  <c r="G35" i="7"/>
  <c r="K34" i="6"/>
  <c r="G34" i="7"/>
  <c r="K33" i="6"/>
  <c r="G33" i="7"/>
  <c r="K32" i="6"/>
  <c r="G32" i="7"/>
  <c r="K31" i="6"/>
  <c r="G31" i="7"/>
  <c r="K30" i="6"/>
  <c r="G30" i="7"/>
  <c r="K29" i="6"/>
  <c r="G29" i="7"/>
  <c r="K28" i="6"/>
  <c r="G28" i="7"/>
  <c r="K27" i="6"/>
  <c r="G27" i="7"/>
  <c r="K26" i="6"/>
  <c r="G26" i="7"/>
  <c r="K25" i="6"/>
  <c r="G25" i="7"/>
  <c r="K24" i="6"/>
  <c r="G24" i="7"/>
  <c r="K23" i="6"/>
  <c r="G23" i="7"/>
  <c r="K22" i="6"/>
  <c r="G22" i="7"/>
  <c r="K21" i="6"/>
  <c r="G21" i="7"/>
  <c r="K20" i="6"/>
  <c r="G20" i="7"/>
  <c r="K19" i="6"/>
  <c r="G19" i="7"/>
  <c r="K18" i="6"/>
  <c r="G18" i="7"/>
  <c r="K17" i="6"/>
  <c r="G17" i="7"/>
  <c r="G16"/>
  <c r="G14" a="1"/>
  <c r="G14"/>
  <c r="G13" a="1"/>
  <c r="G13"/>
  <c r="G12" a="1"/>
  <c r="G12"/>
  <c r="G11" a="1"/>
  <c r="G11"/>
  <c r="G10" a="1"/>
  <c r="G10"/>
  <c r="G9" a="1"/>
  <c r="G9"/>
  <c r="G8" a="1"/>
  <c r="G8"/>
  <c r="G7" a="1"/>
  <c r="G7"/>
  <c r="G6" a="1"/>
  <c r="G6"/>
  <c r="G5" a="1"/>
  <c r="G5"/>
  <c r="G4" a="1"/>
  <c r="G4"/>
  <c r="G3" a="1"/>
  <c r="G3"/>
  <c r="G2" a="1"/>
  <c r="G2"/>
  <c r="K132" i="6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"/>
  <c r="K4"/>
  <c r="K5"/>
  <c r="K6"/>
  <c r="K7"/>
  <c r="K8"/>
  <c r="K9"/>
  <c r="K10"/>
  <c r="K11"/>
  <c r="K12"/>
  <c r="K13"/>
  <c r="K14"/>
  <c r="K15"/>
  <c r="K16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2"/>
  <c r="G134" i="16" a="1"/>
  <c r="G134"/>
  <c r="G133" a="1"/>
  <c r="G133"/>
  <c r="G132" a="1"/>
  <c r="G132"/>
  <c r="G131" a="1"/>
  <c r="G131"/>
  <c r="G130" a="1"/>
  <c r="G130"/>
  <c r="G129" a="1"/>
  <c r="G129"/>
  <c r="G128" a="1"/>
  <c r="G128"/>
  <c r="G127" a="1"/>
  <c r="G127"/>
  <c r="G126" a="1"/>
  <c r="G126"/>
  <c r="G125" a="1"/>
  <c r="G125"/>
  <c r="G124" a="1"/>
  <c r="G124"/>
  <c r="G123" a="1"/>
  <c r="G123"/>
  <c r="G122" a="1"/>
  <c r="G122"/>
  <c r="G121" a="1"/>
  <c r="G121"/>
  <c r="G120" a="1"/>
  <c r="G120"/>
  <c r="G119" a="1"/>
  <c r="G119"/>
  <c r="G118" a="1"/>
  <c r="G118"/>
  <c r="G117" a="1"/>
  <c r="G117"/>
  <c r="G116" a="1"/>
  <c r="G116"/>
  <c r="G115" a="1"/>
  <c r="G115"/>
  <c r="G114" a="1"/>
  <c r="G114"/>
  <c r="G113" a="1"/>
  <c r="G113"/>
  <c r="G112" a="1"/>
  <c r="G112"/>
  <c r="G111" a="1"/>
  <c r="G111"/>
  <c r="G110" a="1"/>
  <c r="G110"/>
  <c r="G109" a="1"/>
  <c r="G109"/>
  <c r="G108" a="1"/>
  <c r="G108"/>
  <c r="G107" a="1"/>
  <c r="G107"/>
  <c r="G106" a="1"/>
  <c r="G106"/>
  <c r="G105" a="1"/>
  <c r="G105"/>
  <c r="G104" a="1"/>
  <c r="G104"/>
  <c r="G103" a="1"/>
  <c r="G103"/>
  <c r="G102" a="1"/>
  <c r="G102"/>
  <c r="G101" a="1"/>
  <c r="G101"/>
  <c r="G100" a="1"/>
  <c r="G100"/>
  <c r="G99" a="1"/>
  <c r="G99"/>
  <c r="G98" a="1"/>
  <c r="G98"/>
  <c r="G97" a="1"/>
  <c r="G97"/>
  <c r="G96" a="1"/>
  <c r="G96"/>
  <c r="G95" a="1"/>
  <c r="G95"/>
  <c r="G94" a="1"/>
  <c r="G94"/>
  <c r="G93" a="1"/>
  <c r="G93"/>
  <c r="G92" a="1"/>
  <c r="G92"/>
  <c r="G91" a="1"/>
  <c r="G91"/>
  <c r="G90" a="1"/>
  <c r="G90"/>
  <c r="G89" a="1"/>
  <c r="G89"/>
  <c r="G88" a="1"/>
  <c r="G88"/>
  <c r="G87" a="1"/>
  <c r="G87"/>
  <c r="G86" a="1"/>
  <c r="G86"/>
  <c r="G85" a="1"/>
  <c r="G85"/>
  <c r="G84" a="1"/>
  <c r="G84"/>
  <c r="G83" a="1"/>
  <c r="G83"/>
  <c r="G82" a="1"/>
  <c r="G82"/>
  <c r="G81" a="1"/>
  <c r="G81"/>
  <c r="G80" a="1"/>
  <c r="G80"/>
  <c r="G79" a="1"/>
  <c r="G79"/>
  <c r="G78" a="1"/>
  <c r="G78"/>
  <c r="G77" a="1"/>
  <c r="G77"/>
  <c r="G76" a="1"/>
  <c r="G76"/>
  <c r="G75" a="1"/>
  <c r="G75"/>
  <c r="G74" a="1"/>
  <c r="G74"/>
  <c r="G73" a="1"/>
  <c r="G73"/>
  <c r="G72" a="1"/>
  <c r="G72"/>
  <c r="G71" a="1"/>
  <c r="G71"/>
  <c r="G70" a="1"/>
  <c r="G70"/>
  <c r="G69" a="1"/>
  <c r="G69"/>
  <c r="G68" a="1"/>
  <c r="G68"/>
  <c r="G67" a="1"/>
  <c r="G67"/>
  <c r="G66" a="1"/>
  <c r="G66"/>
  <c r="G65" a="1"/>
  <c r="G65"/>
  <c r="G64" a="1"/>
  <c r="G64"/>
  <c r="G63" a="1"/>
  <c r="G63"/>
  <c r="G62" a="1"/>
  <c r="G62"/>
  <c r="G61" a="1"/>
  <c r="G61"/>
  <c r="G60" a="1"/>
  <c r="G60"/>
  <c r="G59" a="1"/>
  <c r="G59"/>
  <c r="G58" a="1"/>
  <c r="G58"/>
  <c r="G57" a="1"/>
  <c r="G57"/>
  <c r="G56" a="1"/>
  <c r="G56"/>
  <c r="G55" a="1"/>
  <c r="G55"/>
  <c r="G54" a="1"/>
  <c r="G54"/>
  <c r="G53" a="1"/>
  <c r="G53"/>
  <c r="G52" a="1"/>
  <c r="G52"/>
  <c r="G51" a="1"/>
  <c r="G51"/>
  <c r="G50" a="1"/>
  <c r="G50"/>
  <c r="G49" a="1"/>
  <c r="G49"/>
  <c r="G48" a="1"/>
  <c r="G48"/>
  <c r="G47" a="1"/>
  <c r="G47"/>
  <c r="G46" a="1"/>
  <c r="G46"/>
  <c r="G45" a="1"/>
  <c r="G45"/>
  <c r="G44" a="1"/>
  <c r="G44"/>
  <c r="G43" a="1"/>
  <c r="G43"/>
  <c r="G42" a="1"/>
  <c r="G42"/>
  <c r="G41" a="1"/>
  <c r="G41"/>
  <c r="G40" a="1"/>
  <c r="G40"/>
  <c r="G39" a="1"/>
  <c r="G39"/>
  <c r="G38" a="1"/>
  <c r="G38"/>
  <c r="G37" a="1"/>
  <c r="G37"/>
  <c r="G36" a="1"/>
  <c r="G36"/>
  <c r="G35" a="1"/>
  <c r="G35"/>
  <c r="G34" a="1"/>
  <c r="G34"/>
  <c r="G33" a="1"/>
  <c r="G33"/>
  <c r="G32" a="1"/>
  <c r="G32"/>
  <c r="G31" a="1"/>
  <c r="G31"/>
  <c r="G30" a="1"/>
  <c r="G30"/>
  <c r="G29" a="1"/>
  <c r="G29"/>
  <c r="G28" a="1"/>
  <c r="G28"/>
  <c r="G27" a="1"/>
  <c r="G27"/>
  <c r="G26"/>
  <c r="G23" a="1"/>
  <c r="G23"/>
  <c r="G24" a="1"/>
  <c r="G24"/>
  <c r="G21" a="1"/>
  <c r="G21"/>
  <c r="G22" a="1"/>
  <c r="G22"/>
  <c r="G19" a="1"/>
  <c r="G19"/>
  <c r="G20" a="1"/>
  <c r="G20"/>
  <c r="G17" a="1"/>
  <c r="G17"/>
  <c r="G18" a="1"/>
  <c r="G18"/>
  <c r="G15" a="1"/>
  <c r="G15"/>
  <c r="G16" a="1"/>
  <c r="G16"/>
  <c r="G13" a="1"/>
  <c r="G13"/>
  <c r="G14" a="1"/>
  <c r="G14"/>
  <c r="G11" a="1"/>
  <c r="G11"/>
  <c r="G12" a="1"/>
  <c r="G12"/>
  <c r="G9" a="1"/>
  <c r="G9"/>
  <c r="G10" a="1"/>
  <c r="G10"/>
  <c r="G7" a="1"/>
  <c r="G7"/>
  <c r="G8" a="1"/>
  <c r="G8"/>
  <c r="G5" a="1"/>
  <c r="G5"/>
  <c r="G6" a="1"/>
  <c r="G6"/>
  <c r="G4" a="1"/>
  <c r="G4"/>
  <c r="G3" a="1"/>
  <c r="G3"/>
  <c r="G2" a="1"/>
  <c r="G2"/>
  <c r="F134" a="1"/>
  <c r="F134"/>
  <c r="F133" a="1"/>
  <c r="F133"/>
  <c r="F132" a="1"/>
  <c r="F132"/>
  <c r="F131" a="1"/>
  <c r="F131"/>
  <c r="F130" a="1"/>
  <c r="F130"/>
  <c r="F129" a="1"/>
  <c r="F129"/>
  <c r="F128" a="1"/>
  <c r="F128"/>
  <c r="F127" a="1"/>
  <c r="F127"/>
  <c r="F126" a="1"/>
  <c r="F126"/>
  <c r="F125" a="1"/>
  <c r="F125"/>
  <c r="F124" a="1"/>
  <c r="F124"/>
  <c r="F123" a="1"/>
  <c r="F123"/>
  <c r="F122" a="1"/>
  <c r="F122"/>
  <c r="F121" a="1"/>
  <c r="F121"/>
  <c r="F120" a="1"/>
  <c r="F120"/>
  <c r="F119" a="1"/>
  <c r="F119"/>
  <c r="F118" a="1"/>
  <c r="F118"/>
  <c r="F117" a="1"/>
  <c r="F117"/>
  <c r="F116" a="1"/>
  <c r="F116"/>
  <c r="F115" a="1"/>
  <c r="F115"/>
  <c r="F114" a="1"/>
  <c r="F114"/>
  <c r="F113" a="1"/>
  <c r="F113"/>
  <c r="F112" a="1"/>
  <c r="F112"/>
  <c r="F111" a="1"/>
  <c r="F111"/>
  <c r="F110" a="1"/>
  <c r="F110"/>
  <c r="F109" a="1"/>
  <c r="F109"/>
  <c r="F108" a="1"/>
  <c r="F108"/>
  <c r="F107" a="1"/>
  <c r="F107"/>
  <c r="F106" a="1"/>
  <c r="F106"/>
  <c r="F105" a="1"/>
  <c r="F105"/>
  <c r="F104" a="1"/>
  <c r="F104"/>
  <c r="F103" a="1"/>
  <c r="F103"/>
  <c r="F102" a="1"/>
  <c r="F102"/>
  <c r="F101" a="1"/>
  <c r="F101"/>
  <c r="F100" a="1"/>
  <c r="F100"/>
  <c r="F99" a="1"/>
  <c r="F99"/>
  <c r="F98" a="1"/>
  <c r="F98"/>
  <c r="F97" a="1"/>
  <c r="F97"/>
  <c r="F96" a="1"/>
  <c r="F96"/>
  <c r="F95" a="1"/>
  <c r="F95"/>
  <c r="F94" a="1"/>
  <c r="F94"/>
  <c r="F93" a="1"/>
  <c r="F93"/>
  <c r="F92" a="1"/>
  <c r="F92"/>
  <c r="F91" a="1"/>
  <c r="F91"/>
  <c r="F90" a="1"/>
  <c r="F90"/>
  <c r="F89" a="1"/>
  <c r="F89"/>
  <c r="F88" a="1"/>
  <c r="F88"/>
  <c r="F87" a="1"/>
  <c r="F87"/>
  <c r="F86" a="1"/>
  <c r="F86"/>
  <c r="F85" a="1"/>
  <c r="F85"/>
  <c r="F84" a="1"/>
  <c r="F84"/>
  <c r="F83" a="1"/>
  <c r="F83"/>
  <c r="F82" a="1"/>
  <c r="F82"/>
  <c r="F81" a="1"/>
  <c r="F81"/>
  <c r="F80" a="1"/>
  <c r="F80"/>
  <c r="F79" a="1"/>
  <c r="F79"/>
  <c r="F78" a="1"/>
  <c r="F78"/>
  <c r="F77" a="1"/>
  <c r="F77"/>
  <c r="F76" a="1"/>
  <c r="F76"/>
  <c r="F75" a="1"/>
  <c r="F75"/>
  <c r="F74" a="1"/>
  <c r="F74"/>
  <c r="F73" a="1"/>
  <c r="F73"/>
  <c r="F72" a="1"/>
  <c r="F72"/>
  <c r="F71" a="1"/>
  <c r="F71"/>
  <c r="F70" a="1"/>
  <c r="F70"/>
  <c r="F69" a="1"/>
  <c r="F69"/>
  <c r="F68" a="1"/>
  <c r="F68"/>
  <c r="F67" a="1"/>
  <c r="F67"/>
  <c r="F66" a="1"/>
  <c r="F66"/>
  <c r="F65" a="1"/>
  <c r="F65"/>
  <c r="F64" a="1"/>
  <c r="F64"/>
  <c r="F63" a="1"/>
  <c r="F63"/>
  <c r="F62" a="1"/>
  <c r="F62"/>
  <c r="F61" a="1"/>
  <c r="F61"/>
  <c r="F60" a="1"/>
  <c r="F60"/>
  <c r="F59" a="1"/>
  <c r="F59"/>
  <c r="F58" a="1"/>
  <c r="F58"/>
  <c r="F57" a="1"/>
  <c r="F57"/>
  <c r="F56" a="1"/>
  <c r="F56"/>
  <c r="F55" a="1"/>
  <c r="F55"/>
  <c r="F54" a="1"/>
  <c r="F54"/>
  <c r="F53" a="1"/>
  <c r="F53"/>
  <c r="F52" a="1"/>
  <c r="F52"/>
  <c r="F51" a="1"/>
  <c r="F51"/>
  <c r="F50" a="1"/>
  <c r="F50"/>
  <c r="F49" a="1"/>
  <c r="F49"/>
  <c r="F48" a="1"/>
  <c r="F48"/>
  <c r="F47" a="1"/>
  <c r="F47"/>
  <c r="F46" a="1"/>
  <c r="F46"/>
  <c r="F45" a="1"/>
  <c r="F45"/>
  <c r="F44" a="1"/>
  <c r="F44"/>
  <c r="F43" a="1"/>
  <c r="F43"/>
  <c r="F42" a="1"/>
  <c r="F42"/>
  <c r="F41" a="1"/>
  <c r="F41"/>
  <c r="F40" a="1"/>
  <c r="F40"/>
  <c r="F39" a="1"/>
  <c r="F39"/>
  <c r="F38" a="1"/>
  <c r="F38"/>
  <c r="F37" a="1"/>
  <c r="F37"/>
  <c r="F36" a="1"/>
  <c r="F36"/>
  <c r="F35" a="1"/>
  <c r="F35"/>
  <c r="F34" a="1"/>
  <c r="F34"/>
  <c r="F33" a="1"/>
  <c r="F33"/>
  <c r="F32" a="1"/>
  <c r="F32"/>
  <c r="F31" a="1"/>
  <c r="F31"/>
  <c r="F30" a="1"/>
  <c r="F30"/>
  <c r="F29" a="1"/>
  <c r="F29"/>
  <c r="F28" a="1"/>
  <c r="F28"/>
  <c r="F27" a="1"/>
  <c r="F27"/>
  <c r="F26"/>
  <c r="F23" a="1"/>
  <c r="F23"/>
  <c r="F24" a="1"/>
  <c r="F24"/>
  <c r="F21" a="1"/>
  <c r="F21"/>
  <c r="F22" a="1"/>
  <c r="F22"/>
  <c r="F19" a="1"/>
  <c r="F19"/>
  <c r="F20" a="1"/>
  <c r="F20"/>
  <c r="F17" a="1"/>
  <c r="F17"/>
  <c r="F18" a="1"/>
  <c r="F18"/>
  <c r="F15" a="1"/>
  <c r="F15"/>
  <c r="F16" a="1"/>
  <c r="F16"/>
  <c r="F13" a="1"/>
  <c r="F13"/>
  <c r="F14" a="1"/>
  <c r="F14"/>
  <c r="F11" a="1"/>
  <c r="F11"/>
  <c r="F12" a="1"/>
  <c r="F12"/>
  <c r="F9" a="1"/>
  <c r="F9"/>
  <c r="F10" a="1"/>
  <c r="F10"/>
  <c r="F7" a="1"/>
  <c r="F7"/>
  <c r="F8" a="1"/>
  <c r="F8"/>
  <c r="F5" a="1"/>
  <c r="F5"/>
  <c r="F6" a="1"/>
  <c r="F6"/>
  <c r="F4" a="1"/>
  <c r="F4"/>
  <c r="F3" a="1"/>
  <c r="F3"/>
  <c r="F2" a="1"/>
  <c r="F2"/>
  <c r="E28" a="1"/>
  <c r="E28"/>
  <c r="E29" a="1"/>
  <c r="E29"/>
  <c r="E30" a="1"/>
  <c r="E30"/>
  <c r="E31" a="1"/>
  <c r="E31"/>
  <c r="E32" a="1"/>
  <c r="E32"/>
  <c r="E33" a="1"/>
  <c r="E33"/>
  <c r="E34" a="1"/>
  <c r="E34"/>
  <c r="E35" a="1"/>
  <c r="E35"/>
  <c r="E36" a="1"/>
  <c r="E36"/>
  <c r="E37" a="1"/>
  <c r="E37"/>
  <c r="E38" a="1"/>
  <c r="E38"/>
  <c r="E39" a="1"/>
  <c r="E39"/>
  <c r="E40" a="1"/>
  <c r="E40"/>
  <c r="E41" a="1"/>
  <c r="E41"/>
  <c r="E42" a="1"/>
  <c r="E42"/>
  <c r="E43" a="1"/>
  <c r="E43"/>
  <c r="E44" a="1"/>
  <c r="E44"/>
  <c r="E45" a="1"/>
  <c r="E45"/>
  <c r="E46" a="1"/>
  <c r="E46"/>
  <c r="E47" a="1"/>
  <c r="E47"/>
  <c r="E48" a="1"/>
  <c r="E48"/>
  <c r="E49" a="1"/>
  <c r="E49"/>
  <c r="E50" a="1"/>
  <c r="E50"/>
  <c r="E51" a="1"/>
  <c r="E51"/>
  <c r="E52" a="1"/>
  <c r="E52"/>
  <c r="E53" a="1"/>
  <c r="E53"/>
  <c r="E54" a="1"/>
  <c r="E54"/>
  <c r="E55" a="1"/>
  <c r="E55"/>
  <c r="E56" a="1"/>
  <c r="E56"/>
  <c r="E57" a="1"/>
  <c r="E57"/>
  <c r="E58" a="1"/>
  <c r="E58"/>
  <c r="E59" a="1"/>
  <c r="E59"/>
  <c r="E60" a="1"/>
  <c r="E60"/>
  <c r="E61" a="1"/>
  <c r="E61"/>
  <c r="E62" a="1"/>
  <c r="E62"/>
  <c r="E63" a="1"/>
  <c r="E63"/>
  <c r="E64" a="1"/>
  <c r="E64"/>
  <c r="E65" a="1"/>
  <c r="E65"/>
  <c r="E66" a="1"/>
  <c r="E66"/>
  <c r="E67" a="1"/>
  <c r="E67"/>
  <c r="E68" a="1"/>
  <c r="E68"/>
  <c r="E69" a="1"/>
  <c r="E69"/>
  <c r="E70" a="1"/>
  <c r="E70"/>
  <c r="E71" a="1"/>
  <c r="E71"/>
  <c r="E72" a="1"/>
  <c r="E72"/>
  <c r="E73" a="1"/>
  <c r="E73"/>
  <c r="E74" a="1"/>
  <c r="E74"/>
  <c r="E75" a="1"/>
  <c r="E75"/>
  <c r="E76" a="1"/>
  <c r="E76"/>
  <c r="E77" a="1"/>
  <c r="E77"/>
  <c r="E78" a="1"/>
  <c r="E78"/>
  <c r="E79" a="1"/>
  <c r="E79"/>
  <c r="E80" a="1"/>
  <c r="E80"/>
  <c r="E81" a="1"/>
  <c r="E81"/>
  <c r="E82" a="1"/>
  <c r="E82"/>
  <c r="E83" a="1"/>
  <c r="E83"/>
  <c r="E84" a="1"/>
  <c r="E84"/>
  <c r="E85" a="1"/>
  <c r="E85"/>
  <c r="E86" a="1"/>
  <c r="E86"/>
  <c r="E87" a="1"/>
  <c r="E87"/>
  <c r="E88" a="1"/>
  <c r="E88"/>
  <c r="E89" a="1"/>
  <c r="E89"/>
  <c r="E90" a="1"/>
  <c r="E90"/>
  <c r="E91" a="1"/>
  <c r="E91"/>
  <c r="E92" a="1"/>
  <c r="E92"/>
  <c r="E93" a="1"/>
  <c r="E93"/>
  <c r="E94" a="1"/>
  <c r="E94"/>
  <c r="E95" a="1"/>
  <c r="E95"/>
  <c r="E96" a="1"/>
  <c r="E96"/>
  <c r="E97" a="1"/>
  <c r="E97"/>
  <c r="E98" a="1"/>
  <c r="E98"/>
  <c r="E99" a="1"/>
  <c r="E99"/>
  <c r="E100" a="1"/>
  <c r="E100"/>
  <c r="E101" a="1"/>
  <c r="E101"/>
  <c r="E102" a="1"/>
  <c r="E102"/>
  <c r="E103" a="1"/>
  <c r="E103"/>
  <c r="E104" a="1"/>
  <c r="E104"/>
  <c r="E105" a="1"/>
  <c r="E105"/>
  <c r="E106" a="1"/>
  <c r="E106"/>
  <c r="E107" a="1"/>
  <c r="E107"/>
  <c r="E108" a="1"/>
  <c r="E108"/>
  <c r="E109" a="1"/>
  <c r="E109"/>
  <c r="E110" a="1"/>
  <c r="E110"/>
  <c r="E111" a="1"/>
  <c r="E111"/>
  <c r="E112" a="1"/>
  <c r="E112"/>
  <c r="E113" a="1"/>
  <c r="E113"/>
  <c r="E114" a="1"/>
  <c r="E114"/>
  <c r="E115" a="1"/>
  <c r="E115"/>
  <c r="E116" a="1"/>
  <c r="E116"/>
  <c r="E117" a="1"/>
  <c r="E117"/>
  <c r="E118" a="1"/>
  <c r="E118"/>
  <c r="E119" a="1"/>
  <c r="E119"/>
  <c r="E120" a="1"/>
  <c r="E120"/>
  <c r="E121" a="1"/>
  <c r="E121"/>
  <c r="E122" a="1"/>
  <c r="E122"/>
  <c r="E123" a="1"/>
  <c r="E123"/>
  <c r="E124" a="1"/>
  <c r="E124"/>
  <c r="E125" a="1"/>
  <c r="E125"/>
  <c r="E126" a="1"/>
  <c r="E126"/>
  <c r="E127" a="1"/>
  <c r="E127"/>
  <c r="E128" a="1"/>
  <c r="E128"/>
  <c r="E129" a="1"/>
  <c r="E129"/>
  <c r="E130" a="1"/>
  <c r="E130"/>
  <c r="E131" a="1"/>
  <c r="E131"/>
  <c r="E132" a="1"/>
  <c r="E132"/>
  <c r="E133" a="1"/>
  <c r="E133"/>
  <c r="E134" a="1"/>
  <c r="E134"/>
  <c r="E27" a="1"/>
  <c r="E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27"/>
  <c r="C27" a="1"/>
  <c r="C27"/>
  <c r="C29" a="1"/>
  <c r="C29"/>
  <c r="C30" a="1"/>
  <c r="C30"/>
  <c r="C31" a="1"/>
  <c r="C31"/>
  <c r="C32" a="1"/>
  <c r="C32"/>
  <c r="C33" a="1"/>
  <c r="C33"/>
  <c r="C34" a="1"/>
  <c r="C34"/>
  <c r="C35" a="1"/>
  <c r="C35"/>
  <c r="C36" a="1"/>
  <c r="C36"/>
  <c r="C37" a="1"/>
  <c r="C37"/>
  <c r="C38" a="1"/>
  <c r="C38"/>
  <c r="C39" a="1"/>
  <c r="C39"/>
  <c r="C40" a="1"/>
  <c r="C40"/>
  <c r="C41" a="1"/>
  <c r="C41"/>
  <c r="C42" a="1"/>
  <c r="C42"/>
  <c r="C43" a="1"/>
  <c r="C43"/>
  <c r="C44" a="1"/>
  <c r="C44"/>
  <c r="C45" a="1"/>
  <c r="C45"/>
  <c r="C46" a="1"/>
  <c r="C46"/>
  <c r="C47" a="1"/>
  <c r="C47"/>
  <c r="C48" a="1"/>
  <c r="C48"/>
  <c r="C49" a="1"/>
  <c r="C49"/>
  <c r="C50" a="1"/>
  <c r="C50"/>
  <c r="C51" a="1"/>
  <c r="C51"/>
  <c r="C52" a="1"/>
  <c r="C52"/>
  <c r="C53" a="1"/>
  <c r="C53"/>
  <c r="C54" a="1"/>
  <c r="C54"/>
  <c r="C55" a="1"/>
  <c r="C55"/>
  <c r="C56" a="1"/>
  <c r="C56"/>
  <c r="C57" a="1"/>
  <c r="C57"/>
  <c r="C58" a="1"/>
  <c r="C58"/>
  <c r="C59" a="1"/>
  <c r="C59"/>
  <c r="C60" a="1"/>
  <c r="C60"/>
  <c r="C61" a="1"/>
  <c r="C61"/>
  <c r="C62" a="1"/>
  <c r="C62"/>
  <c r="C63" a="1"/>
  <c r="C63"/>
  <c r="C64" a="1"/>
  <c r="C64"/>
  <c r="C65" a="1"/>
  <c r="C65"/>
  <c r="C66" a="1"/>
  <c r="C66"/>
  <c r="C67" a="1"/>
  <c r="C67"/>
  <c r="C68" a="1"/>
  <c r="C68"/>
  <c r="C69" a="1"/>
  <c r="C69"/>
  <c r="C70" a="1"/>
  <c r="C70"/>
  <c r="C71" a="1"/>
  <c r="C71"/>
  <c r="C72" a="1"/>
  <c r="C72"/>
  <c r="C73" a="1"/>
  <c r="C73"/>
  <c r="C74" a="1"/>
  <c r="C74"/>
  <c r="C75" a="1"/>
  <c r="C75"/>
  <c r="C76" a="1"/>
  <c r="C76"/>
  <c r="C77" a="1"/>
  <c r="C77"/>
  <c r="C78" a="1"/>
  <c r="C78"/>
  <c r="C79" a="1"/>
  <c r="C79"/>
  <c r="C80" a="1"/>
  <c r="C80"/>
  <c r="C81" a="1"/>
  <c r="C81"/>
  <c r="C82" a="1"/>
  <c r="C82"/>
  <c r="C83" a="1"/>
  <c r="C83"/>
  <c r="C84" a="1"/>
  <c r="C84"/>
  <c r="C85" a="1"/>
  <c r="C85"/>
  <c r="C86" a="1"/>
  <c r="C86"/>
  <c r="C87" a="1"/>
  <c r="C87"/>
  <c r="C88" a="1"/>
  <c r="C88"/>
  <c r="C89" a="1"/>
  <c r="C89"/>
  <c r="C90" a="1"/>
  <c r="C90"/>
  <c r="C91" a="1"/>
  <c r="C91"/>
  <c r="C92" a="1"/>
  <c r="C92"/>
  <c r="C93" a="1"/>
  <c r="C93"/>
  <c r="C94" a="1"/>
  <c r="C94"/>
  <c r="C95" a="1"/>
  <c r="C95"/>
  <c r="C96" a="1"/>
  <c r="C96"/>
  <c r="C97" a="1"/>
  <c r="C97"/>
  <c r="C98" a="1"/>
  <c r="C98"/>
  <c r="C99" a="1"/>
  <c r="C99"/>
  <c r="C100" a="1"/>
  <c r="C100"/>
  <c r="C101" a="1"/>
  <c r="C101"/>
  <c r="C102" a="1"/>
  <c r="C102"/>
  <c r="C103" a="1"/>
  <c r="C103"/>
  <c r="C104" a="1"/>
  <c r="C104"/>
  <c r="C105" a="1"/>
  <c r="C105"/>
  <c r="C106" a="1"/>
  <c r="C106"/>
  <c r="C107" a="1"/>
  <c r="C107"/>
  <c r="C108" a="1"/>
  <c r="C108"/>
  <c r="C109" a="1"/>
  <c r="C109"/>
  <c r="C110" a="1"/>
  <c r="C110"/>
  <c r="C111" a="1"/>
  <c r="C111"/>
  <c r="C112" a="1"/>
  <c r="C112"/>
  <c r="C113" a="1"/>
  <c r="C113"/>
  <c r="C114" a="1"/>
  <c r="C114"/>
  <c r="C115" a="1"/>
  <c r="C115"/>
  <c r="C116" a="1"/>
  <c r="C116"/>
  <c r="C117" a="1"/>
  <c r="C117"/>
  <c r="C118" a="1"/>
  <c r="C118"/>
  <c r="C119" a="1"/>
  <c r="C119"/>
  <c r="C120" a="1"/>
  <c r="C120"/>
  <c r="C121" a="1"/>
  <c r="C121"/>
  <c r="C122" a="1"/>
  <c r="C122"/>
  <c r="C123" a="1"/>
  <c r="C123"/>
  <c r="C124" a="1"/>
  <c r="C124"/>
  <c r="C125" a="1"/>
  <c r="C125"/>
  <c r="C126" a="1"/>
  <c r="C126"/>
  <c r="C127" a="1"/>
  <c r="C127"/>
  <c r="C128" a="1"/>
  <c r="C128"/>
  <c r="C129" a="1"/>
  <c r="C129"/>
  <c r="C130" a="1"/>
  <c r="C130"/>
  <c r="C131" a="1"/>
  <c r="C131"/>
  <c r="C132" a="1"/>
  <c r="C132"/>
  <c r="C133" a="1"/>
  <c r="C133"/>
  <c r="C134" a="1"/>
  <c r="C134"/>
  <c r="C28" a="1"/>
  <c r="C28"/>
  <c r="H26"/>
  <c r="B26"/>
  <c r="C26"/>
  <c r="D26"/>
  <c r="E26"/>
  <c r="E11" i="10" a="1"/>
  <c r="E12" a="1"/>
  <c r="E13" a="1"/>
  <c r="E14" a="1"/>
  <c r="E15" a="1"/>
  <c r="E16" a="1"/>
  <c r="E17" a="1"/>
  <c r="E18" a="1"/>
  <c r="E19" a="1"/>
  <c r="E20" a="1"/>
  <c r="E21" a="1"/>
  <c r="E22" a="1"/>
  <c r="E23" a="1"/>
  <c r="E24" a="1"/>
  <c r="E25" a="1"/>
  <c r="E26" a="1"/>
  <c r="E27" a="1"/>
  <c r="E28" a="1"/>
  <c r="E29" a="1"/>
  <c r="E30" a="1"/>
  <c r="E31" a="1"/>
  <c r="E32" a="1"/>
  <c r="E33" a="1"/>
  <c r="E34" a="1"/>
  <c r="E35" a="1"/>
  <c r="E36" a="1"/>
  <c r="E37" a="1"/>
  <c r="E38" a="1"/>
  <c r="E39" a="1"/>
  <c r="E40" a="1"/>
  <c r="E41" a="1"/>
  <c r="E42" a="1"/>
  <c r="E43" a="1"/>
  <c r="E44" a="1"/>
  <c r="E45" a="1"/>
  <c r="E46" a="1"/>
  <c r="E47" a="1"/>
  <c r="E48" a="1"/>
  <c r="E49" a="1"/>
  <c r="E50" a="1"/>
  <c r="E51" a="1"/>
  <c r="E52" a="1"/>
  <c r="E53" a="1"/>
  <c r="E54" a="1"/>
  <c r="E55" a="1"/>
  <c r="E56" a="1"/>
  <c r="E57" a="1"/>
  <c r="E58" a="1"/>
  <c r="E59" a="1"/>
  <c r="E60" a="1"/>
  <c r="E61" a="1"/>
  <c r="E62" a="1"/>
  <c r="E63" a="1"/>
  <c r="E64" a="1"/>
  <c r="E65" a="1"/>
  <c r="E66" a="1"/>
  <c r="E67" a="1"/>
  <c r="E68" a="1"/>
  <c r="E2"/>
  <c r="H54" i="2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 a="1"/>
  <c r="H13"/>
  <c r="H12" a="1"/>
  <c r="H12"/>
  <c r="H11" a="1"/>
  <c r="H11"/>
  <c r="H10" a="1"/>
  <c r="H10"/>
  <c r="H9" a="1"/>
  <c r="H9"/>
  <c r="H8" a="1"/>
  <c r="H8"/>
  <c r="H7" a="1"/>
  <c r="H7"/>
  <c r="H6" a="1"/>
  <c r="H6"/>
  <c r="H5" a="1"/>
  <c r="H5"/>
  <c r="H4" a="1"/>
  <c r="H4"/>
  <c r="H3" a="1"/>
  <c r="H3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 a="1"/>
  <c r="G13"/>
  <c r="G12" a="1"/>
  <c r="G12"/>
  <c r="G11" a="1"/>
  <c r="G11"/>
  <c r="G10" a="1"/>
  <c r="G10"/>
  <c r="G9" a="1"/>
  <c r="G9"/>
  <c r="G8" a="1"/>
  <c r="G8"/>
  <c r="G7" a="1"/>
  <c r="G7"/>
  <c r="G6" a="1"/>
  <c r="G6"/>
  <c r="G5" a="1"/>
  <c r="G5"/>
  <c r="G4" a="1"/>
  <c r="G4"/>
  <c r="G3" a="1"/>
  <c r="G3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15"/>
  <c r="E74" i="7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4" a="1"/>
  <c r="E14"/>
  <c r="E13" a="1"/>
  <c r="E13"/>
  <c r="E12" a="1"/>
  <c r="E12"/>
  <c r="E11" a="1"/>
  <c r="E11"/>
  <c r="E10" a="1"/>
  <c r="E10"/>
  <c r="E9" a="1"/>
  <c r="E9"/>
  <c r="E8" a="1"/>
  <c r="E8"/>
  <c r="E7" a="1"/>
  <c r="E7"/>
  <c r="E6" a="1"/>
  <c r="E6"/>
  <c r="E5" a="1"/>
  <c r="E5"/>
  <c r="E4" a="1"/>
  <c r="E4"/>
  <c r="E3" a="1"/>
  <c r="E3"/>
  <c r="E2" a="1"/>
  <c r="E2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18"/>
  <c r="F16"/>
  <c r="C16"/>
  <c r="B16"/>
  <c r="D16"/>
  <c r="D17"/>
  <c r="H27" i="19" a="1"/>
  <c r="H27"/>
  <c r="H26" a="1"/>
  <c r="H26"/>
  <c r="H25" a="1"/>
  <c r="H25"/>
  <c r="H24" a="1"/>
  <c r="H24"/>
  <c r="H23" a="1"/>
  <c r="H23"/>
  <c r="H22" a="1"/>
  <c r="H22"/>
  <c r="H21" a="1"/>
  <c r="H21"/>
  <c r="H20" a="1"/>
  <c r="H20"/>
  <c r="H19" a="1"/>
  <c r="H19"/>
  <c r="H18" a="1"/>
  <c r="H18"/>
  <c r="H17" a="1"/>
  <c r="H17"/>
  <c r="H16" a="1"/>
  <c r="H16"/>
  <c r="H15" a="1"/>
  <c r="H15"/>
  <c r="H14" a="1"/>
  <c r="H14"/>
  <c r="H13" a="1"/>
  <c r="H13"/>
  <c r="H12" a="1"/>
  <c r="H12"/>
  <c r="H11" a="1"/>
  <c r="H11"/>
  <c r="H9" a="1"/>
  <c r="H9"/>
  <c r="H8" a="1"/>
  <c r="H8"/>
  <c r="H7" a="1"/>
  <c r="H7"/>
  <c r="H6" a="1"/>
  <c r="H6"/>
  <c r="H5" a="1"/>
  <c r="H5"/>
  <c r="H4" a="1"/>
  <c r="H4"/>
  <c r="H3" a="1"/>
  <c r="H3"/>
  <c r="G27" a="1"/>
  <c r="G27"/>
  <c r="G26" a="1"/>
  <c r="G26"/>
  <c r="G25" a="1"/>
  <c r="G25"/>
  <c r="G24" a="1"/>
  <c r="G24"/>
  <c r="G23" a="1"/>
  <c r="G23"/>
  <c r="G22" a="1"/>
  <c r="G22"/>
  <c r="G21" a="1"/>
  <c r="G21"/>
  <c r="G20" a="1"/>
  <c r="G20"/>
  <c r="G19" a="1"/>
  <c r="G19"/>
  <c r="G18" a="1"/>
  <c r="G18"/>
  <c r="G17" a="1"/>
  <c r="G17"/>
  <c r="G16" a="1"/>
  <c r="G16"/>
  <c r="G15" a="1"/>
  <c r="G15"/>
  <c r="G14" a="1"/>
  <c r="G14"/>
  <c r="G13" a="1"/>
  <c r="G13"/>
  <c r="G12" a="1"/>
  <c r="G12"/>
  <c r="G11" a="1"/>
  <c r="G11"/>
  <c r="G9" a="1"/>
  <c r="G9"/>
  <c r="G8" a="1"/>
  <c r="G8"/>
  <c r="G7" a="1"/>
  <c r="G7"/>
  <c r="G6" a="1"/>
  <c r="G6"/>
  <c r="G5" a="1"/>
  <c r="G5"/>
  <c r="G4" a="1"/>
  <c r="G4"/>
  <c r="G3" a="1"/>
  <c r="G3"/>
  <c r="F12" a="1"/>
  <c r="F12"/>
  <c r="F13" a="1"/>
  <c r="F13"/>
  <c r="F14" a="1"/>
  <c r="F14"/>
  <c r="F15" a="1"/>
  <c r="F15"/>
  <c r="F16" a="1"/>
  <c r="F16"/>
  <c r="F17" a="1"/>
  <c r="F17"/>
  <c r="F18" a="1"/>
  <c r="F18"/>
  <c r="F19" a="1"/>
  <c r="F19"/>
  <c r="F20" a="1"/>
  <c r="F20"/>
  <c r="F21" a="1"/>
  <c r="F21"/>
  <c r="F22" a="1"/>
  <c r="F22"/>
  <c r="F23" a="1"/>
  <c r="F23"/>
  <c r="F24" a="1"/>
  <c r="F24"/>
  <c r="F25" a="1"/>
  <c r="F25"/>
  <c r="F26" a="1"/>
  <c r="F26"/>
  <c r="F27" a="1"/>
  <c r="F27"/>
  <c r="F11" a="1"/>
  <c r="F11"/>
  <c r="B6" i="17" a="1"/>
  <c r="B6"/>
  <c r="C6" a="1"/>
  <c r="C6"/>
  <c r="B7" a="1"/>
  <c r="B7"/>
  <c r="C7" a="1"/>
  <c r="C7"/>
  <c r="B8" a="1"/>
  <c r="B8"/>
  <c r="C8" a="1"/>
  <c r="C8"/>
  <c r="B9" a="1"/>
  <c r="B9"/>
  <c r="C9" a="1"/>
  <c r="C9"/>
  <c r="B10" a="1"/>
  <c r="B10"/>
  <c r="C10" a="1"/>
  <c r="C10"/>
  <c r="B11" a="1"/>
  <c r="B11"/>
  <c r="C11" a="1"/>
  <c r="C11"/>
  <c r="B12" a="1"/>
  <c r="B12"/>
  <c r="C12" a="1"/>
  <c r="C12"/>
  <c r="D12"/>
  <c r="B13" a="1"/>
  <c r="B13"/>
  <c r="C13" a="1"/>
  <c r="C13"/>
  <c r="B14" a="1"/>
  <c r="B14"/>
  <c r="C14" a="1"/>
  <c r="C14"/>
  <c r="B15" a="1"/>
  <c r="B15"/>
  <c r="C15" a="1"/>
  <c r="C15"/>
  <c r="B16" a="1"/>
  <c r="B16"/>
  <c r="C16" a="1"/>
  <c r="C16"/>
  <c r="B17" a="1"/>
  <c r="B17"/>
  <c r="C17" a="1"/>
  <c r="C17"/>
  <c r="B18" a="1"/>
  <c r="B18"/>
  <c r="C18" a="1"/>
  <c r="C18"/>
  <c r="B19" a="1"/>
  <c r="B19"/>
  <c r="C19" a="1"/>
  <c r="C19"/>
  <c r="B20" a="1"/>
  <c r="B20"/>
  <c r="C20" a="1"/>
  <c r="C20"/>
  <c r="D20"/>
  <c r="B21" a="1"/>
  <c r="B21"/>
  <c r="C21" a="1"/>
  <c r="C21"/>
  <c r="B22" a="1"/>
  <c r="B22"/>
  <c r="C22" a="1"/>
  <c r="C22"/>
  <c r="B23" a="1"/>
  <c r="B23"/>
  <c r="C23" a="1"/>
  <c r="C23"/>
  <c r="B24" a="1"/>
  <c r="B24"/>
  <c r="C24" a="1"/>
  <c r="C24"/>
  <c r="B25" a="1"/>
  <c r="B25"/>
  <c r="C25" a="1"/>
  <c r="C25"/>
  <c r="B26" a="1"/>
  <c r="B26"/>
  <c r="C26" a="1"/>
  <c r="C26"/>
  <c r="B27" a="1"/>
  <c r="B27"/>
  <c r="C27" a="1"/>
  <c r="C27"/>
  <c r="B28" a="1"/>
  <c r="B28"/>
  <c r="C28" a="1"/>
  <c r="C28"/>
  <c r="B29" a="1"/>
  <c r="B29"/>
  <c r="C29" a="1"/>
  <c r="C29"/>
  <c r="D29"/>
  <c r="B30" a="1"/>
  <c r="B30"/>
  <c r="C30" a="1"/>
  <c r="C30"/>
  <c r="B31" a="1"/>
  <c r="B31"/>
  <c r="C31" a="1"/>
  <c r="C31"/>
  <c r="B32" a="1"/>
  <c r="B32"/>
  <c r="C32" a="1"/>
  <c r="C32"/>
  <c r="B33" a="1"/>
  <c r="B33"/>
  <c r="C33" a="1"/>
  <c r="C33"/>
  <c r="B34" a="1"/>
  <c r="B34"/>
  <c r="C34" a="1"/>
  <c r="C34"/>
  <c r="B35" a="1"/>
  <c r="B35"/>
  <c r="C35" a="1"/>
  <c r="C35"/>
  <c r="B36" a="1"/>
  <c r="B36"/>
  <c r="C36" a="1"/>
  <c r="C36"/>
  <c r="B37" a="1"/>
  <c r="B37"/>
  <c r="C37" a="1"/>
  <c r="C37"/>
  <c r="D37"/>
  <c r="B38" a="1"/>
  <c r="B38"/>
  <c r="C38" a="1"/>
  <c r="C38"/>
  <c r="B39" a="1"/>
  <c r="B39"/>
  <c r="C39" a="1"/>
  <c r="C39"/>
  <c r="B40" a="1"/>
  <c r="B40"/>
  <c r="C40" a="1"/>
  <c r="C40"/>
  <c r="B41" a="1"/>
  <c r="B41"/>
  <c r="C41" a="1"/>
  <c r="C41"/>
  <c r="B42" a="1"/>
  <c r="B42"/>
  <c r="C42" a="1"/>
  <c r="C42"/>
  <c r="B43" a="1"/>
  <c r="B43"/>
  <c r="C43" a="1"/>
  <c r="C43"/>
  <c r="B44" a="1"/>
  <c r="B44"/>
  <c r="C44" a="1"/>
  <c r="C44"/>
  <c r="B45" a="1"/>
  <c r="B45"/>
  <c r="C45" a="1"/>
  <c r="C45"/>
  <c r="D45"/>
  <c r="B46" a="1"/>
  <c r="B46"/>
  <c r="C46" a="1"/>
  <c r="C46"/>
  <c r="B47" a="1"/>
  <c r="B47"/>
  <c r="C47" a="1"/>
  <c r="C47"/>
  <c r="B48" a="1"/>
  <c r="B48"/>
  <c r="C48" a="1"/>
  <c r="C48"/>
  <c r="B49" a="1"/>
  <c r="B49"/>
  <c r="C49" a="1"/>
  <c r="C49"/>
  <c r="B50" a="1"/>
  <c r="B50"/>
  <c r="C50" a="1"/>
  <c r="C50"/>
  <c r="B51" a="1"/>
  <c r="B51"/>
  <c r="C51" a="1"/>
  <c r="C51"/>
  <c r="B52" a="1"/>
  <c r="B52"/>
  <c r="C52" a="1"/>
  <c r="C52"/>
  <c r="B53" a="1"/>
  <c r="B53"/>
  <c r="C53" a="1"/>
  <c r="C53"/>
  <c r="D53"/>
  <c r="B54" a="1"/>
  <c r="B54"/>
  <c r="C54" a="1"/>
  <c r="C54"/>
  <c r="B55" a="1"/>
  <c r="B55"/>
  <c r="C55" a="1"/>
  <c r="C55"/>
  <c r="B56" a="1"/>
  <c r="B56"/>
  <c r="C56" a="1"/>
  <c r="C56"/>
  <c r="B57" a="1"/>
  <c r="B57"/>
  <c r="C57" a="1"/>
  <c r="C57"/>
  <c r="B58" a="1"/>
  <c r="B58"/>
  <c r="C58" a="1"/>
  <c r="C58"/>
  <c r="B59" a="1"/>
  <c r="B59"/>
  <c r="C59" a="1"/>
  <c r="C59"/>
  <c r="B60" a="1"/>
  <c r="B60"/>
  <c r="C60" a="1"/>
  <c r="C60"/>
  <c r="D60"/>
  <c r="B61" a="1"/>
  <c r="B61"/>
  <c r="C61" a="1"/>
  <c r="C61"/>
  <c r="B62" a="1"/>
  <c r="B62"/>
  <c r="C62" a="1"/>
  <c r="C62"/>
  <c r="D62"/>
  <c r="B63" a="1"/>
  <c r="B63"/>
  <c r="C63" a="1"/>
  <c r="C63"/>
  <c r="B64" a="1"/>
  <c r="B64"/>
  <c r="C64" a="1"/>
  <c r="C64"/>
  <c r="D64"/>
  <c r="B65" a="1"/>
  <c r="B65"/>
  <c r="C65" a="1"/>
  <c r="C65"/>
  <c r="B66" a="1"/>
  <c r="B66"/>
  <c r="C66" a="1"/>
  <c r="C66"/>
  <c r="B67" a="1"/>
  <c r="B67"/>
  <c r="C67" a="1"/>
  <c r="C67"/>
  <c r="B68" a="1"/>
  <c r="B68"/>
  <c r="C68" a="1"/>
  <c r="C68"/>
  <c r="D68"/>
  <c r="B69" a="1"/>
  <c r="B69"/>
  <c r="C69" a="1"/>
  <c r="C69"/>
  <c r="B70" a="1"/>
  <c r="B70"/>
  <c r="C70" a="1"/>
  <c r="C70"/>
  <c r="D70"/>
  <c r="B71" a="1"/>
  <c r="B71"/>
  <c r="C71" a="1"/>
  <c r="C71"/>
  <c r="B72" a="1"/>
  <c r="B72"/>
  <c r="C72" a="1"/>
  <c r="C72"/>
  <c r="D72"/>
  <c r="B73" a="1"/>
  <c r="B73"/>
  <c r="C73" a="1"/>
  <c r="C73"/>
  <c r="B74" a="1"/>
  <c r="B74"/>
  <c r="C74" a="1"/>
  <c r="C74"/>
  <c r="B75" a="1"/>
  <c r="B75"/>
  <c r="C75" a="1"/>
  <c r="C75"/>
  <c r="D75"/>
  <c r="B76" a="1"/>
  <c r="B76"/>
  <c r="C76" a="1"/>
  <c r="C76"/>
  <c r="B77" a="1"/>
  <c r="B77"/>
  <c r="C77" a="1"/>
  <c r="C77"/>
  <c r="B78" a="1"/>
  <c r="B78"/>
  <c r="C78" a="1"/>
  <c r="C78"/>
  <c r="B79" a="1"/>
  <c r="B79"/>
  <c r="C79" a="1"/>
  <c r="C79"/>
  <c r="B80" a="1"/>
  <c r="B80"/>
  <c r="C80" a="1"/>
  <c r="C80"/>
  <c r="B81" a="1"/>
  <c r="B81"/>
  <c r="C81" a="1"/>
  <c r="C81"/>
  <c r="B82" a="1"/>
  <c r="B82"/>
  <c r="C82" a="1"/>
  <c r="C82"/>
  <c r="B83" a="1"/>
  <c r="B83"/>
  <c r="C83" a="1"/>
  <c r="C83"/>
  <c r="D83"/>
  <c r="B84" a="1"/>
  <c r="B84"/>
  <c r="C84" a="1"/>
  <c r="C84"/>
  <c r="B85" a="1"/>
  <c r="B85"/>
  <c r="C85" a="1"/>
  <c r="C85"/>
  <c r="B86" a="1"/>
  <c r="B86"/>
  <c r="C86" a="1"/>
  <c r="C86"/>
  <c r="B87" a="1"/>
  <c r="B87"/>
  <c r="C87" a="1"/>
  <c r="C87"/>
  <c r="B88" a="1"/>
  <c r="B88"/>
  <c r="C88" a="1"/>
  <c r="C88"/>
  <c r="B89" a="1"/>
  <c r="B89"/>
  <c r="C89" a="1"/>
  <c r="C89"/>
  <c r="B90" a="1"/>
  <c r="B90"/>
  <c r="C90" a="1"/>
  <c r="C90"/>
  <c r="B91" a="1"/>
  <c r="B91"/>
  <c r="C91" a="1"/>
  <c r="C91"/>
  <c r="D91"/>
  <c r="B92" a="1"/>
  <c r="B92"/>
  <c r="C92" a="1"/>
  <c r="C92"/>
  <c r="B93" a="1"/>
  <c r="B93"/>
  <c r="C93" a="1"/>
  <c r="C93"/>
  <c r="B94" a="1"/>
  <c r="B94"/>
  <c r="C94" a="1"/>
  <c r="C94"/>
  <c r="B95" a="1"/>
  <c r="B95"/>
  <c r="C95" a="1"/>
  <c r="C95"/>
  <c r="B96" a="1"/>
  <c r="B96"/>
  <c r="C96" a="1"/>
  <c r="C96"/>
  <c r="D96"/>
  <c r="B97" a="1"/>
  <c r="B97"/>
  <c r="C97" a="1"/>
  <c r="C97"/>
  <c r="B98" a="1"/>
  <c r="B98"/>
  <c r="C98" a="1"/>
  <c r="C98"/>
  <c r="D98"/>
  <c r="B99" a="1"/>
  <c r="B99"/>
  <c r="C99" a="1"/>
  <c r="C99"/>
  <c r="B100" a="1"/>
  <c r="B100"/>
  <c r="C100" a="1"/>
  <c r="C100"/>
  <c r="D100"/>
  <c r="B101" a="1"/>
  <c r="B101"/>
  <c r="C101" a="1"/>
  <c r="C101"/>
  <c r="B102" a="1"/>
  <c r="B102"/>
  <c r="C102" a="1"/>
  <c r="C102"/>
  <c r="D102"/>
  <c r="B103" a="1"/>
  <c r="B103"/>
  <c r="C103" a="1"/>
  <c r="C103"/>
  <c r="B104" a="1"/>
  <c r="B104"/>
  <c r="C104" a="1"/>
  <c r="C104"/>
  <c r="D104"/>
  <c r="B105" a="1"/>
  <c r="B105"/>
  <c r="C105" a="1"/>
  <c r="C105"/>
  <c r="B106" a="1"/>
  <c r="B106"/>
  <c r="C106" a="1"/>
  <c r="C106"/>
  <c r="D106"/>
  <c r="B107" a="1"/>
  <c r="B107"/>
  <c r="C107" a="1"/>
  <c r="C107"/>
  <c r="B108" a="1"/>
  <c r="B108"/>
  <c r="C108" a="1"/>
  <c r="C108"/>
  <c r="D108"/>
  <c r="B109" a="1"/>
  <c r="B109"/>
  <c r="C109" a="1"/>
  <c r="C109"/>
  <c r="B110" a="1"/>
  <c r="B110"/>
  <c r="C110" a="1"/>
  <c r="C110"/>
  <c r="D110"/>
  <c r="B111" a="1"/>
  <c r="B111"/>
  <c r="C111" a="1"/>
  <c r="C111"/>
  <c r="B112" a="1"/>
  <c r="B112"/>
  <c r="C112" a="1"/>
  <c r="C112"/>
  <c r="E5" a="1"/>
  <c r="E5"/>
  <c r="E6" a="1"/>
  <c r="E6"/>
  <c r="E7" a="1"/>
  <c r="E7"/>
  <c r="E8" a="1"/>
  <c r="E8"/>
  <c r="E9" a="1"/>
  <c r="E9"/>
  <c r="E10" a="1"/>
  <c r="E10"/>
  <c r="E11" a="1"/>
  <c r="E11"/>
  <c r="E12" a="1"/>
  <c r="E12"/>
  <c r="E13" a="1"/>
  <c r="E13"/>
  <c r="E14" a="1"/>
  <c r="E14"/>
  <c r="E15" a="1"/>
  <c r="E15"/>
  <c r="E16" a="1"/>
  <c r="E16"/>
  <c r="E17" a="1"/>
  <c r="E17"/>
  <c r="E18" a="1"/>
  <c r="E18"/>
  <c r="E19" a="1"/>
  <c r="E19"/>
  <c r="E20" a="1"/>
  <c r="E20"/>
  <c r="E21" a="1"/>
  <c r="E21"/>
  <c r="E22" a="1"/>
  <c r="E22"/>
  <c r="E23" a="1"/>
  <c r="E23"/>
  <c r="E24" a="1"/>
  <c r="E24"/>
  <c r="E25" a="1"/>
  <c r="E25"/>
  <c r="E26" a="1"/>
  <c r="E26"/>
  <c r="E27" a="1"/>
  <c r="E27"/>
  <c r="E28" a="1"/>
  <c r="E28"/>
  <c r="E29" a="1"/>
  <c r="E29"/>
  <c r="E30" a="1"/>
  <c r="E30"/>
  <c r="E31" a="1"/>
  <c r="E31"/>
  <c r="E32" a="1"/>
  <c r="E32"/>
  <c r="E33" a="1"/>
  <c r="E33"/>
  <c r="E34" a="1"/>
  <c r="E34"/>
  <c r="E35" a="1"/>
  <c r="E35"/>
  <c r="E36" a="1"/>
  <c r="E36"/>
  <c r="E37" a="1"/>
  <c r="E37"/>
  <c r="E38" a="1"/>
  <c r="E38"/>
  <c r="E39" a="1"/>
  <c r="E39"/>
  <c r="E40" a="1"/>
  <c r="E40"/>
  <c r="E41" a="1"/>
  <c r="E41"/>
  <c r="E42" a="1"/>
  <c r="E42"/>
  <c r="E43" a="1"/>
  <c r="E43"/>
  <c r="E44" a="1"/>
  <c r="E44"/>
  <c r="E45" a="1"/>
  <c r="E45"/>
  <c r="E46" a="1"/>
  <c r="E46"/>
  <c r="E47" a="1"/>
  <c r="E47"/>
  <c r="E48" a="1"/>
  <c r="E48"/>
  <c r="E49" a="1"/>
  <c r="E49"/>
  <c r="E50" a="1"/>
  <c r="E50"/>
  <c r="E51" a="1"/>
  <c r="E51"/>
  <c r="E52" a="1"/>
  <c r="E52"/>
  <c r="E53" a="1"/>
  <c r="E53"/>
  <c r="E54" a="1"/>
  <c r="E54"/>
  <c r="E55" a="1"/>
  <c r="E55"/>
  <c r="E56" a="1"/>
  <c r="E56"/>
  <c r="E57" a="1"/>
  <c r="E57"/>
  <c r="E58" a="1"/>
  <c r="E58"/>
  <c r="E59" a="1"/>
  <c r="E59"/>
  <c r="E60" a="1"/>
  <c r="E60"/>
  <c r="E61" a="1"/>
  <c r="E61"/>
  <c r="E62" a="1"/>
  <c r="E62"/>
  <c r="E63" a="1"/>
  <c r="E63"/>
  <c r="E64" a="1"/>
  <c r="E64"/>
  <c r="E65" a="1"/>
  <c r="E65"/>
  <c r="E66" a="1"/>
  <c r="E66"/>
  <c r="E67" a="1"/>
  <c r="E67"/>
  <c r="E68" a="1"/>
  <c r="E68"/>
  <c r="E69" a="1"/>
  <c r="E69"/>
  <c r="E70" a="1"/>
  <c r="E70"/>
  <c r="E71" a="1"/>
  <c r="E71"/>
  <c r="E72" a="1"/>
  <c r="E72"/>
  <c r="E73" a="1"/>
  <c r="E73"/>
  <c r="E74" a="1"/>
  <c r="E74"/>
  <c r="E75" a="1"/>
  <c r="E75"/>
  <c r="E76" a="1"/>
  <c r="E76"/>
  <c r="E77" a="1"/>
  <c r="E77"/>
  <c r="E78" a="1"/>
  <c r="E78"/>
  <c r="E79" a="1"/>
  <c r="E79"/>
  <c r="E80" a="1"/>
  <c r="E80"/>
  <c r="E81" a="1"/>
  <c r="E81"/>
  <c r="E82" a="1"/>
  <c r="E82"/>
  <c r="E83" a="1"/>
  <c r="E83"/>
  <c r="E84" a="1"/>
  <c r="E84"/>
  <c r="E85" a="1"/>
  <c r="E85"/>
  <c r="E86" a="1"/>
  <c r="E86"/>
  <c r="E87" a="1"/>
  <c r="E87"/>
  <c r="E88" a="1"/>
  <c r="E88"/>
  <c r="E89" a="1"/>
  <c r="E89"/>
  <c r="E90" a="1"/>
  <c r="E90"/>
  <c r="E91" a="1"/>
  <c r="E91"/>
  <c r="E92" a="1"/>
  <c r="E92"/>
  <c r="E93" a="1"/>
  <c r="E93"/>
  <c r="E94" a="1"/>
  <c r="E94"/>
  <c r="E95" a="1"/>
  <c r="E95"/>
  <c r="E96" a="1"/>
  <c r="E96"/>
  <c r="E97" a="1"/>
  <c r="E97"/>
  <c r="E98" a="1"/>
  <c r="E98"/>
  <c r="E99" a="1"/>
  <c r="E99"/>
  <c r="E100" a="1"/>
  <c r="E100"/>
  <c r="E101" a="1"/>
  <c r="E101"/>
  <c r="E102" a="1"/>
  <c r="E102"/>
  <c r="E103" a="1"/>
  <c r="E103"/>
  <c r="E104" a="1"/>
  <c r="E104"/>
  <c r="E105" a="1"/>
  <c r="E105"/>
  <c r="E106" a="1"/>
  <c r="E106"/>
  <c r="E107" a="1"/>
  <c r="E107"/>
  <c r="E108" a="1"/>
  <c r="E108"/>
  <c r="E109" a="1"/>
  <c r="E109"/>
  <c r="E110" a="1"/>
  <c r="E110"/>
  <c r="E111" a="1"/>
  <c r="E111"/>
  <c r="E112" a="1"/>
  <c r="E112"/>
  <c r="C5" a="1"/>
  <c r="C5"/>
  <c r="B5" a="1"/>
  <c r="B5"/>
  <c r="B28" i="16" a="1"/>
  <c r="B28"/>
  <c r="B29" a="1"/>
  <c r="B29"/>
  <c r="B30" a="1"/>
  <c r="B30"/>
  <c r="B31" a="1"/>
  <c r="B31"/>
  <c r="B32" a="1"/>
  <c r="B32"/>
  <c r="B33" a="1"/>
  <c r="B33"/>
  <c r="B34" a="1"/>
  <c r="B34"/>
  <c r="B35" a="1"/>
  <c r="B35"/>
  <c r="B36" a="1"/>
  <c r="B36"/>
  <c r="B37" a="1"/>
  <c r="B37"/>
  <c r="B38" a="1"/>
  <c r="B38"/>
  <c r="B39" a="1"/>
  <c r="B39"/>
  <c r="B40" a="1"/>
  <c r="B40"/>
  <c r="B41" a="1"/>
  <c r="B41"/>
  <c r="B42" a="1"/>
  <c r="B42"/>
  <c r="B43" a="1"/>
  <c r="B43"/>
  <c r="B44" a="1"/>
  <c r="B44"/>
  <c r="B45" a="1"/>
  <c r="B45"/>
  <c r="B46" a="1"/>
  <c r="B46"/>
  <c r="B47" a="1"/>
  <c r="B47"/>
  <c r="B48" a="1"/>
  <c r="B48"/>
  <c r="B49" a="1"/>
  <c r="B49"/>
  <c r="B50" a="1"/>
  <c r="B50"/>
  <c r="B51" a="1"/>
  <c r="B51"/>
  <c r="B52" a="1"/>
  <c r="B52"/>
  <c r="B53" a="1"/>
  <c r="B53"/>
  <c r="B54" a="1"/>
  <c r="B54"/>
  <c r="B55" a="1"/>
  <c r="B55"/>
  <c r="B56" a="1"/>
  <c r="B56"/>
  <c r="B57" a="1"/>
  <c r="B57"/>
  <c r="B58" a="1"/>
  <c r="B58"/>
  <c r="B59" a="1"/>
  <c r="B59"/>
  <c r="B60" a="1"/>
  <c r="B60"/>
  <c r="B61" a="1"/>
  <c r="B61"/>
  <c r="B62" a="1"/>
  <c r="B62"/>
  <c r="B63" a="1"/>
  <c r="B63"/>
  <c r="B64" a="1"/>
  <c r="B64"/>
  <c r="B65" a="1"/>
  <c r="B65"/>
  <c r="B66" a="1"/>
  <c r="B66"/>
  <c r="B67" a="1"/>
  <c r="B67"/>
  <c r="B68" a="1"/>
  <c r="B68"/>
  <c r="B69" a="1"/>
  <c r="B69"/>
  <c r="B70" a="1"/>
  <c r="B70"/>
  <c r="B71" a="1"/>
  <c r="B71"/>
  <c r="B72" a="1"/>
  <c r="B72"/>
  <c r="B73" a="1"/>
  <c r="B73"/>
  <c r="B74" a="1"/>
  <c r="B74"/>
  <c r="B75" a="1"/>
  <c r="B75"/>
  <c r="B76" a="1"/>
  <c r="B76"/>
  <c r="B77" a="1"/>
  <c r="B77"/>
  <c r="B78" a="1"/>
  <c r="B78"/>
  <c r="B79" a="1"/>
  <c r="B79"/>
  <c r="B80" a="1"/>
  <c r="B80"/>
  <c r="B81" a="1"/>
  <c r="B81"/>
  <c r="B82" a="1"/>
  <c r="B82"/>
  <c r="B83" a="1"/>
  <c r="B83"/>
  <c r="B84" a="1"/>
  <c r="B84"/>
  <c r="B85" a="1"/>
  <c r="B85"/>
  <c r="B86" a="1"/>
  <c r="B86"/>
  <c r="B87" a="1"/>
  <c r="B87"/>
  <c r="B88" a="1"/>
  <c r="B88"/>
  <c r="B89" a="1"/>
  <c r="B89"/>
  <c r="B90" a="1"/>
  <c r="B90"/>
  <c r="B91" a="1"/>
  <c r="B91"/>
  <c r="B92" a="1"/>
  <c r="B92"/>
  <c r="B93" a="1"/>
  <c r="B93"/>
  <c r="B94" a="1"/>
  <c r="B94"/>
  <c r="B95" a="1"/>
  <c r="B95"/>
  <c r="B96" a="1"/>
  <c r="B96"/>
  <c r="B97" a="1"/>
  <c r="B97"/>
  <c r="B98" a="1"/>
  <c r="B98"/>
  <c r="B99" a="1"/>
  <c r="B99"/>
  <c r="B100" a="1"/>
  <c r="B100"/>
  <c r="B101" a="1"/>
  <c r="B101"/>
  <c r="B102" a="1"/>
  <c r="B102"/>
  <c r="B103" a="1"/>
  <c r="B103"/>
  <c r="B104" a="1"/>
  <c r="B104"/>
  <c r="B105" a="1"/>
  <c r="B105"/>
  <c r="B106" a="1"/>
  <c r="B106"/>
  <c r="B107" a="1"/>
  <c r="B107"/>
  <c r="B108" a="1"/>
  <c r="B108"/>
  <c r="B109" a="1"/>
  <c r="B109"/>
  <c r="B110" a="1"/>
  <c r="B110"/>
  <c r="B111" a="1"/>
  <c r="B111"/>
  <c r="B112" a="1"/>
  <c r="B112"/>
  <c r="B113" a="1"/>
  <c r="B113"/>
  <c r="B114" a="1"/>
  <c r="B114"/>
  <c r="B115" a="1"/>
  <c r="B115"/>
  <c r="B116" a="1"/>
  <c r="B116"/>
  <c r="B117" a="1"/>
  <c r="B117"/>
  <c r="B118" a="1"/>
  <c r="B118"/>
  <c r="B119" a="1"/>
  <c r="B119"/>
  <c r="B120" a="1"/>
  <c r="B120"/>
  <c r="B121" a="1"/>
  <c r="B121"/>
  <c r="B122" a="1"/>
  <c r="B122"/>
  <c r="B123" a="1"/>
  <c r="B123"/>
  <c r="B124" a="1"/>
  <c r="B124"/>
  <c r="B125" a="1"/>
  <c r="B125"/>
  <c r="B126" a="1"/>
  <c r="B126"/>
  <c r="B127" a="1"/>
  <c r="B127"/>
  <c r="B128" a="1"/>
  <c r="B128"/>
  <c r="B129" a="1"/>
  <c r="B129"/>
  <c r="B130" a="1"/>
  <c r="B130"/>
  <c r="B131" a="1"/>
  <c r="B131"/>
  <c r="B132" a="1"/>
  <c r="B132"/>
  <c r="B133" a="1"/>
  <c r="B133"/>
  <c r="B134" a="1"/>
  <c r="B134"/>
  <c r="B27" a="1"/>
  <c r="B27"/>
  <c r="K14" i="24"/>
  <c r="J14"/>
  <c r="C14"/>
  <c r="D14"/>
  <c r="E14"/>
  <c r="F14"/>
  <c r="I14"/>
  <c r="M14"/>
  <c r="B14"/>
  <c r="J39" a="1"/>
  <c r="J39"/>
  <c r="J38" a="1"/>
  <c r="J38"/>
  <c r="J37" a="1"/>
  <c r="J37"/>
  <c r="J36" a="1"/>
  <c r="J36"/>
  <c r="J35" a="1"/>
  <c r="J35"/>
  <c r="J34" a="1"/>
  <c r="J34"/>
  <c r="J33" a="1"/>
  <c r="J33"/>
  <c r="J32" a="1"/>
  <c r="J32"/>
  <c r="J31" a="1"/>
  <c r="J31"/>
  <c r="J30" a="1"/>
  <c r="J30"/>
  <c r="J29" a="1"/>
  <c r="J29"/>
  <c r="J28" a="1"/>
  <c r="J28"/>
  <c r="J27" a="1"/>
  <c r="J27"/>
  <c r="J26" a="1"/>
  <c r="J26"/>
  <c r="J25" a="1"/>
  <c r="J25"/>
  <c r="J24" a="1"/>
  <c r="J24"/>
  <c r="J23" a="1"/>
  <c r="J23"/>
  <c r="J22" a="1"/>
  <c r="J22"/>
  <c r="J21" a="1"/>
  <c r="J21"/>
  <c r="J20" a="1"/>
  <c r="J20"/>
  <c r="J19" a="1"/>
  <c r="J19"/>
  <c r="J18" a="1"/>
  <c r="J18"/>
  <c r="J17" a="1"/>
  <c r="J17"/>
  <c r="J16" a="1"/>
  <c r="J16"/>
  <c r="J15" a="1"/>
  <c r="J15"/>
  <c r="J53" a="1"/>
  <c r="J53"/>
  <c r="J52" a="1"/>
  <c r="J52"/>
  <c r="J51" a="1"/>
  <c r="J51"/>
  <c r="J50" a="1"/>
  <c r="J50"/>
  <c r="J49" a="1"/>
  <c r="J49"/>
  <c r="J48" a="1"/>
  <c r="J48"/>
  <c r="J47" a="1"/>
  <c r="J47"/>
  <c r="J46" a="1"/>
  <c r="J46"/>
  <c r="J45" a="1"/>
  <c r="J45"/>
  <c r="J44" a="1"/>
  <c r="J44"/>
  <c r="J43" a="1"/>
  <c r="J43"/>
  <c r="J42" a="1"/>
  <c r="J42"/>
  <c r="J41" a="1"/>
  <c r="J41"/>
  <c r="J40" a="1"/>
  <c r="J40"/>
  <c r="J54" a="1"/>
  <c r="J54"/>
  <c r="C68" i="10" a="1"/>
  <c r="C68"/>
  <c r="B68" a="1"/>
  <c r="B68"/>
  <c r="C67" a="1"/>
  <c r="C67"/>
  <c r="B67" a="1"/>
  <c r="B67"/>
  <c r="C66" a="1"/>
  <c r="C66"/>
  <c r="B66" a="1"/>
  <c r="B66"/>
  <c r="C65" a="1"/>
  <c r="C65"/>
  <c r="B65" a="1"/>
  <c r="B65"/>
  <c r="C64" a="1"/>
  <c r="C64"/>
  <c r="B64" a="1"/>
  <c r="B64"/>
  <c r="C63" a="1"/>
  <c r="C63"/>
  <c r="B63" a="1"/>
  <c r="B63"/>
  <c r="C62" a="1"/>
  <c r="C62"/>
  <c r="B62" a="1"/>
  <c r="B62"/>
  <c r="C61" a="1"/>
  <c r="C61"/>
  <c r="B61" a="1"/>
  <c r="B61"/>
  <c r="C60" a="1"/>
  <c r="C60"/>
  <c r="B60" a="1"/>
  <c r="B60"/>
  <c r="C59" a="1"/>
  <c r="C59"/>
  <c r="B59" a="1"/>
  <c r="B59"/>
  <c r="C58" a="1"/>
  <c r="C58"/>
  <c r="B58" a="1"/>
  <c r="B58"/>
  <c r="C57" a="1"/>
  <c r="C57"/>
  <c r="B57" a="1"/>
  <c r="B57"/>
  <c r="C56" a="1"/>
  <c r="C56"/>
  <c r="B56" a="1"/>
  <c r="B56"/>
  <c r="C55" a="1"/>
  <c r="C55"/>
  <c r="B55" a="1"/>
  <c r="B55"/>
  <c r="C54" a="1"/>
  <c r="C54"/>
  <c r="B54" a="1"/>
  <c r="B54"/>
  <c r="C53" a="1"/>
  <c r="C53"/>
  <c r="B53" a="1"/>
  <c r="B53"/>
  <c r="C52" a="1"/>
  <c r="C52"/>
  <c r="B52" a="1"/>
  <c r="B52"/>
  <c r="C51" a="1"/>
  <c r="C51"/>
  <c r="B51" a="1"/>
  <c r="B51"/>
  <c r="C50" a="1"/>
  <c r="C50"/>
  <c r="B50" a="1"/>
  <c r="B50"/>
  <c r="C49" a="1"/>
  <c r="C49"/>
  <c r="B49" a="1"/>
  <c r="B49"/>
  <c r="C48" a="1"/>
  <c r="C48"/>
  <c r="B48" a="1"/>
  <c r="B48"/>
  <c r="C47" a="1"/>
  <c r="C47"/>
  <c r="B47" a="1"/>
  <c r="B47"/>
  <c r="C46" a="1"/>
  <c r="C46"/>
  <c r="B46" a="1"/>
  <c r="B46"/>
  <c r="C45" a="1"/>
  <c r="C45"/>
  <c r="B45" a="1"/>
  <c r="B45"/>
  <c r="C44" a="1"/>
  <c r="C44"/>
  <c r="B44" a="1"/>
  <c r="B44"/>
  <c r="C43" a="1"/>
  <c r="C43"/>
  <c r="B43" a="1"/>
  <c r="B43"/>
  <c r="C42" a="1"/>
  <c r="C42"/>
  <c r="B42" a="1"/>
  <c r="B42"/>
  <c r="C41" a="1"/>
  <c r="C41"/>
  <c r="B41" a="1"/>
  <c r="B41"/>
  <c r="C40" a="1"/>
  <c r="C40"/>
  <c r="B40" a="1"/>
  <c r="B40"/>
  <c r="C39" a="1"/>
  <c r="C39"/>
  <c r="B39" a="1"/>
  <c r="B39"/>
  <c r="C38" a="1"/>
  <c r="C38"/>
  <c r="B38" a="1"/>
  <c r="B38"/>
  <c r="C37" a="1"/>
  <c r="C37"/>
  <c r="B37" a="1"/>
  <c r="B37"/>
  <c r="C36" a="1"/>
  <c r="C36"/>
  <c r="B36" a="1"/>
  <c r="B36"/>
  <c r="C35" a="1"/>
  <c r="C35"/>
  <c r="B35" a="1"/>
  <c r="B35"/>
  <c r="C34" a="1"/>
  <c r="C34"/>
  <c r="B34" a="1"/>
  <c r="B34"/>
  <c r="C33" a="1"/>
  <c r="C33"/>
  <c r="B33" a="1"/>
  <c r="B33"/>
  <c r="C32" a="1"/>
  <c r="C32"/>
  <c r="B32" a="1"/>
  <c r="B32"/>
  <c r="C31" a="1"/>
  <c r="C31"/>
  <c r="B31" a="1"/>
  <c r="B31"/>
  <c r="C30" a="1"/>
  <c r="C30"/>
  <c r="B30" a="1"/>
  <c r="B30"/>
  <c r="C29" a="1"/>
  <c r="C29"/>
  <c r="B29" a="1"/>
  <c r="B29"/>
  <c r="C28" a="1"/>
  <c r="C28"/>
  <c r="B28" a="1"/>
  <c r="B28"/>
  <c r="C27" a="1"/>
  <c r="C27"/>
  <c r="B27" a="1"/>
  <c r="B27"/>
  <c r="C26" a="1"/>
  <c r="C26"/>
  <c r="B26" a="1"/>
  <c r="B26"/>
  <c r="C25" a="1"/>
  <c r="C25"/>
  <c r="B25" a="1"/>
  <c r="B25"/>
  <c r="C24" a="1"/>
  <c r="C24"/>
  <c r="B24" a="1"/>
  <c r="B24"/>
  <c r="C23" a="1"/>
  <c r="C23"/>
  <c r="B23" a="1"/>
  <c r="B23"/>
  <c r="C22" a="1"/>
  <c r="C22"/>
  <c r="B22" a="1"/>
  <c r="B22"/>
  <c r="C21" a="1"/>
  <c r="C21"/>
  <c r="B21" a="1"/>
  <c r="B21"/>
  <c r="C20" a="1"/>
  <c r="C20"/>
  <c r="B20" a="1"/>
  <c r="B20"/>
  <c r="C19" a="1"/>
  <c r="C19"/>
  <c r="B19" a="1"/>
  <c r="B19"/>
  <c r="C18" a="1"/>
  <c r="C18"/>
  <c r="B18" a="1"/>
  <c r="B18"/>
  <c r="C17" a="1"/>
  <c r="C17"/>
  <c r="B17" a="1"/>
  <c r="B17"/>
  <c r="C16" a="1"/>
  <c r="C16"/>
  <c r="B16" a="1"/>
  <c r="B16"/>
  <c r="C15" a="1"/>
  <c r="C15"/>
  <c r="B15" a="1"/>
  <c r="B15"/>
  <c r="C14" a="1"/>
  <c r="C14"/>
  <c r="B14" a="1"/>
  <c r="B14"/>
  <c r="C13" a="1"/>
  <c r="C13"/>
  <c r="B13" a="1"/>
  <c r="B13"/>
  <c r="C12" a="1"/>
  <c r="C12"/>
  <c r="B12" a="1"/>
  <c r="B12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C11" a="1"/>
  <c r="C11"/>
  <c r="C9" a="1"/>
  <c r="C9"/>
  <c r="B11" a="1"/>
  <c r="B11"/>
  <c r="F74" i="7" a="1"/>
  <c r="F74"/>
  <c r="B74" a="1"/>
  <c r="B74"/>
  <c r="F73" a="1"/>
  <c r="F73"/>
  <c r="B73" a="1"/>
  <c r="B73"/>
  <c r="F72" a="1"/>
  <c r="F72"/>
  <c r="B72" a="1"/>
  <c r="B72"/>
  <c r="F71" a="1"/>
  <c r="F71"/>
  <c r="B71" a="1"/>
  <c r="B71"/>
  <c r="F70" a="1"/>
  <c r="F70"/>
  <c r="B70" a="1"/>
  <c r="B70"/>
  <c r="F69" a="1"/>
  <c r="F69"/>
  <c r="B69" a="1"/>
  <c r="B69"/>
  <c r="F68" a="1"/>
  <c r="F68"/>
  <c r="B68" a="1"/>
  <c r="B68"/>
  <c r="F67" a="1"/>
  <c r="F67"/>
  <c r="B67" a="1"/>
  <c r="B67"/>
  <c r="F66" a="1"/>
  <c r="F66"/>
  <c r="B66" a="1"/>
  <c r="B66"/>
  <c r="F65" a="1"/>
  <c r="F65"/>
  <c r="B65" a="1"/>
  <c r="B65"/>
  <c r="F64" a="1"/>
  <c r="F64"/>
  <c r="B64" a="1"/>
  <c r="B64"/>
  <c r="F63" a="1"/>
  <c r="F63"/>
  <c r="B63" a="1"/>
  <c r="B63"/>
  <c r="F62" a="1"/>
  <c r="F62"/>
  <c r="B62" a="1"/>
  <c r="B62"/>
  <c r="F61" a="1"/>
  <c r="F61"/>
  <c r="B61" a="1"/>
  <c r="B61"/>
  <c r="F60" a="1"/>
  <c r="F60"/>
  <c r="B60" a="1"/>
  <c r="B60"/>
  <c r="F59" a="1"/>
  <c r="F59"/>
  <c r="B59" a="1"/>
  <c r="B59"/>
  <c r="F58" a="1"/>
  <c r="F58"/>
  <c r="B58" a="1"/>
  <c r="B58"/>
  <c r="F57" a="1"/>
  <c r="F57"/>
  <c r="B57" a="1"/>
  <c r="B57"/>
  <c r="F56" a="1"/>
  <c r="F56"/>
  <c r="B56" a="1"/>
  <c r="B56"/>
  <c r="F55" a="1"/>
  <c r="F55"/>
  <c r="B55" a="1"/>
  <c r="B55"/>
  <c r="F54" a="1"/>
  <c r="F54"/>
  <c r="B54" a="1"/>
  <c r="B54"/>
  <c r="F53" a="1"/>
  <c r="F53"/>
  <c r="B53" a="1"/>
  <c r="B53"/>
  <c r="F52" a="1"/>
  <c r="F52"/>
  <c r="B52" a="1"/>
  <c r="B52"/>
  <c r="F51" a="1"/>
  <c r="F51"/>
  <c r="B51" a="1"/>
  <c r="B51"/>
  <c r="F50" a="1"/>
  <c r="F50"/>
  <c r="B50" a="1"/>
  <c r="B50"/>
  <c r="F49" a="1"/>
  <c r="F49"/>
  <c r="B49" a="1"/>
  <c r="B49"/>
  <c r="F48" a="1"/>
  <c r="F48"/>
  <c r="B48" a="1"/>
  <c r="B48"/>
  <c r="F47" a="1"/>
  <c r="F47"/>
  <c r="B47" a="1"/>
  <c r="B47"/>
  <c r="F46" a="1"/>
  <c r="F46"/>
  <c r="B46" a="1"/>
  <c r="B46"/>
  <c r="F45" a="1"/>
  <c r="F45"/>
  <c r="B45" a="1"/>
  <c r="B45"/>
  <c r="F44" a="1"/>
  <c r="F44"/>
  <c r="B44" a="1"/>
  <c r="B44"/>
  <c r="F43" a="1"/>
  <c r="F43"/>
  <c r="B43" a="1"/>
  <c r="B43"/>
  <c r="F42" a="1"/>
  <c r="F42"/>
  <c r="B42" a="1"/>
  <c r="B42"/>
  <c r="F41" a="1"/>
  <c r="F41"/>
  <c r="B41" a="1"/>
  <c r="B41"/>
  <c r="F40" a="1"/>
  <c r="F40"/>
  <c r="B40" a="1"/>
  <c r="B40"/>
  <c r="F39" a="1"/>
  <c r="F39"/>
  <c r="B39" a="1"/>
  <c r="B39"/>
  <c r="F38" a="1"/>
  <c r="F38"/>
  <c r="B38" a="1"/>
  <c r="B38"/>
  <c r="F37" a="1"/>
  <c r="F37"/>
  <c r="B37" a="1"/>
  <c r="B37"/>
  <c r="F36" a="1"/>
  <c r="F36"/>
  <c r="B36" a="1"/>
  <c r="B36"/>
  <c r="F35" a="1"/>
  <c r="F35"/>
  <c r="B35" a="1"/>
  <c r="B35"/>
  <c r="F34" a="1"/>
  <c r="F34"/>
  <c r="B34" a="1"/>
  <c r="B34"/>
  <c r="F33" a="1"/>
  <c r="F33"/>
  <c r="B33" a="1"/>
  <c r="B33"/>
  <c r="F32" a="1"/>
  <c r="F32"/>
  <c r="B32" a="1"/>
  <c r="B32"/>
  <c r="F31" a="1"/>
  <c r="F31"/>
  <c r="B31" a="1"/>
  <c r="B31"/>
  <c r="F30" a="1"/>
  <c r="F30"/>
  <c r="B30" a="1"/>
  <c r="B30"/>
  <c r="F29" a="1"/>
  <c r="F29"/>
  <c r="B29" a="1"/>
  <c r="B29"/>
  <c r="F28" a="1"/>
  <c r="F28"/>
  <c r="B28" a="1"/>
  <c r="B28"/>
  <c r="F27" a="1"/>
  <c r="F27"/>
  <c r="B27" a="1"/>
  <c r="B27"/>
  <c r="F26" a="1"/>
  <c r="F26"/>
  <c r="B26" a="1"/>
  <c r="B26"/>
  <c r="F25" a="1"/>
  <c r="F25"/>
  <c r="B25" a="1"/>
  <c r="B25"/>
  <c r="F24" a="1"/>
  <c r="F24"/>
  <c r="B24" a="1"/>
  <c r="B24"/>
  <c r="F23" a="1"/>
  <c r="F23"/>
  <c r="B23" a="1"/>
  <c r="B23"/>
  <c r="F22" a="1"/>
  <c r="F22"/>
  <c r="B22" a="1"/>
  <c r="B22"/>
  <c r="F21" a="1"/>
  <c r="F21"/>
  <c r="B21" a="1"/>
  <c r="B21"/>
  <c r="F20" a="1"/>
  <c r="F20"/>
  <c r="B20" a="1"/>
  <c r="B20"/>
  <c r="F19" a="1"/>
  <c r="F19"/>
  <c r="B19" a="1"/>
  <c r="B19"/>
  <c r="F18" a="1"/>
  <c r="F18"/>
  <c r="B18" a="1"/>
  <c r="B18"/>
  <c r="F17" a="1"/>
  <c r="F17"/>
  <c r="B17" a="1"/>
  <c r="B17"/>
  <c r="B8" i="10" a="1"/>
  <c r="B8"/>
  <c r="D111" i="17"/>
  <c r="D109"/>
  <c r="D107"/>
  <c r="D105"/>
  <c r="D103"/>
  <c r="D101"/>
  <c r="D99"/>
  <c r="D97"/>
  <c r="D95"/>
  <c r="D87"/>
  <c r="D79"/>
  <c r="D65"/>
  <c r="D63"/>
  <c r="D61"/>
  <c r="D59"/>
  <c r="D49"/>
  <c r="D41"/>
  <c r="D33"/>
  <c r="D24"/>
  <c r="D16"/>
  <c r="D8"/>
  <c r="D112"/>
  <c r="D56"/>
  <c r="D82"/>
  <c r="D78"/>
  <c r="D74"/>
  <c r="D58"/>
  <c r="D52"/>
  <c r="D48"/>
  <c r="D44"/>
  <c r="D40"/>
  <c r="D36"/>
  <c r="D32"/>
  <c r="D28"/>
  <c r="D23"/>
  <c r="D19"/>
  <c r="D15"/>
  <c r="D11"/>
  <c r="D7"/>
  <c r="D94"/>
  <c r="D90"/>
  <c r="D86"/>
  <c r="D92"/>
  <c r="D88"/>
  <c r="D84"/>
  <c r="D80"/>
  <c r="D76"/>
  <c r="D66"/>
  <c r="D54"/>
  <c r="D50"/>
  <c r="D46"/>
  <c r="D42"/>
  <c r="D38"/>
  <c r="D34"/>
  <c r="D30"/>
  <c r="D25"/>
  <c r="D21"/>
  <c r="D17"/>
  <c r="D13"/>
  <c r="D9"/>
  <c r="B3" i="10" a="1"/>
  <c r="B3"/>
  <c r="B5" a="1"/>
  <c r="B5"/>
  <c r="C6" a="1"/>
  <c r="C6"/>
  <c r="B7" a="1"/>
  <c r="B7"/>
  <c r="C8" a="1"/>
  <c r="C8"/>
  <c r="B9" a="1"/>
  <c r="B9"/>
  <c r="B2" a="1"/>
  <c r="B2"/>
  <c r="B4" a="1"/>
  <c r="B4"/>
  <c r="C5" a="1"/>
  <c r="C5"/>
  <c r="B6" a="1"/>
  <c r="B6"/>
  <c r="C7" a="1"/>
  <c r="C7"/>
  <c r="D93" i="17"/>
  <c r="D89"/>
  <c r="D85"/>
  <c r="D81"/>
  <c r="D77"/>
  <c r="D73"/>
  <c r="D71"/>
  <c r="D69"/>
  <c r="D67"/>
  <c r="D57"/>
  <c r="D55"/>
  <c r="D51"/>
  <c r="D47"/>
  <c r="D43"/>
  <c r="D39"/>
  <c r="D35"/>
  <c r="D31"/>
  <c r="D27"/>
  <c r="D26"/>
  <c r="D22"/>
  <c r="D18"/>
  <c r="D14"/>
  <c r="D10"/>
  <c r="D6"/>
  <c r="J10" i="24" a="1"/>
  <c r="J10"/>
  <c r="J9" a="1"/>
  <c r="J9"/>
  <c r="J8" a="1"/>
  <c r="J8"/>
  <c r="J7" a="1"/>
  <c r="J7"/>
  <c r="J6" a="1"/>
  <c r="J6"/>
  <c r="J3" a="1"/>
  <c r="J3"/>
  <c r="J4" a="1"/>
  <c r="J4"/>
  <c r="J5" a="1"/>
  <c r="J5"/>
  <c r="J13" a="1"/>
  <c r="J13"/>
  <c r="J12" a="1"/>
  <c r="J12"/>
  <c r="J11" a="1"/>
  <c r="J11"/>
  <c r="C3" i="17" a="1"/>
  <c r="C3"/>
  <c r="C4" a="1"/>
  <c r="C4"/>
  <c r="C2" a="1"/>
  <c r="C2"/>
  <c r="B4" a="1"/>
  <c r="B4"/>
  <c r="B2" a="1"/>
  <c r="B2"/>
  <c r="B3" a="1"/>
  <c r="B3"/>
  <c r="H134" i="16"/>
  <c r="H126"/>
  <c r="H125"/>
  <c r="H123"/>
  <c r="H121"/>
  <c r="H119"/>
  <c r="H117"/>
  <c r="H129"/>
  <c r="E2" i="17"/>
  <c r="H124" i="16"/>
  <c r="H122"/>
  <c r="H120"/>
  <c r="H118"/>
  <c r="H133"/>
  <c r="H130"/>
  <c r="H127"/>
  <c r="H131"/>
  <c r="H128"/>
  <c r="H132"/>
  <c r="H116"/>
  <c r="D5" i="17"/>
  <c r="H27" i="16"/>
  <c r="H29"/>
  <c r="H31"/>
  <c r="H32"/>
  <c r="H33"/>
  <c r="H37"/>
  <c r="H41"/>
  <c r="H43"/>
  <c r="H55"/>
  <c r="H28"/>
  <c r="H30"/>
  <c r="H50"/>
  <c r="H52"/>
  <c r="H46"/>
  <c r="H48"/>
  <c r="H34"/>
  <c r="H35"/>
  <c r="H38"/>
  <c r="H39"/>
  <c r="H44"/>
  <c r="H45"/>
  <c r="H47"/>
  <c r="H54"/>
  <c r="H36"/>
  <c r="H40"/>
  <c r="H42"/>
  <c r="H49"/>
  <c r="H51"/>
  <c r="H53"/>
  <c r="H72"/>
  <c r="H74"/>
  <c r="H76"/>
  <c r="H78"/>
  <c r="H56"/>
  <c r="H66"/>
  <c r="H68"/>
  <c r="H70"/>
  <c r="H58"/>
  <c r="H60"/>
  <c r="H62"/>
  <c r="H64"/>
  <c r="H65"/>
  <c r="H67"/>
  <c r="H69"/>
  <c r="H71"/>
  <c r="H73"/>
  <c r="H75"/>
  <c r="H77"/>
  <c r="H79"/>
  <c r="H57"/>
  <c r="H59"/>
  <c r="H61"/>
  <c r="H63"/>
  <c r="H97"/>
  <c r="H99"/>
  <c r="H80"/>
  <c r="H92"/>
  <c r="H82"/>
  <c r="H84"/>
  <c r="H86"/>
  <c r="H81"/>
  <c r="H83"/>
  <c r="H85"/>
  <c r="H87"/>
  <c r="H88"/>
  <c r="H89"/>
  <c r="H90"/>
  <c r="H93"/>
  <c r="H94"/>
  <c r="H91"/>
  <c r="H95"/>
  <c r="H96"/>
  <c r="H98"/>
  <c r="H101"/>
  <c r="H102"/>
  <c r="H100"/>
  <c r="C3" i="10"/>
  <c r="J27" i="19" a="1"/>
  <c r="J27"/>
  <c r="J26" a="1"/>
  <c r="J26"/>
  <c r="J25" a="1"/>
  <c r="J25"/>
  <c r="J24" a="1"/>
  <c r="J24"/>
  <c r="J23" a="1"/>
  <c r="J23"/>
  <c r="J22" a="1"/>
  <c r="J22"/>
  <c r="J21" a="1"/>
  <c r="J21"/>
  <c r="J20" a="1"/>
  <c r="J20"/>
  <c r="J19" a="1"/>
  <c r="J19"/>
  <c r="J18" a="1"/>
  <c r="J18"/>
  <c r="J17" a="1"/>
  <c r="J17"/>
  <c r="J16" a="1"/>
  <c r="J16"/>
  <c r="J15" a="1"/>
  <c r="J15"/>
  <c r="J14" a="1"/>
  <c r="J14"/>
  <c r="J13" a="1"/>
  <c r="J13"/>
  <c r="J12" a="1"/>
  <c r="J12"/>
  <c r="J11" a="1"/>
  <c r="J11"/>
  <c r="B11" a="1"/>
  <c r="B11"/>
  <c r="B24" a="1"/>
  <c r="B24"/>
  <c r="B20" a="1"/>
  <c r="B20"/>
  <c r="B16" a="1"/>
  <c r="B16"/>
  <c r="B12" a="1"/>
  <c r="B12"/>
  <c r="B27" a="1"/>
  <c r="B27"/>
  <c r="B23" a="1"/>
  <c r="B23"/>
  <c r="B19" a="1"/>
  <c r="B19"/>
  <c r="B15" a="1"/>
  <c r="B15"/>
  <c r="B26" a="1"/>
  <c r="B26"/>
  <c r="B22" a="1"/>
  <c r="B22"/>
  <c r="B18" a="1"/>
  <c r="B18"/>
  <c r="B14" a="1"/>
  <c r="B14"/>
  <c r="B25" a="1"/>
  <c r="B25"/>
  <c r="B21" a="1"/>
  <c r="B21"/>
  <c r="B17" a="1"/>
  <c r="B17"/>
  <c r="B13" a="1"/>
  <c r="B13"/>
  <c r="C19" i="7" a="1"/>
  <c r="C19"/>
  <c r="C23" a="1"/>
  <c r="C23"/>
  <c r="C27" a="1"/>
  <c r="C27"/>
  <c r="C31" a="1"/>
  <c r="C31"/>
  <c r="C35" a="1"/>
  <c r="C35"/>
  <c r="C39" a="1"/>
  <c r="C39"/>
  <c r="C43" a="1"/>
  <c r="C43"/>
  <c r="C47" a="1"/>
  <c r="C47"/>
  <c r="C51" a="1"/>
  <c r="C51"/>
  <c r="C55" a="1"/>
  <c r="C55"/>
  <c r="C59" a="1"/>
  <c r="C59"/>
  <c r="C63" a="1"/>
  <c r="C63"/>
  <c r="C74" a="1"/>
  <c r="C74"/>
  <c r="C17" a="1"/>
  <c r="C17"/>
  <c r="C21" a="1"/>
  <c r="C21"/>
  <c r="C25" a="1"/>
  <c r="C25"/>
  <c r="C29" a="1"/>
  <c r="C29"/>
  <c r="C33" a="1"/>
  <c r="C33"/>
  <c r="C41" a="1"/>
  <c r="C41"/>
  <c r="C49" a="1"/>
  <c r="C49"/>
  <c r="C57" a="1"/>
  <c r="C57"/>
  <c r="C65" a="1"/>
  <c r="C65"/>
  <c r="C69" a="1"/>
  <c r="C69"/>
  <c r="C73" a="1"/>
  <c r="C73"/>
  <c r="C20" a="1"/>
  <c r="C20"/>
  <c r="C24" a="1"/>
  <c r="C24"/>
  <c r="C28" a="1"/>
  <c r="C28"/>
  <c r="C32" a="1"/>
  <c r="C32"/>
  <c r="C36" a="1"/>
  <c r="C36"/>
  <c r="C40" a="1"/>
  <c r="C40"/>
  <c r="C44" a="1"/>
  <c r="C44"/>
  <c r="C48" a="1"/>
  <c r="C48"/>
  <c r="C52" a="1"/>
  <c r="C52"/>
  <c r="C56" a="1"/>
  <c r="C56"/>
  <c r="C60" a="1"/>
  <c r="C60"/>
  <c r="C64" a="1"/>
  <c r="C64"/>
  <c r="C68" a="1"/>
  <c r="C68"/>
  <c r="C72" a="1"/>
  <c r="C72"/>
  <c r="C37" a="1"/>
  <c r="C37"/>
  <c r="C45" a="1"/>
  <c r="C45"/>
  <c r="C53" a="1"/>
  <c r="C53"/>
  <c r="C61" a="1"/>
  <c r="C61"/>
  <c r="C67" a="1"/>
  <c r="C67"/>
  <c r="C71" a="1"/>
  <c r="C71"/>
  <c r="C18" a="1"/>
  <c r="C18"/>
  <c r="C22" a="1"/>
  <c r="C22"/>
  <c r="C26" a="1"/>
  <c r="C26"/>
  <c r="C30" a="1"/>
  <c r="C30"/>
  <c r="C34" a="1"/>
  <c r="C34"/>
  <c r="C38" a="1"/>
  <c r="C38"/>
  <c r="C42" a="1"/>
  <c r="C42"/>
  <c r="C46" a="1"/>
  <c r="C46"/>
  <c r="C50" a="1"/>
  <c r="C50"/>
  <c r="C54" a="1"/>
  <c r="C54"/>
  <c r="C58" a="1"/>
  <c r="C58"/>
  <c r="C62" a="1"/>
  <c r="C62"/>
  <c r="C66" a="1"/>
  <c r="C66"/>
  <c r="C70" a="1"/>
  <c r="C70"/>
  <c r="E54" i="24" a="1"/>
  <c r="E54"/>
  <c r="E16" a="1"/>
  <c r="E16"/>
  <c r="E17" a="1"/>
  <c r="E17"/>
  <c r="E18" a="1"/>
  <c r="E18"/>
  <c r="E19" a="1"/>
  <c r="E19"/>
  <c r="E20" a="1"/>
  <c r="E20"/>
  <c r="E21" a="1"/>
  <c r="E21"/>
  <c r="E22" a="1"/>
  <c r="E22"/>
  <c r="E23" a="1"/>
  <c r="E23"/>
  <c r="B39" a="1"/>
  <c r="B39"/>
  <c r="B38" a="1"/>
  <c r="B38"/>
  <c r="B37" a="1"/>
  <c r="B37"/>
  <c r="B36" a="1"/>
  <c r="B36"/>
  <c r="B35" a="1"/>
  <c r="B35"/>
  <c r="B34" a="1"/>
  <c r="B34"/>
  <c r="B33" a="1"/>
  <c r="B33"/>
  <c r="B32" a="1"/>
  <c r="B32"/>
  <c r="B31" a="1"/>
  <c r="B31"/>
  <c r="B30" a="1"/>
  <c r="B30"/>
  <c r="B29" a="1"/>
  <c r="B29"/>
  <c r="B28" a="1"/>
  <c r="B28"/>
  <c r="B27" a="1"/>
  <c r="B27"/>
  <c r="B26" a="1"/>
  <c r="B26"/>
  <c r="B25" a="1"/>
  <c r="B25"/>
  <c r="M54"/>
  <c r="E40" a="1"/>
  <c r="E40"/>
  <c r="E41" a="1"/>
  <c r="E41"/>
  <c r="M41"/>
  <c r="E42" a="1"/>
  <c r="E42"/>
  <c r="E43" a="1"/>
  <c r="E43"/>
  <c r="M43"/>
  <c r="E44" a="1"/>
  <c r="E44"/>
  <c r="E45" a="1"/>
  <c r="E45"/>
  <c r="M45"/>
  <c r="E46" a="1"/>
  <c r="E46"/>
  <c r="E47" a="1"/>
  <c r="E47"/>
  <c r="M47"/>
  <c r="E48" a="1"/>
  <c r="E48"/>
  <c r="E49" a="1"/>
  <c r="E49"/>
  <c r="M49"/>
  <c r="E50" a="1"/>
  <c r="E50"/>
  <c r="E51" a="1"/>
  <c r="E51"/>
  <c r="M51"/>
  <c r="E52" a="1"/>
  <c r="E52"/>
  <c r="E53" a="1"/>
  <c r="E53"/>
  <c r="M53"/>
  <c r="E15" a="1"/>
  <c r="E15"/>
  <c r="M17"/>
  <c r="M19"/>
  <c r="M21"/>
  <c r="M23"/>
  <c r="C39"/>
  <c r="B54" a="1"/>
  <c r="B54"/>
  <c r="B16" a="1"/>
  <c r="B16"/>
  <c r="B17" a="1"/>
  <c r="B17"/>
  <c r="B18" a="1"/>
  <c r="B18"/>
  <c r="B19" a="1"/>
  <c r="B19"/>
  <c r="B20" a="1"/>
  <c r="B20"/>
  <c r="B21" a="1"/>
  <c r="B21"/>
  <c r="B22" a="1"/>
  <c r="B22"/>
  <c r="B23" a="1"/>
  <c r="B23"/>
  <c r="B24" a="1"/>
  <c r="B24"/>
  <c r="M39"/>
  <c r="E39" a="1"/>
  <c r="E39"/>
  <c r="M38"/>
  <c r="E38" a="1"/>
  <c r="E38"/>
  <c r="M37"/>
  <c r="E37" a="1"/>
  <c r="E37"/>
  <c r="M36"/>
  <c r="E36" a="1"/>
  <c r="E36"/>
  <c r="M35"/>
  <c r="E35" a="1"/>
  <c r="E35"/>
  <c r="M34"/>
  <c r="E34" a="1"/>
  <c r="E34"/>
  <c r="M33"/>
  <c r="E33" a="1"/>
  <c r="E33"/>
  <c r="M32"/>
  <c r="E32" a="1"/>
  <c r="E32"/>
  <c r="M31"/>
  <c r="E31" a="1"/>
  <c r="E31"/>
  <c r="M30"/>
  <c r="E30" a="1"/>
  <c r="E30"/>
  <c r="M29"/>
  <c r="E29" a="1"/>
  <c r="E29"/>
  <c r="M28"/>
  <c r="E28" a="1"/>
  <c r="E28"/>
  <c r="M27"/>
  <c r="E27" a="1"/>
  <c r="E27"/>
  <c r="M26"/>
  <c r="E26" a="1"/>
  <c r="E26"/>
  <c r="M25"/>
  <c r="E25" a="1"/>
  <c r="E25"/>
  <c r="M24"/>
  <c r="E24" a="1"/>
  <c r="E24"/>
  <c r="B40" a="1"/>
  <c r="B40"/>
  <c r="C40"/>
  <c r="B41" a="1"/>
  <c r="B41"/>
  <c r="B42" a="1"/>
  <c r="B42"/>
  <c r="C42"/>
  <c r="B43" a="1"/>
  <c r="B43"/>
  <c r="B44" a="1"/>
  <c r="B44"/>
  <c r="C44"/>
  <c r="B45" a="1"/>
  <c r="B45"/>
  <c r="B46" a="1"/>
  <c r="B46"/>
  <c r="C46"/>
  <c r="B47" a="1"/>
  <c r="B47"/>
  <c r="B48" a="1"/>
  <c r="B48"/>
  <c r="C48"/>
  <c r="B49" a="1"/>
  <c r="B49"/>
  <c r="B50" a="1"/>
  <c r="B50"/>
  <c r="C50"/>
  <c r="B51" a="1"/>
  <c r="B51"/>
  <c r="B52" a="1"/>
  <c r="B52"/>
  <c r="C52"/>
  <c r="B53" a="1"/>
  <c r="B53"/>
  <c r="B15" a="1"/>
  <c r="B15"/>
  <c r="C18"/>
  <c r="M20"/>
  <c r="C22"/>
  <c r="I24"/>
  <c r="C26"/>
  <c r="C30"/>
  <c r="C34"/>
  <c r="I36"/>
  <c r="B8" a="1"/>
  <c r="B8"/>
  <c r="C41"/>
  <c r="E3" a="1"/>
  <c r="E3"/>
  <c r="I37"/>
  <c r="I35"/>
  <c r="I33"/>
  <c r="I31"/>
  <c r="I29"/>
  <c r="I27"/>
  <c r="C24"/>
  <c r="B6" a="1"/>
  <c r="B6"/>
  <c r="E11" a="1"/>
  <c r="E11"/>
  <c r="I44"/>
  <c r="I42"/>
  <c r="I41"/>
  <c r="I40"/>
  <c r="E12" a="1"/>
  <c r="E12"/>
  <c r="C27"/>
  <c r="M18"/>
  <c r="C54"/>
  <c r="E5" a="1"/>
  <c r="E5"/>
  <c r="K3" a="1"/>
  <c r="K3"/>
  <c r="K12" a="1"/>
  <c r="K12"/>
  <c r="K5" a="1"/>
  <c r="K5"/>
  <c r="C32"/>
  <c r="C28"/>
  <c r="M22"/>
  <c r="I22"/>
  <c r="I20"/>
  <c r="I16"/>
  <c r="B10" a="1"/>
  <c r="B10"/>
  <c r="C53"/>
  <c r="C51"/>
  <c r="C49"/>
  <c r="C47"/>
  <c r="C45"/>
  <c r="I43"/>
  <c r="C43"/>
  <c r="C15"/>
  <c r="C20"/>
  <c r="C16"/>
  <c r="B11" a="1"/>
  <c r="B11"/>
  <c r="B12" a="1"/>
  <c r="B12"/>
  <c r="B13" a="1"/>
  <c r="B13"/>
  <c r="B5" a="1"/>
  <c r="B5"/>
  <c r="B4" a="1"/>
  <c r="B4"/>
  <c r="B3" a="1"/>
  <c r="B3"/>
  <c r="I25"/>
  <c r="E10" a="1"/>
  <c r="E10"/>
  <c r="F3" a="1"/>
  <c r="F3"/>
  <c r="I28"/>
  <c r="I32"/>
  <c r="M16"/>
  <c r="F12" a="1"/>
  <c r="F12"/>
  <c r="F13" a="1"/>
  <c r="F13"/>
  <c r="F5" a="1"/>
  <c r="F5"/>
  <c r="F4" a="1"/>
  <c r="F4"/>
  <c r="B7" a="1"/>
  <c r="B7"/>
  <c r="B9" a="1"/>
  <c r="B9"/>
  <c r="I53"/>
  <c r="I52"/>
  <c r="I51"/>
  <c r="I50"/>
  <c r="I49"/>
  <c r="I48"/>
  <c r="I47"/>
  <c r="I46"/>
  <c r="I45"/>
  <c r="C35"/>
  <c r="C19"/>
  <c r="C31"/>
  <c r="C23"/>
  <c r="E6" a="1"/>
  <c r="E6"/>
  <c r="E8" a="1"/>
  <c r="E8"/>
  <c r="K8" a="1"/>
  <c r="K8"/>
  <c r="C37"/>
  <c r="I39"/>
  <c r="C33"/>
  <c r="C29"/>
  <c r="C25"/>
  <c r="C21"/>
  <c r="C17"/>
  <c r="K11" a="1"/>
  <c r="K11"/>
  <c r="K6" a="1"/>
  <c r="K6"/>
  <c r="F10" a="1"/>
  <c r="F10"/>
  <c r="K10" a="1"/>
  <c r="K10"/>
  <c r="M46"/>
  <c r="I15"/>
  <c r="M15"/>
  <c r="K13" a="1"/>
  <c r="K13"/>
  <c r="E13" a="1"/>
  <c r="E13"/>
  <c r="K4" a="1"/>
  <c r="K4"/>
  <c r="E4" a="1"/>
  <c r="E4"/>
  <c r="K7" a="1"/>
  <c r="K7"/>
  <c r="E7" a="1"/>
  <c r="E7"/>
  <c r="K9" a="1"/>
  <c r="K9"/>
  <c r="E9" a="1"/>
  <c r="E9"/>
  <c r="I30"/>
  <c r="D3" i="7" a="1"/>
  <c r="D3"/>
  <c r="D11" a="1"/>
  <c r="D11"/>
  <c r="D7" a="1"/>
  <c r="D7"/>
  <c r="D14" a="1"/>
  <c r="D14"/>
  <c r="D4" a="1"/>
  <c r="D4"/>
  <c r="D5" a="1"/>
  <c r="D5"/>
  <c r="D9" a="1"/>
  <c r="D9"/>
  <c r="D13" a="1"/>
  <c r="D13"/>
  <c r="D2" a="1"/>
  <c r="D2"/>
  <c r="D6" a="1"/>
  <c r="D6"/>
  <c r="D8" a="1"/>
  <c r="D8"/>
  <c r="D10" a="1"/>
  <c r="D10"/>
  <c r="D12" a="1"/>
  <c r="D12"/>
  <c r="C7" a="1"/>
  <c r="C7"/>
  <c r="C5" a="1"/>
  <c r="C5"/>
  <c r="C14" a="1"/>
  <c r="C14"/>
  <c r="C9" a="1"/>
  <c r="C9"/>
  <c r="C11" a="1"/>
  <c r="C11"/>
  <c r="C13" a="1"/>
  <c r="C13"/>
  <c r="C6" a="1"/>
  <c r="C6"/>
  <c r="C8" a="1"/>
  <c r="C8"/>
  <c r="C10" a="1"/>
  <c r="C10"/>
  <c r="C12" a="1"/>
  <c r="C12"/>
  <c r="B4" i="19" a="1"/>
  <c r="B4"/>
  <c r="J3" a="1"/>
  <c r="J3"/>
  <c r="B3" a="1"/>
  <c r="B3"/>
  <c r="B5" a="1"/>
  <c r="B5"/>
  <c r="J5" a="1"/>
  <c r="J5"/>
  <c r="J4" a="1"/>
  <c r="J4"/>
  <c r="C36" i="24"/>
  <c r="D10" a="1"/>
  <c r="D10"/>
  <c r="F9" a="1"/>
  <c r="F9"/>
  <c r="D3" a="1"/>
  <c r="D3"/>
  <c r="D12" a="1"/>
  <c r="D12"/>
  <c r="D8" a="1"/>
  <c r="D8"/>
  <c r="D6" a="1"/>
  <c r="D6"/>
  <c r="D13" a="1"/>
  <c r="D13"/>
  <c r="I38"/>
  <c r="D9" a="1"/>
  <c r="D9"/>
  <c r="I34"/>
  <c r="F8" a="1"/>
  <c r="F8"/>
  <c r="F6" a="1"/>
  <c r="F6"/>
  <c r="F11" a="1"/>
  <c r="F11"/>
  <c r="F7" a="1"/>
  <c r="F7"/>
  <c r="I26"/>
  <c r="I18"/>
  <c r="I23"/>
  <c r="I19"/>
  <c r="I54"/>
  <c r="D5" a="1"/>
  <c r="D5"/>
  <c r="C38"/>
  <c r="D7" a="1"/>
  <c r="D7"/>
  <c r="D4" a="1"/>
  <c r="D4"/>
  <c r="D11" a="1"/>
  <c r="D11"/>
  <c r="I21"/>
  <c r="I17"/>
  <c r="M52"/>
  <c r="M50"/>
  <c r="M48"/>
  <c r="M44"/>
  <c r="M42"/>
  <c r="M40"/>
  <c r="M9" a="1"/>
  <c r="M9"/>
  <c r="C10" a="1"/>
  <c r="C10"/>
  <c r="C5" a="1"/>
  <c r="C5"/>
  <c r="C9" a="1"/>
  <c r="C9"/>
  <c r="C7" a="1"/>
  <c r="C7"/>
  <c r="C3" a="1"/>
  <c r="C3"/>
  <c r="C12" a="1"/>
  <c r="C12"/>
  <c r="I5" a="1"/>
  <c r="I5"/>
  <c r="C6" a="1"/>
  <c r="C6"/>
  <c r="M3" a="1"/>
  <c r="M3"/>
  <c r="M5" a="1"/>
  <c r="M5"/>
  <c r="M12" a="1"/>
  <c r="M12"/>
  <c r="M10" a="1"/>
  <c r="M10"/>
  <c r="C4" a="1"/>
  <c r="C4"/>
  <c r="C13" a="1"/>
  <c r="C13"/>
  <c r="C11" a="1"/>
  <c r="C11"/>
  <c r="I3" a="1"/>
  <c r="I3"/>
  <c r="I12" a="1"/>
  <c r="I12"/>
  <c r="M8" a="1"/>
  <c r="M8"/>
  <c r="C8" a="1"/>
  <c r="C8"/>
  <c r="I4" a="1"/>
  <c r="I4"/>
  <c r="I13" a="1"/>
  <c r="I13"/>
  <c r="I11" a="1"/>
  <c r="I11"/>
  <c r="I8" a="1"/>
  <c r="I8"/>
  <c r="I6" a="1"/>
  <c r="I6"/>
  <c r="C4" i="7" a="1"/>
  <c r="C4"/>
  <c r="C2" a="1"/>
  <c r="C2"/>
  <c r="C3" a="1"/>
  <c r="C3"/>
  <c r="D4" i="19" a="1"/>
  <c r="D4"/>
  <c r="D5" a="1"/>
  <c r="D5"/>
  <c r="K3" a="1"/>
  <c r="K3"/>
  <c r="K4" a="1"/>
  <c r="K4"/>
  <c r="K5" a="1"/>
  <c r="K5"/>
  <c r="F3" a="1"/>
  <c r="F3"/>
  <c r="F4" a="1"/>
  <c r="F4"/>
  <c r="F5" a="1"/>
  <c r="F5"/>
  <c r="E3" a="1"/>
  <c r="E3"/>
  <c r="E4" a="1"/>
  <c r="E4"/>
  <c r="E5" a="1"/>
  <c r="E5"/>
  <c r="F8" a="1"/>
  <c r="F8"/>
  <c r="F9" a="1"/>
  <c r="F9"/>
  <c r="F7" a="1"/>
  <c r="F7"/>
  <c r="F6" a="1"/>
  <c r="F6"/>
  <c r="C27"/>
  <c r="D68" i="10"/>
  <c r="D4" i="16" a="1"/>
  <c r="D4"/>
  <c r="B4" a="1"/>
  <c r="B4"/>
  <c r="D5" a="1"/>
  <c r="D5"/>
  <c r="D6" a="1"/>
  <c r="D6"/>
  <c r="D7" a="1"/>
  <c r="D7"/>
  <c r="D8" a="1"/>
  <c r="D8"/>
  <c r="B9" a="1"/>
  <c r="B9"/>
  <c r="B10" a="1"/>
  <c r="B10"/>
  <c r="D11" a="1"/>
  <c r="D11"/>
  <c r="D12" a="1"/>
  <c r="D12"/>
  <c r="B13" a="1"/>
  <c r="B13"/>
  <c r="B14" a="1"/>
  <c r="B14"/>
  <c r="D15" a="1"/>
  <c r="D15"/>
  <c r="D16" a="1"/>
  <c r="D16"/>
  <c r="B17" a="1"/>
  <c r="B17"/>
  <c r="B18" a="1"/>
  <c r="B18"/>
  <c r="D19" a="1"/>
  <c r="D19"/>
  <c r="D20" a="1"/>
  <c r="D20"/>
  <c r="B21" a="1"/>
  <c r="B21"/>
  <c r="B22" a="1"/>
  <c r="B22"/>
  <c r="D23" a="1"/>
  <c r="D23"/>
  <c r="D24" a="1"/>
  <c r="D24"/>
  <c r="B2" a="1"/>
  <c r="B2"/>
  <c r="D2" a="1"/>
  <c r="D2"/>
  <c r="B3" a="1"/>
  <c r="B3"/>
  <c r="D3" a="1"/>
  <c r="D3"/>
  <c r="B5" a="1"/>
  <c r="B5"/>
  <c r="B6" a="1"/>
  <c r="B6"/>
  <c r="B7" a="1"/>
  <c r="B7"/>
  <c r="B8" a="1"/>
  <c r="B8"/>
  <c r="D9" a="1"/>
  <c r="D9"/>
  <c r="D10" a="1"/>
  <c r="D10"/>
  <c r="B11" a="1"/>
  <c r="B11"/>
  <c r="B12" a="1"/>
  <c r="B12"/>
  <c r="D13" a="1"/>
  <c r="D13"/>
  <c r="D14" a="1"/>
  <c r="D14"/>
  <c r="B15" a="1"/>
  <c r="B15"/>
  <c r="B16" a="1"/>
  <c r="B16"/>
  <c r="D17" a="1"/>
  <c r="D17"/>
  <c r="D18" a="1"/>
  <c r="D18"/>
  <c r="B19" a="1"/>
  <c r="B19"/>
  <c r="B20" a="1"/>
  <c r="B20"/>
  <c r="D21" a="1"/>
  <c r="D21"/>
  <c r="D22" a="1"/>
  <c r="D22"/>
  <c r="B23" a="1"/>
  <c r="B23"/>
  <c r="B24" a="1"/>
  <c r="B24"/>
  <c r="M27" i="19"/>
  <c r="I27"/>
  <c r="C17"/>
  <c r="H103" i="16"/>
  <c r="H111"/>
  <c r="H113"/>
  <c r="H107"/>
  <c r="D57" i="10"/>
  <c r="I7" i="24" a="1"/>
  <c r="I7"/>
  <c r="M6" a="1"/>
  <c r="M6"/>
  <c r="M13" a="1"/>
  <c r="M13"/>
  <c r="M11" a="1"/>
  <c r="M11"/>
  <c r="M7" a="1"/>
  <c r="M7"/>
  <c r="I10" a="1"/>
  <c r="I10"/>
  <c r="M4" a="1"/>
  <c r="M4"/>
  <c r="I9" a="1"/>
  <c r="I9"/>
  <c r="F13" i="7" a="1"/>
  <c r="F13"/>
  <c r="F11" a="1"/>
  <c r="F11"/>
  <c r="F9" a="1"/>
  <c r="F9"/>
  <c r="F7" a="1"/>
  <c r="F7"/>
  <c r="F5" a="1"/>
  <c r="F5"/>
  <c r="F14" a="1"/>
  <c r="F14"/>
  <c r="F12" a="1"/>
  <c r="F12"/>
  <c r="F10" a="1"/>
  <c r="F10"/>
  <c r="F8" a="1"/>
  <c r="F8"/>
  <c r="F6" a="1"/>
  <c r="F6"/>
  <c r="B14" a="1"/>
  <c r="B14"/>
  <c r="B12" a="1"/>
  <c r="B12"/>
  <c r="B10" a="1"/>
  <c r="B10"/>
  <c r="B8" a="1"/>
  <c r="B8"/>
  <c r="B6" a="1"/>
  <c r="B6"/>
  <c r="B13" a="1"/>
  <c r="B13"/>
  <c r="B11" a="1"/>
  <c r="B11"/>
  <c r="B9" a="1"/>
  <c r="B9"/>
  <c r="B7" a="1"/>
  <c r="B7"/>
  <c r="B5" a="1"/>
  <c r="B5"/>
  <c r="B4" a="1"/>
  <c r="B4"/>
  <c r="B2" a="1"/>
  <c r="B2"/>
  <c r="B3" a="1"/>
  <c r="B3"/>
  <c r="F4" a="1"/>
  <c r="F4"/>
  <c r="F3" a="1"/>
  <c r="F3"/>
  <c r="F2" a="1"/>
  <c r="F2"/>
  <c r="C19" i="19"/>
  <c r="M12"/>
  <c r="M16"/>
  <c r="I17"/>
  <c r="I18"/>
  <c r="D56" i="10"/>
  <c r="I11" i="19"/>
  <c r="M14"/>
  <c r="H109" i="16"/>
  <c r="H105"/>
  <c r="D14" i="10"/>
  <c r="D16"/>
  <c r="D18"/>
  <c r="D20"/>
  <c r="D22"/>
  <c r="D24"/>
  <c r="D26"/>
  <c r="D28"/>
  <c r="D30"/>
  <c r="D44"/>
  <c r="M11" i="19"/>
  <c r="C26"/>
  <c r="I26"/>
  <c r="M26"/>
  <c r="D65" i="10"/>
  <c r="D45"/>
  <c r="D43"/>
  <c r="D66"/>
  <c r="D67"/>
  <c r="D50"/>
  <c r="D55"/>
  <c r="D34"/>
  <c r="D41"/>
  <c r="D48"/>
  <c r="D51"/>
  <c r="D61"/>
  <c r="D62"/>
  <c r="I25" i="19"/>
  <c r="C25"/>
  <c r="M25"/>
  <c r="E9" a="1"/>
  <c r="E9"/>
  <c r="I24"/>
  <c r="C24"/>
  <c r="M24"/>
  <c r="D9" a="1"/>
  <c r="D9"/>
  <c r="J9" a="1"/>
  <c r="J9"/>
  <c r="B6" a="1"/>
  <c r="B6"/>
  <c r="J6" a="1"/>
  <c r="J6"/>
  <c r="E6" a="1"/>
  <c r="E6"/>
  <c r="K8" a="1"/>
  <c r="K8"/>
  <c r="B8" a="1"/>
  <c r="B8"/>
  <c r="K7" a="1"/>
  <c r="K7"/>
  <c r="B9" a="1"/>
  <c r="B9"/>
  <c r="K9" a="1"/>
  <c r="K9"/>
  <c r="D6" a="1"/>
  <c r="D6"/>
  <c r="K6" a="1"/>
  <c r="K6"/>
  <c r="J8" a="1"/>
  <c r="J8"/>
  <c r="E8" a="1"/>
  <c r="E8"/>
  <c r="D8" a="1"/>
  <c r="D8"/>
  <c r="B7" a="1"/>
  <c r="B7"/>
  <c r="J7" a="1"/>
  <c r="J7"/>
  <c r="E7" a="1"/>
  <c r="E7"/>
  <c r="D7" a="1"/>
  <c r="D7"/>
  <c r="M18"/>
  <c r="C22"/>
  <c r="D38" i="10"/>
  <c r="D39"/>
  <c r="H114" i="16"/>
  <c r="H112"/>
  <c r="H110"/>
  <c r="H108"/>
  <c r="H106"/>
  <c r="D35" i="10"/>
  <c r="D37"/>
  <c r="D40"/>
  <c r="D42"/>
  <c r="D47"/>
  <c r="D13"/>
  <c r="D15"/>
  <c r="D17"/>
  <c r="D19"/>
  <c r="D21"/>
  <c r="D23"/>
  <c r="D25"/>
  <c r="D27"/>
  <c r="D29"/>
  <c r="D31"/>
  <c r="D33"/>
  <c r="D54"/>
  <c r="D63"/>
  <c r="D12"/>
  <c r="D36"/>
  <c r="D46"/>
  <c r="D49"/>
  <c r="D52"/>
  <c r="D53"/>
  <c r="D59"/>
  <c r="D58"/>
  <c r="C18" i="19"/>
  <c r="I15"/>
  <c r="I13"/>
  <c r="I22"/>
  <c r="I16"/>
  <c r="C14"/>
  <c r="M22"/>
  <c r="D64" i="10"/>
  <c r="M21" i="19"/>
  <c r="I21"/>
  <c r="C21"/>
  <c r="I23"/>
  <c r="C23"/>
  <c r="M23"/>
  <c r="D11" i="10"/>
  <c r="C4"/>
  <c r="C2"/>
  <c r="D60"/>
  <c r="D32"/>
  <c r="I12" i="19"/>
  <c r="C16"/>
  <c r="C15"/>
  <c r="I14"/>
  <c r="C13"/>
  <c r="C12"/>
  <c r="M20"/>
  <c r="M19"/>
  <c r="C11"/>
  <c r="C20"/>
  <c r="I20"/>
  <c r="M17"/>
  <c r="M15"/>
  <c r="M13"/>
  <c r="I19"/>
  <c r="D8" i="10" a="1"/>
  <c r="D8"/>
  <c r="D6" a="1"/>
  <c r="D6"/>
  <c r="D9" a="1"/>
  <c r="D9"/>
  <c r="D7" a="1"/>
  <c r="D7"/>
  <c r="D5" a="1"/>
  <c r="D5"/>
  <c r="D3"/>
  <c r="C3" i="19" a="1"/>
  <c r="C3"/>
  <c r="C4" a="1"/>
  <c r="C4"/>
  <c r="C5" a="1"/>
  <c r="C5"/>
  <c r="I3" a="1"/>
  <c r="I3"/>
  <c r="I4" a="1"/>
  <c r="I4"/>
  <c r="I5" a="1"/>
  <c r="I5"/>
  <c r="M3" a="1"/>
  <c r="M3"/>
  <c r="M4" a="1"/>
  <c r="M4"/>
  <c r="M5" a="1"/>
  <c r="M5"/>
  <c r="M6" a="1"/>
  <c r="M6"/>
  <c r="I6" a="1"/>
  <c r="I6"/>
  <c r="M9" a="1"/>
  <c r="M9"/>
  <c r="I9" a="1"/>
  <c r="I9"/>
  <c r="I7" a="1"/>
  <c r="I7"/>
  <c r="M7" a="1"/>
  <c r="M7"/>
  <c r="I8" a="1"/>
  <c r="I8"/>
  <c r="M8" a="1"/>
  <c r="M8"/>
  <c r="C6" a="1"/>
  <c r="C6"/>
  <c r="C9" a="1"/>
  <c r="C9"/>
  <c r="C7" a="1"/>
  <c r="C7"/>
  <c r="C8" a="1"/>
  <c r="C8"/>
  <c r="H104" i="16"/>
  <c r="H115"/>
  <c r="D4" i="10"/>
  <c r="D2"/>
  <c r="H2" i="16" a="1"/>
  <c r="H2"/>
  <c r="H4" a="1"/>
  <c r="H4"/>
  <c r="H3" a="1"/>
  <c r="H3"/>
  <c r="D3" i="17" a="1"/>
  <c r="D3"/>
  <c r="D2" a="1"/>
  <c r="D2"/>
  <c r="D4" a="1"/>
  <c r="D4"/>
  <c r="H13" i="16" a="1"/>
  <c r="H13"/>
  <c r="H14" a="1"/>
  <c r="H14"/>
  <c r="H23" a="1"/>
  <c r="H23"/>
  <c r="H24" a="1"/>
  <c r="H24"/>
  <c r="H7" a="1"/>
  <c r="H7"/>
  <c r="H8" a="1"/>
  <c r="H8"/>
  <c r="H17" a="1"/>
  <c r="H17"/>
  <c r="H18" a="1"/>
  <c r="H18"/>
  <c r="H11" a="1"/>
  <c r="H11"/>
  <c r="H12" a="1"/>
  <c r="H12"/>
  <c r="H21" a="1"/>
  <c r="H21"/>
  <c r="H22" a="1"/>
  <c r="H22"/>
  <c r="H5" a="1"/>
  <c r="H5"/>
  <c r="H6" a="1"/>
  <c r="H6"/>
  <c r="H15" a="1"/>
  <c r="H15"/>
  <c r="H16" a="1"/>
  <c r="H16"/>
  <c r="H9" a="1"/>
  <c r="H9"/>
  <c r="H10" a="1"/>
  <c r="H10"/>
  <c r="H19" a="1"/>
  <c r="H19"/>
  <c r="H20" a="1"/>
  <c r="H20"/>
  <c r="E2" a="1"/>
  <c r="E2"/>
  <c r="E11" a="1"/>
  <c r="E11"/>
  <c r="E12" a="1"/>
  <c r="E12"/>
  <c r="E23" a="1"/>
  <c r="E23"/>
  <c r="E24" a="1"/>
  <c r="E24"/>
  <c r="E5" a="1"/>
  <c r="E5"/>
  <c r="E6" a="1"/>
  <c r="E6"/>
  <c r="E19" a="1"/>
  <c r="E19"/>
  <c r="E20" a="1"/>
  <c r="E20"/>
  <c r="E7" a="1"/>
  <c r="E7"/>
  <c r="E8" a="1"/>
  <c r="E8"/>
  <c r="E3" a="1"/>
  <c r="E3"/>
  <c r="E13" a="1"/>
  <c r="E13"/>
  <c r="E14" a="1"/>
  <c r="E14"/>
  <c r="E15" a="1"/>
  <c r="E15"/>
  <c r="E16" a="1"/>
  <c r="E16"/>
  <c r="E4" a="1"/>
  <c r="E4"/>
  <c r="E17" a="1"/>
  <c r="E17"/>
  <c r="E18" a="1"/>
  <c r="E18"/>
  <c r="E21" a="1"/>
  <c r="E21"/>
  <c r="E22" a="1"/>
  <c r="E22"/>
  <c r="E9" a="1"/>
  <c r="E9"/>
  <c r="E10" a="1"/>
  <c r="E10"/>
  <c r="C19" a="1"/>
  <c r="C19"/>
  <c r="C20" a="1"/>
  <c r="C20"/>
  <c r="C9" a="1"/>
  <c r="C9"/>
  <c r="C10" a="1"/>
  <c r="C10"/>
  <c r="C11" a="1"/>
  <c r="C11"/>
  <c r="C12" a="1"/>
  <c r="C12"/>
  <c r="C4" a="1"/>
  <c r="C4"/>
  <c r="C7" a="1"/>
  <c r="C7"/>
  <c r="C8" a="1"/>
  <c r="C8"/>
  <c r="C15" a="1"/>
  <c r="C15"/>
  <c r="C16" a="1"/>
  <c r="C16"/>
  <c r="C23" a="1"/>
  <c r="C23"/>
  <c r="C24" a="1"/>
  <c r="C24"/>
  <c r="C2" a="1"/>
  <c r="C2"/>
  <c r="C5" a="1"/>
  <c r="C5"/>
  <c r="C6" a="1"/>
  <c r="C6"/>
  <c r="C17" a="1"/>
  <c r="C17"/>
  <c r="C18" a="1"/>
  <c r="C18"/>
  <c r="C13" a="1"/>
  <c r="C13"/>
  <c r="C14" a="1"/>
  <c r="C14"/>
  <c r="C21" a="1"/>
  <c r="C21"/>
  <c r="C22" a="1"/>
  <c r="C22"/>
  <c r="C3" a="1"/>
  <c r="C3"/>
</calcChain>
</file>

<file path=xl/comments1.xml><?xml version="1.0" encoding="utf-8"?>
<comments xmlns="http://schemas.openxmlformats.org/spreadsheetml/2006/main">
  <authors>
    <author>User</author>
  </authors>
  <commentList>
    <comment ref="M1" authorId="0">
      <text>
        <r>
          <rPr>
            <b/>
            <sz val="8"/>
            <color indexed="81"/>
            <rFont val="Tahoma"/>
          </rPr>
          <t>User:</t>
        </r>
        <r>
          <rPr>
            <sz val="8"/>
            <color indexed="81"/>
            <rFont val="Tahoma"/>
          </rPr>
          <t xml:space="preserve">
Vaste Kosten</t>
        </r>
      </text>
    </comment>
    <comment ref="N1" authorId="0">
      <text>
        <r>
          <rPr>
            <b/>
            <sz val="8"/>
            <color indexed="81"/>
            <rFont val="Tahoma"/>
          </rPr>
          <t>User:</t>
        </r>
        <r>
          <rPr>
            <sz val="8"/>
            <color indexed="81"/>
            <rFont val="Tahoma"/>
          </rPr>
          <t xml:space="preserve">
Vaste Kosten</t>
        </r>
      </text>
    </comment>
    <comment ref="O1" authorId="0">
      <text>
        <r>
          <rPr>
            <b/>
            <sz val="8"/>
            <color indexed="81"/>
            <rFont val="Tahoma"/>
          </rPr>
          <t>User:</t>
        </r>
        <r>
          <rPr>
            <sz val="8"/>
            <color indexed="81"/>
            <rFont val="Tahoma"/>
          </rPr>
          <t xml:space="preserve">
Vaste Kosten</t>
        </r>
      </text>
    </comment>
    <comment ref="P1" authorId="0">
      <text>
        <r>
          <rPr>
            <b/>
            <sz val="8"/>
            <color indexed="81"/>
            <rFont val="Tahoma"/>
          </rPr>
          <t>User:</t>
        </r>
        <r>
          <rPr>
            <sz val="8"/>
            <color indexed="81"/>
            <rFont val="Tahoma"/>
          </rPr>
          <t xml:space="preserve">
Vaste Kosten</t>
        </r>
      </text>
    </comment>
  </commentList>
</comments>
</file>

<file path=xl/sharedStrings.xml><?xml version="1.0" encoding="utf-8"?>
<sst xmlns="http://schemas.openxmlformats.org/spreadsheetml/2006/main" count="188" uniqueCount="81">
  <si>
    <t>Loon A</t>
  </si>
  <si>
    <t>Loon B</t>
  </si>
  <si>
    <t>Startsaldo</t>
  </si>
  <si>
    <t>Pers Rek</t>
  </si>
  <si>
    <t>VK-Electriciteit Gas</t>
  </si>
  <si>
    <t>VK-Water</t>
  </si>
  <si>
    <t>VK-Internet</t>
  </si>
  <si>
    <t>VK-Woonlening  / Huur / Verzekering</t>
  </si>
  <si>
    <t>Beschrijving</t>
  </si>
  <si>
    <t>Bedrag v/d verrichting</t>
  </si>
  <si>
    <t>Munt</t>
  </si>
  <si>
    <t>Valutadatum</t>
  </si>
  <si>
    <t>Rekening tegenpartij</t>
  </si>
  <si>
    <t>Naam v/d tegenpartij :</t>
  </si>
  <si>
    <t>Mededeling 1 :</t>
  </si>
  <si>
    <t>Mededeling 2 :</t>
  </si>
  <si>
    <t>Ref. v/d verrichting</t>
  </si>
  <si>
    <t>Afhalingen</t>
  </si>
  <si>
    <t>Stortingen</t>
  </si>
  <si>
    <t>Maand</t>
  </si>
  <si>
    <t>Datum v. verrichting</t>
  </si>
  <si>
    <t>Samen</t>
  </si>
  <si>
    <t>Gemiddelde</t>
  </si>
  <si>
    <t>Gespaard</t>
  </si>
  <si>
    <t>Gem/maand 2005</t>
  </si>
  <si>
    <t>Gem/maand 2004</t>
  </si>
  <si>
    <t>Gem/maand 2003</t>
  </si>
  <si>
    <t>Gem/maand 2002</t>
  </si>
  <si>
    <t>Gem/maand 2001</t>
  </si>
  <si>
    <t>Som sinds ^</t>
  </si>
  <si>
    <t>Gem/jaar sinds  ^</t>
  </si>
  <si>
    <t>Gem/maand sinds ^</t>
  </si>
  <si>
    <t>Auto Type</t>
  </si>
  <si>
    <t>Manual Type</t>
  </si>
  <si>
    <t>Kleding</t>
  </si>
  <si>
    <t>1e woord</t>
  </si>
  <si>
    <t>Andere</t>
  </si>
  <si>
    <t>Voeding</t>
  </si>
  <si>
    <t>Belastingen</t>
  </si>
  <si>
    <t>SpaarRek</t>
  </si>
  <si>
    <t>GemRek</t>
  </si>
  <si>
    <t>GSM</t>
  </si>
  <si>
    <t>VISA</t>
  </si>
  <si>
    <t>Types</t>
  </si>
  <si>
    <t>PersRek</t>
  </si>
  <si>
    <t>Gem/maand  sinds ^</t>
  </si>
  <si>
    <t>Gem/jaar sinds ^</t>
  </si>
  <si>
    <t>Verbruik</t>
  </si>
  <si>
    <t>Gem/maand 2006</t>
  </si>
  <si>
    <t>Gem/maand 2007</t>
  </si>
  <si>
    <t>Gem/maand 2008</t>
  </si>
  <si>
    <t>Gem/maand 2009</t>
  </si>
  <si>
    <t>Gem/maand 2010</t>
  </si>
  <si>
    <t>Verbruik kWh</t>
  </si>
  <si>
    <t>Gemiddelde / maand</t>
  </si>
  <si>
    <t>Externe stortingen</t>
  </si>
  <si>
    <t>Naar onze rekeningen</t>
  </si>
  <si>
    <t>Saldo</t>
  </si>
  <si>
    <t>Datum</t>
  </si>
  <si>
    <t>Afhaling niet naar spaar rek of gem rek of visa</t>
  </si>
  <si>
    <t>Huidig Saldo</t>
  </si>
  <si>
    <t xml:space="preserve">Afschrift </t>
  </si>
  <si>
    <t xml:space="preserve">Verrichting </t>
  </si>
  <si>
    <t xml:space="preserve">Valuta </t>
  </si>
  <si>
    <t xml:space="preserve">Omschrijving </t>
  </si>
  <si>
    <t>Bedrag</t>
  </si>
  <si>
    <t>Bedrag (cijfers)</t>
  </si>
  <si>
    <t>Auto</t>
  </si>
  <si>
    <t>Afhaling NT naar spaar rek of gem rek of belastingen</t>
  </si>
  <si>
    <t>Naam v/d tegenpartij</t>
  </si>
  <si>
    <t>Type betaling</t>
  </si>
  <si>
    <t>Vaste kosten (lening, electriciteit, gas, kabel, water, internet)</t>
  </si>
  <si>
    <t>Uitgaven z vaste kosten</t>
  </si>
  <si>
    <t>Afhaling z vaste kosten</t>
  </si>
  <si>
    <t>Aardgas</t>
  </si>
  <si>
    <t>Electriciteit Nacht (Dal)</t>
  </si>
  <si>
    <t>Electriciteit Dag (Piek)</t>
  </si>
  <si>
    <t>Water</t>
  </si>
  <si>
    <t>EAN Nr</t>
  </si>
  <si>
    <t>Meter Nr:</t>
  </si>
  <si>
    <t>Mededeling</t>
  </si>
</sst>
</file>

<file path=xl/styles.xml><?xml version="1.0" encoding="utf-8"?>
<styleSheet xmlns="http://schemas.openxmlformats.org/spreadsheetml/2006/main">
  <numFmts count="10">
    <numFmt numFmtId="164" formatCode="&quot;€&quot;\ #,##0.00;[Red]&quot;€&quot;\ \-#,##0.00"/>
    <numFmt numFmtId="165" formatCode="_ &quot;€&quot;\ * #,##0.00_ ;_ &quot;€&quot;\ * \-#,##0.00_ ;_ &quot;€&quot;\ * &quot;-&quot;??_ ;_ @_ "/>
    <numFmt numFmtId="166" formatCode="#,##0.00\ &quot;€&quot;"/>
    <numFmt numFmtId="167" formatCode="yyyy"/>
    <numFmt numFmtId="168" formatCode="0.00\ &quot;m³&quot;"/>
    <numFmt numFmtId="169" formatCode="0\ \k\W\h"/>
    <numFmt numFmtId="170" formatCode="0.0000\ &quot;m³&quot;"/>
    <numFmt numFmtId="171" formatCode="0.0\ \k\W\h"/>
    <numFmt numFmtId="172" formatCode="##,##0.00"/>
    <numFmt numFmtId="173" formatCode="&quot;€&quot;\ #,##0.00"/>
  </numFmts>
  <fonts count="12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8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Calibri"/>
    </font>
    <font>
      <sz val="8"/>
      <name val="Calibri"/>
      <family val="2"/>
    </font>
    <font>
      <b/>
      <sz val="11"/>
      <name val="Calibri"/>
      <family val="2"/>
    </font>
    <font>
      <sz val="8"/>
      <color indexed="81"/>
      <name val="Tahoma"/>
    </font>
    <font>
      <b/>
      <sz val="8"/>
      <color indexed="81"/>
      <name val="Tahoma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165" fontId="6" fillId="0" borderId="0" applyFont="0" applyFill="0" applyBorder="0" applyAlignment="0" applyProtection="0"/>
    <xf numFmtId="0" fontId="1" fillId="0" borderId="0"/>
  </cellStyleXfs>
  <cellXfs count="142">
    <xf numFmtId="0" fontId="0" fillId="0" borderId="0" xfId="0"/>
    <xf numFmtId="14" fontId="0" fillId="0" borderId="0" xfId="0" applyNumberFormat="1"/>
    <xf numFmtId="17" fontId="0" fillId="0" borderId="0" xfId="0" applyNumberFormat="1"/>
    <xf numFmtId="0" fontId="4" fillId="0" borderId="0" xfId="0" applyFont="1"/>
    <xf numFmtId="0" fontId="0" fillId="0" borderId="1" xfId="0" applyBorder="1"/>
    <xf numFmtId="166" fontId="0" fillId="0" borderId="0" xfId="0" applyNumberFormat="1"/>
    <xf numFmtId="166" fontId="4" fillId="0" borderId="1" xfId="0" applyNumberFormat="1" applyFont="1" applyBorder="1" applyAlignment="1">
      <alignment vertical="center"/>
    </xf>
    <xf numFmtId="4" fontId="0" fillId="0" borderId="0" xfId="0" applyNumberFormat="1"/>
    <xf numFmtId="166" fontId="4" fillId="0" borderId="1" xfId="0" applyNumberFormat="1" applyFont="1" applyBorder="1" applyAlignment="1"/>
    <xf numFmtId="0" fontId="0" fillId="0" borderId="0" xfId="0" applyBorder="1"/>
    <xf numFmtId="17" fontId="0" fillId="0" borderId="0" xfId="0" applyNumberFormat="1" applyBorder="1"/>
    <xf numFmtId="166" fontId="0" fillId="0" borderId="0" xfId="0" applyNumberFormat="1" applyBorder="1"/>
    <xf numFmtId="166" fontId="4" fillId="0" borderId="0" xfId="0" applyNumberFormat="1" applyFont="1" applyBorder="1" applyAlignment="1"/>
    <xf numFmtId="0" fontId="4" fillId="0" borderId="0" xfId="0" applyFont="1" applyBorder="1"/>
    <xf numFmtId="166" fontId="4" fillId="0" borderId="0" xfId="0" applyNumberFormat="1" applyFont="1" applyBorder="1" applyAlignment="1">
      <alignment vertical="center"/>
    </xf>
    <xf numFmtId="14" fontId="4" fillId="0" borderId="0" xfId="0" applyNumberFormat="1" applyFont="1"/>
    <xf numFmtId="0" fontId="0" fillId="0" borderId="0" xfId="0" applyBorder="1" applyAlignment="1">
      <alignment horizontal="right"/>
    </xf>
    <xf numFmtId="0" fontId="0" fillId="0" borderId="2" xfId="0" applyBorder="1"/>
    <xf numFmtId="0" fontId="0" fillId="0" borderId="3" xfId="0" applyBorder="1"/>
    <xf numFmtId="17" fontId="0" fillId="0" borderId="3" xfId="0" applyNumberFormat="1" applyBorder="1"/>
    <xf numFmtId="166" fontId="4" fillId="0" borderId="4" xfId="0" applyNumberFormat="1" applyFont="1" applyBorder="1"/>
    <xf numFmtId="166" fontId="4" fillId="0" borderId="1" xfId="0" applyNumberFormat="1" applyFont="1" applyBorder="1"/>
    <xf numFmtId="166" fontId="4" fillId="0" borderId="5" xfId="0" applyNumberFormat="1" applyFont="1" applyBorder="1"/>
    <xf numFmtId="166" fontId="4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Border="1" applyAlignment="1">
      <alignment horizontal="center"/>
    </xf>
    <xf numFmtId="166" fontId="4" fillId="0" borderId="0" xfId="0" applyNumberFormat="1" applyFont="1" applyBorder="1"/>
    <xf numFmtId="17" fontId="0" fillId="0" borderId="1" xfId="0" applyNumberFormat="1" applyBorder="1"/>
    <xf numFmtId="167" fontId="4" fillId="0" borderId="1" xfId="0" applyNumberFormat="1" applyFont="1" applyBorder="1" applyAlignment="1">
      <alignment horizontal="right"/>
    </xf>
    <xf numFmtId="166" fontId="0" fillId="0" borderId="0" xfId="0" applyNumberFormat="1" applyFont="1" applyBorder="1" applyAlignment="1"/>
    <xf numFmtId="166" fontId="4" fillId="0" borderId="6" xfId="0" applyNumberFormat="1" applyFont="1" applyBorder="1"/>
    <xf numFmtId="0" fontId="0" fillId="0" borderId="6" xfId="0" applyBorder="1"/>
    <xf numFmtId="166" fontId="4" fillId="0" borderId="6" xfId="0" applyNumberFormat="1" applyFont="1" applyBorder="1" applyAlignment="1">
      <alignment horizontal="center" vertical="center"/>
    </xf>
    <xf numFmtId="166" fontId="4" fillId="0" borderId="1" xfId="0" applyNumberFormat="1" applyFont="1" applyBorder="1" applyAlignment="1">
      <alignment horizontal="center" vertical="top"/>
    </xf>
    <xf numFmtId="0" fontId="0" fillId="0" borderId="0" xfId="0" applyAlignment="1"/>
    <xf numFmtId="0" fontId="0" fillId="0" borderId="0" xfId="0" applyFont="1"/>
    <xf numFmtId="0" fontId="0" fillId="0" borderId="0" xfId="0" applyFont="1" applyAlignment="1"/>
    <xf numFmtId="166" fontId="0" fillId="0" borderId="0" xfId="0" applyNumberFormat="1" applyBorder="1" applyAlignment="1">
      <alignment horizontal="right"/>
    </xf>
    <xf numFmtId="167" fontId="4" fillId="0" borderId="0" xfId="0" applyNumberFormat="1" applyFont="1" applyBorder="1" applyAlignment="1">
      <alignment horizontal="right"/>
    </xf>
    <xf numFmtId="166" fontId="4" fillId="0" borderId="6" xfId="0" applyNumberFormat="1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166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2" borderId="0" xfId="0" applyFont="1" applyFill="1" applyBorder="1" applyAlignment="1">
      <alignment horizontal="right"/>
    </xf>
    <xf numFmtId="0" fontId="0" fillId="2" borderId="0" xfId="0" applyFill="1" applyBorder="1"/>
    <xf numFmtId="168" fontId="0" fillId="0" borderId="0" xfId="0" applyNumberFormat="1"/>
    <xf numFmtId="169" fontId="0" fillId="0" borderId="0" xfId="0" applyNumberFormat="1"/>
    <xf numFmtId="168" fontId="4" fillId="0" borderId="1" xfId="0" applyNumberFormat="1" applyFont="1" applyBorder="1" applyAlignment="1">
      <alignment horizontal="center"/>
    </xf>
    <xf numFmtId="170" fontId="0" fillId="0" borderId="0" xfId="0" applyNumberFormat="1"/>
    <xf numFmtId="170" fontId="4" fillId="0" borderId="1" xfId="0" applyNumberFormat="1" applyFont="1" applyBorder="1" applyAlignment="1">
      <alignment horizontal="center"/>
    </xf>
    <xf numFmtId="171" fontId="4" fillId="0" borderId="1" xfId="0" applyNumberFormat="1" applyFont="1" applyBorder="1" applyAlignment="1">
      <alignment horizontal="center"/>
    </xf>
    <xf numFmtId="171" fontId="0" fillId="0" borderId="0" xfId="0" applyNumberFormat="1"/>
    <xf numFmtId="172" fontId="0" fillId="0" borderId="0" xfId="0" applyNumberFormat="1"/>
    <xf numFmtId="0" fontId="4" fillId="0" borderId="0" xfId="0" applyFont="1" applyBorder="1" applyAlignment="1">
      <alignment horizontal="center"/>
    </xf>
    <xf numFmtId="168" fontId="4" fillId="0" borderId="0" xfId="0" applyNumberFormat="1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4" fontId="0" fillId="0" borderId="3" xfId="0" applyNumberFormat="1" applyBorder="1"/>
    <xf numFmtId="168" fontId="4" fillId="0" borderId="5" xfId="0" applyNumberFormat="1" applyFont="1" applyBorder="1" applyAlignment="1">
      <alignment horizontal="center"/>
    </xf>
    <xf numFmtId="168" fontId="4" fillId="0" borderId="3" xfId="0" applyNumberFormat="1" applyFont="1" applyBorder="1" applyAlignment="1">
      <alignment horizontal="center"/>
    </xf>
    <xf numFmtId="168" fontId="0" fillId="0" borderId="3" xfId="0" applyNumberFormat="1" applyBorder="1"/>
    <xf numFmtId="171" fontId="0" fillId="0" borderId="3" xfId="0" applyNumberFormat="1" applyBorder="1"/>
    <xf numFmtId="169" fontId="0" fillId="0" borderId="3" xfId="0" applyNumberFormat="1" applyBorder="1"/>
    <xf numFmtId="170" fontId="0" fillId="0" borderId="3" xfId="0" applyNumberFormat="1" applyBorder="1"/>
    <xf numFmtId="170" fontId="4" fillId="0" borderId="5" xfId="0" applyNumberFormat="1" applyFont="1" applyBorder="1" applyAlignment="1">
      <alignment horizontal="center"/>
    </xf>
    <xf numFmtId="171" fontId="4" fillId="0" borderId="0" xfId="0" applyNumberFormat="1" applyFont="1"/>
    <xf numFmtId="171" fontId="4" fillId="0" borderId="3" xfId="0" applyNumberFormat="1" applyFont="1" applyBorder="1"/>
    <xf numFmtId="167" fontId="0" fillId="0" borderId="0" xfId="0" applyNumberFormat="1" applyBorder="1"/>
    <xf numFmtId="168" fontId="0" fillId="0" borderId="0" xfId="0" applyNumberFormat="1" applyBorder="1"/>
    <xf numFmtId="171" fontId="4" fillId="0" borderId="0" xfId="0" applyNumberFormat="1" applyFont="1" applyBorder="1"/>
    <xf numFmtId="171" fontId="0" fillId="0" borderId="0" xfId="0" applyNumberFormat="1" applyBorder="1"/>
    <xf numFmtId="169" fontId="0" fillId="0" borderId="0" xfId="0" applyNumberFormat="1" applyBorder="1"/>
    <xf numFmtId="0" fontId="4" fillId="0" borderId="0" xfId="0" applyFont="1" applyBorder="1" applyAlignment="1">
      <alignment horizontal="right"/>
    </xf>
    <xf numFmtId="164" fontId="4" fillId="0" borderId="0" xfId="0" applyNumberFormat="1" applyFont="1" applyBorder="1"/>
    <xf numFmtId="164" fontId="4" fillId="0" borderId="3" xfId="0" applyNumberFormat="1" applyFont="1" applyBorder="1"/>
    <xf numFmtId="164" fontId="4" fillId="2" borderId="0" xfId="0" applyNumberFormat="1" applyFont="1" applyFill="1" applyBorder="1"/>
    <xf numFmtId="164" fontId="4" fillId="2" borderId="3" xfId="0" applyNumberFormat="1" applyFont="1" applyFill="1" applyBorder="1"/>
    <xf numFmtId="164" fontId="0" fillId="0" borderId="0" xfId="0" applyNumberFormat="1"/>
    <xf numFmtId="164" fontId="0" fillId="0" borderId="3" xfId="0" applyNumberFormat="1" applyBorder="1"/>
    <xf numFmtId="164" fontId="0" fillId="0" borderId="0" xfId="0" applyNumberFormat="1" applyBorder="1"/>
    <xf numFmtId="164" fontId="0" fillId="0" borderId="1" xfId="0" applyNumberFormat="1" applyBorder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164" fontId="4" fillId="0" borderId="2" xfId="0" applyNumberFormat="1" applyFont="1" applyBorder="1"/>
    <xf numFmtId="164" fontId="4" fillId="2" borderId="2" xfId="0" applyNumberFormat="1" applyFont="1" applyFill="1" applyBorder="1"/>
    <xf numFmtId="164" fontId="0" fillId="0" borderId="2" xfId="0" applyNumberFormat="1" applyBorder="1"/>
    <xf numFmtId="0" fontId="4" fillId="0" borderId="1" xfId="0" applyNumberFormat="1" applyFont="1" applyBorder="1" applyAlignment="1">
      <alignment horizontal="center" vertical="center" wrapText="1"/>
    </xf>
    <xf numFmtId="173" fontId="0" fillId="0" borderId="0" xfId="0" applyNumberFormat="1" applyFont="1"/>
    <xf numFmtId="173" fontId="0" fillId="0" borderId="0" xfId="0" applyNumberFormat="1"/>
    <xf numFmtId="173" fontId="2" fillId="0" borderId="0" xfId="0" applyNumberFormat="1" applyFont="1"/>
    <xf numFmtId="0" fontId="4" fillId="0" borderId="1" xfId="0" applyFont="1" applyBorder="1" applyAlignment="1">
      <alignment horizontal="right"/>
    </xf>
    <xf numFmtId="173" fontId="4" fillId="0" borderId="0" xfId="1" applyNumberFormat="1" applyFont="1" applyAlignment="1">
      <alignment horizontal="right"/>
    </xf>
    <xf numFmtId="173" fontId="0" fillId="0" borderId="0" xfId="1" applyNumberFormat="1" applyFont="1"/>
    <xf numFmtId="173" fontId="0" fillId="0" borderId="0" xfId="1" applyNumberFormat="1" applyFont="1" applyAlignment="1">
      <alignment horizontal="right"/>
    </xf>
    <xf numFmtId="173" fontId="4" fillId="0" borderId="0" xfId="0" applyNumberFormat="1" applyFont="1" applyAlignment="1">
      <alignment horizontal="center" vertical="center"/>
    </xf>
    <xf numFmtId="173" fontId="0" fillId="0" borderId="0" xfId="0" applyNumberFormat="1" applyAlignment="1">
      <alignment horizontal="right"/>
    </xf>
    <xf numFmtId="0" fontId="0" fillId="0" borderId="2" xfId="0" applyFont="1" applyBorder="1"/>
    <xf numFmtId="0" fontId="0" fillId="0" borderId="0" xfId="0" applyFill="1"/>
    <xf numFmtId="0" fontId="0" fillId="0" borderId="2" xfId="0" applyFont="1" applyBorder="1" applyAlignment="1">
      <alignment horizontal="left"/>
    </xf>
    <xf numFmtId="0" fontId="3" fillId="2" borderId="0" xfId="0" applyFont="1" applyFill="1" applyAlignment="1">
      <alignment horizontal="center"/>
    </xf>
    <xf numFmtId="0" fontId="0" fillId="0" borderId="0" xfId="0" applyFill="1" applyBorder="1"/>
    <xf numFmtId="166" fontId="4" fillId="0" borderId="3" xfId="0" applyNumberFormat="1" applyFont="1" applyBorder="1"/>
    <xf numFmtId="0" fontId="4" fillId="0" borderId="0" xfId="0" applyFont="1" applyFill="1" applyBorder="1"/>
    <xf numFmtId="0" fontId="4" fillId="0" borderId="6" xfId="0" applyFont="1" applyBorder="1" applyAlignment="1">
      <alignment horizontal="center" vertical="center"/>
    </xf>
    <xf numFmtId="0" fontId="4" fillId="0" borderId="4" xfId="0" applyFont="1" applyBorder="1" applyAlignment="1">
      <alignment horizontal="right"/>
    </xf>
    <xf numFmtId="0" fontId="4" fillId="0" borderId="6" xfId="0" applyFont="1" applyBorder="1" applyAlignment="1">
      <alignment horizontal="right"/>
    </xf>
    <xf numFmtId="17" fontId="0" fillId="0" borderId="8" xfId="0" applyNumberFormat="1" applyBorder="1"/>
    <xf numFmtId="166" fontId="0" fillId="0" borderId="8" xfId="0" applyNumberFormat="1" applyBorder="1"/>
    <xf numFmtId="0" fontId="0" fillId="0" borderId="8" xfId="0" applyBorder="1"/>
    <xf numFmtId="0" fontId="4" fillId="2" borderId="3" xfId="0" applyFont="1" applyFill="1" applyBorder="1" applyAlignment="1">
      <alignment horizontal="center"/>
    </xf>
    <xf numFmtId="168" fontId="4" fillId="2" borderId="0" xfId="0" applyNumberFormat="1" applyFont="1" applyFill="1" applyBorder="1" applyAlignment="1">
      <alignment horizontal="center"/>
    </xf>
    <xf numFmtId="168" fontId="4" fillId="2" borderId="3" xfId="0" applyNumberFormat="1" applyFont="1" applyFill="1" applyBorder="1" applyAlignment="1">
      <alignment horizontal="center"/>
    </xf>
    <xf numFmtId="171" fontId="4" fillId="2" borderId="0" xfId="0" applyNumberFormat="1" applyFont="1" applyFill="1" applyBorder="1" applyAlignment="1">
      <alignment horizontal="center"/>
    </xf>
    <xf numFmtId="171" fontId="4" fillId="2" borderId="3" xfId="0" applyNumberFormat="1" applyFont="1" applyFill="1" applyBorder="1" applyAlignment="1">
      <alignment horizontal="center"/>
    </xf>
    <xf numFmtId="170" fontId="4" fillId="2" borderId="0" xfId="0" applyNumberFormat="1" applyFont="1" applyFill="1" applyBorder="1" applyAlignment="1">
      <alignment horizontal="center"/>
    </xf>
    <xf numFmtId="170" fontId="4" fillId="2" borderId="3" xfId="0" applyNumberFormat="1" applyFont="1" applyFill="1" applyBorder="1" applyAlignment="1">
      <alignment horizontal="center"/>
    </xf>
    <xf numFmtId="14" fontId="0" fillId="0" borderId="0" xfId="0" applyNumberFormat="1" applyBorder="1"/>
    <xf numFmtId="0" fontId="0" fillId="0" borderId="0" xfId="0" applyBorder="1" applyAlignment="1">
      <alignment horizontal="center" vertical="center"/>
    </xf>
    <xf numFmtId="173" fontId="9" fillId="0" borderId="0" xfId="0" applyNumberFormat="1" applyFont="1"/>
    <xf numFmtId="164" fontId="4" fillId="0" borderId="3" xfId="0" applyNumberFormat="1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164" fontId="4" fillId="0" borderId="2" xfId="0" applyNumberFormat="1" applyFont="1" applyBorder="1" applyAlignment="1">
      <alignment horizontal="center" vertical="center" wrapText="1"/>
    </xf>
    <xf numFmtId="164" fontId="4" fillId="0" borderId="7" xfId="0" applyNumberFormat="1" applyFont="1" applyBorder="1" applyAlignment="1">
      <alignment horizontal="center" vertical="center" wrapText="1"/>
    </xf>
    <xf numFmtId="164" fontId="5" fillId="0" borderId="0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64" fontId="4" fillId="0" borderId="0" xfId="0" applyNumberFormat="1" applyFont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164" fontId="4" fillId="0" borderId="3" xfId="0" applyNumberFormat="1" applyFont="1" applyBorder="1" applyAlignment="1">
      <alignment horizontal="center" vertical="center" wrapText="1"/>
    </xf>
    <xf numFmtId="164" fontId="4" fillId="0" borderId="5" xfId="0" applyNumberFormat="1" applyFont="1" applyBorder="1" applyAlignment="1">
      <alignment horizontal="center" vertical="center" wrapText="1"/>
    </xf>
    <xf numFmtId="0" fontId="0" fillId="0" borderId="2" xfId="0" applyNumberFormat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169" fontId="0" fillId="0" borderId="0" xfId="0" quotePrefix="1" applyNumberFormat="1" applyAlignment="1">
      <alignment horizontal="center"/>
    </xf>
    <xf numFmtId="169" fontId="0" fillId="0" borderId="3" xfId="0" quotePrefix="1" applyNumberFormat="1" applyBorder="1" applyAlignment="1">
      <alignment horizontal="center"/>
    </xf>
    <xf numFmtId="168" fontId="0" fillId="0" borderId="2" xfId="0" quotePrefix="1" applyNumberFormat="1" applyBorder="1" applyAlignment="1">
      <alignment horizontal="center"/>
    </xf>
    <xf numFmtId="168" fontId="0" fillId="0" borderId="0" xfId="0" quotePrefix="1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3" xfId="0" quotePrefix="1" applyBorder="1" applyAlignment="1">
      <alignment horizontal="center"/>
    </xf>
  </cellXfs>
  <cellStyles count="3">
    <cellStyle name="Currency" xfId="1" builtinId="4"/>
    <cellStyle name="Normal" xfId="0" builtinId="0"/>
    <cellStyle name="Normal 2" xfId="2"/>
  </cellStyles>
  <dxfs count="30">
    <dxf>
      <border>
        <bottom style="thin">
          <color indexed="64"/>
        </bottom>
      </border>
    </dxf>
    <dxf>
      <font>
        <color rgb="FFFF0000"/>
      </font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</font>
    </dxf>
    <dxf>
      <font>
        <color rgb="FFFF0000"/>
      </font>
    </dxf>
    <dxf>
      <font>
        <color rgb="FFFF0000"/>
      </font>
    </dxf>
    <dxf>
      <border>
        <bottom style="thin">
          <color indexed="64"/>
        </bottom>
      </border>
    </dxf>
    <dxf>
      <font>
        <b/>
        <i val="0"/>
      </font>
    </dxf>
    <dxf>
      <border>
        <bottom style="thin">
          <color indexed="64"/>
        </bottom>
      </border>
    </dxf>
    <dxf>
      <font>
        <color rgb="FFFF0000"/>
      </font>
    </dxf>
    <dxf>
      <border>
        <bottom style="thin">
          <color indexed="64"/>
        </bottom>
      </border>
    </dxf>
    <dxf>
      <font>
        <color rgb="FFFF0000"/>
      </font>
    </dxf>
    <dxf>
      <font>
        <b/>
        <i val="0"/>
      </font>
    </dxf>
    <dxf>
      <font>
        <color rgb="FFFF0000"/>
      </font>
    </dxf>
    <dxf>
      <border>
        <bottom style="thin">
          <color indexed="64"/>
        </bottom>
      </border>
    </dxf>
    <dxf>
      <font>
        <color rgb="FFFF0000"/>
      </font>
    </dxf>
    <dxf>
      <font>
        <b/>
        <i val="0"/>
      </font>
    </dxf>
    <dxf>
      <border>
        <bottom style="thin">
          <color indexed="64"/>
        </bottom>
      </border>
    </dxf>
    <dxf>
      <font>
        <color rgb="FFFF0000"/>
      </font>
    </dxf>
    <dxf>
      <font>
        <color rgb="FFFF0000"/>
      </font>
    </dxf>
    <dxf>
      <border>
        <bottom style="thin">
          <color indexed="64"/>
        </bottom>
      </border>
    </dxf>
    <dxf>
      <font>
        <b/>
        <i val="0"/>
      </font>
    </dxf>
    <dxf>
      <border>
        <bottom style="thin">
          <color indexed="64"/>
        </bottom>
      </border>
    </dxf>
    <dxf>
      <font>
        <color rgb="FFFF0000"/>
      </font>
    </dxf>
    <dxf>
      <border>
        <bottom style="thin">
          <color indexed="64"/>
        </bottom>
      </border>
    </dxf>
    <dxf>
      <font>
        <color rgb="FFFF0000"/>
      </font>
    </dxf>
    <dxf>
      <font>
        <b/>
        <i val="0"/>
      </font>
    </dxf>
    <dxf>
      <border>
        <bottom style="thin">
          <color indexed="64"/>
        </bottom>
      </border>
    </dxf>
    <dxf>
      <font>
        <color rgb="FFFF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BE"/>
  <c:chart>
    <c:plotArea>
      <c:layout>
        <c:manualLayout>
          <c:layoutTarget val="inner"/>
          <c:xMode val="edge"/>
          <c:yMode val="edge"/>
          <c:x val="9.9283520982599793E-2"/>
          <c:y val="4.0752351097178813E-2"/>
          <c:w val="0.62128966223132065"/>
          <c:h val="0.90752351097178652"/>
        </c:manualLayout>
      </c:layout>
      <c:lineChart>
        <c:grouping val="standard"/>
        <c:ser>
          <c:idx val="1"/>
          <c:order val="0"/>
          <c:tx>
            <c:strRef>
              <c:f>ArgentaGiroSamenv!$B$16</c:f>
              <c:strCache>
                <c:ptCount val="1"/>
                <c:pt idx="0">
                  <c:v>Afhalingen</c:v>
                </c:pt>
              </c:strCache>
            </c:strRef>
          </c:tx>
          <c:marker>
            <c:symbol val="none"/>
          </c:marker>
          <c:cat>
            <c:numRef>
              <c:f>ArgentaGiroSamenv!$A$17:$A$74</c:f>
              <c:numCache>
                <c:formatCode>mmm/yy</c:formatCode>
                <c:ptCount val="58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  <c:pt idx="3">
                  <c:v>38808</c:v>
                </c:pt>
                <c:pt idx="4">
                  <c:v>38838</c:v>
                </c:pt>
                <c:pt idx="5">
                  <c:v>38869</c:v>
                </c:pt>
                <c:pt idx="6">
                  <c:v>38899</c:v>
                </c:pt>
                <c:pt idx="7">
                  <c:v>38930</c:v>
                </c:pt>
                <c:pt idx="8">
                  <c:v>38961</c:v>
                </c:pt>
                <c:pt idx="9">
                  <c:v>38991</c:v>
                </c:pt>
                <c:pt idx="10">
                  <c:v>39022</c:v>
                </c:pt>
                <c:pt idx="11">
                  <c:v>39052</c:v>
                </c:pt>
                <c:pt idx="12">
                  <c:v>39083</c:v>
                </c:pt>
                <c:pt idx="13">
                  <c:v>39114</c:v>
                </c:pt>
                <c:pt idx="14">
                  <c:v>39142</c:v>
                </c:pt>
                <c:pt idx="15">
                  <c:v>39173</c:v>
                </c:pt>
                <c:pt idx="16">
                  <c:v>39203</c:v>
                </c:pt>
                <c:pt idx="17">
                  <c:v>39234</c:v>
                </c:pt>
                <c:pt idx="18">
                  <c:v>39264</c:v>
                </c:pt>
                <c:pt idx="19">
                  <c:v>39295</c:v>
                </c:pt>
                <c:pt idx="20">
                  <c:v>39326</c:v>
                </c:pt>
                <c:pt idx="21">
                  <c:v>39356</c:v>
                </c:pt>
                <c:pt idx="22">
                  <c:v>39387</c:v>
                </c:pt>
                <c:pt idx="23">
                  <c:v>39417</c:v>
                </c:pt>
                <c:pt idx="24">
                  <c:v>39448</c:v>
                </c:pt>
                <c:pt idx="25">
                  <c:v>39479</c:v>
                </c:pt>
                <c:pt idx="26">
                  <c:v>39508</c:v>
                </c:pt>
                <c:pt idx="27">
                  <c:v>39539</c:v>
                </c:pt>
                <c:pt idx="28">
                  <c:v>39569</c:v>
                </c:pt>
                <c:pt idx="29">
                  <c:v>39600</c:v>
                </c:pt>
                <c:pt idx="30">
                  <c:v>39630</c:v>
                </c:pt>
                <c:pt idx="31">
                  <c:v>39661</c:v>
                </c:pt>
                <c:pt idx="32">
                  <c:v>39692</c:v>
                </c:pt>
                <c:pt idx="33">
                  <c:v>39722</c:v>
                </c:pt>
                <c:pt idx="34">
                  <c:v>39753</c:v>
                </c:pt>
                <c:pt idx="35">
                  <c:v>39783</c:v>
                </c:pt>
                <c:pt idx="36">
                  <c:v>39814</c:v>
                </c:pt>
                <c:pt idx="37">
                  <c:v>39845</c:v>
                </c:pt>
                <c:pt idx="38">
                  <c:v>39873</c:v>
                </c:pt>
                <c:pt idx="39">
                  <c:v>39904</c:v>
                </c:pt>
                <c:pt idx="40">
                  <c:v>39934</c:v>
                </c:pt>
                <c:pt idx="41">
                  <c:v>39965</c:v>
                </c:pt>
                <c:pt idx="42">
                  <c:v>39995</c:v>
                </c:pt>
                <c:pt idx="43">
                  <c:v>40026</c:v>
                </c:pt>
                <c:pt idx="44">
                  <c:v>40057</c:v>
                </c:pt>
                <c:pt idx="45">
                  <c:v>40087</c:v>
                </c:pt>
                <c:pt idx="46">
                  <c:v>40118</c:v>
                </c:pt>
                <c:pt idx="47">
                  <c:v>40148</c:v>
                </c:pt>
                <c:pt idx="48">
                  <c:v>40179</c:v>
                </c:pt>
                <c:pt idx="49">
                  <c:v>40210</c:v>
                </c:pt>
                <c:pt idx="50">
                  <c:v>40238</c:v>
                </c:pt>
                <c:pt idx="51">
                  <c:v>40269</c:v>
                </c:pt>
                <c:pt idx="52">
                  <c:v>40299</c:v>
                </c:pt>
                <c:pt idx="53">
                  <c:v>40330</c:v>
                </c:pt>
                <c:pt idx="54">
                  <c:v>40360</c:v>
                </c:pt>
                <c:pt idx="55">
                  <c:v>40391</c:v>
                </c:pt>
                <c:pt idx="56">
                  <c:v>40422</c:v>
                </c:pt>
                <c:pt idx="57">
                  <c:v>40452</c:v>
                </c:pt>
              </c:numCache>
            </c:numRef>
          </c:cat>
          <c:val>
            <c:numRef>
              <c:f>ArgentaGiroSamenv!$B$17:$B$74</c:f>
              <c:numCache>
                <c:formatCode>#,##0.00\ "€"</c:formatCode>
                <c:ptCount val="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</c:numCache>
            </c:numRef>
          </c:val>
        </c:ser>
        <c:ser>
          <c:idx val="3"/>
          <c:order val="1"/>
          <c:tx>
            <c:strRef>
              <c:f>ArgentaGiroSamenv!$D$16</c:f>
              <c:strCache>
                <c:ptCount val="1"/>
                <c:pt idx="0">
                  <c:v>Voeding</c:v>
                </c:pt>
              </c:strCache>
            </c:strRef>
          </c:tx>
          <c:marker>
            <c:symbol val="none"/>
          </c:marker>
          <c:cat>
            <c:numRef>
              <c:f>ArgentaGiroSamenv!$A$17:$A$74</c:f>
              <c:numCache>
                <c:formatCode>mmm/yy</c:formatCode>
                <c:ptCount val="58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  <c:pt idx="3">
                  <c:v>38808</c:v>
                </c:pt>
                <c:pt idx="4">
                  <c:v>38838</c:v>
                </c:pt>
                <c:pt idx="5">
                  <c:v>38869</c:v>
                </c:pt>
                <c:pt idx="6">
                  <c:v>38899</c:v>
                </c:pt>
                <c:pt idx="7">
                  <c:v>38930</c:v>
                </c:pt>
                <c:pt idx="8">
                  <c:v>38961</c:v>
                </c:pt>
                <c:pt idx="9">
                  <c:v>38991</c:v>
                </c:pt>
                <c:pt idx="10">
                  <c:v>39022</c:v>
                </c:pt>
                <c:pt idx="11">
                  <c:v>39052</c:v>
                </c:pt>
                <c:pt idx="12">
                  <c:v>39083</c:v>
                </c:pt>
                <c:pt idx="13">
                  <c:v>39114</c:v>
                </c:pt>
                <c:pt idx="14">
                  <c:v>39142</c:v>
                </c:pt>
                <c:pt idx="15">
                  <c:v>39173</c:v>
                </c:pt>
                <c:pt idx="16">
                  <c:v>39203</c:v>
                </c:pt>
                <c:pt idx="17">
                  <c:v>39234</c:v>
                </c:pt>
                <c:pt idx="18">
                  <c:v>39264</c:v>
                </c:pt>
                <c:pt idx="19">
                  <c:v>39295</c:v>
                </c:pt>
                <c:pt idx="20">
                  <c:v>39326</c:v>
                </c:pt>
                <c:pt idx="21">
                  <c:v>39356</c:v>
                </c:pt>
                <c:pt idx="22">
                  <c:v>39387</c:v>
                </c:pt>
                <c:pt idx="23">
                  <c:v>39417</c:v>
                </c:pt>
                <c:pt idx="24">
                  <c:v>39448</c:v>
                </c:pt>
                <c:pt idx="25">
                  <c:v>39479</c:v>
                </c:pt>
                <c:pt idx="26">
                  <c:v>39508</c:v>
                </c:pt>
                <c:pt idx="27">
                  <c:v>39539</c:v>
                </c:pt>
                <c:pt idx="28">
                  <c:v>39569</c:v>
                </c:pt>
                <c:pt idx="29">
                  <c:v>39600</c:v>
                </c:pt>
                <c:pt idx="30">
                  <c:v>39630</c:v>
                </c:pt>
                <c:pt idx="31">
                  <c:v>39661</c:v>
                </c:pt>
                <c:pt idx="32">
                  <c:v>39692</c:v>
                </c:pt>
                <c:pt idx="33">
                  <c:v>39722</c:v>
                </c:pt>
                <c:pt idx="34">
                  <c:v>39753</c:v>
                </c:pt>
                <c:pt idx="35">
                  <c:v>39783</c:v>
                </c:pt>
                <c:pt idx="36">
                  <c:v>39814</c:v>
                </c:pt>
                <c:pt idx="37">
                  <c:v>39845</c:v>
                </c:pt>
                <c:pt idx="38">
                  <c:v>39873</c:v>
                </c:pt>
                <c:pt idx="39">
                  <c:v>39904</c:v>
                </c:pt>
                <c:pt idx="40">
                  <c:v>39934</c:v>
                </c:pt>
                <c:pt idx="41">
                  <c:v>39965</c:v>
                </c:pt>
                <c:pt idx="42">
                  <c:v>39995</c:v>
                </c:pt>
                <c:pt idx="43">
                  <c:v>40026</c:v>
                </c:pt>
                <c:pt idx="44">
                  <c:v>40057</c:v>
                </c:pt>
                <c:pt idx="45">
                  <c:v>40087</c:v>
                </c:pt>
                <c:pt idx="46">
                  <c:v>40118</c:v>
                </c:pt>
                <c:pt idx="47">
                  <c:v>40148</c:v>
                </c:pt>
                <c:pt idx="48">
                  <c:v>40179</c:v>
                </c:pt>
                <c:pt idx="49">
                  <c:v>40210</c:v>
                </c:pt>
                <c:pt idx="50">
                  <c:v>40238</c:v>
                </c:pt>
                <c:pt idx="51">
                  <c:v>40269</c:v>
                </c:pt>
                <c:pt idx="52">
                  <c:v>40299</c:v>
                </c:pt>
                <c:pt idx="53">
                  <c:v>40330</c:v>
                </c:pt>
                <c:pt idx="54">
                  <c:v>40360</c:v>
                </c:pt>
                <c:pt idx="55">
                  <c:v>40391</c:v>
                </c:pt>
                <c:pt idx="56">
                  <c:v>40422</c:v>
                </c:pt>
                <c:pt idx="57">
                  <c:v>40452</c:v>
                </c:pt>
              </c:numCache>
            </c:numRef>
          </c:cat>
          <c:val>
            <c:numRef>
              <c:f>ArgentaGiroSamenv!$D$17:$D$74</c:f>
              <c:numCache>
                <c:formatCode>#,##0.00\ "€"</c:formatCode>
                <c:ptCount val="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</c:numCache>
            </c:numRef>
          </c:val>
        </c:ser>
        <c:ser>
          <c:idx val="2"/>
          <c:order val="2"/>
          <c:tx>
            <c:strRef>
              <c:f>ArgentaGiroSamenv!$C$16</c:f>
              <c:strCache>
                <c:ptCount val="1"/>
                <c:pt idx="0">
                  <c:v>Afhaling niet naar spaar rek of gem rek of visa</c:v>
                </c:pt>
              </c:strCache>
            </c:strRef>
          </c:tx>
          <c:marker>
            <c:symbol val="none"/>
          </c:marker>
          <c:cat>
            <c:numRef>
              <c:f>ArgentaGiroSamenv!$A$17:$A$74</c:f>
              <c:numCache>
                <c:formatCode>mmm/yy</c:formatCode>
                <c:ptCount val="58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  <c:pt idx="3">
                  <c:v>38808</c:v>
                </c:pt>
                <c:pt idx="4">
                  <c:v>38838</c:v>
                </c:pt>
                <c:pt idx="5">
                  <c:v>38869</c:v>
                </c:pt>
                <c:pt idx="6">
                  <c:v>38899</c:v>
                </c:pt>
                <c:pt idx="7">
                  <c:v>38930</c:v>
                </c:pt>
                <c:pt idx="8">
                  <c:v>38961</c:v>
                </c:pt>
                <c:pt idx="9">
                  <c:v>38991</c:v>
                </c:pt>
                <c:pt idx="10">
                  <c:v>39022</c:v>
                </c:pt>
                <c:pt idx="11">
                  <c:v>39052</c:v>
                </c:pt>
                <c:pt idx="12">
                  <c:v>39083</c:v>
                </c:pt>
                <c:pt idx="13">
                  <c:v>39114</c:v>
                </c:pt>
                <c:pt idx="14">
                  <c:v>39142</c:v>
                </c:pt>
                <c:pt idx="15">
                  <c:v>39173</c:v>
                </c:pt>
                <c:pt idx="16">
                  <c:v>39203</c:v>
                </c:pt>
                <c:pt idx="17">
                  <c:v>39234</c:v>
                </c:pt>
                <c:pt idx="18">
                  <c:v>39264</c:v>
                </c:pt>
                <c:pt idx="19">
                  <c:v>39295</c:v>
                </c:pt>
                <c:pt idx="20">
                  <c:v>39326</c:v>
                </c:pt>
                <c:pt idx="21">
                  <c:v>39356</c:v>
                </c:pt>
                <c:pt idx="22">
                  <c:v>39387</c:v>
                </c:pt>
                <c:pt idx="23">
                  <c:v>39417</c:v>
                </c:pt>
                <c:pt idx="24">
                  <c:v>39448</c:v>
                </c:pt>
                <c:pt idx="25">
                  <c:v>39479</c:v>
                </c:pt>
                <c:pt idx="26">
                  <c:v>39508</c:v>
                </c:pt>
                <c:pt idx="27">
                  <c:v>39539</c:v>
                </c:pt>
                <c:pt idx="28">
                  <c:v>39569</c:v>
                </c:pt>
                <c:pt idx="29">
                  <c:v>39600</c:v>
                </c:pt>
                <c:pt idx="30">
                  <c:v>39630</c:v>
                </c:pt>
                <c:pt idx="31">
                  <c:v>39661</c:v>
                </c:pt>
                <c:pt idx="32">
                  <c:v>39692</c:v>
                </c:pt>
                <c:pt idx="33">
                  <c:v>39722</c:v>
                </c:pt>
                <c:pt idx="34">
                  <c:v>39753</c:v>
                </c:pt>
                <c:pt idx="35">
                  <c:v>39783</c:v>
                </c:pt>
                <c:pt idx="36">
                  <c:v>39814</c:v>
                </c:pt>
                <c:pt idx="37">
                  <c:v>39845</c:v>
                </c:pt>
                <c:pt idx="38">
                  <c:v>39873</c:v>
                </c:pt>
                <c:pt idx="39">
                  <c:v>39904</c:v>
                </c:pt>
                <c:pt idx="40">
                  <c:v>39934</c:v>
                </c:pt>
                <c:pt idx="41">
                  <c:v>39965</c:v>
                </c:pt>
                <c:pt idx="42">
                  <c:v>39995</c:v>
                </c:pt>
                <c:pt idx="43">
                  <c:v>40026</c:v>
                </c:pt>
                <c:pt idx="44">
                  <c:v>40057</c:v>
                </c:pt>
                <c:pt idx="45">
                  <c:v>40087</c:v>
                </c:pt>
                <c:pt idx="46">
                  <c:v>40118</c:v>
                </c:pt>
                <c:pt idx="47">
                  <c:v>40148</c:v>
                </c:pt>
                <c:pt idx="48">
                  <c:v>40179</c:v>
                </c:pt>
                <c:pt idx="49">
                  <c:v>40210</c:v>
                </c:pt>
                <c:pt idx="50">
                  <c:v>40238</c:v>
                </c:pt>
                <c:pt idx="51">
                  <c:v>40269</c:v>
                </c:pt>
                <c:pt idx="52">
                  <c:v>40299</c:v>
                </c:pt>
                <c:pt idx="53">
                  <c:v>40330</c:v>
                </c:pt>
                <c:pt idx="54">
                  <c:v>40360</c:v>
                </c:pt>
                <c:pt idx="55">
                  <c:v>40391</c:v>
                </c:pt>
                <c:pt idx="56">
                  <c:v>40422</c:v>
                </c:pt>
                <c:pt idx="57">
                  <c:v>40452</c:v>
                </c:pt>
              </c:numCache>
            </c:numRef>
          </c:cat>
          <c:val>
            <c:numRef>
              <c:f>ArgentaGiroSamenv!$C$17:$C$74</c:f>
              <c:numCache>
                <c:formatCode>#,##0.00\ "€"</c:formatCode>
                <c:ptCount val="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</c:numCache>
            </c:numRef>
          </c:val>
        </c:ser>
        <c:ser>
          <c:idx val="4"/>
          <c:order val="3"/>
          <c:tx>
            <c:strRef>
              <c:f>ArgentaGiroSamenv!$E$16</c:f>
              <c:strCache>
                <c:ptCount val="1"/>
                <c:pt idx="0">
                  <c:v>VISA</c:v>
                </c:pt>
              </c:strCache>
            </c:strRef>
          </c:tx>
          <c:marker>
            <c:symbol val="none"/>
          </c:marker>
          <c:cat>
            <c:numRef>
              <c:f>ArgentaGiroSamenv!$A$17:$A$74</c:f>
              <c:numCache>
                <c:formatCode>mmm/yy</c:formatCode>
                <c:ptCount val="58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  <c:pt idx="3">
                  <c:v>38808</c:v>
                </c:pt>
                <c:pt idx="4">
                  <c:v>38838</c:v>
                </c:pt>
                <c:pt idx="5">
                  <c:v>38869</c:v>
                </c:pt>
                <c:pt idx="6">
                  <c:v>38899</c:v>
                </c:pt>
                <c:pt idx="7">
                  <c:v>38930</c:v>
                </c:pt>
                <c:pt idx="8">
                  <c:v>38961</c:v>
                </c:pt>
                <c:pt idx="9">
                  <c:v>38991</c:v>
                </c:pt>
                <c:pt idx="10">
                  <c:v>39022</c:v>
                </c:pt>
                <c:pt idx="11">
                  <c:v>39052</c:v>
                </c:pt>
                <c:pt idx="12">
                  <c:v>39083</c:v>
                </c:pt>
                <c:pt idx="13">
                  <c:v>39114</c:v>
                </c:pt>
                <c:pt idx="14">
                  <c:v>39142</c:v>
                </c:pt>
                <c:pt idx="15">
                  <c:v>39173</c:v>
                </c:pt>
                <c:pt idx="16">
                  <c:v>39203</c:v>
                </c:pt>
                <c:pt idx="17">
                  <c:v>39234</c:v>
                </c:pt>
                <c:pt idx="18">
                  <c:v>39264</c:v>
                </c:pt>
                <c:pt idx="19">
                  <c:v>39295</c:v>
                </c:pt>
                <c:pt idx="20">
                  <c:v>39326</c:v>
                </c:pt>
                <c:pt idx="21">
                  <c:v>39356</c:v>
                </c:pt>
                <c:pt idx="22">
                  <c:v>39387</c:v>
                </c:pt>
                <c:pt idx="23">
                  <c:v>39417</c:v>
                </c:pt>
                <c:pt idx="24">
                  <c:v>39448</c:v>
                </c:pt>
                <c:pt idx="25">
                  <c:v>39479</c:v>
                </c:pt>
                <c:pt idx="26">
                  <c:v>39508</c:v>
                </c:pt>
                <c:pt idx="27">
                  <c:v>39539</c:v>
                </c:pt>
                <c:pt idx="28">
                  <c:v>39569</c:v>
                </c:pt>
                <c:pt idx="29">
                  <c:v>39600</c:v>
                </c:pt>
                <c:pt idx="30">
                  <c:v>39630</c:v>
                </c:pt>
                <c:pt idx="31">
                  <c:v>39661</c:v>
                </c:pt>
                <c:pt idx="32">
                  <c:v>39692</c:v>
                </c:pt>
                <c:pt idx="33">
                  <c:v>39722</c:v>
                </c:pt>
                <c:pt idx="34">
                  <c:v>39753</c:v>
                </c:pt>
                <c:pt idx="35">
                  <c:v>39783</c:v>
                </c:pt>
                <c:pt idx="36">
                  <c:v>39814</c:v>
                </c:pt>
                <c:pt idx="37">
                  <c:v>39845</c:v>
                </c:pt>
                <c:pt idx="38">
                  <c:v>39873</c:v>
                </c:pt>
                <c:pt idx="39">
                  <c:v>39904</c:v>
                </c:pt>
                <c:pt idx="40">
                  <c:v>39934</c:v>
                </c:pt>
                <c:pt idx="41">
                  <c:v>39965</c:v>
                </c:pt>
                <c:pt idx="42">
                  <c:v>39995</c:v>
                </c:pt>
                <c:pt idx="43">
                  <c:v>40026</c:v>
                </c:pt>
                <c:pt idx="44">
                  <c:v>40057</c:v>
                </c:pt>
                <c:pt idx="45">
                  <c:v>40087</c:v>
                </c:pt>
                <c:pt idx="46">
                  <c:v>40118</c:v>
                </c:pt>
                <c:pt idx="47">
                  <c:v>40148</c:v>
                </c:pt>
                <c:pt idx="48">
                  <c:v>40179</c:v>
                </c:pt>
                <c:pt idx="49">
                  <c:v>40210</c:v>
                </c:pt>
                <c:pt idx="50">
                  <c:v>40238</c:v>
                </c:pt>
                <c:pt idx="51">
                  <c:v>40269</c:v>
                </c:pt>
                <c:pt idx="52">
                  <c:v>40299</c:v>
                </c:pt>
                <c:pt idx="53">
                  <c:v>40330</c:v>
                </c:pt>
                <c:pt idx="54">
                  <c:v>40360</c:v>
                </c:pt>
                <c:pt idx="55">
                  <c:v>40391</c:v>
                </c:pt>
                <c:pt idx="56">
                  <c:v>40422</c:v>
                </c:pt>
                <c:pt idx="57">
                  <c:v>40452</c:v>
                </c:pt>
              </c:numCache>
            </c:numRef>
          </c:cat>
          <c:val>
            <c:numRef>
              <c:f>ArgentaGiroSamenv!$E$17:$E$74</c:f>
              <c:numCache>
                <c:formatCode>#,##0.00\ "€"</c:formatCode>
                <c:ptCount val="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</c:numCache>
            </c:numRef>
          </c:val>
        </c:ser>
        <c:ser>
          <c:idx val="5"/>
          <c:order val="4"/>
          <c:tx>
            <c:strRef>
              <c:f>ArgentaGiroSamenv!$F$16</c:f>
              <c:strCache>
                <c:ptCount val="1"/>
                <c:pt idx="0">
                  <c:v>Stortingen</c:v>
                </c:pt>
              </c:strCache>
            </c:strRef>
          </c:tx>
          <c:marker>
            <c:symbol val="none"/>
          </c:marker>
          <c:cat>
            <c:numRef>
              <c:f>ArgentaGiroSamenv!$A$17:$A$74</c:f>
              <c:numCache>
                <c:formatCode>mmm/yy</c:formatCode>
                <c:ptCount val="58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  <c:pt idx="3">
                  <c:v>38808</c:v>
                </c:pt>
                <c:pt idx="4">
                  <c:v>38838</c:v>
                </c:pt>
                <c:pt idx="5">
                  <c:v>38869</c:v>
                </c:pt>
                <c:pt idx="6">
                  <c:v>38899</c:v>
                </c:pt>
                <c:pt idx="7">
                  <c:v>38930</c:v>
                </c:pt>
                <c:pt idx="8">
                  <c:v>38961</c:v>
                </c:pt>
                <c:pt idx="9">
                  <c:v>38991</c:v>
                </c:pt>
                <c:pt idx="10">
                  <c:v>39022</c:v>
                </c:pt>
                <c:pt idx="11">
                  <c:v>39052</c:v>
                </c:pt>
                <c:pt idx="12">
                  <c:v>39083</c:v>
                </c:pt>
                <c:pt idx="13">
                  <c:v>39114</c:v>
                </c:pt>
                <c:pt idx="14">
                  <c:v>39142</c:v>
                </c:pt>
                <c:pt idx="15">
                  <c:v>39173</c:v>
                </c:pt>
                <c:pt idx="16">
                  <c:v>39203</c:v>
                </c:pt>
                <c:pt idx="17">
                  <c:v>39234</c:v>
                </c:pt>
                <c:pt idx="18">
                  <c:v>39264</c:v>
                </c:pt>
                <c:pt idx="19">
                  <c:v>39295</c:v>
                </c:pt>
                <c:pt idx="20">
                  <c:v>39326</c:v>
                </c:pt>
                <c:pt idx="21">
                  <c:v>39356</c:v>
                </c:pt>
                <c:pt idx="22">
                  <c:v>39387</c:v>
                </c:pt>
                <c:pt idx="23">
                  <c:v>39417</c:v>
                </c:pt>
                <c:pt idx="24">
                  <c:v>39448</c:v>
                </c:pt>
                <c:pt idx="25">
                  <c:v>39479</c:v>
                </c:pt>
                <c:pt idx="26">
                  <c:v>39508</c:v>
                </c:pt>
                <c:pt idx="27">
                  <c:v>39539</c:v>
                </c:pt>
                <c:pt idx="28">
                  <c:v>39569</c:v>
                </c:pt>
                <c:pt idx="29">
                  <c:v>39600</c:v>
                </c:pt>
                <c:pt idx="30">
                  <c:v>39630</c:v>
                </c:pt>
                <c:pt idx="31">
                  <c:v>39661</c:v>
                </c:pt>
                <c:pt idx="32">
                  <c:v>39692</c:v>
                </c:pt>
                <c:pt idx="33">
                  <c:v>39722</c:v>
                </c:pt>
                <c:pt idx="34">
                  <c:v>39753</c:v>
                </c:pt>
                <c:pt idx="35">
                  <c:v>39783</c:v>
                </c:pt>
                <c:pt idx="36">
                  <c:v>39814</c:v>
                </c:pt>
                <c:pt idx="37">
                  <c:v>39845</c:v>
                </c:pt>
                <c:pt idx="38">
                  <c:v>39873</c:v>
                </c:pt>
                <c:pt idx="39">
                  <c:v>39904</c:v>
                </c:pt>
                <c:pt idx="40">
                  <c:v>39934</c:v>
                </c:pt>
                <c:pt idx="41">
                  <c:v>39965</c:v>
                </c:pt>
                <c:pt idx="42">
                  <c:v>39995</c:v>
                </c:pt>
                <c:pt idx="43">
                  <c:v>40026</c:v>
                </c:pt>
                <c:pt idx="44">
                  <c:v>40057</c:v>
                </c:pt>
                <c:pt idx="45">
                  <c:v>40087</c:v>
                </c:pt>
                <c:pt idx="46">
                  <c:v>40118</c:v>
                </c:pt>
                <c:pt idx="47">
                  <c:v>40148</c:v>
                </c:pt>
                <c:pt idx="48">
                  <c:v>40179</c:v>
                </c:pt>
                <c:pt idx="49">
                  <c:v>40210</c:v>
                </c:pt>
                <c:pt idx="50">
                  <c:v>40238</c:v>
                </c:pt>
                <c:pt idx="51">
                  <c:v>40269</c:v>
                </c:pt>
                <c:pt idx="52">
                  <c:v>40299</c:v>
                </c:pt>
                <c:pt idx="53">
                  <c:v>40330</c:v>
                </c:pt>
                <c:pt idx="54">
                  <c:v>40360</c:v>
                </c:pt>
                <c:pt idx="55">
                  <c:v>40391</c:v>
                </c:pt>
                <c:pt idx="56">
                  <c:v>40422</c:v>
                </c:pt>
                <c:pt idx="57">
                  <c:v>40452</c:v>
                </c:pt>
              </c:numCache>
            </c:numRef>
          </c:cat>
          <c:val>
            <c:numRef>
              <c:f>ArgentaGiroSamenv!$F$17:$F$74</c:f>
              <c:numCache>
                <c:formatCode>#,##0.00\ "€"</c:formatCode>
                <c:ptCount val="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</c:numCache>
            </c:numRef>
          </c:val>
        </c:ser>
        <c:ser>
          <c:idx val="0"/>
          <c:order val="5"/>
          <c:tx>
            <c:strRef>
              <c:f>ArgentaGiroSamenv!$G$16</c:f>
              <c:strCache>
                <c:ptCount val="1"/>
                <c:pt idx="0">
                  <c:v>Loon B</c:v>
                </c:pt>
              </c:strCache>
            </c:strRef>
          </c:tx>
          <c:marker>
            <c:symbol val="none"/>
          </c:marker>
          <c:cat>
            <c:numRef>
              <c:f>ArgentaGiroSamenv!$A$17:$A$74</c:f>
              <c:numCache>
                <c:formatCode>mmm/yy</c:formatCode>
                <c:ptCount val="58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  <c:pt idx="3">
                  <c:v>38808</c:v>
                </c:pt>
                <c:pt idx="4">
                  <c:v>38838</c:v>
                </c:pt>
                <c:pt idx="5">
                  <c:v>38869</c:v>
                </c:pt>
                <c:pt idx="6">
                  <c:v>38899</c:v>
                </c:pt>
                <c:pt idx="7">
                  <c:v>38930</c:v>
                </c:pt>
                <c:pt idx="8">
                  <c:v>38961</c:v>
                </c:pt>
                <c:pt idx="9">
                  <c:v>38991</c:v>
                </c:pt>
                <c:pt idx="10">
                  <c:v>39022</c:v>
                </c:pt>
                <c:pt idx="11">
                  <c:v>39052</c:v>
                </c:pt>
                <c:pt idx="12">
                  <c:v>39083</c:v>
                </c:pt>
                <c:pt idx="13">
                  <c:v>39114</c:v>
                </c:pt>
                <c:pt idx="14">
                  <c:v>39142</c:v>
                </c:pt>
                <c:pt idx="15">
                  <c:v>39173</c:v>
                </c:pt>
                <c:pt idx="16">
                  <c:v>39203</c:v>
                </c:pt>
                <c:pt idx="17">
                  <c:v>39234</c:v>
                </c:pt>
                <c:pt idx="18">
                  <c:v>39264</c:v>
                </c:pt>
                <c:pt idx="19">
                  <c:v>39295</c:v>
                </c:pt>
                <c:pt idx="20">
                  <c:v>39326</c:v>
                </c:pt>
                <c:pt idx="21">
                  <c:v>39356</c:v>
                </c:pt>
                <c:pt idx="22">
                  <c:v>39387</c:v>
                </c:pt>
                <c:pt idx="23">
                  <c:v>39417</c:v>
                </c:pt>
                <c:pt idx="24">
                  <c:v>39448</c:v>
                </c:pt>
                <c:pt idx="25">
                  <c:v>39479</c:v>
                </c:pt>
                <c:pt idx="26">
                  <c:v>39508</c:v>
                </c:pt>
                <c:pt idx="27">
                  <c:v>39539</c:v>
                </c:pt>
                <c:pt idx="28">
                  <c:v>39569</c:v>
                </c:pt>
                <c:pt idx="29">
                  <c:v>39600</c:v>
                </c:pt>
                <c:pt idx="30">
                  <c:v>39630</c:v>
                </c:pt>
                <c:pt idx="31">
                  <c:v>39661</c:v>
                </c:pt>
                <c:pt idx="32">
                  <c:v>39692</c:v>
                </c:pt>
                <c:pt idx="33">
                  <c:v>39722</c:v>
                </c:pt>
                <c:pt idx="34">
                  <c:v>39753</c:v>
                </c:pt>
                <c:pt idx="35">
                  <c:v>39783</c:v>
                </c:pt>
                <c:pt idx="36">
                  <c:v>39814</c:v>
                </c:pt>
                <c:pt idx="37">
                  <c:v>39845</c:v>
                </c:pt>
                <c:pt idx="38">
                  <c:v>39873</c:v>
                </c:pt>
                <c:pt idx="39">
                  <c:v>39904</c:v>
                </c:pt>
                <c:pt idx="40">
                  <c:v>39934</c:v>
                </c:pt>
                <c:pt idx="41">
                  <c:v>39965</c:v>
                </c:pt>
                <c:pt idx="42">
                  <c:v>39995</c:v>
                </c:pt>
                <c:pt idx="43">
                  <c:v>40026</c:v>
                </c:pt>
                <c:pt idx="44">
                  <c:v>40057</c:v>
                </c:pt>
                <c:pt idx="45">
                  <c:v>40087</c:v>
                </c:pt>
                <c:pt idx="46">
                  <c:v>40118</c:v>
                </c:pt>
                <c:pt idx="47">
                  <c:v>40148</c:v>
                </c:pt>
                <c:pt idx="48">
                  <c:v>40179</c:v>
                </c:pt>
                <c:pt idx="49">
                  <c:v>40210</c:v>
                </c:pt>
                <c:pt idx="50">
                  <c:v>40238</c:v>
                </c:pt>
                <c:pt idx="51">
                  <c:v>40269</c:v>
                </c:pt>
                <c:pt idx="52">
                  <c:v>40299</c:v>
                </c:pt>
                <c:pt idx="53">
                  <c:v>40330</c:v>
                </c:pt>
                <c:pt idx="54">
                  <c:v>40360</c:v>
                </c:pt>
                <c:pt idx="55">
                  <c:v>40391</c:v>
                </c:pt>
                <c:pt idx="56">
                  <c:v>40422</c:v>
                </c:pt>
                <c:pt idx="57">
                  <c:v>40452</c:v>
                </c:pt>
              </c:numCache>
            </c:numRef>
          </c:cat>
          <c:val>
            <c:numRef>
              <c:f>ArgentaGiroSamenv!$G$17:$G$74</c:f>
              <c:numCache>
                <c:formatCode>#,##0.00\ "€"</c:formatCode>
                <c:ptCount val="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</c:numCache>
            </c:numRef>
          </c:val>
        </c:ser>
        <c:marker val="1"/>
        <c:axId val="40985728"/>
        <c:axId val="40987264"/>
      </c:lineChart>
      <c:dateAx>
        <c:axId val="40985728"/>
        <c:scaling>
          <c:orientation val="minMax"/>
        </c:scaling>
        <c:axPos val="b"/>
        <c:numFmt formatCode="mmm/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nl-BE"/>
          </a:p>
        </c:txPr>
        <c:crossAx val="40987264"/>
        <c:crosses val="autoZero"/>
        <c:auto val="1"/>
        <c:lblOffset val="100"/>
      </c:dateAx>
      <c:valAx>
        <c:axId val="40987264"/>
        <c:scaling>
          <c:orientation val="minMax"/>
        </c:scaling>
        <c:axPos val="l"/>
        <c:majorGridlines/>
        <c:numFmt formatCode="#,##0.00\ \€" sourceLinked="0"/>
        <c:tickLblPos val="nextTo"/>
        <c:crossAx val="40985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180972078593589"/>
          <c:y val="0.34067796610169493"/>
          <c:w val="0.24819027921406411"/>
          <c:h val="0.2440677966101695"/>
        </c:manualLayout>
      </c:layout>
    </c:legend>
    <c:plotVisOnly val="1"/>
    <c:dispBlanksAs val="gap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BE"/>
  <c:chart>
    <c:plotArea>
      <c:layout/>
      <c:lineChart>
        <c:grouping val="standard"/>
        <c:ser>
          <c:idx val="0"/>
          <c:order val="0"/>
          <c:tx>
            <c:strRef>
              <c:f>ArgentaGemeenschRekSamenv!$B$14</c:f>
              <c:strCache>
                <c:ptCount val="1"/>
                <c:pt idx="0">
                  <c:v>Afhalingen</c:v>
                </c:pt>
              </c:strCache>
            </c:strRef>
          </c:tx>
          <c:cat>
            <c:numRef>
              <c:f>ArgentaGemeenschRekSamenv!$A$15:$A$54</c:f>
              <c:numCache>
                <c:formatCode>mmm/yy</c:formatCode>
                <c:ptCount val="40"/>
                <c:pt idx="0">
                  <c:v>38777</c:v>
                </c:pt>
                <c:pt idx="1">
                  <c:v>38808</c:v>
                </c:pt>
                <c:pt idx="2">
                  <c:v>38838</c:v>
                </c:pt>
                <c:pt idx="3">
                  <c:v>38869</c:v>
                </c:pt>
                <c:pt idx="4">
                  <c:v>38899</c:v>
                </c:pt>
                <c:pt idx="5">
                  <c:v>38930</c:v>
                </c:pt>
                <c:pt idx="6">
                  <c:v>38961</c:v>
                </c:pt>
                <c:pt idx="7">
                  <c:v>38991</c:v>
                </c:pt>
                <c:pt idx="8">
                  <c:v>39022</c:v>
                </c:pt>
                <c:pt idx="9">
                  <c:v>39052</c:v>
                </c:pt>
                <c:pt idx="10">
                  <c:v>39083</c:v>
                </c:pt>
                <c:pt idx="11">
                  <c:v>39114</c:v>
                </c:pt>
                <c:pt idx="12">
                  <c:v>39142</c:v>
                </c:pt>
                <c:pt idx="13">
                  <c:v>39173</c:v>
                </c:pt>
                <c:pt idx="14">
                  <c:v>39203</c:v>
                </c:pt>
                <c:pt idx="15">
                  <c:v>39234</c:v>
                </c:pt>
                <c:pt idx="16">
                  <c:v>39264</c:v>
                </c:pt>
                <c:pt idx="17">
                  <c:v>39295</c:v>
                </c:pt>
                <c:pt idx="18">
                  <c:v>39326</c:v>
                </c:pt>
                <c:pt idx="19">
                  <c:v>39356</c:v>
                </c:pt>
                <c:pt idx="20">
                  <c:v>39387</c:v>
                </c:pt>
                <c:pt idx="21">
                  <c:v>39417</c:v>
                </c:pt>
                <c:pt idx="22">
                  <c:v>39448</c:v>
                </c:pt>
                <c:pt idx="23">
                  <c:v>39479</c:v>
                </c:pt>
                <c:pt idx="24">
                  <c:v>39508</c:v>
                </c:pt>
                <c:pt idx="25">
                  <c:v>39539</c:v>
                </c:pt>
                <c:pt idx="26">
                  <c:v>39569</c:v>
                </c:pt>
                <c:pt idx="27">
                  <c:v>39600</c:v>
                </c:pt>
                <c:pt idx="28">
                  <c:v>39630</c:v>
                </c:pt>
                <c:pt idx="29">
                  <c:v>39661</c:v>
                </c:pt>
                <c:pt idx="30">
                  <c:v>39692</c:v>
                </c:pt>
                <c:pt idx="31">
                  <c:v>39722</c:v>
                </c:pt>
                <c:pt idx="32">
                  <c:v>39753</c:v>
                </c:pt>
                <c:pt idx="33">
                  <c:v>39783</c:v>
                </c:pt>
                <c:pt idx="34">
                  <c:v>39814</c:v>
                </c:pt>
                <c:pt idx="35">
                  <c:v>39845</c:v>
                </c:pt>
                <c:pt idx="36">
                  <c:v>39873</c:v>
                </c:pt>
                <c:pt idx="37">
                  <c:v>39904</c:v>
                </c:pt>
                <c:pt idx="38">
                  <c:v>39934</c:v>
                </c:pt>
                <c:pt idx="39">
                  <c:v>39965</c:v>
                </c:pt>
              </c:numCache>
            </c:numRef>
          </c:cat>
          <c:val>
            <c:numRef>
              <c:f>ArgentaGemeenschRekSamenv!$B$15:$B$54</c:f>
              <c:numCache>
                <c:formatCode>"€"\ #,##0.00;[Red]"€"\ \-#,##0.00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</c:ser>
        <c:ser>
          <c:idx val="1"/>
          <c:order val="1"/>
          <c:tx>
            <c:strRef>
              <c:f>ArgentaGemeenschRekSamenv!$C$14</c:f>
              <c:strCache>
                <c:ptCount val="1"/>
                <c:pt idx="0">
                  <c:v>Afhaling z vaste kosten</c:v>
                </c:pt>
              </c:strCache>
            </c:strRef>
          </c:tx>
          <c:cat>
            <c:numRef>
              <c:f>ArgentaGemeenschRekSamenv!$A$15:$A$54</c:f>
              <c:numCache>
                <c:formatCode>mmm/yy</c:formatCode>
                <c:ptCount val="40"/>
                <c:pt idx="0">
                  <c:v>38777</c:v>
                </c:pt>
                <c:pt idx="1">
                  <c:v>38808</c:v>
                </c:pt>
                <c:pt idx="2">
                  <c:v>38838</c:v>
                </c:pt>
                <c:pt idx="3">
                  <c:v>38869</c:v>
                </c:pt>
                <c:pt idx="4">
                  <c:v>38899</c:v>
                </c:pt>
                <c:pt idx="5">
                  <c:v>38930</c:v>
                </c:pt>
                <c:pt idx="6">
                  <c:v>38961</c:v>
                </c:pt>
                <c:pt idx="7">
                  <c:v>38991</c:v>
                </c:pt>
                <c:pt idx="8">
                  <c:v>39022</c:v>
                </c:pt>
                <c:pt idx="9">
                  <c:v>39052</c:v>
                </c:pt>
                <c:pt idx="10">
                  <c:v>39083</c:v>
                </c:pt>
                <c:pt idx="11">
                  <c:v>39114</c:v>
                </c:pt>
                <c:pt idx="12">
                  <c:v>39142</c:v>
                </c:pt>
                <c:pt idx="13">
                  <c:v>39173</c:v>
                </c:pt>
                <c:pt idx="14">
                  <c:v>39203</c:v>
                </c:pt>
                <c:pt idx="15">
                  <c:v>39234</c:v>
                </c:pt>
                <c:pt idx="16">
                  <c:v>39264</c:v>
                </c:pt>
                <c:pt idx="17">
                  <c:v>39295</c:v>
                </c:pt>
                <c:pt idx="18">
                  <c:v>39326</c:v>
                </c:pt>
                <c:pt idx="19">
                  <c:v>39356</c:v>
                </c:pt>
                <c:pt idx="20">
                  <c:v>39387</c:v>
                </c:pt>
                <c:pt idx="21">
                  <c:v>39417</c:v>
                </c:pt>
                <c:pt idx="22">
                  <c:v>39448</c:v>
                </c:pt>
                <c:pt idx="23">
                  <c:v>39479</c:v>
                </c:pt>
                <c:pt idx="24">
                  <c:v>39508</c:v>
                </c:pt>
                <c:pt idx="25">
                  <c:v>39539</c:v>
                </c:pt>
                <c:pt idx="26">
                  <c:v>39569</c:v>
                </c:pt>
                <c:pt idx="27">
                  <c:v>39600</c:v>
                </c:pt>
                <c:pt idx="28">
                  <c:v>39630</c:v>
                </c:pt>
                <c:pt idx="29">
                  <c:v>39661</c:v>
                </c:pt>
                <c:pt idx="30">
                  <c:v>39692</c:v>
                </c:pt>
                <c:pt idx="31">
                  <c:v>39722</c:v>
                </c:pt>
                <c:pt idx="32">
                  <c:v>39753</c:v>
                </c:pt>
                <c:pt idx="33">
                  <c:v>39783</c:v>
                </c:pt>
                <c:pt idx="34">
                  <c:v>39814</c:v>
                </c:pt>
                <c:pt idx="35">
                  <c:v>39845</c:v>
                </c:pt>
                <c:pt idx="36">
                  <c:v>39873</c:v>
                </c:pt>
                <c:pt idx="37">
                  <c:v>39904</c:v>
                </c:pt>
                <c:pt idx="38">
                  <c:v>39934</c:v>
                </c:pt>
                <c:pt idx="39">
                  <c:v>39965</c:v>
                </c:pt>
              </c:numCache>
            </c:numRef>
          </c:cat>
          <c:val>
            <c:numRef>
              <c:f>ArgentaGemeenschRekSamenv!$C$15:$C$54</c:f>
              <c:numCache>
                <c:formatCode>"€"\ #,##0.00;[Red]"€"\ \-#,##0.00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</c:ser>
        <c:ser>
          <c:idx val="2"/>
          <c:order val="2"/>
          <c:tx>
            <c:strRef>
              <c:f>ArgentaGemeenschRekSamenv!$D$14</c:f>
              <c:strCache>
                <c:ptCount val="1"/>
                <c:pt idx="0">
                  <c:v>Vaste kosten (lening, electriciteit, gas, kabel, water, internet)</c:v>
                </c:pt>
              </c:strCache>
            </c:strRef>
          </c:tx>
          <c:cat>
            <c:numRef>
              <c:f>ArgentaGemeenschRekSamenv!$A$15:$A$54</c:f>
              <c:numCache>
                <c:formatCode>mmm/yy</c:formatCode>
                <c:ptCount val="40"/>
                <c:pt idx="0">
                  <c:v>38777</c:v>
                </c:pt>
                <c:pt idx="1">
                  <c:v>38808</c:v>
                </c:pt>
                <c:pt idx="2">
                  <c:v>38838</c:v>
                </c:pt>
                <c:pt idx="3">
                  <c:v>38869</c:v>
                </c:pt>
                <c:pt idx="4">
                  <c:v>38899</c:v>
                </c:pt>
                <c:pt idx="5">
                  <c:v>38930</c:v>
                </c:pt>
                <c:pt idx="6">
                  <c:v>38961</c:v>
                </c:pt>
                <c:pt idx="7">
                  <c:v>38991</c:v>
                </c:pt>
                <c:pt idx="8">
                  <c:v>39022</c:v>
                </c:pt>
                <c:pt idx="9">
                  <c:v>39052</c:v>
                </c:pt>
                <c:pt idx="10">
                  <c:v>39083</c:v>
                </c:pt>
                <c:pt idx="11">
                  <c:v>39114</c:v>
                </c:pt>
                <c:pt idx="12">
                  <c:v>39142</c:v>
                </c:pt>
                <c:pt idx="13">
                  <c:v>39173</c:v>
                </c:pt>
                <c:pt idx="14">
                  <c:v>39203</c:v>
                </c:pt>
                <c:pt idx="15">
                  <c:v>39234</c:v>
                </c:pt>
                <c:pt idx="16">
                  <c:v>39264</c:v>
                </c:pt>
                <c:pt idx="17">
                  <c:v>39295</c:v>
                </c:pt>
                <c:pt idx="18">
                  <c:v>39326</c:v>
                </c:pt>
                <c:pt idx="19">
                  <c:v>39356</c:v>
                </c:pt>
                <c:pt idx="20">
                  <c:v>39387</c:v>
                </c:pt>
                <c:pt idx="21">
                  <c:v>39417</c:v>
                </c:pt>
                <c:pt idx="22">
                  <c:v>39448</c:v>
                </c:pt>
                <c:pt idx="23">
                  <c:v>39479</c:v>
                </c:pt>
                <c:pt idx="24">
                  <c:v>39508</c:v>
                </c:pt>
                <c:pt idx="25">
                  <c:v>39539</c:v>
                </c:pt>
                <c:pt idx="26">
                  <c:v>39569</c:v>
                </c:pt>
                <c:pt idx="27">
                  <c:v>39600</c:v>
                </c:pt>
                <c:pt idx="28">
                  <c:v>39630</c:v>
                </c:pt>
                <c:pt idx="29">
                  <c:v>39661</c:v>
                </c:pt>
                <c:pt idx="30">
                  <c:v>39692</c:v>
                </c:pt>
                <c:pt idx="31">
                  <c:v>39722</c:v>
                </c:pt>
                <c:pt idx="32">
                  <c:v>39753</c:v>
                </c:pt>
                <c:pt idx="33">
                  <c:v>39783</c:v>
                </c:pt>
                <c:pt idx="34">
                  <c:v>39814</c:v>
                </c:pt>
                <c:pt idx="35">
                  <c:v>39845</c:v>
                </c:pt>
                <c:pt idx="36">
                  <c:v>39873</c:v>
                </c:pt>
                <c:pt idx="37">
                  <c:v>39904</c:v>
                </c:pt>
                <c:pt idx="38">
                  <c:v>39934</c:v>
                </c:pt>
                <c:pt idx="39">
                  <c:v>39965</c:v>
                </c:pt>
              </c:numCache>
            </c:numRef>
          </c:cat>
          <c:val>
            <c:numRef>
              <c:f>ArgentaGemeenschRekSamenv!$D$15:$D$54</c:f>
              <c:numCache>
                <c:formatCode>"€"\ #,##0.00;[Red]"€"\ \-#,##0.00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</c:ser>
        <c:ser>
          <c:idx val="3"/>
          <c:order val="3"/>
          <c:tx>
            <c:strRef>
              <c:f>ArgentaGemeenschRekSamenv!$E$14</c:f>
              <c:strCache>
                <c:ptCount val="1"/>
                <c:pt idx="0">
                  <c:v>Naar onze rekeningen</c:v>
                </c:pt>
              </c:strCache>
            </c:strRef>
          </c:tx>
          <c:cat>
            <c:numRef>
              <c:f>ArgentaGemeenschRekSamenv!$A$15:$A$54</c:f>
              <c:numCache>
                <c:formatCode>mmm/yy</c:formatCode>
                <c:ptCount val="40"/>
                <c:pt idx="0">
                  <c:v>38777</c:v>
                </c:pt>
                <c:pt idx="1">
                  <c:v>38808</c:v>
                </c:pt>
                <c:pt idx="2">
                  <c:v>38838</c:v>
                </c:pt>
                <c:pt idx="3">
                  <c:v>38869</c:v>
                </c:pt>
                <c:pt idx="4">
                  <c:v>38899</c:v>
                </c:pt>
                <c:pt idx="5">
                  <c:v>38930</c:v>
                </c:pt>
                <c:pt idx="6">
                  <c:v>38961</c:v>
                </c:pt>
                <c:pt idx="7">
                  <c:v>38991</c:v>
                </c:pt>
                <c:pt idx="8">
                  <c:v>39022</c:v>
                </c:pt>
                <c:pt idx="9">
                  <c:v>39052</c:v>
                </c:pt>
                <c:pt idx="10">
                  <c:v>39083</c:v>
                </c:pt>
                <c:pt idx="11">
                  <c:v>39114</c:v>
                </c:pt>
                <c:pt idx="12">
                  <c:v>39142</c:v>
                </c:pt>
                <c:pt idx="13">
                  <c:v>39173</c:v>
                </c:pt>
                <c:pt idx="14">
                  <c:v>39203</c:v>
                </c:pt>
                <c:pt idx="15">
                  <c:v>39234</c:v>
                </c:pt>
                <c:pt idx="16">
                  <c:v>39264</c:v>
                </c:pt>
                <c:pt idx="17">
                  <c:v>39295</c:v>
                </c:pt>
                <c:pt idx="18">
                  <c:v>39326</c:v>
                </c:pt>
                <c:pt idx="19">
                  <c:v>39356</c:v>
                </c:pt>
                <c:pt idx="20">
                  <c:v>39387</c:v>
                </c:pt>
                <c:pt idx="21">
                  <c:v>39417</c:v>
                </c:pt>
                <c:pt idx="22">
                  <c:v>39448</c:v>
                </c:pt>
                <c:pt idx="23">
                  <c:v>39479</c:v>
                </c:pt>
                <c:pt idx="24">
                  <c:v>39508</c:v>
                </c:pt>
                <c:pt idx="25">
                  <c:v>39539</c:v>
                </c:pt>
                <c:pt idx="26">
                  <c:v>39569</c:v>
                </c:pt>
                <c:pt idx="27">
                  <c:v>39600</c:v>
                </c:pt>
                <c:pt idx="28">
                  <c:v>39630</c:v>
                </c:pt>
                <c:pt idx="29">
                  <c:v>39661</c:v>
                </c:pt>
                <c:pt idx="30">
                  <c:v>39692</c:v>
                </c:pt>
                <c:pt idx="31">
                  <c:v>39722</c:v>
                </c:pt>
                <c:pt idx="32">
                  <c:v>39753</c:v>
                </c:pt>
                <c:pt idx="33">
                  <c:v>39783</c:v>
                </c:pt>
                <c:pt idx="34">
                  <c:v>39814</c:v>
                </c:pt>
                <c:pt idx="35">
                  <c:v>39845</c:v>
                </c:pt>
                <c:pt idx="36">
                  <c:v>39873</c:v>
                </c:pt>
                <c:pt idx="37">
                  <c:v>39904</c:v>
                </c:pt>
                <c:pt idx="38">
                  <c:v>39934</c:v>
                </c:pt>
                <c:pt idx="39">
                  <c:v>39965</c:v>
                </c:pt>
              </c:numCache>
            </c:numRef>
          </c:cat>
          <c:val>
            <c:numRef>
              <c:f>ArgentaGemeenschRekSamenv!$E$15:$E$54</c:f>
              <c:numCache>
                <c:formatCode>"€"\ #,##0.00;[Red]"€"\ \-#,##0.00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</c:ser>
        <c:ser>
          <c:idx val="4"/>
          <c:order val="4"/>
          <c:tx>
            <c:strRef>
              <c:f>ArgentaGemeenschRekSamenv!$F$14</c:f>
              <c:strCache>
                <c:ptCount val="1"/>
                <c:pt idx="0">
                  <c:v>Voeding</c:v>
                </c:pt>
              </c:strCache>
            </c:strRef>
          </c:tx>
          <c:cat>
            <c:numRef>
              <c:f>ArgentaGemeenschRekSamenv!$A$15:$A$54</c:f>
              <c:numCache>
                <c:formatCode>mmm/yy</c:formatCode>
                <c:ptCount val="40"/>
                <c:pt idx="0">
                  <c:v>38777</c:v>
                </c:pt>
                <c:pt idx="1">
                  <c:v>38808</c:v>
                </c:pt>
                <c:pt idx="2">
                  <c:v>38838</c:v>
                </c:pt>
                <c:pt idx="3">
                  <c:v>38869</c:v>
                </c:pt>
                <c:pt idx="4">
                  <c:v>38899</c:v>
                </c:pt>
                <c:pt idx="5">
                  <c:v>38930</c:v>
                </c:pt>
                <c:pt idx="6">
                  <c:v>38961</c:v>
                </c:pt>
                <c:pt idx="7">
                  <c:v>38991</c:v>
                </c:pt>
                <c:pt idx="8">
                  <c:v>39022</c:v>
                </c:pt>
                <c:pt idx="9">
                  <c:v>39052</c:v>
                </c:pt>
                <c:pt idx="10">
                  <c:v>39083</c:v>
                </c:pt>
                <c:pt idx="11">
                  <c:v>39114</c:v>
                </c:pt>
                <c:pt idx="12">
                  <c:v>39142</c:v>
                </c:pt>
                <c:pt idx="13">
                  <c:v>39173</c:v>
                </c:pt>
                <c:pt idx="14">
                  <c:v>39203</c:v>
                </c:pt>
                <c:pt idx="15">
                  <c:v>39234</c:v>
                </c:pt>
                <c:pt idx="16">
                  <c:v>39264</c:v>
                </c:pt>
                <c:pt idx="17">
                  <c:v>39295</c:v>
                </c:pt>
                <c:pt idx="18">
                  <c:v>39326</c:v>
                </c:pt>
                <c:pt idx="19">
                  <c:v>39356</c:v>
                </c:pt>
                <c:pt idx="20">
                  <c:v>39387</c:v>
                </c:pt>
                <c:pt idx="21">
                  <c:v>39417</c:v>
                </c:pt>
                <c:pt idx="22">
                  <c:v>39448</c:v>
                </c:pt>
                <c:pt idx="23">
                  <c:v>39479</c:v>
                </c:pt>
                <c:pt idx="24">
                  <c:v>39508</c:v>
                </c:pt>
                <c:pt idx="25">
                  <c:v>39539</c:v>
                </c:pt>
                <c:pt idx="26">
                  <c:v>39569</c:v>
                </c:pt>
                <c:pt idx="27">
                  <c:v>39600</c:v>
                </c:pt>
                <c:pt idx="28">
                  <c:v>39630</c:v>
                </c:pt>
                <c:pt idx="29">
                  <c:v>39661</c:v>
                </c:pt>
                <c:pt idx="30">
                  <c:v>39692</c:v>
                </c:pt>
                <c:pt idx="31">
                  <c:v>39722</c:v>
                </c:pt>
                <c:pt idx="32">
                  <c:v>39753</c:v>
                </c:pt>
                <c:pt idx="33">
                  <c:v>39783</c:v>
                </c:pt>
                <c:pt idx="34">
                  <c:v>39814</c:v>
                </c:pt>
                <c:pt idx="35">
                  <c:v>39845</c:v>
                </c:pt>
                <c:pt idx="36">
                  <c:v>39873</c:v>
                </c:pt>
                <c:pt idx="37">
                  <c:v>39904</c:v>
                </c:pt>
                <c:pt idx="38">
                  <c:v>39934</c:v>
                </c:pt>
                <c:pt idx="39">
                  <c:v>39965</c:v>
                </c:pt>
              </c:numCache>
            </c:numRef>
          </c:cat>
          <c:val>
            <c:numRef>
              <c:f>ArgentaGemeenschRekSamenv!$F$15:$F$54</c:f>
              <c:numCache>
                <c:formatCode>"€"\ #,##0.00;[Red]"€"\ \-#,##0.00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</c:ser>
        <c:ser>
          <c:idx val="5"/>
          <c:order val="5"/>
          <c:tx>
            <c:strRef>
              <c:f>ArgentaGemeenschRekSamenv!$G$14</c:f>
              <c:strCache>
                <c:ptCount val="1"/>
                <c:pt idx="0">
                  <c:v>VISA</c:v>
                </c:pt>
              </c:strCache>
            </c:strRef>
          </c:tx>
          <c:cat>
            <c:numRef>
              <c:f>ArgentaGemeenschRekSamenv!$A$15:$A$54</c:f>
              <c:numCache>
                <c:formatCode>mmm/yy</c:formatCode>
                <c:ptCount val="40"/>
                <c:pt idx="0">
                  <c:v>38777</c:v>
                </c:pt>
                <c:pt idx="1">
                  <c:v>38808</c:v>
                </c:pt>
                <c:pt idx="2">
                  <c:v>38838</c:v>
                </c:pt>
                <c:pt idx="3">
                  <c:v>38869</c:v>
                </c:pt>
                <c:pt idx="4">
                  <c:v>38899</c:v>
                </c:pt>
                <c:pt idx="5">
                  <c:v>38930</c:v>
                </c:pt>
                <c:pt idx="6">
                  <c:v>38961</c:v>
                </c:pt>
                <c:pt idx="7">
                  <c:v>38991</c:v>
                </c:pt>
                <c:pt idx="8">
                  <c:v>39022</c:v>
                </c:pt>
                <c:pt idx="9">
                  <c:v>39052</c:v>
                </c:pt>
                <c:pt idx="10">
                  <c:v>39083</c:v>
                </c:pt>
                <c:pt idx="11">
                  <c:v>39114</c:v>
                </c:pt>
                <c:pt idx="12">
                  <c:v>39142</c:v>
                </c:pt>
                <c:pt idx="13">
                  <c:v>39173</c:v>
                </c:pt>
                <c:pt idx="14">
                  <c:v>39203</c:v>
                </c:pt>
                <c:pt idx="15">
                  <c:v>39234</c:v>
                </c:pt>
                <c:pt idx="16">
                  <c:v>39264</c:v>
                </c:pt>
                <c:pt idx="17">
                  <c:v>39295</c:v>
                </c:pt>
                <c:pt idx="18">
                  <c:v>39326</c:v>
                </c:pt>
                <c:pt idx="19">
                  <c:v>39356</c:v>
                </c:pt>
                <c:pt idx="20">
                  <c:v>39387</c:v>
                </c:pt>
                <c:pt idx="21">
                  <c:v>39417</c:v>
                </c:pt>
                <c:pt idx="22">
                  <c:v>39448</c:v>
                </c:pt>
                <c:pt idx="23">
                  <c:v>39479</c:v>
                </c:pt>
                <c:pt idx="24">
                  <c:v>39508</c:v>
                </c:pt>
                <c:pt idx="25">
                  <c:v>39539</c:v>
                </c:pt>
                <c:pt idx="26">
                  <c:v>39569</c:v>
                </c:pt>
                <c:pt idx="27">
                  <c:v>39600</c:v>
                </c:pt>
                <c:pt idx="28">
                  <c:v>39630</c:v>
                </c:pt>
                <c:pt idx="29">
                  <c:v>39661</c:v>
                </c:pt>
                <c:pt idx="30">
                  <c:v>39692</c:v>
                </c:pt>
                <c:pt idx="31">
                  <c:v>39722</c:v>
                </c:pt>
                <c:pt idx="32">
                  <c:v>39753</c:v>
                </c:pt>
                <c:pt idx="33">
                  <c:v>39783</c:v>
                </c:pt>
                <c:pt idx="34">
                  <c:v>39814</c:v>
                </c:pt>
                <c:pt idx="35">
                  <c:v>39845</c:v>
                </c:pt>
                <c:pt idx="36">
                  <c:v>39873</c:v>
                </c:pt>
                <c:pt idx="37">
                  <c:v>39904</c:v>
                </c:pt>
                <c:pt idx="38">
                  <c:v>39934</c:v>
                </c:pt>
                <c:pt idx="39">
                  <c:v>39965</c:v>
                </c:pt>
              </c:numCache>
            </c:numRef>
          </c:cat>
          <c:val>
            <c:numRef>
              <c:f>ArgentaGemeenschRekSamenv!$G$15:$G$54</c:f>
              <c:numCache>
                <c:formatCode>"€"\ #,##0.00;[Red]"€"\ \-#,##0.00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</c:ser>
        <c:ser>
          <c:idx val="6"/>
          <c:order val="6"/>
          <c:tx>
            <c:strRef>
              <c:f>ArgentaGemeenschRekSamenv!$H$14</c:f>
              <c:strCache>
                <c:ptCount val="1"/>
                <c:pt idx="0">
                  <c:v>Andere</c:v>
                </c:pt>
              </c:strCache>
            </c:strRef>
          </c:tx>
          <c:cat>
            <c:numRef>
              <c:f>ArgentaGemeenschRekSamenv!$A$15:$A$54</c:f>
              <c:numCache>
                <c:formatCode>mmm/yy</c:formatCode>
                <c:ptCount val="40"/>
                <c:pt idx="0">
                  <c:v>38777</c:v>
                </c:pt>
                <c:pt idx="1">
                  <c:v>38808</c:v>
                </c:pt>
                <c:pt idx="2">
                  <c:v>38838</c:v>
                </c:pt>
                <c:pt idx="3">
                  <c:v>38869</c:v>
                </c:pt>
                <c:pt idx="4">
                  <c:v>38899</c:v>
                </c:pt>
                <c:pt idx="5">
                  <c:v>38930</c:v>
                </c:pt>
                <c:pt idx="6">
                  <c:v>38961</c:v>
                </c:pt>
                <c:pt idx="7">
                  <c:v>38991</c:v>
                </c:pt>
                <c:pt idx="8">
                  <c:v>39022</c:v>
                </c:pt>
                <c:pt idx="9">
                  <c:v>39052</c:v>
                </c:pt>
                <c:pt idx="10">
                  <c:v>39083</c:v>
                </c:pt>
                <c:pt idx="11">
                  <c:v>39114</c:v>
                </c:pt>
                <c:pt idx="12">
                  <c:v>39142</c:v>
                </c:pt>
                <c:pt idx="13">
                  <c:v>39173</c:v>
                </c:pt>
                <c:pt idx="14">
                  <c:v>39203</c:v>
                </c:pt>
                <c:pt idx="15">
                  <c:v>39234</c:v>
                </c:pt>
                <c:pt idx="16">
                  <c:v>39264</c:v>
                </c:pt>
                <c:pt idx="17">
                  <c:v>39295</c:v>
                </c:pt>
                <c:pt idx="18">
                  <c:v>39326</c:v>
                </c:pt>
                <c:pt idx="19">
                  <c:v>39356</c:v>
                </c:pt>
                <c:pt idx="20">
                  <c:v>39387</c:v>
                </c:pt>
                <c:pt idx="21">
                  <c:v>39417</c:v>
                </c:pt>
                <c:pt idx="22">
                  <c:v>39448</c:v>
                </c:pt>
                <c:pt idx="23">
                  <c:v>39479</c:v>
                </c:pt>
                <c:pt idx="24">
                  <c:v>39508</c:v>
                </c:pt>
                <c:pt idx="25">
                  <c:v>39539</c:v>
                </c:pt>
                <c:pt idx="26">
                  <c:v>39569</c:v>
                </c:pt>
                <c:pt idx="27">
                  <c:v>39600</c:v>
                </c:pt>
                <c:pt idx="28">
                  <c:v>39630</c:v>
                </c:pt>
                <c:pt idx="29">
                  <c:v>39661</c:v>
                </c:pt>
                <c:pt idx="30">
                  <c:v>39692</c:v>
                </c:pt>
                <c:pt idx="31">
                  <c:v>39722</c:v>
                </c:pt>
                <c:pt idx="32">
                  <c:v>39753</c:v>
                </c:pt>
                <c:pt idx="33">
                  <c:v>39783</c:v>
                </c:pt>
                <c:pt idx="34">
                  <c:v>39814</c:v>
                </c:pt>
                <c:pt idx="35">
                  <c:v>39845</c:v>
                </c:pt>
                <c:pt idx="36">
                  <c:v>39873</c:v>
                </c:pt>
                <c:pt idx="37">
                  <c:v>39904</c:v>
                </c:pt>
                <c:pt idx="38">
                  <c:v>39934</c:v>
                </c:pt>
                <c:pt idx="39">
                  <c:v>39965</c:v>
                </c:pt>
              </c:numCache>
            </c:numRef>
          </c:cat>
          <c:val>
            <c:numRef>
              <c:f>ArgentaGemeenschRekSamenv!$H$15:$H$54</c:f>
              <c:numCache>
                <c:formatCode>"€"\ #,##0.00;[Red]"€"\ \-#,##0.00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</c:ser>
        <c:ser>
          <c:idx val="7"/>
          <c:order val="7"/>
          <c:tx>
            <c:strRef>
              <c:f>ArgentaGemeenschRekSamenv!$I$14</c:f>
              <c:strCache>
                <c:ptCount val="1"/>
                <c:pt idx="0">
                  <c:v>Uitgaven z vaste kosten</c:v>
                </c:pt>
              </c:strCache>
            </c:strRef>
          </c:tx>
          <c:cat>
            <c:numRef>
              <c:f>ArgentaGemeenschRekSamenv!$A$15:$A$54</c:f>
              <c:numCache>
                <c:formatCode>mmm/yy</c:formatCode>
                <c:ptCount val="40"/>
                <c:pt idx="0">
                  <c:v>38777</c:v>
                </c:pt>
                <c:pt idx="1">
                  <c:v>38808</c:v>
                </c:pt>
                <c:pt idx="2">
                  <c:v>38838</c:v>
                </c:pt>
                <c:pt idx="3">
                  <c:v>38869</c:v>
                </c:pt>
                <c:pt idx="4">
                  <c:v>38899</c:v>
                </c:pt>
                <c:pt idx="5">
                  <c:v>38930</c:v>
                </c:pt>
                <c:pt idx="6">
                  <c:v>38961</c:v>
                </c:pt>
                <c:pt idx="7">
                  <c:v>38991</c:v>
                </c:pt>
                <c:pt idx="8">
                  <c:v>39022</c:v>
                </c:pt>
                <c:pt idx="9">
                  <c:v>39052</c:v>
                </c:pt>
                <c:pt idx="10">
                  <c:v>39083</c:v>
                </c:pt>
                <c:pt idx="11">
                  <c:v>39114</c:v>
                </c:pt>
                <c:pt idx="12">
                  <c:v>39142</c:v>
                </c:pt>
                <c:pt idx="13">
                  <c:v>39173</c:v>
                </c:pt>
                <c:pt idx="14">
                  <c:v>39203</c:v>
                </c:pt>
                <c:pt idx="15">
                  <c:v>39234</c:v>
                </c:pt>
                <c:pt idx="16">
                  <c:v>39264</c:v>
                </c:pt>
                <c:pt idx="17">
                  <c:v>39295</c:v>
                </c:pt>
                <c:pt idx="18">
                  <c:v>39326</c:v>
                </c:pt>
                <c:pt idx="19">
                  <c:v>39356</c:v>
                </c:pt>
                <c:pt idx="20">
                  <c:v>39387</c:v>
                </c:pt>
                <c:pt idx="21">
                  <c:v>39417</c:v>
                </c:pt>
                <c:pt idx="22">
                  <c:v>39448</c:v>
                </c:pt>
                <c:pt idx="23">
                  <c:v>39479</c:v>
                </c:pt>
                <c:pt idx="24">
                  <c:v>39508</c:v>
                </c:pt>
                <c:pt idx="25">
                  <c:v>39539</c:v>
                </c:pt>
                <c:pt idx="26">
                  <c:v>39569</c:v>
                </c:pt>
                <c:pt idx="27">
                  <c:v>39600</c:v>
                </c:pt>
                <c:pt idx="28">
                  <c:v>39630</c:v>
                </c:pt>
                <c:pt idx="29">
                  <c:v>39661</c:v>
                </c:pt>
                <c:pt idx="30">
                  <c:v>39692</c:v>
                </c:pt>
                <c:pt idx="31">
                  <c:v>39722</c:v>
                </c:pt>
                <c:pt idx="32">
                  <c:v>39753</c:v>
                </c:pt>
                <c:pt idx="33">
                  <c:v>39783</c:v>
                </c:pt>
                <c:pt idx="34">
                  <c:v>39814</c:v>
                </c:pt>
                <c:pt idx="35">
                  <c:v>39845</c:v>
                </c:pt>
                <c:pt idx="36">
                  <c:v>39873</c:v>
                </c:pt>
                <c:pt idx="37">
                  <c:v>39904</c:v>
                </c:pt>
                <c:pt idx="38">
                  <c:v>39934</c:v>
                </c:pt>
                <c:pt idx="39">
                  <c:v>39965</c:v>
                </c:pt>
              </c:numCache>
            </c:numRef>
          </c:cat>
          <c:val>
            <c:numRef>
              <c:f>ArgentaGemeenschRekSamenv!$I$15:$I$54</c:f>
              <c:numCache>
                <c:formatCode>"€"\ #,##0.00;[Red]"€"\ \-#,##0.00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</c:ser>
        <c:ser>
          <c:idx val="8"/>
          <c:order val="8"/>
          <c:tx>
            <c:strRef>
              <c:f>ArgentaGemeenschRekSamenv!$J$14</c:f>
              <c:strCache>
                <c:ptCount val="1"/>
                <c:pt idx="0">
                  <c:v>Samen</c:v>
                </c:pt>
              </c:strCache>
            </c:strRef>
          </c:tx>
          <c:cat>
            <c:numRef>
              <c:f>ArgentaGemeenschRekSamenv!$A$15:$A$54</c:f>
              <c:numCache>
                <c:formatCode>mmm/yy</c:formatCode>
                <c:ptCount val="40"/>
                <c:pt idx="0">
                  <c:v>38777</c:v>
                </c:pt>
                <c:pt idx="1">
                  <c:v>38808</c:v>
                </c:pt>
                <c:pt idx="2">
                  <c:v>38838</c:v>
                </c:pt>
                <c:pt idx="3">
                  <c:v>38869</c:v>
                </c:pt>
                <c:pt idx="4">
                  <c:v>38899</c:v>
                </c:pt>
                <c:pt idx="5">
                  <c:v>38930</c:v>
                </c:pt>
                <c:pt idx="6">
                  <c:v>38961</c:v>
                </c:pt>
                <c:pt idx="7">
                  <c:v>38991</c:v>
                </c:pt>
                <c:pt idx="8">
                  <c:v>39022</c:v>
                </c:pt>
                <c:pt idx="9">
                  <c:v>39052</c:v>
                </c:pt>
                <c:pt idx="10">
                  <c:v>39083</c:v>
                </c:pt>
                <c:pt idx="11">
                  <c:v>39114</c:v>
                </c:pt>
                <c:pt idx="12">
                  <c:v>39142</c:v>
                </c:pt>
                <c:pt idx="13">
                  <c:v>39173</c:v>
                </c:pt>
                <c:pt idx="14">
                  <c:v>39203</c:v>
                </c:pt>
                <c:pt idx="15">
                  <c:v>39234</c:v>
                </c:pt>
                <c:pt idx="16">
                  <c:v>39264</c:v>
                </c:pt>
                <c:pt idx="17">
                  <c:v>39295</c:v>
                </c:pt>
                <c:pt idx="18">
                  <c:v>39326</c:v>
                </c:pt>
                <c:pt idx="19">
                  <c:v>39356</c:v>
                </c:pt>
                <c:pt idx="20">
                  <c:v>39387</c:v>
                </c:pt>
                <c:pt idx="21">
                  <c:v>39417</c:v>
                </c:pt>
                <c:pt idx="22">
                  <c:v>39448</c:v>
                </c:pt>
                <c:pt idx="23">
                  <c:v>39479</c:v>
                </c:pt>
                <c:pt idx="24">
                  <c:v>39508</c:v>
                </c:pt>
                <c:pt idx="25">
                  <c:v>39539</c:v>
                </c:pt>
                <c:pt idx="26">
                  <c:v>39569</c:v>
                </c:pt>
                <c:pt idx="27">
                  <c:v>39600</c:v>
                </c:pt>
                <c:pt idx="28">
                  <c:v>39630</c:v>
                </c:pt>
                <c:pt idx="29">
                  <c:v>39661</c:v>
                </c:pt>
                <c:pt idx="30">
                  <c:v>39692</c:v>
                </c:pt>
                <c:pt idx="31">
                  <c:v>39722</c:v>
                </c:pt>
                <c:pt idx="32">
                  <c:v>39753</c:v>
                </c:pt>
                <c:pt idx="33">
                  <c:v>39783</c:v>
                </c:pt>
                <c:pt idx="34">
                  <c:v>39814</c:v>
                </c:pt>
                <c:pt idx="35">
                  <c:v>39845</c:v>
                </c:pt>
                <c:pt idx="36">
                  <c:v>39873</c:v>
                </c:pt>
                <c:pt idx="37">
                  <c:v>39904</c:v>
                </c:pt>
                <c:pt idx="38">
                  <c:v>39934</c:v>
                </c:pt>
                <c:pt idx="39">
                  <c:v>39965</c:v>
                </c:pt>
              </c:numCache>
            </c:numRef>
          </c:cat>
          <c:val>
            <c:numRef>
              <c:f>ArgentaGemeenschRekSamenv!$J$15:$J$54</c:f>
              <c:numCache>
                <c:formatCode>"€"\ #,##0.00;[Red]"€"\ \-#,##0.00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</c:ser>
        <c:ser>
          <c:idx val="9"/>
          <c:order val="9"/>
          <c:tx>
            <c:strRef>
              <c:f>ArgentaGemeenschRekSamenv!$K$14</c:f>
              <c:strCache>
                <c:ptCount val="1"/>
                <c:pt idx="0">
                  <c:v>Loon A</c:v>
                </c:pt>
              </c:strCache>
            </c:strRef>
          </c:tx>
          <c:cat>
            <c:numRef>
              <c:f>ArgentaGemeenschRekSamenv!$A$15:$A$54</c:f>
              <c:numCache>
                <c:formatCode>mmm/yy</c:formatCode>
                <c:ptCount val="40"/>
                <c:pt idx="0">
                  <c:v>38777</c:v>
                </c:pt>
                <c:pt idx="1">
                  <c:v>38808</c:v>
                </c:pt>
                <c:pt idx="2">
                  <c:v>38838</c:v>
                </c:pt>
                <c:pt idx="3">
                  <c:v>38869</c:v>
                </c:pt>
                <c:pt idx="4">
                  <c:v>38899</c:v>
                </c:pt>
                <c:pt idx="5">
                  <c:v>38930</c:v>
                </c:pt>
                <c:pt idx="6">
                  <c:v>38961</c:v>
                </c:pt>
                <c:pt idx="7">
                  <c:v>38991</c:v>
                </c:pt>
                <c:pt idx="8">
                  <c:v>39022</c:v>
                </c:pt>
                <c:pt idx="9">
                  <c:v>39052</c:v>
                </c:pt>
                <c:pt idx="10">
                  <c:v>39083</c:v>
                </c:pt>
                <c:pt idx="11">
                  <c:v>39114</c:v>
                </c:pt>
                <c:pt idx="12">
                  <c:v>39142</c:v>
                </c:pt>
                <c:pt idx="13">
                  <c:v>39173</c:v>
                </c:pt>
                <c:pt idx="14">
                  <c:v>39203</c:v>
                </c:pt>
                <c:pt idx="15">
                  <c:v>39234</c:v>
                </c:pt>
                <c:pt idx="16">
                  <c:v>39264</c:v>
                </c:pt>
                <c:pt idx="17">
                  <c:v>39295</c:v>
                </c:pt>
                <c:pt idx="18">
                  <c:v>39326</c:v>
                </c:pt>
                <c:pt idx="19">
                  <c:v>39356</c:v>
                </c:pt>
                <c:pt idx="20">
                  <c:v>39387</c:v>
                </c:pt>
                <c:pt idx="21">
                  <c:v>39417</c:v>
                </c:pt>
                <c:pt idx="22">
                  <c:v>39448</c:v>
                </c:pt>
                <c:pt idx="23">
                  <c:v>39479</c:v>
                </c:pt>
                <c:pt idx="24">
                  <c:v>39508</c:v>
                </c:pt>
                <c:pt idx="25">
                  <c:v>39539</c:v>
                </c:pt>
                <c:pt idx="26">
                  <c:v>39569</c:v>
                </c:pt>
                <c:pt idx="27">
                  <c:v>39600</c:v>
                </c:pt>
                <c:pt idx="28">
                  <c:v>39630</c:v>
                </c:pt>
                <c:pt idx="29">
                  <c:v>39661</c:v>
                </c:pt>
                <c:pt idx="30">
                  <c:v>39692</c:v>
                </c:pt>
                <c:pt idx="31">
                  <c:v>39722</c:v>
                </c:pt>
                <c:pt idx="32">
                  <c:v>39753</c:v>
                </c:pt>
                <c:pt idx="33">
                  <c:v>39783</c:v>
                </c:pt>
                <c:pt idx="34">
                  <c:v>39814</c:v>
                </c:pt>
                <c:pt idx="35">
                  <c:v>39845</c:v>
                </c:pt>
                <c:pt idx="36">
                  <c:v>39873</c:v>
                </c:pt>
                <c:pt idx="37">
                  <c:v>39904</c:v>
                </c:pt>
                <c:pt idx="38">
                  <c:v>39934</c:v>
                </c:pt>
                <c:pt idx="39">
                  <c:v>39965</c:v>
                </c:pt>
              </c:numCache>
            </c:numRef>
          </c:cat>
          <c:val>
            <c:numRef>
              <c:f>ArgentaGemeenschRekSamenv!$K$15:$K$54</c:f>
              <c:numCache>
                <c:formatCode>"€"\ #,##0.00;[Red]"€"\ \-#,##0.00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</c:ser>
        <c:ser>
          <c:idx val="10"/>
          <c:order val="10"/>
          <c:tx>
            <c:strRef>
              <c:f>ArgentaGemeenschRekSamenv!$L$14</c:f>
              <c:strCache>
                <c:ptCount val="1"/>
                <c:pt idx="0">
                  <c:v>Loon B</c:v>
                </c:pt>
              </c:strCache>
            </c:strRef>
          </c:tx>
          <c:cat>
            <c:numRef>
              <c:f>ArgentaGemeenschRekSamenv!$A$15:$A$54</c:f>
              <c:numCache>
                <c:formatCode>mmm/yy</c:formatCode>
                <c:ptCount val="40"/>
                <c:pt idx="0">
                  <c:v>38777</c:v>
                </c:pt>
                <c:pt idx="1">
                  <c:v>38808</c:v>
                </c:pt>
                <c:pt idx="2">
                  <c:v>38838</c:v>
                </c:pt>
                <c:pt idx="3">
                  <c:v>38869</c:v>
                </c:pt>
                <c:pt idx="4">
                  <c:v>38899</c:v>
                </c:pt>
                <c:pt idx="5">
                  <c:v>38930</c:v>
                </c:pt>
                <c:pt idx="6">
                  <c:v>38961</c:v>
                </c:pt>
                <c:pt idx="7">
                  <c:v>38991</c:v>
                </c:pt>
                <c:pt idx="8">
                  <c:v>39022</c:v>
                </c:pt>
                <c:pt idx="9">
                  <c:v>39052</c:v>
                </c:pt>
                <c:pt idx="10">
                  <c:v>39083</c:v>
                </c:pt>
                <c:pt idx="11">
                  <c:v>39114</c:v>
                </c:pt>
                <c:pt idx="12">
                  <c:v>39142</c:v>
                </c:pt>
                <c:pt idx="13">
                  <c:v>39173</c:v>
                </c:pt>
                <c:pt idx="14">
                  <c:v>39203</c:v>
                </c:pt>
                <c:pt idx="15">
                  <c:v>39234</c:v>
                </c:pt>
                <c:pt idx="16">
                  <c:v>39264</c:v>
                </c:pt>
                <c:pt idx="17">
                  <c:v>39295</c:v>
                </c:pt>
                <c:pt idx="18">
                  <c:v>39326</c:v>
                </c:pt>
                <c:pt idx="19">
                  <c:v>39356</c:v>
                </c:pt>
                <c:pt idx="20">
                  <c:v>39387</c:v>
                </c:pt>
                <c:pt idx="21">
                  <c:v>39417</c:v>
                </c:pt>
                <c:pt idx="22">
                  <c:v>39448</c:v>
                </c:pt>
                <c:pt idx="23">
                  <c:v>39479</c:v>
                </c:pt>
                <c:pt idx="24">
                  <c:v>39508</c:v>
                </c:pt>
                <c:pt idx="25">
                  <c:v>39539</c:v>
                </c:pt>
                <c:pt idx="26">
                  <c:v>39569</c:v>
                </c:pt>
                <c:pt idx="27">
                  <c:v>39600</c:v>
                </c:pt>
                <c:pt idx="28">
                  <c:v>39630</c:v>
                </c:pt>
                <c:pt idx="29">
                  <c:v>39661</c:v>
                </c:pt>
                <c:pt idx="30">
                  <c:v>39692</c:v>
                </c:pt>
                <c:pt idx="31">
                  <c:v>39722</c:v>
                </c:pt>
                <c:pt idx="32">
                  <c:v>39753</c:v>
                </c:pt>
                <c:pt idx="33">
                  <c:v>39783</c:v>
                </c:pt>
                <c:pt idx="34">
                  <c:v>39814</c:v>
                </c:pt>
                <c:pt idx="35">
                  <c:v>39845</c:v>
                </c:pt>
                <c:pt idx="36">
                  <c:v>39873</c:v>
                </c:pt>
                <c:pt idx="37">
                  <c:v>39904</c:v>
                </c:pt>
                <c:pt idx="38">
                  <c:v>39934</c:v>
                </c:pt>
                <c:pt idx="39">
                  <c:v>39965</c:v>
                </c:pt>
              </c:numCache>
            </c:numRef>
          </c:cat>
          <c:val>
            <c:numRef>
              <c:f>ArgentaGemeenschRekSamenv!$L$15:$L$54</c:f>
              <c:numCache>
                <c:formatCode>"€"\ #,##0.00;[Red]"€"\ \-#,##0.00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</c:ser>
        <c:ser>
          <c:idx val="11"/>
          <c:order val="11"/>
          <c:tx>
            <c:strRef>
              <c:f>ArgentaGemeenschRekSamenv!$M$14</c:f>
              <c:strCache>
                <c:ptCount val="1"/>
                <c:pt idx="0">
                  <c:v>Externe stortingen</c:v>
                </c:pt>
              </c:strCache>
            </c:strRef>
          </c:tx>
          <c:cat>
            <c:numRef>
              <c:f>ArgentaGemeenschRekSamenv!$A$15:$A$54</c:f>
              <c:numCache>
                <c:formatCode>mmm/yy</c:formatCode>
                <c:ptCount val="40"/>
                <c:pt idx="0">
                  <c:v>38777</c:v>
                </c:pt>
                <c:pt idx="1">
                  <c:v>38808</c:v>
                </c:pt>
                <c:pt idx="2">
                  <c:v>38838</c:v>
                </c:pt>
                <c:pt idx="3">
                  <c:v>38869</c:v>
                </c:pt>
                <c:pt idx="4">
                  <c:v>38899</c:v>
                </c:pt>
                <c:pt idx="5">
                  <c:v>38930</c:v>
                </c:pt>
                <c:pt idx="6">
                  <c:v>38961</c:v>
                </c:pt>
                <c:pt idx="7">
                  <c:v>38991</c:v>
                </c:pt>
                <c:pt idx="8">
                  <c:v>39022</c:v>
                </c:pt>
                <c:pt idx="9">
                  <c:v>39052</c:v>
                </c:pt>
                <c:pt idx="10">
                  <c:v>39083</c:v>
                </c:pt>
                <c:pt idx="11">
                  <c:v>39114</c:v>
                </c:pt>
                <c:pt idx="12">
                  <c:v>39142</c:v>
                </c:pt>
                <c:pt idx="13">
                  <c:v>39173</c:v>
                </c:pt>
                <c:pt idx="14">
                  <c:v>39203</c:v>
                </c:pt>
                <c:pt idx="15">
                  <c:v>39234</c:v>
                </c:pt>
                <c:pt idx="16">
                  <c:v>39264</c:v>
                </c:pt>
                <c:pt idx="17">
                  <c:v>39295</c:v>
                </c:pt>
                <c:pt idx="18">
                  <c:v>39326</c:v>
                </c:pt>
                <c:pt idx="19">
                  <c:v>39356</c:v>
                </c:pt>
                <c:pt idx="20">
                  <c:v>39387</c:v>
                </c:pt>
                <c:pt idx="21">
                  <c:v>39417</c:v>
                </c:pt>
                <c:pt idx="22">
                  <c:v>39448</c:v>
                </c:pt>
                <c:pt idx="23">
                  <c:v>39479</c:v>
                </c:pt>
                <c:pt idx="24">
                  <c:v>39508</c:v>
                </c:pt>
                <c:pt idx="25">
                  <c:v>39539</c:v>
                </c:pt>
                <c:pt idx="26">
                  <c:v>39569</c:v>
                </c:pt>
                <c:pt idx="27">
                  <c:v>39600</c:v>
                </c:pt>
                <c:pt idx="28">
                  <c:v>39630</c:v>
                </c:pt>
                <c:pt idx="29">
                  <c:v>39661</c:v>
                </c:pt>
                <c:pt idx="30">
                  <c:v>39692</c:v>
                </c:pt>
                <c:pt idx="31">
                  <c:v>39722</c:v>
                </c:pt>
                <c:pt idx="32">
                  <c:v>39753</c:v>
                </c:pt>
                <c:pt idx="33">
                  <c:v>39783</c:v>
                </c:pt>
                <c:pt idx="34">
                  <c:v>39814</c:v>
                </c:pt>
                <c:pt idx="35">
                  <c:v>39845</c:v>
                </c:pt>
                <c:pt idx="36">
                  <c:v>39873</c:v>
                </c:pt>
                <c:pt idx="37">
                  <c:v>39904</c:v>
                </c:pt>
                <c:pt idx="38">
                  <c:v>39934</c:v>
                </c:pt>
                <c:pt idx="39">
                  <c:v>39965</c:v>
                </c:pt>
              </c:numCache>
            </c:numRef>
          </c:cat>
          <c:val>
            <c:numRef>
              <c:f>ArgentaGemeenschRekSamenv!$M$15:$M$54</c:f>
              <c:numCache>
                <c:formatCode>"€"\ #,##0.00;[Red]"€"\ \-#,##0.00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</c:ser>
        <c:marker val="1"/>
        <c:axId val="40771584"/>
        <c:axId val="53013120"/>
      </c:lineChart>
      <c:dateAx>
        <c:axId val="40771584"/>
        <c:scaling>
          <c:orientation val="minMax"/>
        </c:scaling>
        <c:axPos val="b"/>
        <c:numFmt formatCode="mmm/yy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nl-BE"/>
          </a:p>
        </c:txPr>
        <c:crossAx val="53013120"/>
        <c:crosses val="autoZero"/>
        <c:auto val="1"/>
        <c:lblOffset val="100"/>
      </c:dateAx>
      <c:valAx>
        <c:axId val="53013120"/>
        <c:scaling>
          <c:orientation val="minMax"/>
        </c:scaling>
        <c:axPos val="l"/>
        <c:majorGridlines/>
        <c:numFmt formatCode="&quot;€&quot;\ #,##0.00;[Red]&quot;€&quot;\ \-#,##0.00" sourceLinked="1"/>
        <c:tickLblPos val="nextTo"/>
        <c:crossAx val="407715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5.6480080685829548E-2"/>
          <c:y val="0.94307692307692303"/>
          <c:w val="0.85678265254664654"/>
          <c:h val="3.6923076923076927E-2"/>
        </c:manualLayout>
      </c:layout>
    </c:legend>
    <c:plotVisOnly val="1"/>
    <c:dispBlanksAs val="gap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BE"/>
  <c:chart>
    <c:plotArea>
      <c:layout>
        <c:manualLayout>
          <c:layoutTarget val="inner"/>
          <c:xMode val="edge"/>
          <c:yMode val="edge"/>
          <c:x val="9.4000000000000028E-2"/>
          <c:y val="3.1111111111111193E-2"/>
          <c:w val="0.81280862312192015"/>
          <c:h val="0.86829268292682915"/>
        </c:manualLayout>
      </c:layout>
      <c:lineChart>
        <c:grouping val="standard"/>
        <c:ser>
          <c:idx val="2"/>
          <c:order val="0"/>
          <c:tx>
            <c:strRef>
              <c:f>ArgentaMaxiSamenv!$B$1</c:f>
              <c:strCache>
                <c:ptCount val="1"/>
                <c:pt idx="0">
                  <c:v>Afhalingen</c:v>
                </c:pt>
              </c:strCache>
            </c:strRef>
          </c:tx>
          <c:marker>
            <c:symbol val="none"/>
          </c:marker>
          <c:cat>
            <c:numRef>
              <c:f>ArgentaMaxiSamenv!$A$34:$A$68</c:f>
              <c:numCache>
                <c:formatCode>mmm/yy</c:formatCode>
                <c:ptCount val="35"/>
                <c:pt idx="0">
                  <c:v>39417</c:v>
                </c:pt>
                <c:pt idx="1">
                  <c:v>39448</c:v>
                </c:pt>
                <c:pt idx="2">
                  <c:v>39479</c:v>
                </c:pt>
                <c:pt idx="3">
                  <c:v>39508</c:v>
                </c:pt>
                <c:pt idx="4">
                  <c:v>39539</c:v>
                </c:pt>
                <c:pt idx="5">
                  <c:v>39569</c:v>
                </c:pt>
                <c:pt idx="6">
                  <c:v>39600</c:v>
                </c:pt>
                <c:pt idx="7">
                  <c:v>39630</c:v>
                </c:pt>
                <c:pt idx="8">
                  <c:v>39661</c:v>
                </c:pt>
                <c:pt idx="9">
                  <c:v>39692</c:v>
                </c:pt>
                <c:pt idx="10">
                  <c:v>39722</c:v>
                </c:pt>
                <c:pt idx="11">
                  <c:v>39753</c:v>
                </c:pt>
                <c:pt idx="12">
                  <c:v>39783</c:v>
                </c:pt>
                <c:pt idx="13">
                  <c:v>39814</c:v>
                </c:pt>
                <c:pt idx="14">
                  <c:v>39845</c:v>
                </c:pt>
                <c:pt idx="15">
                  <c:v>39873</c:v>
                </c:pt>
                <c:pt idx="16">
                  <c:v>39904</c:v>
                </c:pt>
                <c:pt idx="17">
                  <c:v>39934</c:v>
                </c:pt>
                <c:pt idx="18">
                  <c:v>39965</c:v>
                </c:pt>
                <c:pt idx="19">
                  <c:v>39995</c:v>
                </c:pt>
                <c:pt idx="20">
                  <c:v>40026</c:v>
                </c:pt>
                <c:pt idx="21">
                  <c:v>40057</c:v>
                </c:pt>
                <c:pt idx="22">
                  <c:v>40087</c:v>
                </c:pt>
                <c:pt idx="23">
                  <c:v>40118</c:v>
                </c:pt>
                <c:pt idx="24">
                  <c:v>40148</c:v>
                </c:pt>
                <c:pt idx="25">
                  <c:v>40179</c:v>
                </c:pt>
                <c:pt idx="26">
                  <c:v>40210</c:v>
                </c:pt>
                <c:pt idx="27">
                  <c:v>40238</c:v>
                </c:pt>
                <c:pt idx="28">
                  <c:v>40269</c:v>
                </c:pt>
                <c:pt idx="29">
                  <c:v>40299</c:v>
                </c:pt>
                <c:pt idx="30">
                  <c:v>40330</c:v>
                </c:pt>
                <c:pt idx="31">
                  <c:v>40360</c:v>
                </c:pt>
                <c:pt idx="32">
                  <c:v>40391</c:v>
                </c:pt>
                <c:pt idx="33">
                  <c:v>40422</c:v>
                </c:pt>
                <c:pt idx="34">
                  <c:v>40452</c:v>
                </c:pt>
              </c:numCache>
            </c:numRef>
          </c:cat>
          <c:val>
            <c:numRef>
              <c:f>ArgentaMaxiSamenv!$B$34:$B$68</c:f>
              <c:numCache>
                <c:formatCode>#,##0.00\ "€"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1"/>
          <c:order val="1"/>
          <c:tx>
            <c:strRef>
              <c:f>ArgentaMaxiSamenv!$C$1</c:f>
              <c:strCache>
                <c:ptCount val="1"/>
                <c:pt idx="0">
                  <c:v>Stortingen</c:v>
                </c:pt>
              </c:strCache>
            </c:strRef>
          </c:tx>
          <c:marker>
            <c:symbol val="none"/>
          </c:marker>
          <c:cat>
            <c:numRef>
              <c:f>ArgentaMaxiSamenv!$A$34:$A$68</c:f>
              <c:numCache>
                <c:formatCode>mmm/yy</c:formatCode>
                <c:ptCount val="35"/>
                <c:pt idx="0">
                  <c:v>39417</c:v>
                </c:pt>
                <c:pt idx="1">
                  <c:v>39448</c:v>
                </c:pt>
                <c:pt idx="2">
                  <c:v>39479</c:v>
                </c:pt>
                <c:pt idx="3">
                  <c:v>39508</c:v>
                </c:pt>
                <c:pt idx="4">
                  <c:v>39539</c:v>
                </c:pt>
                <c:pt idx="5">
                  <c:v>39569</c:v>
                </c:pt>
                <c:pt idx="6">
                  <c:v>39600</c:v>
                </c:pt>
                <c:pt idx="7">
                  <c:v>39630</c:v>
                </c:pt>
                <c:pt idx="8">
                  <c:v>39661</c:v>
                </c:pt>
                <c:pt idx="9">
                  <c:v>39692</c:v>
                </c:pt>
                <c:pt idx="10">
                  <c:v>39722</c:v>
                </c:pt>
                <c:pt idx="11">
                  <c:v>39753</c:v>
                </c:pt>
                <c:pt idx="12">
                  <c:v>39783</c:v>
                </c:pt>
                <c:pt idx="13">
                  <c:v>39814</c:v>
                </c:pt>
                <c:pt idx="14">
                  <c:v>39845</c:v>
                </c:pt>
                <c:pt idx="15">
                  <c:v>39873</c:v>
                </c:pt>
                <c:pt idx="16">
                  <c:v>39904</c:v>
                </c:pt>
                <c:pt idx="17">
                  <c:v>39934</c:v>
                </c:pt>
                <c:pt idx="18">
                  <c:v>39965</c:v>
                </c:pt>
                <c:pt idx="19">
                  <c:v>39995</c:v>
                </c:pt>
                <c:pt idx="20">
                  <c:v>40026</c:v>
                </c:pt>
                <c:pt idx="21">
                  <c:v>40057</c:v>
                </c:pt>
                <c:pt idx="22">
                  <c:v>40087</c:v>
                </c:pt>
                <c:pt idx="23">
                  <c:v>40118</c:v>
                </c:pt>
                <c:pt idx="24">
                  <c:v>40148</c:v>
                </c:pt>
                <c:pt idx="25">
                  <c:v>40179</c:v>
                </c:pt>
                <c:pt idx="26">
                  <c:v>40210</c:v>
                </c:pt>
                <c:pt idx="27">
                  <c:v>40238</c:v>
                </c:pt>
                <c:pt idx="28">
                  <c:v>40269</c:v>
                </c:pt>
                <c:pt idx="29">
                  <c:v>40299</c:v>
                </c:pt>
                <c:pt idx="30">
                  <c:v>40330</c:v>
                </c:pt>
                <c:pt idx="31">
                  <c:v>40360</c:v>
                </c:pt>
                <c:pt idx="32">
                  <c:v>40391</c:v>
                </c:pt>
                <c:pt idx="33">
                  <c:v>40422</c:v>
                </c:pt>
                <c:pt idx="34">
                  <c:v>40452</c:v>
                </c:pt>
              </c:numCache>
            </c:numRef>
          </c:cat>
          <c:val>
            <c:numRef>
              <c:f>ArgentaMaxiSamenv!$C$34:$C$68</c:f>
              <c:numCache>
                <c:formatCode>#,##0.00\ "€"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3"/>
          <c:order val="2"/>
          <c:tx>
            <c:strRef>
              <c:f>ArgentaMaxiSamenv!$D$1</c:f>
              <c:strCache>
                <c:ptCount val="1"/>
                <c:pt idx="0">
                  <c:v>Gespaard</c:v>
                </c:pt>
              </c:strCache>
            </c:strRef>
          </c:tx>
          <c:marker>
            <c:symbol val="none"/>
          </c:marker>
          <c:cat>
            <c:numRef>
              <c:f>ArgentaMaxiSamenv!$A$34:$A$68</c:f>
              <c:numCache>
                <c:formatCode>mmm/yy</c:formatCode>
                <c:ptCount val="35"/>
                <c:pt idx="0">
                  <c:v>39417</c:v>
                </c:pt>
                <c:pt idx="1">
                  <c:v>39448</c:v>
                </c:pt>
                <c:pt idx="2">
                  <c:v>39479</c:v>
                </c:pt>
                <c:pt idx="3">
                  <c:v>39508</c:v>
                </c:pt>
                <c:pt idx="4">
                  <c:v>39539</c:v>
                </c:pt>
                <c:pt idx="5">
                  <c:v>39569</c:v>
                </c:pt>
                <c:pt idx="6">
                  <c:v>39600</c:v>
                </c:pt>
                <c:pt idx="7">
                  <c:v>39630</c:v>
                </c:pt>
                <c:pt idx="8">
                  <c:v>39661</c:v>
                </c:pt>
                <c:pt idx="9">
                  <c:v>39692</c:v>
                </c:pt>
                <c:pt idx="10">
                  <c:v>39722</c:v>
                </c:pt>
                <c:pt idx="11">
                  <c:v>39753</c:v>
                </c:pt>
                <c:pt idx="12">
                  <c:v>39783</c:v>
                </c:pt>
                <c:pt idx="13">
                  <c:v>39814</c:v>
                </c:pt>
                <c:pt idx="14">
                  <c:v>39845</c:v>
                </c:pt>
                <c:pt idx="15">
                  <c:v>39873</c:v>
                </c:pt>
                <c:pt idx="16">
                  <c:v>39904</c:v>
                </c:pt>
                <c:pt idx="17">
                  <c:v>39934</c:v>
                </c:pt>
                <c:pt idx="18">
                  <c:v>39965</c:v>
                </c:pt>
                <c:pt idx="19">
                  <c:v>39995</c:v>
                </c:pt>
                <c:pt idx="20">
                  <c:v>40026</c:v>
                </c:pt>
                <c:pt idx="21">
                  <c:v>40057</c:v>
                </c:pt>
                <c:pt idx="22">
                  <c:v>40087</c:v>
                </c:pt>
                <c:pt idx="23">
                  <c:v>40118</c:v>
                </c:pt>
                <c:pt idx="24">
                  <c:v>40148</c:v>
                </c:pt>
                <c:pt idx="25">
                  <c:v>40179</c:v>
                </c:pt>
                <c:pt idx="26">
                  <c:v>40210</c:v>
                </c:pt>
                <c:pt idx="27">
                  <c:v>40238</c:v>
                </c:pt>
                <c:pt idx="28">
                  <c:v>40269</c:v>
                </c:pt>
                <c:pt idx="29">
                  <c:v>40299</c:v>
                </c:pt>
                <c:pt idx="30">
                  <c:v>40330</c:v>
                </c:pt>
                <c:pt idx="31">
                  <c:v>40360</c:v>
                </c:pt>
                <c:pt idx="32">
                  <c:v>40391</c:v>
                </c:pt>
                <c:pt idx="33">
                  <c:v>40422</c:v>
                </c:pt>
                <c:pt idx="34">
                  <c:v>40452</c:v>
                </c:pt>
              </c:numCache>
            </c:numRef>
          </c:cat>
          <c:val>
            <c:numRef>
              <c:f>ArgentaMaxiSamenv!$D$34:$D$68</c:f>
              <c:numCache>
                <c:formatCode>#,##0.00\ "€"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0"/>
          <c:order val="3"/>
          <c:tx>
            <c:strRef>
              <c:f>ArgentaMaxiSamenv!$E$1</c:f>
              <c:strCache>
                <c:ptCount val="1"/>
                <c:pt idx="0">
                  <c:v>Huidig Saldo</c:v>
                </c:pt>
              </c:strCache>
            </c:strRef>
          </c:tx>
          <c:marker>
            <c:symbol val="none"/>
          </c:marker>
          <c:cat>
            <c:numRef>
              <c:f>ArgentaMaxiSamenv!$A$34:$A$68</c:f>
              <c:numCache>
                <c:formatCode>mmm/yy</c:formatCode>
                <c:ptCount val="35"/>
                <c:pt idx="0">
                  <c:v>39417</c:v>
                </c:pt>
                <c:pt idx="1">
                  <c:v>39448</c:v>
                </c:pt>
                <c:pt idx="2">
                  <c:v>39479</c:v>
                </c:pt>
                <c:pt idx="3">
                  <c:v>39508</c:v>
                </c:pt>
                <c:pt idx="4">
                  <c:v>39539</c:v>
                </c:pt>
                <c:pt idx="5">
                  <c:v>39569</c:v>
                </c:pt>
                <c:pt idx="6">
                  <c:v>39600</c:v>
                </c:pt>
                <c:pt idx="7">
                  <c:v>39630</c:v>
                </c:pt>
                <c:pt idx="8">
                  <c:v>39661</c:v>
                </c:pt>
                <c:pt idx="9">
                  <c:v>39692</c:v>
                </c:pt>
                <c:pt idx="10">
                  <c:v>39722</c:v>
                </c:pt>
                <c:pt idx="11">
                  <c:v>39753</c:v>
                </c:pt>
                <c:pt idx="12">
                  <c:v>39783</c:v>
                </c:pt>
                <c:pt idx="13">
                  <c:v>39814</c:v>
                </c:pt>
                <c:pt idx="14">
                  <c:v>39845</c:v>
                </c:pt>
                <c:pt idx="15">
                  <c:v>39873</c:v>
                </c:pt>
                <c:pt idx="16">
                  <c:v>39904</c:v>
                </c:pt>
                <c:pt idx="17">
                  <c:v>39934</c:v>
                </c:pt>
                <c:pt idx="18">
                  <c:v>39965</c:v>
                </c:pt>
                <c:pt idx="19">
                  <c:v>39995</c:v>
                </c:pt>
                <c:pt idx="20">
                  <c:v>40026</c:v>
                </c:pt>
                <c:pt idx="21">
                  <c:v>40057</c:v>
                </c:pt>
                <c:pt idx="22">
                  <c:v>40087</c:v>
                </c:pt>
                <c:pt idx="23">
                  <c:v>40118</c:v>
                </c:pt>
                <c:pt idx="24">
                  <c:v>40148</c:v>
                </c:pt>
                <c:pt idx="25">
                  <c:v>40179</c:v>
                </c:pt>
                <c:pt idx="26">
                  <c:v>40210</c:v>
                </c:pt>
                <c:pt idx="27">
                  <c:v>40238</c:v>
                </c:pt>
                <c:pt idx="28">
                  <c:v>40269</c:v>
                </c:pt>
                <c:pt idx="29">
                  <c:v>40299</c:v>
                </c:pt>
                <c:pt idx="30">
                  <c:v>40330</c:v>
                </c:pt>
                <c:pt idx="31">
                  <c:v>40360</c:v>
                </c:pt>
                <c:pt idx="32">
                  <c:v>40391</c:v>
                </c:pt>
                <c:pt idx="33">
                  <c:v>40422</c:v>
                </c:pt>
                <c:pt idx="34">
                  <c:v>40452</c:v>
                </c:pt>
              </c:numCache>
            </c:numRef>
          </c:cat>
          <c:val>
            <c:numRef>
              <c:f>ArgentaMaxiSamenv!$E$34:$E$68</c:f>
              <c:numCache>
                <c:formatCode>#,##0.00\ "€"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marker val="1"/>
        <c:axId val="40799232"/>
        <c:axId val="40813312"/>
      </c:lineChart>
      <c:dateAx>
        <c:axId val="40799232"/>
        <c:scaling>
          <c:orientation val="minMax"/>
        </c:scaling>
        <c:axPos val="b"/>
        <c:numFmt formatCode="mmm/yy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nl-BE"/>
          </a:p>
        </c:txPr>
        <c:crossAx val="40813312"/>
        <c:crosses val="autoZero"/>
        <c:auto val="1"/>
        <c:lblOffset val="100"/>
      </c:dateAx>
      <c:valAx>
        <c:axId val="40813312"/>
        <c:scaling>
          <c:orientation val="minMax"/>
        </c:scaling>
        <c:axPos val="l"/>
        <c:majorGridlines/>
        <c:numFmt formatCode="#,##0.00\ \€" sourceLinked="0"/>
        <c:tickLblPos val="nextTo"/>
        <c:crossAx val="40799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6.1151079136690649E-2"/>
          <c:y val="0.84146341463414631"/>
          <c:w val="0.78237410071942448"/>
          <c:h val="4.878048780487805E-2"/>
        </c:manualLayout>
      </c:layout>
    </c:legend>
    <c:plotVisOnly val="1"/>
    <c:dispBlanksAs val="gap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BE"/>
  <c:chart>
    <c:plotArea>
      <c:layout>
        <c:manualLayout>
          <c:layoutTarget val="inner"/>
          <c:xMode val="edge"/>
          <c:yMode val="edge"/>
          <c:x val="7.0626003210272875E-2"/>
          <c:y val="2.8513238289205784E-2"/>
          <c:w val="0.89056363631779467"/>
          <c:h val="0.74206841252786493"/>
        </c:manualLayout>
      </c:layout>
      <c:lineChart>
        <c:grouping val="standard"/>
        <c:ser>
          <c:idx val="0"/>
          <c:order val="0"/>
          <c:tx>
            <c:strRef>
              <c:f>KBCCompSamenv!$B$26</c:f>
              <c:strCache>
                <c:ptCount val="1"/>
                <c:pt idx="0">
                  <c:v>Afhalingen</c:v>
                </c:pt>
              </c:strCache>
            </c:strRef>
          </c:tx>
          <c:spPr>
            <a:ln>
              <a:solidFill>
                <a:schemeClr val="accent2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numRef>
              <c:f>KBCCompSamenv!$A$103:$A$133</c:f>
              <c:numCache>
                <c:formatCode>mmm/yy</c:formatCode>
                <c:ptCount val="31"/>
                <c:pt idx="0">
                  <c:v>39508</c:v>
                </c:pt>
                <c:pt idx="1">
                  <c:v>39539</c:v>
                </c:pt>
                <c:pt idx="2">
                  <c:v>39569</c:v>
                </c:pt>
                <c:pt idx="3">
                  <c:v>39600</c:v>
                </c:pt>
                <c:pt idx="4">
                  <c:v>39630</c:v>
                </c:pt>
                <c:pt idx="5">
                  <c:v>39661</c:v>
                </c:pt>
                <c:pt idx="6">
                  <c:v>39692</c:v>
                </c:pt>
                <c:pt idx="7">
                  <c:v>39722</c:v>
                </c:pt>
                <c:pt idx="8">
                  <c:v>39753</c:v>
                </c:pt>
                <c:pt idx="9">
                  <c:v>39783</c:v>
                </c:pt>
                <c:pt idx="10">
                  <c:v>39814</c:v>
                </c:pt>
                <c:pt idx="11">
                  <c:v>39845</c:v>
                </c:pt>
                <c:pt idx="12">
                  <c:v>39873</c:v>
                </c:pt>
                <c:pt idx="13">
                  <c:v>39904</c:v>
                </c:pt>
                <c:pt idx="14">
                  <c:v>39934</c:v>
                </c:pt>
                <c:pt idx="15">
                  <c:v>39965</c:v>
                </c:pt>
                <c:pt idx="16">
                  <c:v>39995</c:v>
                </c:pt>
                <c:pt idx="17">
                  <c:v>40026</c:v>
                </c:pt>
                <c:pt idx="18">
                  <c:v>40057</c:v>
                </c:pt>
                <c:pt idx="19">
                  <c:v>40087</c:v>
                </c:pt>
                <c:pt idx="20">
                  <c:v>40118</c:v>
                </c:pt>
                <c:pt idx="21">
                  <c:v>40148</c:v>
                </c:pt>
                <c:pt idx="22">
                  <c:v>40179</c:v>
                </c:pt>
                <c:pt idx="23">
                  <c:v>40210</c:v>
                </c:pt>
                <c:pt idx="24">
                  <c:v>40238</c:v>
                </c:pt>
                <c:pt idx="25">
                  <c:v>40269</c:v>
                </c:pt>
                <c:pt idx="26">
                  <c:v>40299</c:v>
                </c:pt>
                <c:pt idx="27">
                  <c:v>40330</c:v>
                </c:pt>
                <c:pt idx="28">
                  <c:v>40360</c:v>
                </c:pt>
                <c:pt idx="29">
                  <c:v>40391</c:v>
                </c:pt>
                <c:pt idx="30">
                  <c:v>40422</c:v>
                </c:pt>
              </c:numCache>
            </c:numRef>
          </c:cat>
          <c:val>
            <c:numRef>
              <c:f>KBCCompSamenv!$B$103:$B$133</c:f>
              <c:numCache>
                <c:formatCode>#,##0.00\ "€"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1"/>
          <c:order val="1"/>
          <c:tx>
            <c:strRef>
              <c:f>KBCCompSamenv!$C$26</c:f>
              <c:strCache>
                <c:ptCount val="1"/>
                <c:pt idx="0">
                  <c:v>Afhaling NT naar spaar rek of gem rek of belastingen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KBCCompSamenv!$A$103:$A$133</c:f>
              <c:numCache>
                <c:formatCode>mmm/yy</c:formatCode>
                <c:ptCount val="31"/>
                <c:pt idx="0">
                  <c:v>39508</c:v>
                </c:pt>
                <c:pt idx="1">
                  <c:v>39539</c:v>
                </c:pt>
                <c:pt idx="2">
                  <c:v>39569</c:v>
                </c:pt>
                <c:pt idx="3">
                  <c:v>39600</c:v>
                </c:pt>
                <c:pt idx="4">
                  <c:v>39630</c:v>
                </c:pt>
                <c:pt idx="5">
                  <c:v>39661</c:v>
                </c:pt>
                <c:pt idx="6">
                  <c:v>39692</c:v>
                </c:pt>
                <c:pt idx="7">
                  <c:v>39722</c:v>
                </c:pt>
                <c:pt idx="8">
                  <c:v>39753</c:v>
                </c:pt>
                <c:pt idx="9">
                  <c:v>39783</c:v>
                </c:pt>
                <c:pt idx="10">
                  <c:v>39814</c:v>
                </c:pt>
                <c:pt idx="11">
                  <c:v>39845</c:v>
                </c:pt>
                <c:pt idx="12">
                  <c:v>39873</c:v>
                </c:pt>
                <c:pt idx="13">
                  <c:v>39904</c:v>
                </c:pt>
                <c:pt idx="14">
                  <c:v>39934</c:v>
                </c:pt>
                <c:pt idx="15">
                  <c:v>39965</c:v>
                </c:pt>
                <c:pt idx="16">
                  <c:v>39995</c:v>
                </c:pt>
                <c:pt idx="17">
                  <c:v>40026</c:v>
                </c:pt>
                <c:pt idx="18">
                  <c:v>40057</c:v>
                </c:pt>
                <c:pt idx="19">
                  <c:v>40087</c:v>
                </c:pt>
                <c:pt idx="20">
                  <c:v>40118</c:v>
                </c:pt>
                <c:pt idx="21">
                  <c:v>40148</c:v>
                </c:pt>
                <c:pt idx="22">
                  <c:v>40179</c:v>
                </c:pt>
                <c:pt idx="23">
                  <c:v>40210</c:v>
                </c:pt>
                <c:pt idx="24">
                  <c:v>40238</c:v>
                </c:pt>
                <c:pt idx="25">
                  <c:v>40269</c:v>
                </c:pt>
                <c:pt idx="26">
                  <c:v>40299</c:v>
                </c:pt>
                <c:pt idx="27">
                  <c:v>40330</c:v>
                </c:pt>
                <c:pt idx="28">
                  <c:v>40360</c:v>
                </c:pt>
                <c:pt idx="29">
                  <c:v>40391</c:v>
                </c:pt>
                <c:pt idx="30">
                  <c:v>40422</c:v>
                </c:pt>
              </c:numCache>
            </c:numRef>
          </c:cat>
          <c:val>
            <c:numRef>
              <c:f>KBCCompSamenv!$C$103:$C$133</c:f>
              <c:numCache>
                <c:formatCode>#,##0.00\ "€"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2"/>
          <c:order val="2"/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KBCCompSamenv!$A$103:$A$133</c:f>
              <c:numCache>
                <c:formatCode>mmm/yy</c:formatCode>
                <c:ptCount val="31"/>
                <c:pt idx="0">
                  <c:v>39508</c:v>
                </c:pt>
                <c:pt idx="1">
                  <c:v>39539</c:v>
                </c:pt>
                <c:pt idx="2">
                  <c:v>39569</c:v>
                </c:pt>
                <c:pt idx="3">
                  <c:v>39600</c:v>
                </c:pt>
                <c:pt idx="4">
                  <c:v>39630</c:v>
                </c:pt>
                <c:pt idx="5">
                  <c:v>39661</c:v>
                </c:pt>
                <c:pt idx="6">
                  <c:v>39692</c:v>
                </c:pt>
                <c:pt idx="7">
                  <c:v>39722</c:v>
                </c:pt>
                <c:pt idx="8">
                  <c:v>39753</c:v>
                </c:pt>
                <c:pt idx="9">
                  <c:v>39783</c:v>
                </c:pt>
                <c:pt idx="10">
                  <c:v>39814</c:v>
                </c:pt>
                <c:pt idx="11">
                  <c:v>39845</c:v>
                </c:pt>
                <c:pt idx="12">
                  <c:v>39873</c:v>
                </c:pt>
                <c:pt idx="13">
                  <c:v>39904</c:v>
                </c:pt>
                <c:pt idx="14">
                  <c:v>39934</c:v>
                </c:pt>
                <c:pt idx="15">
                  <c:v>39965</c:v>
                </c:pt>
                <c:pt idx="16">
                  <c:v>39995</c:v>
                </c:pt>
                <c:pt idx="17">
                  <c:v>40026</c:v>
                </c:pt>
                <c:pt idx="18">
                  <c:v>40057</c:v>
                </c:pt>
                <c:pt idx="19">
                  <c:v>40087</c:v>
                </c:pt>
                <c:pt idx="20">
                  <c:v>40118</c:v>
                </c:pt>
                <c:pt idx="21">
                  <c:v>40148</c:v>
                </c:pt>
                <c:pt idx="22">
                  <c:v>40179</c:v>
                </c:pt>
                <c:pt idx="23">
                  <c:v>40210</c:v>
                </c:pt>
                <c:pt idx="24">
                  <c:v>40238</c:v>
                </c:pt>
                <c:pt idx="25">
                  <c:v>40269</c:v>
                </c:pt>
                <c:pt idx="26">
                  <c:v>40299</c:v>
                </c:pt>
                <c:pt idx="27">
                  <c:v>40330</c:v>
                </c:pt>
                <c:pt idx="28">
                  <c:v>40360</c:v>
                </c:pt>
                <c:pt idx="29">
                  <c:v>40391</c:v>
                </c:pt>
                <c:pt idx="30">
                  <c:v>40422</c:v>
                </c:pt>
              </c:numCache>
            </c:num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3"/>
          <c:order val="3"/>
          <c:tx>
            <c:strRef>
              <c:f>KBCCompSamenv!$D$26</c:f>
              <c:strCache>
                <c:ptCount val="1"/>
                <c:pt idx="0">
                  <c:v>Stortingen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KBCCompSamenv!$A$103:$A$133</c:f>
              <c:numCache>
                <c:formatCode>mmm/yy</c:formatCode>
                <c:ptCount val="31"/>
                <c:pt idx="0">
                  <c:v>39508</c:v>
                </c:pt>
                <c:pt idx="1">
                  <c:v>39539</c:v>
                </c:pt>
                <c:pt idx="2">
                  <c:v>39569</c:v>
                </c:pt>
                <c:pt idx="3">
                  <c:v>39600</c:v>
                </c:pt>
                <c:pt idx="4">
                  <c:v>39630</c:v>
                </c:pt>
                <c:pt idx="5">
                  <c:v>39661</c:v>
                </c:pt>
                <c:pt idx="6">
                  <c:v>39692</c:v>
                </c:pt>
                <c:pt idx="7">
                  <c:v>39722</c:v>
                </c:pt>
                <c:pt idx="8">
                  <c:v>39753</c:v>
                </c:pt>
                <c:pt idx="9">
                  <c:v>39783</c:v>
                </c:pt>
                <c:pt idx="10">
                  <c:v>39814</c:v>
                </c:pt>
                <c:pt idx="11">
                  <c:v>39845</c:v>
                </c:pt>
                <c:pt idx="12">
                  <c:v>39873</c:v>
                </c:pt>
                <c:pt idx="13">
                  <c:v>39904</c:v>
                </c:pt>
                <c:pt idx="14">
                  <c:v>39934</c:v>
                </c:pt>
                <c:pt idx="15">
                  <c:v>39965</c:v>
                </c:pt>
                <c:pt idx="16">
                  <c:v>39995</c:v>
                </c:pt>
                <c:pt idx="17">
                  <c:v>40026</c:v>
                </c:pt>
                <c:pt idx="18">
                  <c:v>40057</c:v>
                </c:pt>
                <c:pt idx="19">
                  <c:v>40087</c:v>
                </c:pt>
                <c:pt idx="20">
                  <c:v>40118</c:v>
                </c:pt>
                <c:pt idx="21">
                  <c:v>40148</c:v>
                </c:pt>
                <c:pt idx="22">
                  <c:v>40179</c:v>
                </c:pt>
                <c:pt idx="23">
                  <c:v>40210</c:v>
                </c:pt>
                <c:pt idx="24">
                  <c:v>40238</c:v>
                </c:pt>
                <c:pt idx="25">
                  <c:v>40269</c:v>
                </c:pt>
                <c:pt idx="26">
                  <c:v>40299</c:v>
                </c:pt>
                <c:pt idx="27">
                  <c:v>40330</c:v>
                </c:pt>
                <c:pt idx="28">
                  <c:v>40360</c:v>
                </c:pt>
                <c:pt idx="29">
                  <c:v>40391</c:v>
                </c:pt>
                <c:pt idx="30">
                  <c:v>40422</c:v>
                </c:pt>
              </c:numCache>
            </c:numRef>
          </c:cat>
          <c:val>
            <c:numRef>
              <c:f>KBCCompSamenv!$D$103:$D$133</c:f>
              <c:numCache>
                <c:formatCode>#,##0.00\ "€"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4"/>
          <c:order val="4"/>
          <c:tx>
            <c:strRef>
              <c:f>KBCCompSamenv!$E$26</c:f>
              <c:strCache>
                <c:ptCount val="1"/>
                <c:pt idx="0">
                  <c:v>Loon A</c:v>
                </c:pt>
              </c:strCache>
            </c:strRef>
          </c:tx>
          <c:marker>
            <c:symbol val="none"/>
          </c:marker>
          <c:cat>
            <c:numRef>
              <c:f>KBCCompSamenv!$A$103:$A$133</c:f>
              <c:numCache>
                <c:formatCode>mmm/yy</c:formatCode>
                <c:ptCount val="31"/>
                <c:pt idx="0">
                  <c:v>39508</c:v>
                </c:pt>
                <c:pt idx="1">
                  <c:v>39539</c:v>
                </c:pt>
                <c:pt idx="2">
                  <c:v>39569</c:v>
                </c:pt>
                <c:pt idx="3">
                  <c:v>39600</c:v>
                </c:pt>
                <c:pt idx="4">
                  <c:v>39630</c:v>
                </c:pt>
                <c:pt idx="5">
                  <c:v>39661</c:v>
                </c:pt>
                <c:pt idx="6">
                  <c:v>39692</c:v>
                </c:pt>
                <c:pt idx="7">
                  <c:v>39722</c:v>
                </c:pt>
                <c:pt idx="8">
                  <c:v>39753</c:v>
                </c:pt>
                <c:pt idx="9">
                  <c:v>39783</c:v>
                </c:pt>
                <c:pt idx="10">
                  <c:v>39814</c:v>
                </c:pt>
                <c:pt idx="11">
                  <c:v>39845</c:v>
                </c:pt>
                <c:pt idx="12">
                  <c:v>39873</c:v>
                </c:pt>
                <c:pt idx="13">
                  <c:v>39904</c:v>
                </c:pt>
                <c:pt idx="14">
                  <c:v>39934</c:v>
                </c:pt>
                <c:pt idx="15">
                  <c:v>39965</c:v>
                </c:pt>
                <c:pt idx="16">
                  <c:v>39995</c:v>
                </c:pt>
                <c:pt idx="17">
                  <c:v>40026</c:v>
                </c:pt>
                <c:pt idx="18">
                  <c:v>40057</c:v>
                </c:pt>
                <c:pt idx="19">
                  <c:v>40087</c:v>
                </c:pt>
                <c:pt idx="20">
                  <c:v>40118</c:v>
                </c:pt>
                <c:pt idx="21">
                  <c:v>40148</c:v>
                </c:pt>
                <c:pt idx="22">
                  <c:v>40179</c:v>
                </c:pt>
                <c:pt idx="23">
                  <c:v>40210</c:v>
                </c:pt>
                <c:pt idx="24">
                  <c:v>40238</c:v>
                </c:pt>
                <c:pt idx="25">
                  <c:v>40269</c:v>
                </c:pt>
                <c:pt idx="26">
                  <c:v>40299</c:v>
                </c:pt>
                <c:pt idx="27">
                  <c:v>40330</c:v>
                </c:pt>
                <c:pt idx="28">
                  <c:v>40360</c:v>
                </c:pt>
                <c:pt idx="29">
                  <c:v>40391</c:v>
                </c:pt>
                <c:pt idx="30">
                  <c:v>40422</c:v>
                </c:pt>
              </c:numCache>
            </c:numRef>
          </c:cat>
          <c:val>
            <c:numRef>
              <c:f>KBCCompSamenv!$E$103:$E$133</c:f>
              <c:numCache>
                <c:formatCode>#,##0.00\ "€"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5"/>
          <c:order val="5"/>
          <c:tx>
            <c:strRef>
              <c:f>KBCCompSamenv!$F$26</c:f>
              <c:strCache>
                <c:ptCount val="1"/>
                <c:pt idx="0">
                  <c:v>Auto</c:v>
                </c:pt>
              </c:strCache>
            </c:strRef>
          </c:tx>
          <c:marker>
            <c:symbol val="none"/>
          </c:marker>
          <c:cat>
            <c:numRef>
              <c:f>KBCCompSamenv!$A$103:$A$133</c:f>
              <c:numCache>
                <c:formatCode>mmm/yy</c:formatCode>
                <c:ptCount val="31"/>
                <c:pt idx="0">
                  <c:v>39508</c:v>
                </c:pt>
                <c:pt idx="1">
                  <c:v>39539</c:v>
                </c:pt>
                <c:pt idx="2">
                  <c:v>39569</c:v>
                </c:pt>
                <c:pt idx="3">
                  <c:v>39600</c:v>
                </c:pt>
                <c:pt idx="4">
                  <c:v>39630</c:v>
                </c:pt>
                <c:pt idx="5">
                  <c:v>39661</c:v>
                </c:pt>
                <c:pt idx="6">
                  <c:v>39692</c:v>
                </c:pt>
                <c:pt idx="7">
                  <c:v>39722</c:v>
                </c:pt>
                <c:pt idx="8">
                  <c:v>39753</c:v>
                </c:pt>
                <c:pt idx="9">
                  <c:v>39783</c:v>
                </c:pt>
                <c:pt idx="10">
                  <c:v>39814</c:v>
                </c:pt>
                <c:pt idx="11">
                  <c:v>39845</c:v>
                </c:pt>
                <c:pt idx="12">
                  <c:v>39873</c:v>
                </c:pt>
                <c:pt idx="13">
                  <c:v>39904</c:v>
                </c:pt>
                <c:pt idx="14">
                  <c:v>39934</c:v>
                </c:pt>
                <c:pt idx="15">
                  <c:v>39965</c:v>
                </c:pt>
                <c:pt idx="16">
                  <c:v>39995</c:v>
                </c:pt>
                <c:pt idx="17">
                  <c:v>40026</c:v>
                </c:pt>
                <c:pt idx="18">
                  <c:v>40057</c:v>
                </c:pt>
                <c:pt idx="19">
                  <c:v>40087</c:v>
                </c:pt>
                <c:pt idx="20">
                  <c:v>40118</c:v>
                </c:pt>
                <c:pt idx="21">
                  <c:v>40148</c:v>
                </c:pt>
                <c:pt idx="22">
                  <c:v>40179</c:v>
                </c:pt>
                <c:pt idx="23">
                  <c:v>40210</c:v>
                </c:pt>
                <c:pt idx="24">
                  <c:v>40238</c:v>
                </c:pt>
                <c:pt idx="25">
                  <c:v>40269</c:v>
                </c:pt>
                <c:pt idx="26">
                  <c:v>40299</c:v>
                </c:pt>
                <c:pt idx="27">
                  <c:v>40330</c:v>
                </c:pt>
                <c:pt idx="28">
                  <c:v>40360</c:v>
                </c:pt>
                <c:pt idx="29">
                  <c:v>40391</c:v>
                </c:pt>
                <c:pt idx="30">
                  <c:v>40422</c:v>
                </c:pt>
              </c:numCache>
            </c:numRef>
          </c:cat>
          <c:val>
            <c:numRef>
              <c:f>KBCCompSamenv!$F$103:$F$133</c:f>
              <c:numCache>
                <c:formatCode>#,##0.00\ "€"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6"/>
          <c:order val="6"/>
          <c:tx>
            <c:strRef>
              <c:f>KBCCompSamenv!$H$26</c:f>
              <c:strCache>
                <c:ptCount val="1"/>
                <c:pt idx="0">
                  <c:v>Gespaard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KBCCompSamenv!$A$103:$A$133</c:f>
              <c:numCache>
                <c:formatCode>mmm/yy</c:formatCode>
                <c:ptCount val="31"/>
                <c:pt idx="0">
                  <c:v>39508</c:v>
                </c:pt>
                <c:pt idx="1">
                  <c:v>39539</c:v>
                </c:pt>
                <c:pt idx="2">
                  <c:v>39569</c:v>
                </c:pt>
                <c:pt idx="3">
                  <c:v>39600</c:v>
                </c:pt>
                <c:pt idx="4">
                  <c:v>39630</c:v>
                </c:pt>
                <c:pt idx="5">
                  <c:v>39661</c:v>
                </c:pt>
                <c:pt idx="6">
                  <c:v>39692</c:v>
                </c:pt>
                <c:pt idx="7">
                  <c:v>39722</c:v>
                </c:pt>
                <c:pt idx="8">
                  <c:v>39753</c:v>
                </c:pt>
                <c:pt idx="9">
                  <c:v>39783</c:v>
                </c:pt>
                <c:pt idx="10">
                  <c:v>39814</c:v>
                </c:pt>
                <c:pt idx="11">
                  <c:v>39845</c:v>
                </c:pt>
                <c:pt idx="12">
                  <c:v>39873</c:v>
                </c:pt>
                <c:pt idx="13">
                  <c:v>39904</c:v>
                </c:pt>
                <c:pt idx="14">
                  <c:v>39934</c:v>
                </c:pt>
                <c:pt idx="15">
                  <c:v>39965</c:v>
                </c:pt>
                <c:pt idx="16">
                  <c:v>39995</c:v>
                </c:pt>
                <c:pt idx="17">
                  <c:v>40026</c:v>
                </c:pt>
                <c:pt idx="18">
                  <c:v>40057</c:v>
                </c:pt>
                <c:pt idx="19">
                  <c:v>40087</c:v>
                </c:pt>
                <c:pt idx="20">
                  <c:v>40118</c:v>
                </c:pt>
                <c:pt idx="21">
                  <c:v>40148</c:v>
                </c:pt>
                <c:pt idx="22">
                  <c:v>40179</c:v>
                </c:pt>
                <c:pt idx="23">
                  <c:v>40210</c:v>
                </c:pt>
                <c:pt idx="24">
                  <c:v>40238</c:v>
                </c:pt>
                <c:pt idx="25">
                  <c:v>40269</c:v>
                </c:pt>
                <c:pt idx="26">
                  <c:v>40299</c:v>
                </c:pt>
                <c:pt idx="27">
                  <c:v>40330</c:v>
                </c:pt>
                <c:pt idx="28">
                  <c:v>40360</c:v>
                </c:pt>
                <c:pt idx="29">
                  <c:v>40391</c:v>
                </c:pt>
                <c:pt idx="30">
                  <c:v>40422</c:v>
                </c:pt>
              </c:numCache>
            </c:numRef>
          </c:cat>
          <c:val>
            <c:numRef>
              <c:f>KBCCompSamenv!$H$103:$H$133</c:f>
              <c:numCache>
                <c:formatCode>#,##0.00\ "€"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marker val="1"/>
        <c:axId val="41037184"/>
        <c:axId val="41051264"/>
      </c:lineChart>
      <c:dateAx>
        <c:axId val="41037184"/>
        <c:scaling>
          <c:orientation val="minMax"/>
        </c:scaling>
        <c:axPos val="b"/>
        <c:numFmt formatCode="mmm/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nl-BE"/>
          </a:p>
        </c:txPr>
        <c:crossAx val="41051264"/>
        <c:crosses val="autoZero"/>
        <c:auto val="1"/>
        <c:lblOffset val="100"/>
      </c:dateAx>
      <c:valAx>
        <c:axId val="41051264"/>
        <c:scaling>
          <c:orientation val="minMax"/>
        </c:scaling>
        <c:axPos val="l"/>
        <c:majorGridlines/>
        <c:numFmt formatCode="#,##0.00\ &quot;€&quot;" sourceLinked="1"/>
        <c:tickLblPos val="nextTo"/>
        <c:crossAx val="410371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348314606741573"/>
          <c:y val="0.62932790224032586"/>
          <c:w val="0.5042134831460674"/>
          <c:h val="0.3380855397148676"/>
        </c:manualLayout>
      </c:layout>
    </c:legend>
    <c:plotVisOnly val="1"/>
    <c:dispBlanksAs val="gap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BE"/>
  <c:chart>
    <c:plotArea>
      <c:layout>
        <c:manualLayout>
          <c:layoutTarget val="inner"/>
          <c:xMode val="edge"/>
          <c:yMode val="edge"/>
          <c:x val="0.10067114093959759"/>
          <c:y val="2.5830258302583051E-2"/>
          <c:w val="0.75279642058165563"/>
          <c:h val="0.94464944649446836"/>
        </c:manualLayout>
      </c:layout>
      <c:lineChart>
        <c:grouping val="standard"/>
        <c:ser>
          <c:idx val="0"/>
          <c:order val="0"/>
          <c:tx>
            <c:strRef>
              <c:f>KBCSpaarrekSamenv!$B$1</c:f>
              <c:strCache>
                <c:ptCount val="1"/>
                <c:pt idx="0">
                  <c:v>Afhalingen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KBCSpaarrekSamenv!$A$81:$A$95</c:f>
              <c:numCache>
                <c:formatCode>mmm/yy</c:formatCode>
                <c:ptCount val="15"/>
                <c:pt idx="0">
                  <c:v>39508</c:v>
                </c:pt>
                <c:pt idx="1">
                  <c:v>39539</c:v>
                </c:pt>
                <c:pt idx="2">
                  <c:v>39569</c:v>
                </c:pt>
                <c:pt idx="3">
                  <c:v>39600</c:v>
                </c:pt>
                <c:pt idx="4">
                  <c:v>39630</c:v>
                </c:pt>
                <c:pt idx="5">
                  <c:v>39661</c:v>
                </c:pt>
                <c:pt idx="6">
                  <c:v>39692</c:v>
                </c:pt>
                <c:pt idx="7">
                  <c:v>39722</c:v>
                </c:pt>
                <c:pt idx="8">
                  <c:v>39753</c:v>
                </c:pt>
                <c:pt idx="9">
                  <c:v>39783</c:v>
                </c:pt>
                <c:pt idx="10">
                  <c:v>39814</c:v>
                </c:pt>
                <c:pt idx="11">
                  <c:v>39845</c:v>
                </c:pt>
                <c:pt idx="12">
                  <c:v>39873</c:v>
                </c:pt>
                <c:pt idx="13">
                  <c:v>39904</c:v>
                </c:pt>
                <c:pt idx="14">
                  <c:v>39934</c:v>
                </c:pt>
              </c:numCache>
            </c:numRef>
          </c:cat>
          <c:val>
            <c:numRef>
              <c:f>KBCSpaarrekSamenv!$B$81:$B$95</c:f>
              <c:numCache>
                <c:formatCode>#,##0.00\ "€"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1"/>
          <c:order val="1"/>
          <c:tx>
            <c:strRef>
              <c:f>KBCSpaarrekSamenv!$C$1</c:f>
              <c:strCache>
                <c:ptCount val="1"/>
                <c:pt idx="0">
                  <c:v>Stortingen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KBCSpaarrekSamenv!$A$81:$A$95</c:f>
              <c:numCache>
                <c:formatCode>mmm/yy</c:formatCode>
                <c:ptCount val="15"/>
                <c:pt idx="0">
                  <c:v>39508</c:v>
                </c:pt>
                <c:pt idx="1">
                  <c:v>39539</c:v>
                </c:pt>
                <c:pt idx="2">
                  <c:v>39569</c:v>
                </c:pt>
                <c:pt idx="3">
                  <c:v>39600</c:v>
                </c:pt>
                <c:pt idx="4">
                  <c:v>39630</c:v>
                </c:pt>
                <c:pt idx="5">
                  <c:v>39661</c:v>
                </c:pt>
                <c:pt idx="6">
                  <c:v>39692</c:v>
                </c:pt>
                <c:pt idx="7">
                  <c:v>39722</c:v>
                </c:pt>
                <c:pt idx="8">
                  <c:v>39753</c:v>
                </c:pt>
                <c:pt idx="9">
                  <c:v>39783</c:v>
                </c:pt>
                <c:pt idx="10">
                  <c:v>39814</c:v>
                </c:pt>
                <c:pt idx="11">
                  <c:v>39845</c:v>
                </c:pt>
                <c:pt idx="12">
                  <c:v>39873</c:v>
                </c:pt>
                <c:pt idx="13">
                  <c:v>39904</c:v>
                </c:pt>
                <c:pt idx="14">
                  <c:v>39934</c:v>
                </c:pt>
              </c:numCache>
            </c:numRef>
          </c:cat>
          <c:val>
            <c:numRef>
              <c:f>KBCSpaarrekSamenv!$C$81:$C$95</c:f>
              <c:numCache>
                <c:formatCode>#,##0.00\ "€"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2"/>
          <c:order val="2"/>
          <c:tx>
            <c:strRef>
              <c:f>KBCSpaarrekSamenv!$D$1</c:f>
              <c:strCache>
                <c:ptCount val="1"/>
                <c:pt idx="0">
                  <c:v>Gespaard</c:v>
                </c:pt>
              </c:strCache>
            </c:strRef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KBCSpaarrekSamenv!$A$81:$A$95</c:f>
              <c:numCache>
                <c:formatCode>mmm/yy</c:formatCode>
                <c:ptCount val="15"/>
                <c:pt idx="0">
                  <c:v>39508</c:v>
                </c:pt>
                <c:pt idx="1">
                  <c:v>39539</c:v>
                </c:pt>
                <c:pt idx="2">
                  <c:v>39569</c:v>
                </c:pt>
                <c:pt idx="3">
                  <c:v>39600</c:v>
                </c:pt>
                <c:pt idx="4">
                  <c:v>39630</c:v>
                </c:pt>
                <c:pt idx="5">
                  <c:v>39661</c:v>
                </c:pt>
                <c:pt idx="6">
                  <c:v>39692</c:v>
                </c:pt>
                <c:pt idx="7">
                  <c:v>39722</c:v>
                </c:pt>
                <c:pt idx="8">
                  <c:v>39753</c:v>
                </c:pt>
                <c:pt idx="9">
                  <c:v>39783</c:v>
                </c:pt>
                <c:pt idx="10">
                  <c:v>39814</c:v>
                </c:pt>
                <c:pt idx="11">
                  <c:v>39845</c:v>
                </c:pt>
                <c:pt idx="12">
                  <c:v>39873</c:v>
                </c:pt>
                <c:pt idx="13">
                  <c:v>39904</c:v>
                </c:pt>
                <c:pt idx="14">
                  <c:v>39934</c:v>
                </c:pt>
              </c:numCache>
            </c:numRef>
          </c:cat>
          <c:val>
            <c:numRef>
              <c:f>KBCSpaarrekSamenv!$D$81:$D$95</c:f>
              <c:numCache>
                <c:formatCode>#,##0.00\ "€"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3"/>
          <c:order val="3"/>
          <c:tx>
            <c:strRef>
              <c:f>KBCSpaarrekSamenv!$E$1</c:f>
              <c:strCache>
                <c:ptCount val="1"/>
                <c:pt idx="0">
                  <c:v>Huidig Saldo</c:v>
                </c:pt>
              </c:strCache>
            </c:strRef>
          </c:tx>
          <c:marker>
            <c:symbol val="none"/>
          </c:marker>
          <c:cat>
            <c:numRef>
              <c:f>KBCSpaarrekSamenv!$A$81:$A$95</c:f>
              <c:numCache>
                <c:formatCode>mmm/yy</c:formatCode>
                <c:ptCount val="15"/>
                <c:pt idx="0">
                  <c:v>39508</c:v>
                </c:pt>
                <c:pt idx="1">
                  <c:v>39539</c:v>
                </c:pt>
                <c:pt idx="2">
                  <c:v>39569</c:v>
                </c:pt>
                <c:pt idx="3">
                  <c:v>39600</c:v>
                </c:pt>
                <c:pt idx="4">
                  <c:v>39630</c:v>
                </c:pt>
                <c:pt idx="5">
                  <c:v>39661</c:v>
                </c:pt>
                <c:pt idx="6">
                  <c:v>39692</c:v>
                </c:pt>
                <c:pt idx="7">
                  <c:v>39722</c:v>
                </c:pt>
                <c:pt idx="8">
                  <c:v>39753</c:v>
                </c:pt>
                <c:pt idx="9">
                  <c:v>39783</c:v>
                </c:pt>
                <c:pt idx="10">
                  <c:v>39814</c:v>
                </c:pt>
                <c:pt idx="11">
                  <c:v>39845</c:v>
                </c:pt>
                <c:pt idx="12">
                  <c:v>39873</c:v>
                </c:pt>
                <c:pt idx="13">
                  <c:v>39904</c:v>
                </c:pt>
                <c:pt idx="14">
                  <c:v>39934</c:v>
                </c:pt>
              </c:numCache>
            </c:numRef>
          </c:cat>
          <c:val>
            <c:numRef>
              <c:f>KBCSpaarrekSamenv!$E$81:$E$95</c:f>
              <c:numCache>
                <c:formatCode>#,##0.00\ "€"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marker val="1"/>
        <c:axId val="41077376"/>
        <c:axId val="41083264"/>
      </c:lineChart>
      <c:dateAx>
        <c:axId val="41077376"/>
        <c:scaling>
          <c:orientation val="minMax"/>
        </c:scaling>
        <c:axPos val="b"/>
        <c:numFmt formatCode="mmm/yy" sourceLinked="0"/>
        <c:tickLblPos val="nextTo"/>
        <c:crossAx val="41083264"/>
        <c:crosses val="autoZero"/>
        <c:auto val="1"/>
        <c:lblOffset val="100"/>
      </c:dateAx>
      <c:valAx>
        <c:axId val="41083264"/>
        <c:scaling>
          <c:orientation val="minMax"/>
          <c:min val="-8000"/>
        </c:scaling>
        <c:axPos val="l"/>
        <c:majorGridlines/>
        <c:numFmt formatCode="#,##0.00\ &quot;€&quot;" sourceLinked="1"/>
        <c:tickLblPos val="nextTo"/>
        <c:crossAx val="410773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680089485458613"/>
          <c:y val="0.40959409594095941"/>
          <c:w val="0.11968680089485459"/>
          <c:h val="0.17712177121771217"/>
        </c:manualLayout>
      </c:layout>
    </c:legend>
    <c:plotVisOnly val="1"/>
    <c:dispBlanksAs val="gap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6">
    <tabColor theme="9" tint="-0.249977111117893"/>
  </sheetPr>
  <sheetViews>
    <sheetView zoomScale="121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Shape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36</xdr:row>
      <xdr:rowOff>28575</xdr:rowOff>
    </xdr:from>
    <xdr:to>
      <xdr:col>56</xdr:col>
      <xdr:colOff>104775</xdr:colOff>
      <xdr:row>68</xdr:row>
      <xdr:rowOff>123825</xdr:rowOff>
    </xdr:to>
    <xdr:graphicFrame macro="">
      <xdr:nvGraphicFramePr>
        <xdr:cNvPr id="17409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46</xdr:row>
      <xdr:rowOff>57150</xdr:rowOff>
    </xdr:from>
    <xdr:to>
      <xdr:col>22</xdr:col>
      <xdr:colOff>428625</xdr:colOff>
      <xdr:row>70</xdr:row>
      <xdr:rowOff>171450</xdr:rowOff>
    </xdr:to>
    <xdr:graphicFrame macro="">
      <xdr:nvGraphicFramePr>
        <xdr:cNvPr id="2048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266700</xdr:colOff>
      <xdr:row>113</xdr:row>
      <xdr:rowOff>66675</xdr:rowOff>
    </xdr:from>
    <xdr:to>
      <xdr:col>28</xdr:col>
      <xdr:colOff>342900</xdr:colOff>
      <xdr:row>137</xdr:row>
      <xdr:rowOff>171450</xdr:rowOff>
    </xdr:to>
    <xdr:graphicFrame macro="">
      <xdr:nvGraphicFramePr>
        <xdr:cNvPr id="2355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542925</xdr:colOff>
      <xdr:row>80</xdr:row>
      <xdr:rowOff>133350</xdr:rowOff>
    </xdr:from>
    <xdr:to>
      <xdr:col>18</xdr:col>
      <xdr:colOff>533400</xdr:colOff>
      <xdr:row>107</xdr:row>
      <xdr:rowOff>152400</xdr:rowOff>
    </xdr:to>
    <xdr:graphicFrame macro="">
      <xdr:nvGraphicFramePr>
        <xdr:cNvPr id="12289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tabColor rgb="FFFFFF00"/>
  </sheetPr>
  <dimension ref="A1:P49"/>
  <sheetViews>
    <sheetView workbookViewId="0">
      <pane ySplit="1" topLeftCell="A2" activePane="bottomLeft" state="frozenSplit"/>
      <selection pane="bottomLeft" activeCell="A5" sqref="A5"/>
    </sheetView>
  </sheetViews>
  <sheetFormatPr defaultRowHeight="15"/>
  <cols>
    <col min="1" max="1" width="35.7109375" customWidth="1"/>
    <col min="2" max="2" width="7" bestFit="1" customWidth="1"/>
    <col min="3" max="3" width="6.85546875" bestFit="1" customWidth="1"/>
    <col min="4" max="4" width="8.140625" bestFit="1" customWidth="1"/>
    <col min="6" max="6" width="8.5703125" bestFit="1" customWidth="1"/>
    <col min="7" max="7" width="8.42578125" bestFit="1" customWidth="1"/>
    <col min="8" max="8" width="7.7109375" bestFit="1" customWidth="1"/>
    <col min="9" max="10" width="5.28515625" bestFit="1" customWidth="1"/>
    <col min="11" max="11" width="5.140625" bestFit="1" customWidth="1"/>
    <col min="12" max="12" width="11.42578125" bestFit="1" customWidth="1"/>
    <col min="13" max="13" width="18.28515625" bestFit="1" customWidth="1"/>
    <col min="14" max="14" width="9.7109375" bestFit="1" customWidth="1"/>
    <col min="15" max="15" width="11.42578125" bestFit="1" customWidth="1"/>
    <col min="16" max="16" width="34.85546875" bestFit="1" customWidth="1"/>
  </cols>
  <sheetData>
    <row r="1" spans="1:16" s="97" customFormat="1">
      <c r="A1" s="97" t="s">
        <v>43</v>
      </c>
      <c r="B1" s="97" t="s">
        <v>0</v>
      </c>
      <c r="C1" s="97" t="s">
        <v>1</v>
      </c>
      <c r="D1" s="97" t="s">
        <v>44</v>
      </c>
      <c r="E1" s="97" t="s">
        <v>39</v>
      </c>
      <c r="F1" s="97" t="s">
        <v>40</v>
      </c>
      <c r="G1" s="97" t="s">
        <v>37</v>
      </c>
      <c r="H1" s="97" t="s">
        <v>34</v>
      </c>
      <c r="I1" s="97" t="s">
        <v>67</v>
      </c>
      <c r="J1" s="97" t="s">
        <v>41</v>
      </c>
      <c r="K1" s="97" t="s">
        <v>42</v>
      </c>
      <c r="L1" s="97" t="s">
        <v>38</v>
      </c>
      <c r="M1" s="97" t="s">
        <v>4</v>
      </c>
      <c r="N1" s="97" t="s">
        <v>5</v>
      </c>
      <c r="O1" s="97" t="s">
        <v>6</v>
      </c>
      <c r="P1" s="97" t="s">
        <v>7</v>
      </c>
    </row>
    <row r="2" spans="1:16">
      <c r="A2" t="str">
        <f>B1</f>
        <v>Loon A</v>
      </c>
    </row>
    <row r="3" spans="1:16">
      <c r="A3" t="str">
        <f>C1</f>
        <v>Loon B</v>
      </c>
    </row>
    <row r="4" spans="1:16">
      <c r="A4" t="str">
        <f>D1</f>
        <v>PersRek</v>
      </c>
    </row>
    <row r="5" spans="1:16">
      <c r="A5" t="str">
        <f>E1</f>
        <v>SpaarRek</v>
      </c>
    </row>
    <row r="6" spans="1:16">
      <c r="A6" t="str">
        <f>F1</f>
        <v>GemRek</v>
      </c>
    </row>
    <row r="7" spans="1:16">
      <c r="A7" t="str">
        <f>G1</f>
        <v>Voeding</v>
      </c>
    </row>
    <row r="8" spans="1:16">
      <c r="A8" t="str">
        <f>H1</f>
        <v>Kleding</v>
      </c>
    </row>
    <row r="9" spans="1:16">
      <c r="A9" t="str">
        <f>I1</f>
        <v>Auto</v>
      </c>
    </row>
    <row r="10" spans="1:16">
      <c r="A10" t="str">
        <f>J1</f>
        <v>GSM</v>
      </c>
      <c r="G10" s="95"/>
      <c r="H10" s="95"/>
    </row>
    <row r="11" spans="1:16">
      <c r="A11" t="str">
        <f>K1</f>
        <v>VISA</v>
      </c>
      <c r="H11" s="95"/>
    </row>
    <row r="12" spans="1:16">
      <c r="A12" t="str">
        <f>L1</f>
        <v>Belastingen</v>
      </c>
      <c r="H12" s="95"/>
    </row>
    <row r="13" spans="1:16">
      <c r="A13" t="str">
        <f>M1</f>
        <v>VK-Electriciteit Gas</v>
      </c>
      <c r="H13" s="95"/>
    </row>
    <row r="14" spans="1:16" s="9" customFormat="1">
      <c r="A14" s="9" t="str">
        <f>N1</f>
        <v>VK-Water</v>
      </c>
      <c r="H14" s="98"/>
    </row>
    <row r="15" spans="1:16" s="9" customFormat="1">
      <c r="A15" s="9" t="str">
        <f>O1</f>
        <v>VK-Internet</v>
      </c>
    </row>
    <row r="16" spans="1:16">
      <c r="A16" t="str">
        <f>P1</f>
        <v>VK-Woonlening  / Huur / Verzekering</v>
      </c>
      <c r="H16" s="98"/>
    </row>
    <row r="17" spans="1:8">
      <c r="A17" t="s">
        <v>36</v>
      </c>
      <c r="H17" s="98"/>
    </row>
    <row r="18" spans="1:8">
      <c r="H18" s="98"/>
    </row>
    <row r="19" spans="1:8">
      <c r="H19" s="98"/>
    </row>
    <row r="20" spans="1:8">
      <c r="H20" s="98"/>
    </row>
    <row r="21" spans="1:8">
      <c r="H21" s="98"/>
    </row>
    <row r="22" spans="1:8">
      <c r="H22" s="98"/>
    </row>
    <row r="23" spans="1:8">
      <c r="H23" s="98"/>
    </row>
    <row r="24" spans="1:8">
      <c r="H24" s="98"/>
    </row>
    <row r="25" spans="1:8">
      <c r="H25" s="98"/>
    </row>
    <row r="26" spans="1:8">
      <c r="H26" s="98"/>
    </row>
    <row r="27" spans="1:8">
      <c r="A27" s="9"/>
      <c r="H27" s="98"/>
    </row>
    <row r="28" spans="1:8">
      <c r="H28" s="98"/>
    </row>
    <row r="29" spans="1:8" s="9" customFormat="1">
      <c r="A29"/>
    </row>
    <row r="30" spans="1:8">
      <c r="H30" s="98"/>
    </row>
    <row r="37" spans="1:1">
      <c r="A37" s="9"/>
    </row>
    <row r="39" spans="1:1" s="9" customFormat="1">
      <c r="A39"/>
    </row>
    <row r="49" spans="8:8">
      <c r="H49" s="4"/>
    </row>
  </sheetData>
  <phoneticPr fontId="8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indexed="8"/>
  </sheetPr>
  <dimension ref="A1:I794"/>
  <sheetViews>
    <sheetView zoomScale="85" zoomScaleNormal="85" workbookViewId="0">
      <pane xSplit="1" ySplit="1" topLeftCell="B2" activePane="bottomRight" state="frozenSplit"/>
      <selection pane="topRight" activeCell="B1" sqref="B1"/>
      <selection pane="bottomLeft"/>
      <selection pane="bottomRight" activeCell="I2" sqref="I2"/>
    </sheetView>
  </sheetViews>
  <sheetFormatPr defaultRowHeight="15"/>
  <cols>
    <col min="1" max="1" width="10.85546875" style="34" bestFit="1" customWidth="1"/>
    <col min="2" max="3" width="13.7109375" style="34" customWidth="1"/>
    <col min="4" max="4" width="33.28515625" style="34" bestFit="1" customWidth="1"/>
    <col min="5" max="5" width="21.7109375" style="34" customWidth="1"/>
    <col min="6" max="6" width="33.28515625" style="34" bestFit="1" customWidth="1"/>
    <col min="7" max="7" width="48.28515625" style="34" customWidth="1"/>
    <col min="8" max="8" width="34.42578125" style="94" customWidth="1"/>
    <col min="9" max="9" width="28.140625" style="34" customWidth="1"/>
    <col min="10" max="16384" width="9.140625" style="34"/>
  </cols>
  <sheetData>
    <row r="1" spans="1:9">
      <c r="A1" s="3" t="s">
        <v>58</v>
      </c>
      <c r="B1" s="3" t="s">
        <v>65</v>
      </c>
      <c r="C1" s="3" t="s">
        <v>10</v>
      </c>
      <c r="D1" s="3" t="s">
        <v>69</v>
      </c>
      <c r="E1" s="3" t="s">
        <v>12</v>
      </c>
      <c r="F1" s="3" t="s">
        <v>70</v>
      </c>
      <c r="G1" s="3" t="s">
        <v>80</v>
      </c>
      <c r="H1" s="94" t="s">
        <v>32</v>
      </c>
      <c r="I1" s="34" t="s">
        <v>33</v>
      </c>
    </row>
    <row r="2" spans="1:9" ht="15" customHeight="1">
      <c r="A2" s="1"/>
      <c r="B2" s="51"/>
      <c r="C2"/>
      <c r="D2"/>
      <c r="E2"/>
      <c r="F2"/>
      <c r="G2"/>
      <c r="H2" s="96" t="str">
        <f ca="1">IF(I2="",SearchHLookup(D2&amp;E2&amp;G2,Categorieën!$B$1:$P$30),I2)</f>
        <v/>
      </c>
    </row>
    <row r="3" spans="1:9" collapsed="1">
      <c r="A3"/>
      <c r="B3" s="51"/>
      <c r="C3"/>
      <c r="D3"/>
      <c r="E3"/>
      <c r="F3"/>
      <c r="G3"/>
      <c r="H3" s="96" t="str">
        <f ca="1">IF(I3="",SearchHLookup(D3&amp;E3&amp;G3,Categorieën!$B$1:$P$30),I3)</f>
        <v/>
      </c>
    </row>
    <row r="4" spans="1:9">
      <c r="A4"/>
      <c r="B4" s="51"/>
      <c r="C4"/>
      <c r="D4"/>
      <c r="E4"/>
      <c r="F4"/>
      <c r="G4"/>
      <c r="H4" s="96" t="str">
        <f ca="1">IF(I4="",SearchHLookup(D4&amp;E4&amp;G4,Categorieën!$B$1:$P$30),I4)</f>
        <v/>
      </c>
    </row>
    <row r="5" spans="1:9">
      <c r="A5"/>
      <c r="B5" s="51"/>
      <c r="C5"/>
      <c r="D5"/>
      <c r="E5"/>
      <c r="F5"/>
      <c r="G5"/>
      <c r="H5" s="96" t="str">
        <f ca="1">IF(I5="",SearchHLookup(D5&amp;E5&amp;G5,Categorieën!$B$1:$P$30),I5)</f>
        <v/>
      </c>
    </row>
    <row r="6" spans="1:9">
      <c r="A6"/>
      <c r="B6" s="51"/>
      <c r="C6"/>
      <c r="D6"/>
      <c r="E6"/>
      <c r="F6"/>
      <c r="G6"/>
      <c r="H6" s="96" t="str">
        <f ca="1">IF(I6="",SearchHLookup(D6&amp;E6&amp;G6,Categorieën!$B$1:$P$30),I6)</f>
        <v/>
      </c>
    </row>
    <row r="7" spans="1:9">
      <c r="A7"/>
      <c r="B7" s="51"/>
      <c r="C7"/>
      <c r="D7"/>
      <c r="E7"/>
      <c r="F7"/>
      <c r="G7"/>
      <c r="H7" s="96" t="str">
        <f ca="1">IF(I7="",SearchHLookup(D7&amp;E7&amp;G7,Categorieën!$B$1:$P$30),I7)</f>
        <v/>
      </c>
    </row>
    <row r="8" spans="1:9">
      <c r="A8"/>
      <c r="B8" s="51"/>
      <c r="C8"/>
      <c r="D8"/>
      <c r="E8"/>
      <c r="F8"/>
      <c r="G8"/>
      <c r="H8" s="96" t="str">
        <f ca="1">IF(I8="",SearchHLookup(D8&amp;E8&amp;G8,Categorieën!$B$1:$P$30),I8)</f>
        <v/>
      </c>
    </row>
    <row r="9" spans="1:9">
      <c r="A9"/>
      <c r="B9" s="51"/>
      <c r="C9"/>
      <c r="D9"/>
      <c r="E9"/>
      <c r="F9"/>
      <c r="G9"/>
      <c r="H9" s="96" t="str">
        <f ca="1">IF(I9="",SearchHLookup(D9&amp;E9&amp;G9,Categorieën!$B$1:$P$30),I9)</f>
        <v/>
      </c>
    </row>
    <row r="10" spans="1:9">
      <c r="A10"/>
      <c r="B10" s="51"/>
      <c r="C10"/>
      <c r="D10"/>
      <c r="E10"/>
      <c r="F10"/>
      <c r="G10"/>
      <c r="H10" s="96" t="str">
        <f ca="1">IF(I10="",SearchHLookup(D10&amp;E10&amp;G10,Categorieën!$B$1:$P$30),I10)</f>
        <v/>
      </c>
    </row>
    <row r="11" spans="1:9">
      <c r="A11"/>
      <c r="B11" s="51"/>
      <c r="C11"/>
      <c r="D11"/>
      <c r="E11"/>
      <c r="F11"/>
      <c r="G11"/>
      <c r="H11" s="96" t="str">
        <f ca="1">IF(I11="",SearchHLookup(D11&amp;E11&amp;G11,Categorieën!$B$1:$P$30),I11)</f>
        <v/>
      </c>
    </row>
    <row r="12" spans="1:9">
      <c r="A12"/>
      <c r="B12" s="51"/>
      <c r="C12"/>
      <c r="D12"/>
      <c r="E12"/>
      <c r="F12"/>
      <c r="G12"/>
      <c r="H12" s="96" t="str">
        <f ca="1">IF(I12="",SearchHLookup(D12&amp;E12&amp;G12,Categorieën!$B$1:$P$30),I12)</f>
        <v/>
      </c>
    </row>
    <row r="13" spans="1:9">
      <c r="A13"/>
      <c r="B13" s="51"/>
      <c r="C13"/>
      <c r="D13"/>
      <c r="E13"/>
      <c r="F13"/>
      <c r="G13"/>
      <c r="H13" s="96" t="str">
        <f ca="1">IF(I13="",SearchHLookup(D13&amp;E13&amp;G13,Categorieën!$B$1:$P$30),I13)</f>
        <v/>
      </c>
    </row>
    <row r="14" spans="1:9">
      <c r="A14"/>
      <c r="B14" s="51"/>
      <c r="C14"/>
      <c r="D14"/>
      <c r="E14"/>
      <c r="F14"/>
      <c r="G14"/>
      <c r="H14" s="96" t="str">
        <f ca="1">IF(I14="",SearchHLookup(D14&amp;E14&amp;G14,Categorieën!$B$1:$P$30),I14)</f>
        <v/>
      </c>
    </row>
    <row r="15" spans="1:9">
      <c r="A15"/>
      <c r="B15" s="51"/>
      <c r="C15"/>
      <c r="D15"/>
      <c r="E15"/>
      <c r="F15"/>
      <c r="G15"/>
      <c r="H15" s="96" t="str">
        <f ca="1">IF(I15="",SearchHLookup(D15&amp;E15&amp;G15,Categorieën!$B$1:$P$30),I15)</f>
        <v/>
      </c>
    </row>
    <row r="16" spans="1:9">
      <c r="A16"/>
      <c r="B16" s="51"/>
      <c r="C16"/>
      <c r="D16"/>
      <c r="E16"/>
      <c r="F16"/>
      <c r="G16"/>
      <c r="H16" s="96" t="str">
        <f ca="1">IF(I16="",SearchHLookup(D16&amp;E16&amp;G16,Categorieën!$B$1:$P$30),I16)</f>
        <v/>
      </c>
    </row>
    <row r="17" spans="1:8">
      <c r="A17"/>
      <c r="B17" s="51"/>
      <c r="C17"/>
      <c r="D17"/>
      <c r="E17"/>
      <c r="F17"/>
      <c r="G17"/>
      <c r="H17" s="96" t="str">
        <f ca="1">IF(I17="",SearchHLookup(D17&amp;E17&amp;G17,Categorieën!$B$1:$P$30),I17)</f>
        <v/>
      </c>
    </row>
    <row r="18" spans="1:8">
      <c r="A18"/>
      <c r="B18" s="51"/>
      <c r="C18"/>
      <c r="D18"/>
      <c r="E18"/>
      <c r="F18"/>
      <c r="G18"/>
      <c r="H18" s="96" t="str">
        <f ca="1">IF(I18="",SearchHLookup(D18&amp;E18&amp;G18,Categorieën!$B$1:$P$30),I18)</f>
        <v/>
      </c>
    </row>
    <row r="19" spans="1:8">
      <c r="A19"/>
      <c r="B19" s="51"/>
      <c r="C19"/>
      <c r="D19"/>
      <c r="E19"/>
      <c r="F19"/>
      <c r="G19"/>
      <c r="H19" s="96" t="str">
        <f ca="1">IF(I19="",SearchHLookup(D19&amp;E19&amp;G19,Categorieën!$B$1:$P$30),I19)</f>
        <v/>
      </c>
    </row>
    <row r="20" spans="1:8">
      <c r="A20"/>
      <c r="B20" s="51"/>
      <c r="C20"/>
      <c r="D20"/>
      <c r="E20"/>
      <c r="F20"/>
      <c r="G20"/>
      <c r="H20" s="96" t="str">
        <f ca="1">IF(I20="",SearchHLookup(D20&amp;E20&amp;G20,Categorieën!$B$1:$P$30),I20)</f>
        <v/>
      </c>
    </row>
    <row r="21" spans="1:8">
      <c r="A21"/>
      <c r="B21" s="51"/>
      <c r="C21"/>
      <c r="D21"/>
      <c r="E21"/>
      <c r="F21"/>
      <c r="G21"/>
      <c r="H21" s="96" t="str">
        <f ca="1">IF(I21="",SearchHLookup(D21&amp;E21&amp;G21,Categorieën!$B$1:$P$30),I21)</f>
        <v/>
      </c>
    </row>
    <row r="22" spans="1:8">
      <c r="A22"/>
      <c r="B22" s="51"/>
      <c r="C22"/>
      <c r="D22"/>
      <c r="E22"/>
      <c r="F22"/>
      <c r="G22"/>
      <c r="H22" s="96" t="str">
        <f ca="1">IF(I22="",SearchHLookup(D22&amp;E22&amp;G22,Categorieën!$B$1:$P$30),I22)</f>
        <v/>
      </c>
    </row>
    <row r="23" spans="1:8">
      <c r="A23"/>
      <c r="B23" s="51"/>
      <c r="C23"/>
      <c r="D23"/>
      <c r="E23"/>
      <c r="F23"/>
      <c r="G23"/>
      <c r="H23" s="96" t="str">
        <f ca="1">IF(I23="",SearchHLookup(D23&amp;E23&amp;G23,Categorieën!$B$1:$P$30),I23)</f>
        <v/>
      </c>
    </row>
    <row r="24" spans="1:8">
      <c r="A24"/>
      <c r="B24" s="51"/>
      <c r="C24"/>
      <c r="D24"/>
      <c r="E24"/>
      <c r="F24"/>
      <c r="G24"/>
      <c r="H24" s="96" t="str">
        <f ca="1">IF(I24="",SearchHLookup(D24&amp;E24&amp;G24,Categorieën!$B$1:$P$30),I24)</f>
        <v/>
      </c>
    </row>
    <row r="25" spans="1:8">
      <c r="A25"/>
      <c r="B25" s="51"/>
      <c r="C25"/>
      <c r="D25"/>
      <c r="E25"/>
      <c r="F25"/>
      <c r="G25"/>
      <c r="H25" s="96" t="str">
        <f ca="1">IF(I25="",SearchHLookup(D25&amp;E25&amp;G25,Categorieën!$B$1:$P$30),I25)</f>
        <v/>
      </c>
    </row>
    <row r="26" spans="1:8">
      <c r="A26"/>
      <c r="B26" s="51"/>
      <c r="C26"/>
      <c r="D26"/>
      <c r="E26"/>
      <c r="F26"/>
      <c r="G26"/>
      <c r="H26" s="96" t="str">
        <f ca="1">IF(I26="",SearchHLookup(D26&amp;E26&amp;G26,Categorieën!$B$1:$P$30),I26)</f>
        <v/>
      </c>
    </row>
    <row r="27" spans="1:8">
      <c r="A27"/>
      <c r="B27" s="51"/>
      <c r="C27"/>
      <c r="D27"/>
      <c r="E27"/>
      <c r="F27"/>
      <c r="G27"/>
      <c r="H27" s="96" t="str">
        <f ca="1">IF(I27="",SearchHLookup(D27&amp;E27&amp;G27,Categorieën!$B$1:$P$30),I27)</f>
        <v/>
      </c>
    </row>
    <row r="28" spans="1:8">
      <c r="A28"/>
      <c r="B28" s="51"/>
      <c r="C28"/>
      <c r="D28"/>
      <c r="E28"/>
      <c r="F28"/>
      <c r="G28"/>
      <c r="H28" s="96" t="str">
        <f ca="1">IF(I28="",SearchHLookup(D28&amp;E28&amp;G28,Categorieën!$B$1:$P$30),I28)</f>
        <v/>
      </c>
    </row>
    <row r="29" spans="1:8">
      <c r="A29"/>
      <c r="B29" s="51"/>
      <c r="C29"/>
      <c r="D29"/>
      <c r="E29"/>
      <c r="F29"/>
      <c r="G29"/>
      <c r="H29" s="96" t="str">
        <f ca="1">IF(I29="",SearchHLookup(D29&amp;E29&amp;G29,Categorieën!$B$1:$P$30),I29)</f>
        <v/>
      </c>
    </row>
    <row r="30" spans="1:8">
      <c r="A30"/>
      <c r="B30" s="51"/>
      <c r="C30"/>
      <c r="D30"/>
      <c r="E30"/>
      <c r="F30"/>
      <c r="G30"/>
      <c r="H30" s="96" t="str">
        <f ca="1">IF(I30="",SearchHLookup(D30&amp;E30&amp;G30,Categorieën!$B$1:$P$30),I30)</f>
        <v/>
      </c>
    </row>
    <row r="31" spans="1:8">
      <c r="A31"/>
      <c r="B31" s="51"/>
      <c r="C31"/>
      <c r="D31"/>
      <c r="E31"/>
      <c r="F31"/>
      <c r="G31"/>
      <c r="H31" s="96" t="str">
        <f ca="1">IF(I31="",SearchHLookup(D31&amp;E31&amp;G31,Categorieën!$B$1:$P$30),I31)</f>
        <v/>
      </c>
    </row>
    <row r="32" spans="1:8">
      <c r="A32"/>
      <c r="B32" s="51"/>
      <c r="C32"/>
      <c r="D32"/>
      <c r="E32"/>
      <c r="F32"/>
      <c r="G32"/>
      <c r="H32" s="96" t="str">
        <f ca="1">IF(I32="",SearchHLookup(D32&amp;E32&amp;G32,Categorieën!$B$1:$P$30),I32)</f>
        <v/>
      </c>
    </row>
    <row r="33" spans="1:8">
      <c r="A33"/>
      <c r="B33" s="51"/>
      <c r="C33"/>
      <c r="D33"/>
      <c r="E33"/>
      <c r="F33"/>
      <c r="G33"/>
      <c r="H33" s="96" t="str">
        <f ca="1">IF(I33="",SearchHLookup(D33&amp;E33&amp;G33,Categorieën!$B$1:$P$30),I33)</f>
        <v/>
      </c>
    </row>
    <row r="34" spans="1:8">
      <c r="A34"/>
      <c r="B34" s="51"/>
      <c r="C34"/>
      <c r="D34"/>
      <c r="E34"/>
      <c r="F34"/>
      <c r="G34"/>
      <c r="H34" s="96" t="str">
        <f ca="1">IF(I34="",SearchHLookup(D34&amp;E34&amp;G34,Categorieën!$B$1:$P$30),I34)</f>
        <v/>
      </c>
    </row>
    <row r="35" spans="1:8">
      <c r="A35"/>
      <c r="B35" s="51"/>
      <c r="C35"/>
      <c r="D35"/>
      <c r="E35"/>
      <c r="F35"/>
      <c r="G35"/>
      <c r="H35" s="96" t="str">
        <f ca="1">IF(I35="",SearchHLookup(D35&amp;E35&amp;G35,Categorieën!$B$1:$P$30),I35)</f>
        <v/>
      </c>
    </row>
    <row r="36" spans="1:8">
      <c r="A36"/>
      <c r="B36" s="51"/>
      <c r="C36"/>
      <c r="D36"/>
      <c r="E36"/>
      <c r="F36"/>
      <c r="G36"/>
      <c r="H36" s="96" t="str">
        <f ca="1">IF(I36="",SearchHLookup(D36&amp;E36&amp;G36,Categorieën!$B$1:$P$30),I36)</f>
        <v/>
      </c>
    </row>
    <row r="37" spans="1:8">
      <c r="A37"/>
      <c r="B37" s="51"/>
      <c r="C37"/>
      <c r="D37"/>
      <c r="E37"/>
      <c r="F37"/>
      <c r="G37"/>
      <c r="H37" s="96" t="str">
        <f ca="1">IF(I37="",SearchHLookup(D37&amp;E37&amp;G37,Categorieën!$B$1:$P$30),I37)</f>
        <v/>
      </c>
    </row>
    <row r="38" spans="1:8">
      <c r="A38"/>
      <c r="B38" s="51"/>
      <c r="C38"/>
      <c r="D38"/>
      <c r="E38"/>
      <c r="F38"/>
      <c r="G38"/>
      <c r="H38" s="96" t="str">
        <f ca="1">IF(I38="",SearchHLookup(D38&amp;E38&amp;G38,Categorieën!$B$1:$P$30),I38)</f>
        <v/>
      </c>
    </row>
    <row r="39" spans="1:8">
      <c r="A39"/>
      <c r="B39" s="51"/>
      <c r="C39"/>
      <c r="D39"/>
      <c r="E39"/>
      <c r="F39"/>
      <c r="G39"/>
      <c r="H39" s="96" t="str">
        <f ca="1">IF(I39="",SearchHLookup(D39&amp;E39&amp;G39,Categorieën!$B$1:$P$30),I39)</f>
        <v/>
      </c>
    </row>
    <row r="40" spans="1:8">
      <c r="A40"/>
      <c r="B40" s="51"/>
      <c r="C40"/>
      <c r="D40"/>
      <c r="E40"/>
      <c r="F40"/>
      <c r="G40"/>
      <c r="H40" s="96" t="str">
        <f ca="1">IF(I40="",SearchHLookup(D40&amp;E40&amp;G40,Categorieën!$B$1:$P$30),I40)</f>
        <v/>
      </c>
    </row>
    <row r="41" spans="1:8">
      <c r="A41"/>
      <c r="B41" s="51"/>
      <c r="C41"/>
      <c r="D41"/>
      <c r="E41"/>
      <c r="F41"/>
      <c r="G41"/>
      <c r="H41" s="96" t="str">
        <f ca="1">IF(I41="",SearchHLookup(D41&amp;E41&amp;G41,Categorieën!$B$1:$P$30),I41)</f>
        <v/>
      </c>
    </row>
    <row r="42" spans="1:8">
      <c r="A42"/>
      <c r="B42" s="51"/>
      <c r="C42"/>
      <c r="D42"/>
      <c r="E42"/>
      <c r="F42"/>
      <c r="G42"/>
      <c r="H42" s="96" t="str">
        <f ca="1">IF(I42="",SearchHLookup(D42&amp;E42&amp;G42,Categorieën!$B$1:$P$30),I42)</f>
        <v/>
      </c>
    </row>
    <row r="43" spans="1:8">
      <c r="A43"/>
      <c r="B43" s="51"/>
      <c r="C43"/>
      <c r="D43"/>
      <c r="E43"/>
      <c r="F43"/>
      <c r="G43"/>
      <c r="H43" s="96" t="str">
        <f ca="1">IF(I43="",SearchHLookup(D43&amp;E43&amp;G43,Categorieën!$B$1:$P$30),I43)</f>
        <v/>
      </c>
    </row>
    <row r="44" spans="1:8">
      <c r="A44"/>
      <c r="B44" s="51"/>
      <c r="C44"/>
      <c r="D44"/>
      <c r="E44"/>
      <c r="F44"/>
      <c r="G44"/>
      <c r="H44" s="96" t="str">
        <f ca="1">IF(I44="",SearchHLookup(D44&amp;E44&amp;G44,Categorieën!$B$1:$P$30),I44)</f>
        <v/>
      </c>
    </row>
    <row r="45" spans="1:8">
      <c r="A45"/>
      <c r="B45" s="51"/>
      <c r="C45"/>
      <c r="D45"/>
      <c r="E45"/>
      <c r="F45"/>
      <c r="G45"/>
      <c r="H45" s="96" t="str">
        <f ca="1">IF(I45="",SearchHLookup(D45&amp;E45&amp;G45,Categorieën!$B$1:$P$30),I45)</f>
        <v/>
      </c>
    </row>
    <row r="46" spans="1:8">
      <c r="A46"/>
      <c r="B46" s="51"/>
      <c r="C46"/>
      <c r="D46"/>
      <c r="E46"/>
      <c r="F46"/>
      <c r="G46"/>
      <c r="H46" s="96" t="str">
        <f ca="1">IF(I46="",SearchHLookup(D46&amp;E46&amp;G46,Categorieën!$B$1:$P$30),I46)</f>
        <v/>
      </c>
    </row>
    <row r="47" spans="1:8">
      <c r="A47"/>
      <c r="B47" s="51"/>
      <c r="C47"/>
      <c r="D47"/>
      <c r="E47"/>
      <c r="F47"/>
      <c r="G47"/>
      <c r="H47" s="96" t="str">
        <f ca="1">IF(I47="",SearchHLookup(D47&amp;E47&amp;G47,Categorieën!$B$1:$P$30),I47)</f>
        <v/>
      </c>
    </row>
    <row r="48" spans="1:8">
      <c r="A48"/>
      <c r="B48" s="51"/>
      <c r="C48"/>
      <c r="D48"/>
      <c r="E48"/>
      <c r="F48"/>
      <c r="G48"/>
      <c r="H48" s="96" t="str">
        <f ca="1">IF(I48="",SearchHLookup(D48&amp;E48&amp;G48,Categorieën!$B$1:$P$30),I48)</f>
        <v/>
      </c>
    </row>
    <row r="49" spans="1:8">
      <c r="A49"/>
      <c r="B49" s="51"/>
      <c r="C49"/>
      <c r="D49"/>
      <c r="E49"/>
      <c r="F49"/>
      <c r="G49"/>
      <c r="H49" s="96" t="str">
        <f ca="1">IF(I49="",SearchHLookup(D49&amp;E49&amp;G49,Categorieën!$B$1:$P$30),I49)</f>
        <v/>
      </c>
    </row>
    <row r="50" spans="1:8">
      <c r="A50"/>
      <c r="B50" s="51"/>
      <c r="C50"/>
      <c r="D50"/>
      <c r="E50"/>
      <c r="F50"/>
      <c r="G50"/>
      <c r="H50" s="96" t="str">
        <f ca="1">IF(I50="",SearchHLookup(D50&amp;E50&amp;G50,Categorieën!$B$1:$P$30),I50)</f>
        <v/>
      </c>
    </row>
    <row r="51" spans="1:8">
      <c r="A51"/>
      <c r="B51" s="51"/>
      <c r="C51"/>
      <c r="D51"/>
      <c r="E51"/>
      <c r="F51"/>
      <c r="G51"/>
      <c r="H51" s="96" t="str">
        <f ca="1">IF(I51="",SearchHLookup(D51&amp;E51&amp;G51,Categorieën!$B$1:$P$30),I51)</f>
        <v/>
      </c>
    </row>
    <row r="52" spans="1:8">
      <c r="A52"/>
      <c r="B52" s="51"/>
      <c r="C52"/>
      <c r="D52"/>
      <c r="E52"/>
      <c r="F52"/>
      <c r="G52"/>
      <c r="H52" s="96" t="str">
        <f ca="1">IF(I52="",SearchHLookup(D52&amp;E52&amp;G52,Categorieën!$B$1:$P$30),I52)</f>
        <v/>
      </c>
    </row>
    <row r="53" spans="1:8">
      <c r="A53"/>
      <c r="B53" s="51"/>
      <c r="C53"/>
      <c r="D53"/>
      <c r="E53"/>
      <c r="F53"/>
      <c r="G53"/>
      <c r="H53" s="96" t="str">
        <f ca="1">IF(I53="",SearchHLookup(D53&amp;E53&amp;G53,Categorieën!$B$1:$P$30),I53)</f>
        <v/>
      </c>
    </row>
    <row r="54" spans="1:8">
      <c r="A54"/>
      <c r="B54" s="51"/>
      <c r="C54"/>
      <c r="D54"/>
      <c r="E54"/>
      <c r="F54"/>
      <c r="G54"/>
      <c r="H54" s="96" t="str">
        <f ca="1">IF(I54="",SearchHLookup(D54&amp;E54&amp;G54,Categorieën!$B$1:$P$30),I54)</f>
        <v/>
      </c>
    </row>
    <row r="55" spans="1:8">
      <c r="A55"/>
      <c r="B55" s="51"/>
      <c r="C55"/>
      <c r="D55"/>
      <c r="E55"/>
      <c r="F55"/>
      <c r="G55"/>
      <c r="H55" s="96" t="str">
        <f ca="1">IF(I55="",SearchHLookup(D55&amp;E55&amp;G55,Categorieën!$B$1:$P$30),I55)</f>
        <v/>
      </c>
    </row>
    <row r="56" spans="1:8">
      <c r="A56"/>
      <c r="B56" s="51"/>
      <c r="C56"/>
      <c r="D56"/>
      <c r="E56"/>
      <c r="F56"/>
      <c r="G56"/>
      <c r="H56" s="96" t="str">
        <f ca="1">IF(I56="",SearchHLookup(D56&amp;E56&amp;G56,Categorieën!$B$1:$P$30),I56)</f>
        <v/>
      </c>
    </row>
    <row r="57" spans="1:8">
      <c r="A57"/>
      <c r="B57" s="51"/>
      <c r="C57"/>
      <c r="D57"/>
      <c r="E57"/>
      <c r="F57"/>
      <c r="G57"/>
      <c r="H57" s="96" t="str">
        <f ca="1">IF(I57="",SearchHLookup(D57&amp;E57&amp;G57,Categorieën!$B$1:$P$30),I57)</f>
        <v/>
      </c>
    </row>
    <row r="58" spans="1:8">
      <c r="A58"/>
      <c r="B58" s="51"/>
      <c r="C58"/>
      <c r="D58"/>
      <c r="E58"/>
      <c r="F58"/>
      <c r="G58"/>
      <c r="H58" s="96" t="str">
        <f ca="1">IF(I58="",SearchHLookup(D58&amp;E58&amp;G58,Categorieën!$B$1:$P$30),I58)</f>
        <v/>
      </c>
    </row>
    <row r="59" spans="1:8">
      <c r="A59"/>
      <c r="B59" s="51"/>
      <c r="C59"/>
      <c r="D59"/>
      <c r="E59"/>
      <c r="F59"/>
      <c r="G59"/>
      <c r="H59" s="96" t="str">
        <f ca="1">IF(I59="",SearchHLookup(D59&amp;E59&amp;G59,Categorieën!$B$1:$P$30),I59)</f>
        <v/>
      </c>
    </row>
    <row r="60" spans="1:8">
      <c r="A60"/>
      <c r="B60" s="51"/>
      <c r="C60"/>
      <c r="D60"/>
      <c r="E60"/>
      <c r="F60"/>
      <c r="G60"/>
      <c r="H60" s="96" t="str">
        <f ca="1">IF(I60="",SearchHLookup(D60&amp;E60&amp;G60,Categorieën!$B$1:$P$30),I60)</f>
        <v/>
      </c>
    </row>
    <row r="61" spans="1:8">
      <c r="A61"/>
      <c r="B61" s="51"/>
      <c r="C61"/>
      <c r="D61"/>
      <c r="E61"/>
      <c r="F61"/>
      <c r="G61"/>
      <c r="H61" s="96" t="str">
        <f ca="1">IF(I61="",SearchHLookup(D61&amp;E61&amp;G61,Categorieën!$B$1:$P$30),I61)</f>
        <v/>
      </c>
    </row>
    <row r="62" spans="1:8">
      <c r="A62"/>
      <c r="B62" s="51"/>
      <c r="C62"/>
      <c r="D62"/>
      <c r="E62"/>
      <c r="F62"/>
      <c r="G62"/>
      <c r="H62" s="96" t="str">
        <f ca="1">IF(I62="",SearchHLookup(D62&amp;E62&amp;G62,Categorieën!$B$1:$P$30),I62)</f>
        <v/>
      </c>
    </row>
    <row r="63" spans="1:8">
      <c r="A63"/>
      <c r="B63" s="51"/>
      <c r="C63"/>
      <c r="D63"/>
      <c r="E63"/>
      <c r="F63"/>
      <c r="G63"/>
      <c r="H63" s="96" t="str">
        <f ca="1">IF(I63="",SearchHLookup(D63&amp;E63&amp;G63,Categorieën!$B$1:$P$30),I63)</f>
        <v/>
      </c>
    </row>
    <row r="64" spans="1:8">
      <c r="A64"/>
      <c r="B64" s="51"/>
      <c r="C64"/>
      <c r="D64"/>
      <c r="E64"/>
      <c r="F64"/>
      <c r="G64"/>
      <c r="H64" s="96" t="str">
        <f ca="1">IF(I64="",SearchHLookup(D64&amp;E64&amp;G64,Categorieën!$B$1:$P$30),I64)</f>
        <v/>
      </c>
    </row>
    <row r="65" spans="1:8">
      <c r="A65"/>
      <c r="B65" s="51"/>
      <c r="C65"/>
      <c r="D65"/>
      <c r="E65"/>
      <c r="F65"/>
      <c r="G65"/>
      <c r="H65" s="96" t="str">
        <f ca="1">IF(I65="",SearchHLookup(D65&amp;E65&amp;G65,Categorieën!$B$1:$P$30),I65)</f>
        <v/>
      </c>
    </row>
    <row r="66" spans="1:8">
      <c r="A66"/>
      <c r="B66" s="51"/>
      <c r="C66"/>
      <c r="D66"/>
      <c r="E66"/>
      <c r="F66"/>
      <c r="G66"/>
      <c r="H66" s="96" t="str">
        <f ca="1">IF(I66="",SearchHLookup(D66&amp;E66&amp;G66,Categorieën!$B$1:$P$30),I66)</f>
        <v/>
      </c>
    </row>
    <row r="67" spans="1:8">
      <c r="A67"/>
      <c r="B67" s="51"/>
      <c r="C67"/>
      <c r="D67"/>
      <c r="E67"/>
      <c r="F67"/>
      <c r="G67"/>
      <c r="H67" s="96" t="str">
        <f ca="1">IF(I67="",SearchHLookup(D67&amp;E67&amp;G67,Categorieën!$B$1:$P$30),I67)</f>
        <v/>
      </c>
    </row>
    <row r="68" spans="1:8">
      <c r="A68"/>
      <c r="B68" s="51"/>
      <c r="C68"/>
      <c r="D68"/>
      <c r="E68"/>
      <c r="F68"/>
      <c r="G68"/>
      <c r="H68" s="96" t="str">
        <f ca="1">IF(I68="",SearchHLookup(D68&amp;E68&amp;G68,Categorieën!$B$1:$P$30),I68)</f>
        <v/>
      </c>
    </row>
    <row r="69" spans="1:8">
      <c r="A69"/>
      <c r="B69" s="51"/>
      <c r="C69"/>
      <c r="D69"/>
      <c r="E69"/>
      <c r="F69"/>
      <c r="G69"/>
      <c r="H69" s="96" t="str">
        <f ca="1">IF(I69="",SearchHLookup(D69&amp;E69&amp;G69,Categorieën!$B$1:$P$30),I69)</f>
        <v/>
      </c>
    </row>
    <row r="70" spans="1:8">
      <c r="A70"/>
      <c r="B70" s="51"/>
      <c r="C70"/>
      <c r="D70"/>
      <c r="E70"/>
      <c r="F70"/>
      <c r="G70"/>
      <c r="H70" s="96" t="str">
        <f ca="1">IF(I70="",SearchHLookup(D70&amp;E70&amp;G70,Categorieën!$B$1:$P$30),I70)</f>
        <v/>
      </c>
    </row>
    <row r="71" spans="1:8">
      <c r="A71"/>
      <c r="B71" s="51"/>
      <c r="C71"/>
      <c r="D71"/>
      <c r="E71"/>
      <c r="F71"/>
      <c r="G71"/>
      <c r="H71" s="96" t="str">
        <f ca="1">IF(I71="",SearchHLookup(D71&amp;E71&amp;G71,Categorieën!$B$1:$P$30),I71)</f>
        <v/>
      </c>
    </row>
    <row r="72" spans="1:8">
      <c r="A72"/>
      <c r="B72" s="51"/>
      <c r="C72"/>
      <c r="D72"/>
      <c r="E72"/>
      <c r="F72"/>
      <c r="G72"/>
      <c r="H72" s="96" t="str">
        <f ca="1">IF(I72="",SearchHLookup(D72&amp;E72&amp;G72,Categorieën!$B$1:$P$30),I72)</f>
        <v/>
      </c>
    </row>
    <row r="73" spans="1:8">
      <c r="A73"/>
      <c r="B73" s="51"/>
      <c r="C73"/>
      <c r="D73"/>
      <c r="E73"/>
      <c r="F73"/>
      <c r="G73"/>
      <c r="H73" s="96" t="str">
        <f ca="1">IF(I73="",SearchHLookup(D73&amp;E73&amp;G73,Categorieën!$B$1:$P$30),I73)</f>
        <v/>
      </c>
    </row>
    <row r="74" spans="1:8">
      <c r="A74"/>
      <c r="B74" s="51"/>
      <c r="C74"/>
      <c r="D74"/>
      <c r="E74"/>
      <c r="F74"/>
      <c r="G74"/>
      <c r="H74" s="96" t="str">
        <f ca="1">IF(I74="",SearchHLookup(D74&amp;E74&amp;G74,Categorieën!$B$1:$P$30),I74)</f>
        <v/>
      </c>
    </row>
    <row r="75" spans="1:8">
      <c r="A75"/>
      <c r="B75" s="51"/>
      <c r="C75"/>
      <c r="D75"/>
      <c r="E75"/>
      <c r="F75"/>
      <c r="G75"/>
      <c r="H75" s="96" t="str">
        <f ca="1">IF(I75="",SearchHLookup(D75&amp;E75&amp;G75,Categorieën!$B$1:$P$30),I75)</f>
        <v/>
      </c>
    </row>
    <row r="76" spans="1:8">
      <c r="A76"/>
      <c r="B76" s="51"/>
      <c r="C76"/>
      <c r="D76"/>
      <c r="E76"/>
      <c r="F76"/>
      <c r="G76"/>
      <c r="H76" s="96" t="str">
        <f ca="1">IF(I76="",SearchHLookup(D76&amp;E76&amp;G76,Categorieën!$B$1:$P$30),I76)</f>
        <v/>
      </c>
    </row>
    <row r="77" spans="1:8">
      <c r="A77"/>
      <c r="B77" s="51"/>
      <c r="C77"/>
      <c r="D77"/>
      <c r="E77"/>
      <c r="F77"/>
      <c r="G77"/>
      <c r="H77" s="96" t="str">
        <f ca="1">IF(I77="",SearchHLookup(D77&amp;E77&amp;G77,Categorieën!$B$1:$P$30),I77)</f>
        <v/>
      </c>
    </row>
    <row r="78" spans="1:8">
      <c r="A78"/>
      <c r="B78" s="51"/>
      <c r="C78"/>
      <c r="D78"/>
      <c r="E78"/>
      <c r="F78"/>
      <c r="G78"/>
      <c r="H78" s="96" t="str">
        <f ca="1">IF(I78="",SearchHLookup(D78&amp;E78&amp;G78,Categorieën!$B$1:$P$30),I78)</f>
        <v/>
      </c>
    </row>
    <row r="79" spans="1:8">
      <c r="A79"/>
      <c r="B79" s="51"/>
      <c r="C79"/>
      <c r="D79"/>
      <c r="E79"/>
      <c r="F79"/>
      <c r="G79"/>
      <c r="H79" s="96" t="str">
        <f ca="1">IF(I79="",SearchHLookup(D79&amp;E79&amp;G79,Categorieën!$B$1:$P$30),I79)</f>
        <v/>
      </c>
    </row>
    <row r="80" spans="1:8">
      <c r="A80"/>
      <c r="B80" s="51"/>
      <c r="C80"/>
      <c r="D80"/>
      <c r="E80"/>
      <c r="F80"/>
      <c r="G80"/>
      <c r="H80" s="96" t="str">
        <f ca="1">IF(I80="",SearchHLookup(D80&amp;E80&amp;G80,Categorieën!$B$1:$P$30),I80)</f>
        <v/>
      </c>
    </row>
    <row r="81" spans="1:8">
      <c r="A81"/>
      <c r="B81" s="51"/>
      <c r="C81"/>
      <c r="D81"/>
      <c r="E81"/>
      <c r="F81"/>
      <c r="G81"/>
      <c r="H81" s="96" t="str">
        <f ca="1">IF(I81="",SearchHLookup(D81&amp;E81&amp;G81,Categorieën!$B$1:$P$30),I81)</f>
        <v/>
      </c>
    </row>
    <row r="82" spans="1:8">
      <c r="A82"/>
      <c r="B82" s="51"/>
      <c r="C82"/>
      <c r="D82"/>
      <c r="E82"/>
      <c r="F82"/>
      <c r="G82"/>
      <c r="H82" s="96" t="str">
        <f ca="1">IF(I82="",SearchHLookup(D82&amp;E82&amp;G82,Categorieën!$B$1:$P$30),I82)</f>
        <v/>
      </c>
    </row>
    <row r="83" spans="1:8">
      <c r="A83"/>
      <c r="B83" s="51"/>
      <c r="C83"/>
      <c r="D83"/>
      <c r="E83"/>
      <c r="F83"/>
      <c r="G83"/>
      <c r="H83" s="96" t="str">
        <f ca="1">IF(I83="",SearchHLookup(D83&amp;E83&amp;G83,Categorieën!$B$1:$P$30),I83)</f>
        <v/>
      </c>
    </row>
    <row r="84" spans="1:8">
      <c r="A84"/>
      <c r="B84" s="51"/>
      <c r="C84"/>
      <c r="D84"/>
      <c r="E84"/>
      <c r="F84"/>
      <c r="G84"/>
      <c r="H84" s="96" t="str">
        <f ca="1">IF(I84="",SearchHLookup(D84&amp;E84&amp;G84,Categorieën!$B$1:$P$30),I84)</f>
        <v/>
      </c>
    </row>
    <row r="85" spans="1:8">
      <c r="A85"/>
      <c r="B85" s="51"/>
      <c r="C85"/>
      <c r="D85"/>
      <c r="E85"/>
      <c r="F85"/>
      <c r="G85"/>
      <c r="H85" s="96" t="str">
        <f ca="1">IF(I85="",SearchHLookup(D85&amp;E85&amp;G85,Categorieën!$B$1:$P$30),I85)</f>
        <v/>
      </c>
    </row>
    <row r="86" spans="1:8">
      <c r="A86"/>
      <c r="B86" s="51"/>
      <c r="C86"/>
      <c r="D86"/>
      <c r="E86"/>
      <c r="F86"/>
      <c r="G86"/>
      <c r="H86" s="96" t="str">
        <f ca="1">IF(I86="",SearchHLookup(D86&amp;E86&amp;G86,Categorieën!$B$1:$P$30),I86)</f>
        <v/>
      </c>
    </row>
    <row r="87" spans="1:8">
      <c r="A87"/>
      <c r="B87" s="51"/>
      <c r="C87"/>
      <c r="D87"/>
      <c r="E87"/>
      <c r="F87"/>
      <c r="G87"/>
      <c r="H87" s="96" t="str">
        <f ca="1">IF(I87="",SearchHLookup(D87&amp;E87&amp;G87,Categorieën!$B$1:$P$30),I87)</f>
        <v/>
      </c>
    </row>
    <row r="88" spans="1:8">
      <c r="A88"/>
      <c r="B88" s="51"/>
      <c r="C88"/>
      <c r="D88"/>
      <c r="E88"/>
      <c r="F88"/>
      <c r="G88"/>
      <c r="H88" s="96" t="str">
        <f ca="1">IF(I88="",SearchHLookup(D88&amp;E88&amp;G88,Categorieën!$B$1:$P$30),I88)</f>
        <v/>
      </c>
    </row>
    <row r="89" spans="1:8">
      <c r="A89"/>
      <c r="B89" s="51"/>
      <c r="C89"/>
      <c r="D89"/>
      <c r="E89"/>
      <c r="F89"/>
      <c r="G89"/>
      <c r="H89" s="96" t="str">
        <f ca="1">IF(I89="",SearchHLookup(D89&amp;E89&amp;G89,Categorieën!$B$1:$P$30),I89)</f>
        <v/>
      </c>
    </row>
    <row r="90" spans="1:8">
      <c r="A90"/>
      <c r="B90" s="51"/>
      <c r="C90"/>
      <c r="D90"/>
      <c r="E90"/>
      <c r="F90"/>
      <c r="G90"/>
      <c r="H90" s="96" t="str">
        <f ca="1">IF(I90="",SearchHLookup(D90&amp;E90&amp;G90,Categorieën!$B$1:$P$30),I90)</f>
        <v/>
      </c>
    </row>
    <row r="91" spans="1:8">
      <c r="A91"/>
      <c r="B91" s="51"/>
      <c r="C91"/>
      <c r="D91"/>
      <c r="E91"/>
      <c r="F91"/>
      <c r="G91"/>
      <c r="H91" s="96" t="str">
        <f ca="1">IF(I91="",SearchHLookup(D91&amp;E91&amp;G91,Categorieën!$B$1:$P$30),I91)</f>
        <v/>
      </c>
    </row>
    <row r="92" spans="1:8">
      <c r="A92"/>
      <c r="B92" s="51"/>
      <c r="C92"/>
      <c r="D92"/>
      <c r="E92"/>
      <c r="F92"/>
      <c r="G92"/>
      <c r="H92" s="96" t="str">
        <f ca="1">IF(I92="",SearchHLookup(D92&amp;E92&amp;G92,Categorieën!$B$1:$P$30),I92)</f>
        <v/>
      </c>
    </row>
    <row r="93" spans="1:8">
      <c r="A93"/>
      <c r="B93" s="51"/>
      <c r="C93"/>
      <c r="D93"/>
      <c r="E93"/>
      <c r="F93"/>
      <c r="G93"/>
      <c r="H93" s="96" t="str">
        <f ca="1">IF(I93="",SearchHLookup(D93&amp;E93&amp;G93,Categorieën!$B$1:$P$30),I93)</f>
        <v/>
      </c>
    </row>
    <row r="94" spans="1:8">
      <c r="A94"/>
      <c r="B94" s="51"/>
      <c r="C94"/>
      <c r="D94"/>
      <c r="E94"/>
      <c r="F94"/>
      <c r="G94"/>
      <c r="H94" s="96" t="str">
        <f ca="1">IF(I94="",SearchHLookup(D94&amp;E94&amp;G94,Categorieën!$B$1:$P$30),I94)</f>
        <v/>
      </c>
    </row>
    <row r="95" spans="1:8">
      <c r="A95"/>
      <c r="B95" s="51"/>
      <c r="C95"/>
      <c r="D95"/>
      <c r="E95"/>
      <c r="F95"/>
      <c r="G95"/>
      <c r="H95" s="96" t="str">
        <f ca="1">IF(I95="",SearchHLookup(D95&amp;E95&amp;G95,Categorieën!$B$1:$P$30),I95)</f>
        <v/>
      </c>
    </row>
    <row r="96" spans="1:8">
      <c r="A96"/>
      <c r="B96" s="51"/>
      <c r="C96"/>
      <c r="D96"/>
      <c r="E96"/>
      <c r="F96"/>
      <c r="G96"/>
      <c r="H96" s="96" t="str">
        <f ca="1">IF(I96="",SearchHLookup(D96&amp;E96&amp;G96,Categorieën!$B$1:$P$30),I96)</f>
        <v/>
      </c>
    </row>
    <row r="97" spans="1:8">
      <c r="A97"/>
      <c r="B97" s="51"/>
      <c r="C97"/>
      <c r="D97"/>
      <c r="E97"/>
      <c r="F97"/>
      <c r="G97"/>
      <c r="H97" s="96" t="str">
        <f ca="1">IF(I97="",SearchHLookup(D97&amp;E97&amp;G97,Categorieën!$B$1:$P$30),I97)</f>
        <v/>
      </c>
    </row>
    <row r="98" spans="1:8">
      <c r="A98"/>
      <c r="B98" s="51"/>
      <c r="C98"/>
      <c r="D98"/>
      <c r="E98"/>
      <c r="F98"/>
      <c r="G98"/>
      <c r="H98" s="96" t="str">
        <f ca="1">IF(I98="",SearchHLookup(D98&amp;E98&amp;G98,Categorieën!$B$1:$P$30),I98)</f>
        <v/>
      </c>
    </row>
    <row r="99" spans="1:8">
      <c r="A99"/>
      <c r="B99" s="51"/>
      <c r="C99"/>
      <c r="D99"/>
      <c r="E99"/>
      <c r="F99"/>
      <c r="G99"/>
      <c r="H99" s="96" t="str">
        <f ca="1">IF(I99="",SearchHLookup(D99&amp;E99&amp;G99,Categorieën!$B$1:$P$30),I99)</f>
        <v/>
      </c>
    </row>
    <row r="100" spans="1:8">
      <c r="A100"/>
      <c r="B100" s="51"/>
      <c r="C100"/>
      <c r="D100"/>
      <c r="E100"/>
      <c r="F100"/>
      <c r="G100"/>
      <c r="H100" s="96" t="str">
        <f ca="1">IF(I100="",SearchHLookup(D100&amp;E100&amp;G100,Categorieën!$B$1:$P$30),I100)</f>
        <v/>
      </c>
    </row>
    <row r="101" spans="1:8">
      <c r="A101"/>
      <c r="B101" s="51"/>
      <c r="C101"/>
      <c r="D101"/>
      <c r="E101"/>
      <c r="F101"/>
      <c r="G101"/>
      <c r="H101" s="96" t="str">
        <f ca="1">IF(I101="",SearchHLookup(D101&amp;E101&amp;G101,Categorieën!$B$1:$P$30),I101)</f>
        <v/>
      </c>
    </row>
    <row r="102" spans="1:8">
      <c r="A102"/>
      <c r="B102" s="51"/>
      <c r="C102"/>
      <c r="D102"/>
      <c r="E102"/>
      <c r="F102"/>
      <c r="G102"/>
      <c r="H102" s="96" t="str">
        <f ca="1">IF(I102="",SearchHLookup(D102&amp;E102&amp;G102,Categorieën!$B$1:$P$30),I102)</f>
        <v/>
      </c>
    </row>
    <row r="103" spans="1:8">
      <c r="A103"/>
      <c r="B103" s="51"/>
      <c r="C103"/>
      <c r="D103"/>
      <c r="E103"/>
      <c r="F103"/>
      <c r="G103"/>
      <c r="H103" s="96" t="str">
        <f ca="1">IF(I103="",SearchHLookup(D103&amp;E103&amp;G103,Categorieën!$B$1:$P$30),I103)</f>
        <v/>
      </c>
    </row>
    <row r="104" spans="1:8">
      <c r="A104"/>
      <c r="B104" s="51"/>
      <c r="C104"/>
      <c r="D104"/>
      <c r="E104"/>
      <c r="F104"/>
      <c r="G104"/>
      <c r="H104" s="96" t="str">
        <f ca="1">IF(I104="",SearchHLookup(D104&amp;E104&amp;G104,Categorieën!$B$1:$P$30),I104)</f>
        <v/>
      </c>
    </row>
    <row r="105" spans="1:8">
      <c r="A105"/>
      <c r="B105" s="51"/>
      <c r="C105"/>
      <c r="D105"/>
      <c r="E105"/>
      <c r="F105"/>
      <c r="G105"/>
      <c r="H105" s="96" t="str">
        <f ca="1">IF(I105="",SearchHLookup(D105&amp;E105&amp;G105,Categorieën!$B$1:$P$30),I105)</f>
        <v/>
      </c>
    </row>
    <row r="106" spans="1:8">
      <c r="A106"/>
      <c r="B106" s="51"/>
      <c r="C106"/>
      <c r="D106"/>
      <c r="E106"/>
      <c r="F106"/>
      <c r="G106"/>
      <c r="H106" s="96" t="str">
        <f ca="1">IF(I106="",SearchHLookup(D106&amp;E106&amp;G106,Categorieën!$B$1:$P$30),I106)</f>
        <v/>
      </c>
    </row>
    <row r="107" spans="1:8">
      <c r="A107"/>
      <c r="B107" s="51"/>
      <c r="C107"/>
      <c r="D107"/>
      <c r="E107"/>
      <c r="F107"/>
      <c r="G107"/>
      <c r="H107" s="96" t="str">
        <f ca="1">IF(I107="",SearchHLookup(D107&amp;E107&amp;G107,Categorieën!$B$1:$P$30),I107)</f>
        <v/>
      </c>
    </row>
    <row r="108" spans="1:8">
      <c r="A108"/>
      <c r="B108" s="51"/>
      <c r="C108"/>
      <c r="D108"/>
      <c r="E108"/>
      <c r="F108"/>
      <c r="G108"/>
      <c r="H108" s="96" t="str">
        <f ca="1">IF(I108="",SearchHLookup(D108&amp;E108&amp;G108,Categorieën!$B$1:$P$30),I108)</f>
        <v/>
      </c>
    </row>
    <row r="109" spans="1:8">
      <c r="A109"/>
      <c r="B109" s="51"/>
      <c r="C109"/>
      <c r="D109"/>
      <c r="E109"/>
      <c r="F109"/>
      <c r="G109"/>
      <c r="H109" s="96" t="str">
        <f ca="1">IF(I109="",SearchHLookup(D109&amp;E109&amp;G109,Categorieën!$B$1:$P$30),I109)</f>
        <v/>
      </c>
    </row>
    <row r="110" spans="1:8">
      <c r="A110"/>
      <c r="B110" s="51"/>
      <c r="C110"/>
      <c r="D110"/>
      <c r="E110"/>
      <c r="F110"/>
      <c r="G110"/>
      <c r="H110" s="96" t="str">
        <f ca="1">IF(I110="",SearchHLookup(D110&amp;E110&amp;G110,Categorieën!$B$1:$P$30),I110)</f>
        <v/>
      </c>
    </row>
    <row r="111" spans="1:8">
      <c r="A111"/>
      <c r="B111" s="51"/>
      <c r="C111"/>
      <c r="D111"/>
      <c r="E111"/>
      <c r="F111"/>
      <c r="G111"/>
      <c r="H111" s="96" t="str">
        <f ca="1">IF(I111="",SearchHLookup(D111&amp;E111&amp;G111,Categorieën!$B$1:$P$30),I111)</f>
        <v/>
      </c>
    </row>
    <row r="112" spans="1:8">
      <c r="A112"/>
      <c r="B112" s="51"/>
      <c r="C112"/>
      <c r="D112"/>
      <c r="E112"/>
      <c r="F112"/>
      <c r="G112"/>
      <c r="H112" s="96" t="str">
        <f ca="1">IF(I112="",SearchHLookup(D112&amp;E112&amp;G112,Categorieën!$B$1:$P$30),I112)</f>
        <v/>
      </c>
    </row>
    <row r="113" spans="1:8">
      <c r="A113"/>
      <c r="B113" s="51"/>
      <c r="C113"/>
      <c r="D113"/>
      <c r="E113"/>
      <c r="F113"/>
      <c r="G113"/>
      <c r="H113" s="96" t="str">
        <f ca="1">IF(I113="",SearchHLookup(D113&amp;E113&amp;G113,Categorieën!$B$1:$P$30),I113)</f>
        <v/>
      </c>
    </row>
    <row r="114" spans="1:8">
      <c r="A114"/>
      <c r="B114" s="51"/>
      <c r="C114"/>
      <c r="D114"/>
      <c r="E114"/>
      <c r="F114"/>
      <c r="G114"/>
      <c r="H114" s="96" t="str">
        <f ca="1">IF(I114="",SearchHLookup(D114&amp;E114&amp;G114,Categorieën!$B$1:$P$30),I114)</f>
        <v/>
      </c>
    </row>
    <row r="115" spans="1:8">
      <c r="A115"/>
      <c r="B115" s="51"/>
      <c r="C115"/>
      <c r="D115"/>
      <c r="E115"/>
      <c r="F115"/>
      <c r="G115"/>
      <c r="H115" s="96" t="str">
        <f ca="1">IF(I115="",SearchHLookup(D115&amp;E115&amp;G115,Categorieën!$B$1:$P$30),I115)</f>
        <v/>
      </c>
    </row>
    <row r="116" spans="1:8">
      <c r="A116"/>
      <c r="B116" s="51"/>
      <c r="C116"/>
      <c r="D116"/>
      <c r="E116"/>
      <c r="F116"/>
      <c r="G116"/>
      <c r="H116" s="96" t="str">
        <f ca="1">IF(I116="",SearchHLookup(D116&amp;E116&amp;G116,Categorieën!$B$1:$P$30),I116)</f>
        <v/>
      </c>
    </row>
    <row r="117" spans="1:8">
      <c r="A117"/>
      <c r="B117" s="51"/>
      <c r="C117"/>
      <c r="D117"/>
      <c r="E117"/>
      <c r="F117"/>
      <c r="G117"/>
      <c r="H117" s="96" t="str">
        <f ca="1">IF(I117="",SearchHLookup(D117&amp;E117&amp;G117,Categorieën!$B$1:$P$30),I117)</f>
        <v/>
      </c>
    </row>
    <row r="118" spans="1:8">
      <c r="A118"/>
      <c r="B118" s="51"/>
      <c r="C118"/>
      <c r="D118"/>
      <c r="E118"/>
      <c r="F118"/>
      <c r="G118"/>
      <c r="H118" s="96" t="str">
        <f ca="1">IF(I118="",SearchHLookup(D118&amp;E118&amp;G118,Categorieën!$B$1:$P$30),I118)</f>
        <v/>
      </c>
    </row>
    <row r="119" spans="1:8">
      <c r="A119"/>
      <c r="B119" s="51"/>
      <c r="C119"/>
      <c r="D119"/>
      <c r="E119"/>
      <c r="F119"/>
      <c r="G119"/>
      <c r="H119" s="96" t="str">
        <f ca="1">IF(I119="",SearchHLookup(D119&amp;E119&amp;G119,Categorieën!$B$1:$P$30),I119)</f>
        <v/>
      </c>
    </row>
    <row r="120" spans="1:8">
      <c r="A120"/>
      <c r="B120" s="51"/>
      <c r="C120"/>
      <c r="D120"/>
      <c r="E120"/>
      <c r="F120"/>
      <c r="G120"/>
      <c r="H120" s="96" t="str">
        <f ca="1">IF(I120="",SearchHLookup(D120&amp;E120&amp;G120,Categorieën!$B$1:$P$30),I120)</f>
        <v/>
      </c>
    </row>
    <row r="121" spans="1:8">
      <c r="A121"/>
      <c r="B121" s="51"/>
      <c r="C121"/>
      <c r="D121"/>
      <c r="E121"/>
      <c r="F121"/>
      <c r="G121"/>
      <c r="H121" s="96" t="str">
        <f ca="1">IF(I121="",SearchHLookup(D121&amp;E121&amp;G121,Categorieën!$B$1:$P$30),I121)</f>
        <v/>
      </c>
    </row>
    <row r="122" spans="1:8">
      <c r="A122"/>
      <c r="B122" s="51"/>
      <c r="C122"/>
      <c r="D122"/>
      <c r="E122"/>
      <c r="F122"/>
      <c r="G122"/>
      <c r="H122" s="96" t="str">
        <f ca="1">IF(I122="",SearchHLookup(D122&amp;E122&amp;G122,Categorieën!$B$1:$P$30),I122)</f>
        <v/>
      </c>
    </row>
    <row r="123" spans="1:8">
      <c r="A123"/>
      <c r="B123" s="51"/>
      <c r="C123"/>
      <c r="D123"/>
      <c r="E123"/>
      <c r="F123"/>
      <c r="G123"/>
      <c r="H123" s="96" t="str">
        <f ca="1">IF(I123="",SearchHLookup(D123&amp;E123&amp;G123,Categorieën!$B$1:$P$30),I123)</f>
        <v/>
      </c>
    </row>
    <row r="124" spans="1:8">
      <c r="A124"/>
      <c r="B124" s="51"/>
      <c r="C124"/>
      <c r="D124"/>
      <c r="E124"/>
      <c r="F124"/>
      <c r="G124"/>
      <c r="H124" s="96" t="str">
        <f ca="1">IF(I124="",SearchHLookup(D124&amp;E124&amp;G124,Categorieën!$B$1:$P$30),I124)</f>
        <v/>
      </c>
    </row>
    <row r="125" spans="1:8">
      <c r="A125"/>
      <c r="B125" s="51"/>
      <c r="C125"/>
      <c r="D125"/>
      <c r="E125"/>
      <c r="F125"/>
      <c r="G125"/>
      <c r="H125" s="96" t="str">
        <f ca="1">IF(I125="",SearchHLookup(D125&amp;E125&amp;G125,Categorieën!$B$1:$P$30),I125)</f>
        <v/>
      </c>
    </row>
    <row r="126" spans="1:8">
      <c r="A126"/>
      <c r="B126" s="51"/>
      <c r="C126"/>
      <c r="D126"/>
      <c r="E126"/>
      <c r="F126"/>
      <c r="G126"/>
      <c r="H126" s="96" t="str">
        <f ca="1">IF(I126="",SearchHLookup(D126&amp;E126&amp;G126,Categorieën!$B$1:$P$30),I126)</f>
        <v/>
      </c>
    </row>
    <row r="127" spans="1:8">
      <c r="A127"/>
      <c r="B127" s="51"/>
      <c r="C127"/>
      <c r="D127"/>
      <c r="E127"/>
      <c r="F127"/>
      <c r="G127"/>
      <c r="H127" s="96" t="str">
        <f ca="1">IF(I127="",SearchHLookup(D127&amp;E127&amp;G127,Categorieën!$B$1:$P$30),I127)</f>
        <v/>
      </c>
    </row>
    <row r="128" spans="1:8">
      <c r="A128"/>
      <c r="B128" s="51"/>
      <c r="C128"/>
      <c r="D128"/>
      <c r="E128"/>
      <c r="F128"/>
      <c r="G128"/>
      <c r="H128" s="96" t="str">
        <f ca="1">IF(I128="",SearchHLookup(D128&amp;E128&amp;G128,Categorieën!$B$1:$P$30),I128)</f>
        <v/>
      </c>
    </row>
    <row r="129" spans="1:8">
      <c r="A129"/>
      <c r="B129" s="51"/>
      <c r="C129"/>
      <c r="D129"/>
      <c r="E129"/>
      <c r="F129"/>
      <c r="G129"/>
      <c r="H129" s="96" t="str">
        <f ca="1">IF(I129="",SearchHLookup(D129&amp;E129&amp;G129,Categorieën!$B$1:$P$30),I129)</f>
        <v/>
      </c>
    </row>
    <row r="130" spans="1:8">
      <c r="A130"/>
      <c r="B130" s="51"/>
      <c r="C130"/>
      <c r="D130"/>
      <c r="E130"/>
      <c r="F130"/>
      <c r="G130"/>
      <c r="H130" s="96" t="str">
        <f ca="1">IF(I130="",SearchHLookup(D130&amp;E130&amp;G130,Categorieën!$B$1:$P$30),I130)</f>
        <v/>
      </c>
    </row>
    <row r="131" spans="1:8">
      <c r="A131"/>
      <c r="B131" s="51"/>
      <c r="C131"/>
      <c r="D131"/>
      <c r="E131"/>
      <c r="F131"/>
      <c r="G131"/>
      <c r="H131" s="96" t="str">
        <f ca="1">IF(I131="",SearchHLookup(D131&amp;E131&amp;G131,Categorieën!$B$1:$P$30),I131)</f>
        <v/>
      </c>
    </row>
    <row r="132" spans="1:8">
      <c r="A132"/>
      <c r="B132" s="51"/>
      <c r="C132"/>
      <c r="D132"/>
      <c r="E132"/>
      <c r="F132"/>
      <c r="G132"/>
      <c r="H132" s="96" t="str">
        <f ca="1">IF(I132="",SearchHLookup(D132&amp;E132&amp;G132,Categorieën!$B$1:$P$30),I132)</f>
        <v/>
      </c>
    </row>
    <row r="133" spans="1:8">
      <c r="A133"/>
      <c r="B133" s="51"/>
      <c r="C133"/>
      <c r="D133"/>
      <c r="E133"/>
      <c r="F133"/>
      <c r="G133"/>
      <c r="H133" s="96" t="str">
        <f ca="1">IF(I133="",SearchHLookup(D133&amp;E133&amp;G133,Categorieën!$B$1:$P$30),I133)</f>
        <v/>
      </c>
    </row>
    <row r="134" spans="1:8">
      <c r="A134"/>
      <c r="B134" s="51"/>
      <c r="C134"/>
      <c r="D134"/>
      <c r="E134"/>
      <c r="F134"/>
      <c r="G134"/>
      <c r="H134" s="96" t="str">
        <f ca="1">IF(I134="",SearchHLookup(D134&amp;E134&amp;G134,Categorieën!$B$1:$P$30),I134)</f>
        <v/>
      </c>
    </row>
    <row r="135" spans="1:8">
      <c r="A135"/>
      <c r="B135" s="51"/>
      <c r="C135"/>
      <c r="D135"/>
      <c r="E135"/>
      <c r="F135"/>
      <c r="G135"/>
      <c r="H135" s="96" t="str">
        <f ca="1">IF(I135="",SearchHLookup(D135&amp;E135&amp;G135,Categorieën!$B$1:$P$30),I135)</f>
        <v/>
      </c>
    </row>
    <row r="136" spans="1:8">
      <c r="A136"/>
      <c r="B136" s="51"/>
      <c r="C136"/>
      <c r="D136"/>
      <c r="E136"/>
      <c r="F136"/>
      <c r="G136"/>
      <c r="H136" s="96" t="str">
        <f ca="1">IF(I136="",SearchHLookup(D136&amp;E136&amp;G136,Categorieën!$B$1:$P$30),I136)</f>
        <v/>
      </c>
    </row>
    <row r="137" spans="1:8">
      <c r="A137"/>
      <c r="B137" s="51"/>
      <c r="C137"/>
      <c r="D137"/>
      <c r="E137"/>
      <c r="F137"/>
      <c r="G137"/>
      <c r="H137" s="96" t="str">
        <f ca="1">IF(I137="",SearchHLookup(D137&amp;E137&amp;G137,Categorieën!$B$1:$P$30),I137)</f>
        <v/>
      </c>
    </row>
    <row r="138" spans="1:8">
      <c r="A138"/>
      <c r="B138" s="51"/>
      <c r="C138"/>
      <c r="D138"/>
      <c r="E138"/>
      <c r="F138"/>
      <c r="G138"/>
      <c r="H138" s="96" t="str">
        <f ca="1">IF(I138="",SearchHLookup(D138&amp;E138&amp;G138,Categorieën!$B$1:$P$30),I138)</f>
        <v/>
      </c>
    </row>
    <row r="139" spans="1:8">
      <c r="A139"/>
      <c r="B139" s="51"/>
      <c r="C139"/>
      <c r="D139"/>
      <c r="E139"/>
      <c r="F139"/>
      <c r="G139"/>
      <c r="H139" s="96" t="str">
        <f ca="1">IF(I139="",SearchHLookup(D139&amp;E139&amp;G139,Categorieën!$B$1:$P$30),I139)</f>
        <v/>
      </c>
    </row>
    <row r="140" spans="1:8">
      <c r="A140"/>
      <c r="B140" s="51"/>
      <c r="C140"/>
      <c r="D140"/>
      <c r="E140"/>
      <c r="F140"/>
      <c r="G140"/>
      <c r="H140" s="96" t="str">
        <f ca="1">IF(I140="",SearchHLookup(D140&amp;E140&amp;G140,Categorieën!$B$1:$P$30),I140)</f>
        <v/>
      </c>
    </row>
    <row r="141" spans="1:8">
      <c r="A141"/>
      <c r="B141" s="51"/>
      <c r="C141"/>
      <c r="D141"/>
      <c r="E141"/>
      <c r="F141"/>
      <c r="G141"/>
      <c r="H141" s="96" t="str">
        <f ca="1">IF(I141="",SearchHLookup(D141&amp;E141&amp;G141,Categorieën!$B$1:$P$30),I141)</f>
        <v/>
      </c>
    </row>
    <row r="142" spans="1:8">
      <c r="A142"/>
      <c r="B142" s="51"/>
      <c r="C142"/>
      <c r="D142"/>
      <c r="E142"/>
      <c r="F142"/>
      <c r="G142"/>
      <c r="H142" s="96" t="str">
        <f ca="1">IF(I142="",SearchHLookup(D142&amp;E142&amp;G142,Categorieën!$B$1:$P$30),I142)</f>
        <v/>
      </c>
    </row>
    <row r="143" spans="1:8">
      <c r="A143"/>
      <c r="B143" s="51"/>
      <c r="C143"/>
      <c r="D143"/>
      <c r="E143"/>
      <c r="F143"/>
      <c r="G143"/>
      <c r="H143" s="96" t="str">
        <f ca="1">IF(I143="",SearchHLookup(D143&amp;E143&amp;G143,Categorieën!$B$1:$P$30),I143)</f>
        <v/>
      </c>
    </row>
    <row r="144" spans="1:8">
      <c r="A144"/>
      <c r="B144" s="51"/>
      <c r="C144"/>
      <c r="D144"/>
      <c r="E144"/>
      <c r="F144"/>
      <c r="G144"/>
      <c r="H144" s="96" t="str">
        <f ca="1">IF(I144="",SearchHLookup(D144&amp;E144&amp;G144,Categorieën!$B$1:$P$30),I144)</f>
        <v/>
      </c>
    </row>
    <row r="145" spans="1:8">
      <c r="A145"/>
      <c r="B145" s="51"/>
      <c r="C145"/>
      <c r="D145"/>
      <c r="E145"/>
      <c r="F145"/>
      <c r="G145"/>
      <c r="H145" s="96" t="str">
        <f ca="1">IF(I145="",SearchHLookup(D145&amp;E145&amp;G145,Categorieën!$B$1:$P$30),I145)</f>
        <v/>
      </c>
    </row>
    <row r="146" spans="1:8">
      <c r="A146"/>
      <c r="B146" s="51"/>
      <c r="C146"/>
      <c r="D146"/>
      <c r="E146"/>
      <c r="F146"/>
      <c r="G146"/>
      <c r="H146" s="96" t="str">
        <f ca="1">IF(I146="",SearchHLookup(D146&amp;E146&amp;G146,Categorieën!$B$1:$P$30),I146)</f>
        <v/>
      </c>
    </row>
    <row r="147" spans="1:8">
      <c r="A147"/>
      <c r="B147" s="51"/>
      <c r="C147"/>
      <c r="D147"/>
      <c r="E147"/>
      <c r="F147"/>
      <c r="G147"/>
      <c r="H147" s="96" t="str">
        <f ca="1">IF(I147="",SearchHLookup(D147&amp;E147&amp;G147,Categorieën!$B$1:$P$30),I147)</f>
        <v/>
      </c>
    </row>
    <row r="148" spans="1:8">
      <c r="A148"/>
      <c r="B148" s="51"/>
      <c r="C148"/>
      <c r="D148"/>
      <c r="E148"/>
      <c r="F148"/>
      <c r="G148"/>
      <c r="H148" s="96" t="str">
        <f ca="1">IF(I148="",SearchHLookup(D148&amp;E148&amp;G148,Categorieën!$B$1:$P$30),I148)</f>
        <v/>
      </c>
    </row>
    <row r="149" spans="1:8">
      <c r="A149"/>
      <c r="B149" s="51"/>
      <c r="C149"/>
      <c r="D149"/>
      <c r="E149"/>
      <c r="F149"/>
      <c r="G149"/>
      <c r="H149" s="96" t="str">
        <f ca="1">IF(I149="",SearchHLookup(D149&amp;E149&amp;G149,Categorieën!$B$1:$P$30),I149)</f>
        <v/>
      </c>
    </row>
    <row r="150" spans="1:8">
      <c r="A150"/>
      <c r="B150" s="51"/>
      <c r="C150"/>
      <c r="D150"/>
      <c r="E150"/>
      <c r="F150"/>
      <c r="G150"/>
      <c r="H150" s="96" t="str">
        <f ca="1">IF(I150="",SearchHLookup(D150&amp;E150&amp;G150,Categorieën!$B$1:$P$30),I150)</f>
        <v/>
      </c>
    </row>
    <row r="151" spans="1:8">
      <c r="A151"/>
      <c r="B151" s="51"/>
      <c r="C151"/>
      <c r="D151"/>
      <c r="E151"/>
      <c r="F151"/>
      <c r="G151"/>
      <c r="H151" s="96" t="str">
        <f ca="1">IF(I151="",SearchHLookup(D151&amp;E151&amp;G151,Categorieën!$B$1:$P$30),I151)</f>
        <v/>
      </c>
    </row>
    <row r="152" spans="1:8">
      <c r="A152"/>
      <c r="B152" s="51"/>
      <c r="C152"/>
      <c r="D152"/>
      <c r="E152"/>
      <c r="F152"/>
      <c r="G152"/>
      <c r="H152" s="96" t="str">
        <f ca="1">IF(I152="",SearchHLookup(D152&amp;E152&amp;G152,Categorieën!$B$1:$P$30),I152)</f>
        <v/>
      </c>
    </row>
    <row r="153" spans="1:8">
      <c r="A153"/>
      <c r="B153" s="51"/>
      <c r="C153"/>
      <c r="D153"/>
      <c r="E153"/>
      <c r="F153"/>
      <c r="G153"/>
      <c r="H153" s="96" t="str">
        <f ca="1">IF(I153="",SearchHLookup(D153&amp;E153&amp;G153,Categorieën!$B$1:$P$30),I153)</f>
        <v/>
      </c>
    </row>
    <row r="154" spans="1:8">
      <c r="A154"/>
      <c r="B154" s="51"/>
      <c r="C154"/>
      <c r="D154"/>
      <c r="E154"/>
      <c r="F154"/>
      <c r="G154"/>
      <c r="H154" s="96" t="str">
        <f ca="1">IF(I154="",SearchHLookup(D154&amp;E154&amp;G154,Categorieën!$B$1:$P$30),I154)</f>
        <v/>
      </c>
    </row>
    <row r="155" spans="1:8">
      <c r="A155"/>
      <c r="B155" s="51"/>
      <c r="C155"/>
      <c r="D155"/>
      <c r="E155"/>
      <c r="F155"/>
      <c r="G155"/>
      <c r="H155" s="96" t="str">
        <f ca="1">IF(I155="",SearchHLookup(D155&amp;E155&amp;G155,Categorieën!$B$1:$P$30),I155)</f>
        <v/>
      </c>
    </row>
    <row r="156" spans="1:8">
      <c r="A156"/>
      <c r="B156" s="51"/>
      <c r="C156"/>
      <c r="D156"/>
      <c r="E156"/>
      <c r="F156"/>
      <c r="G156"/>
      <c r="H156" s="96" t="str">
        <f ca="1">IF(I156="",SearchHLookup(D156&amp;E156&amp;G156,Categorieën!$B$1:$P$30),I156)</f>
        <v/>
      </c>
    </row>
    <row r="157" spans="1:8">
      <c r="A157"/>
      <c r="B157" s="51"/>
      <c r="C157"/>
      <c r="D157"/>
      <c r="E157"/>
      <c r="F157"/>
      <c r="G157"/>
      <c r="H157" s="96" t="str">
        <f ca="1">IF(I157="",SearchHLookup(D157&amp;E157&amp;G157,Categorieën!$B$1:$P$30),I157)</f>
        <v/>
      </c>
    </row>
    <row r="158" spans="1:8">
      <c r="A158"/>
      <c r="B158" s="51"/>
      <c r="C158"/>
      <c r="D158"/>
      <c r="E158"/>
      <c r="F158"/>
      <c r="G158"/>
      <c r="H158" s="96" t="str">
        <f ca="1">IF(I158="",SearchHLookup(D158&amp;E158&amp;G158,Categorieën!$B$1:$P$30),I158)</f>
        <v/>
      </c>
    </row>
    <row r="159" spans="1:8">
      <c r="A159"/>
      <c r="B159" s="51"/>
      <c r="C159"/>
      <c r="D159"/>
      <c r="E159"/>
      <c r="F159"/>
      <c r="G159"/>
      <c r="H159" s="96" t="str">
        <f ca="1">IF(I159="",SearchHLookup(D159&amp;E159&amp;G159,Categorieën!$B$1:$P$30),I159)</f>
        <v/>
      </c>
    </row>
    <row r="160" spans="1:8">
      <c r="A160"/>
      <c r="B160" s="51"/>
      <c r="C160"/>
      <c r="D160"/>
      <c r="E160"/>
      <c r="F160"/>
      <c r="G160"/>
      <c r="H160" s="96" t="str">
        <f ca="1">IF(I160="",SearchHLookup(D160&amp;E160&amp;G160,Categorieën!$B$1:$P$30),I160)</f>
        <v/>
      </c>
    </row>
    <row r="161" spans="1:8">
      <c r="A161"/>
      <c r="B161" s="51"/>
      <c r="C161"/>
      <c r="D161"/>
      <c r="E161"/>
      <c r="F161"/>
      <c r="G161"/>
      <c r="H161" s="96" t="str">
        <f ca="1">IF(I161="",SearchHLookup(D161&amp;E161&amp;G161,Categorieën!$B$1:$P$30),I161)</f>
        <v/>
      </c>
    </row>
    <row r="162" spans="1:8">
      <c r="A162"/>
      <c r="B162" s="51"/>
      <c r="C162"/>
      <c r="D162"/>
      <c r="E162"/>
      <c r="F162"/>
      <c r="G162"/>
      <c r="H162" s="96" t="str">
        <f ca="1">IF(I162="",SearchHLookup(D162&amp;E162&amp;G162,Categorieën!$B$1:$P$30),I162)</f>
        <v/>
      </c>
    </row>
    <row r="163" spans="1:8">
      <c r="A163"/>
      <c r="B163" s="51"/>
      <c r="C163"/>
      <c r="D163"/>
      <c r="E163"/>
      <c r="F163"/>
      <c r="G163"/>
      <c r="H163" s="96" t="str">
        <f ca="1">IF(I163="",SearchHLookup(D163&amp;E163&amp;G163,Categorieën!$B$1:$P$30),I163)</f>
        <v/>
      </c>
    </row>
    <row r="164" spans="1:8">
      <c r="A164"/>
      <c r="B164" s="51"/>
      <c r="C164"/>
      <c r="D164"/>
      <c r="E164"/>
      <c r="F164"/>
      <c r="G164"/>
      <c r="H164" s="96" t="str">
        <f ca="1">IF(I164="",SearchHLookup(D164&amp;E164&amp;G164,Categorieën!$B$1:$P$30),I164)</f>
        <v/>
      </c>
    </row>
    <row r="165" spans="1:8">
      <c r="A165"/>
      <c r="B165" s="51"/>
      <c r="C165"/>
      <c r="D165"/>
      <c r="E165"/>
      <c r="F165"/>
      <c r="G165"/>
      <c r="H165" s="96" t="str">
        <f ca="1">IF(I165="",SearchHLookup(D165&amp;E165&amp;G165,Categorieën!$B$1:$P$30),I165)</f>
        <v/>
      </c>
    </row>
    <row r="166" spans="1:8">
      <c r="A166"/>
      <c r="B166" s="51"/>
      <c r="C166"/>
      <c r="D166"/>
      <c r="E166"/>
      <c r="F166"/>
      <c r="G166"/>
      <c r="H166" s="96" t="str">
        <f ca="1">IF(I166="",SearchHLookup(D166&amp;E166&amp;G166,Categorieën!$B$1:$P$30),I166)</f>
        <v/>
      </c>
    </row>
    <row r="167" spans="1:8">
      <c r="A167"/>
      <c r="B167" s="51"/>
      <c r="C167"/>
      <c r="D167"/>
      <c r="E167"/>
      <c r="F167"/>
      <c r="G167"/>
      <c r="H167" s="96" t="str">
        <f ca="1">IF(I167="",SearchHLookup(D167&amp;E167&amp;G167,Categorieën!$B$1:$P$30),I167)</f>
        <v/>
      </c>
    </row>
    <row r="168" spans="1:8">
      <c r="A168"/>
      <c r="B168" s="51"/>
      <c r="C168"/>
      <c r="D168"/>
      <c r="E168"/>
      <c r="F168"/>
      <c r="G168"/>
      <c r="H168" s="96" t="str">
        <f ca="1">IF(I168="",SearchHLookup(D168&amp;E168&amp;G168,Categorieën!$B$1:$P$30),I168)</f>
        <v/>
      </c>
    </row>
    <row r="169" spans="1:8">
      <c r="A169"/>
      <c r="B169" s="51"/>
      <c r="C169"/>
      <c r="D169"/>
      <c r="E169"/>
      <c r="F169"/>
      <c r="G169"/>
      <c r="H169" s="96" t="str">
        <f ca="1">IF(I169="",SearchHLookup(D169&amp;E169&amp;G169,Categorieën!$B$1:$P$30),I169)</f>
        <v/>
      </c>
    </row>
    <row r="170" spans="1:8">
      <c r="A170"/>
      <c r="B170" s="51"/>
      <c r="C170"/>
      <c r="D170"/>
      <c r="E170"/>
      <c r="F170"/>
      <c r="G170"/>
      <c r="H170" s="96" t="str">
        <f ca="1">IF(I170="",SearchHLookup(D170&amp;E170&amp;G170,Categorieën!$B$1:$P$30),I170)</f>
        <v/>
      </c>
    </row>
    <row r="171" spans="1:8">
      <c r="A171"/>
      <c r="B171" s="51"/>
      <c r="C171"/>
      <c r="D171"/>
      <c r="E171"/>
      <c r="F171"/>
      <c r="G171"/>
      <c r="H171" s="96" t="str">
        <f ca="1">IF(I171="",SearchHLookup(D171&amp;E171&amp;G171,Categorieën!$B$1:$P$30),I171)</f>
        <v/>
      </c>
    </row>
    <row r="172" spans="1:8">
      <c r="A172"/>
      <c r="B172" s="51"/>
      <c r="C172"/>
      <c r="D172"/>
      <c r="E172"/>
      <c r="F172"/>
      <c r="G172"/>
      <c r="H172" s="96" t="str">
        <f ca="1">IF(I172="",SearchHLookup(D172&amp;E172&amp;G172,Categorieën!$B$1:$P$30),I172)</f>
        <v/>
      </c>
    </row>
    <row r="173" spans="1:8">
      <c r="A173"/>
      <c r="B173" s="51"/>
      <c r="C173"/>
      <c r="D173"/>
      <c r="E173"/>
      <c r="F173"/>
      <c r="G173"/>
      <c r="H173" s="96" t="str">
        <f ca="1">IF(I173="",SearchHLookup(D173&amp;E173&amp;G173,Categorieën!$B$1:$P$30),I173)</f>
        <v/>
      </c>
    </row>
    <row r="174" spans="1:8">
      <c r="A174"/>
      <c r="B174" s="51"/>
      <c r="C174"/>
      <c r="D174"/>
      <c r="E174"/>
      <c r="F174"/>
      <c r="G174"/>
      <c r="H174" s="96" t="str">
        <f ca="1">IF(I174="",SearchHLookup(D174&amp;E174&amp;G174,Categorieën!$B$1:$P$30),I174)</f>
        <v/>
      </c>
    </row>
    <row r="175" spans="1:8">
      <c r="A175"/>
      <c r="B175" s="51"/>
      <c r="C175"/>
      <c r="D175"/>
      <c r="E175"/>
      <c r="F175"/>
      <c r="G175"/>
      <c r="H175" s="96" t="str">
        <f ca="1">IF(I175="",SearchHLookup(D175&amp;E175&amp;G175,Categorieën!$B$1:$P$30),I175)</f>
        <v/>
      </c>
    </row>
    <row r="176" spans="1:8">
      <c r="A176"/>
      <c r="B176" s="51"/>
      <c r="C176"/>
      <c r="D176"/>
      <c r="E176"/>
      <c r="F176"/>
      <c r="G176"/>
      <c r="H176" s="96" t="str">
        <f ca="1">IF(I176="",SearchHLookup(D176&amp;E176&amp;G176,Categorieën!$B$1:$P$30),I176)</f>
        <v/>
      </c>
    </row>
    <row r="177" spans="1:8">
      <c r="A177"/>
      <c r="B177" s="51"/>
      <c r="C177"/>
      <c r="D177"/>
      <c r="E177"/>
      <c r="F177"/>
      <c r="G177"/>
      <c r="H177" s="96" t="str">
        <f ca="1">IF(I177="",SearchHLookup(D177&amp;E177&amp;G177,Categorieën!$B$1:$P$30),I177)</f>
        <v/>
      </c>
    </row>
    <row r="178" spans="1:8">
      <c r="A178"/>
      <c r="B178" s="51"/>
      <c r="C178"/>
      <c r="D178"/>
      <c r="E178"/>
      <c r="F178"/>
      <c r="G178"/>
      <c r="H178" s="96" t="str">
        <f ca="1">IF(I178="",SearchHLookup(D178&amp;E178&amp;G178,Categorieën!$B$1:$P$30),I178)</f>
        <v/>
      </c>
    </row>
    <row r="179" spans="1:8">
      <c r="A179"/>
      <c r="B179" s="51"/>
      <c r="C179"/>
      <c r="D179"/>
      <c r="E179"/>
      <c r="F179"/>
      <c r="G179"/>
      <c r="H179" s="96" t="str">
        <f ca="1">IF(I179="",SearchHLookup(D179&amp;E179&amp;G179,Categorieën!$B$1:$P$30),I179)</f>
        <v/>
      </c>
    </row>
    <row r="180" spans="1:8">
      <c r="A180"/>
      <c r="B180" s="51"/>
      <c r="C180"/>
      <c r="D180"/>
      <c r="E180"/>
      <c r="F180"/>
      <c r="G180"/>
      <c r="H180" s="96" t="str">
        <f ca="1">IF(I180="",SearchHLookup(D180&amp;E180&amp;G180,Categorieën!$B$1:$P$30),I180)</f>
        <v/>
      </c>
    </row>
    <row r="181" spans="1:8">
      <c r="A181"/>
      <c r="B181" s="51"/>
      <c r="C181"/>
      <c r="D181"/>
      <c r="E181"/>
      <c r="F181"/>
      <c r="G181"/>
      <c r="H181" s="96" t="str">
        <f ca="1">IF(I181="",SearchHLookup(D181&amp;E181&amp;G181,Categorieën!$B$1:$P$30),I181)</f>
        <v/>
      </c>
    </row>
    <row r="182" spans="1:8">
      <c r="A182"/>
      <c r="B182" s="51"/>
      <c r="C182"/>
      <c r="D182"/>
      <c r="E182"/>
      <c r="F182"/>
      <c r="G182"/>
      <c r="H182" s="96" t="str">
        <f ca="1">IF(I182="",SearchHLookup(D182&amp;E182&amp;G182,Categorieën!$B$1:$P$30),I182)</f>
        <v/>
      </c>
    </row>
    <row r="183" spans="1:8">
      <c r="A183"/>
      <c r="B183" s="51"/>
      <c r="C183"/>
      <c r="D183"/>
      <c r="E183"/>
      <c r="F183"/>
      <c r="G183"/>
      <c r="H183" s="96" t="str">
        <f ca="1">IF(I183="",SearchHLookup(D183&amp;E183&amp;G183,Categorieën!$B$1:$P$30),I183)</f>
        <v/>
      </c>
    </row>
    <row r="184" spans="1:8">
      <c r="A184"/>
      <c r="B184" s="51"/>
      <c r="C184"/>
      <c r="D184"/>
      <c r="E184"/>
      <c r="F184"/>
      <c r="G184"/>
      <c r="H184" s="96" t="str">
        <f ca="1">IF(I184="",SearchHLookup(D184&amp;E184&amp;G184,Categorieën!$B$1:$P$30),I184)</f>
        <v/>
      </c>
    </row>
    <row r="185" spans="1:8">
      <c r="A185"/>
      <c r="B185" s="51"/>
      <c r="C185"/>
      <c r="D185"/>
      <c r="E185"/>
      <c r="F185"/>
      <c r="G185"/>
      <c r="H185" s="96" t="str">
        <f ca="1">IF(I185="",SearchHLookup(D185&amp;E185&amp;G185,Categorieën!$B$1:$P$30),I185)</f>
        <v/>
      </c>
    </row>
    <row r="186" spans="1:8">
      <c r="A186"/>
      <c r="B186" s="51"/>
      <c r="C186"/>
      <c r="D186"/>
      <c r="E186"/>
      <c r="F186"/>
      <c r="G186"/>
      <c r="H186" s="96" t="str">
        <f ca="1">IF(I186="",SearchHLookup(D186&amp;E186&amp;G186,Categorieën!$B$1:$P$30),I186)</f>
        <v/>
      </c>
    </row>
    <row r="187" spans="1:8">
      <c r="A187"/>
      <c r="B187" s="51"/>
      <c r="C187"/>
      <c r="D187"/>
      <c r="E187"/>
      <c r="F187"/>
      <c r="G187"/>
      <c r="H187" s="96" t="str">
        <f ca="1">IF(I187="",SearchHLookup(D187&amp;E187&amp;G187,Categorieën!$B$1:$P$30),I187)</f>
        <v/>
      </c>
    </row>
    <row r="188" spans="1:8">
      <c r="A188"/>
      <c r="B188" s="51"/>
      <c r="C188"/>
      <c r="D188"/>
      <c r="E188"/>
      <c r="F188"/>
      <c r="G188"/>
      <c r="H188" s="96" t="str">
        <f ca="1">IF(I188="",SearchHLookup(D188&amp;E188&amp;G188,Categorieën!$B$1:$P$30),I188)</f>
        <v/>
      </c>
    </row>
    <row r="189" spans="1:8">
      <c r="A189"/>
      <c r="B189" s="51"/>
      <c r="C189"/>
      <c r="D189"/>
      <c r="E189"/>
      <c r="F189"/>
      <c r="G189"/>
      <c r="H189" s="96" t="str">
        <f ca="1">IF(I189="",SearchHLookup(D189&amp;E189&amp;G189,Categorieën!$B$1:$P$30),I189)</f>
        <v/>
      </c>
    </row>
    <row r="190" spans="1:8">
      <c r="A190"/>
      <c r="B190" s="51"/>
      <c r="C190"/>
      <c r="D190"/>
      <c r="E190"/>
      <c r="F190"/>
      <c r="G190"/>
      <c r="H190" s="96" t="str">
        <f ca="1">IF(I190="",SearchHLookup(D190&amp;E190&amp;G190,Categorieën!$B$1:$P$30),I190)</f>
        <v/>
      </c>
    </row>
    <row r="191" spans="1:8">
      <c r="A191"/>
      <c r="B191" s="51"/>
      <c r="C191"/>
      <c r="D191"/>
      <c r="E191"/>
      <c r="F191"/>
      <c r="G191"/>
      <c r="H191" s="96" t="str">
        <f ca="1">IF(I191="",SearchHLookup(D191&amp;E191&amp;G191,Categorieën!$B$1:$P$30),I191)</f>
        <v/>
      </c>
    </row>
    <row r="192" spans="1:8">
      <c r="A192"/>
      <c r="B192" s="51"/>
      <c r="C192"/>
      <c r="D192"/>
      <c r="E192"/>
      <c r="F192"/>
      <c r="G192"/>
      <c r="H192" s="96" t="str">
        <f ca="1">IF(I192="",SearchHLookup(D192&amp;E192&amp;G192,Categorieën!$B$1:$P$30),I192)</f>
        <v/>
      </c>
    </row>
    <row r="193" spans="1:8">
      <c r="A193"/>
      <c r="B193" s="51"/>
      <c r="C193"/>
      <c r="D193"/>
      <c r="E193"/>
      <c r="F193"/>
      <c r="G193"/>
      <c r="H193" s="96" t="str">
        <f ca="1">IF(I193="",SearchHLookup(D193&amp;E193&amp;G193,Categorieën!$B$1:$P$30),I193)</f>
        <v/>
      </c>
    </row>
    <row r="194" spans="1:8">
      <c r="A194"/>
      <c r="B194" s="51"/>
      <c r="C194"/>
      <c r="D194"/>
      <c r="E194"/>
      <c r="F194"/>
      <c r="G194"/>
      <c r="H194" s="96" t="str">
        <f ca="1">IF(I194="",SearchHLookup(D194&amp;E194&amp;G194,Categorieën!$B$1:$P$30),I194)</f>
        <v/>
      </c>
    </row>
    <row r="195" spans="1:8">
      <c r="A195"/>
      <c r="B195" s="51"/>
      <c r="C195"/>
      <c r="D195"/>
      <c r="E195"/>
      <c r="F195"/>
      <c r="G195"/>
      <c r="H195" s="96" t="str">
        <f ca="1">IF(I195="",SearchHLookup(D195&amp;E195&amp;G195,Categorieën!$B$1:$P$30),I195)</f>
        <v/>
      </c>
    </row>
    <row r="196" spans="1:8">
      <c r="A196"/>
      <c r="B196" s="51"/>
      <c r="C196"/>
      <c r="D196"/>
      <c r="E196"/>
      <c r="F196"/>
      <c r="G196"/>
      <c r="H196" s="96" t="str">
        <f ca="1">IF(I196="",SearchHLookup(D196&amp;E196&amp;G196,Categorieën!$B$1:$P$30),I196)</f>
        <v/>
      </c>
    </row>
    <row r="197" spans="1:8">
      <c r="A197"/>
      <c r="B197" s="51"/>
      <c r="C197"/>
      <c r="D197"/>
      <c r="E197"/>
      <c r="F197"/>
      <c r="G197"/>
      <c r="H197" s="96" t="str">
        <f ca="1">IF(I197="",SearchHLookup(D197&amp;E197&amp;G197,Categorieën!$B$1:$P$30),I197)</f>
        <v/>
      </c>
    </row>
    <row r="198" spans="1:8">
      <c r="A198"/>
      <c r="B198" s="51"/>
      <c r="C198"/>
      <c r="D198"/>
      <c r="E198"/>
      <c r="F198"/>
      <c r="G198"/>
      <c r="H198" s="96" t="str">
        <f ca="1">IF(I198="",SearchHLookup(D198&amp;E198&amp;G198,Categorieën!$B$1:$P$30),I198)</f>
        <v/>
      </c>
    </row>
    <row r="199" spans="1:8">
      <c r="A199"/>
      <c r="B199" s="51"/>
      <c r="C199"/>
      <c r="D199"/>
      <c r="E199"/>
      <c r="F199"/>
      <c r="G199"/>
      <c r="H199" s="96" t="str">
        <f ca="1">IF(I199="",SearchHLookup(D199&amp;E199&amp;G199,Categorieën!$B$1:$P$30),I199)</f>
        <v/>
      </c>
    </row>
    <row r="200" spans="1:8">
      <c r="A200"/>
      <c r="B200" s="51"/>
      <c r="C200"/>
      <c r="D200"/>
      <c r="E200"/>
      <c r="F200"/>
      <c r="G200"/>
      <c r="H200" s="96" t="str">
        <f ca="1">IF(I200="",SearchHLookup(D200&amp;E200&amp;G200,Categorieën!$B$1:$P$30),I200)</f>
        <v/>
      </c>
    </row>
    <row r="201" spans="1:8">
      <c r="A201"/>
      <c r="B201" s="51"/>
      <c r="C201"/>
      <c r="D201"/>
      <c r="E201"/>
      <c r="F201"/>
      <c r="G201"/>
      <c r="H201" s="96" t="str">
        <f ca="1">IF(I201="",SearchHLookup(D201&amp;E201&amp;G201,Categorieën!$B$1:$P$30),I201)</f>
        <v/>
      </c>
    </row>
    <row r="202" spans="1:8">
      <c r="A202"/>
      <c r="B202" s="51"/>
      <c r="C202"/>
      <c r="D202"/>
      <c r="E202"/>
      <c r="F202"/>
      <c r="G202"/>
      <c r="H202" s="96" t="str">
        <f ca="1">IF(I202="",SearchHLookup(D202&amp;E202&amp;G202,Categorieën!$B$1:$P$30),I202)</f>
        <v/>
      </c>
    </row>
    <row r="203" spans="1:8">
      <c r="A203"/>
      <c r="B203" s="51"/>
      <c r="C203"/>
      <c r="D203"/>
      <c r="E203"/>
      <c r="F203"/>
      <c r="G203"/>
      <c r="H203" s="96" t="str">
        <f ca="1">IF(I203="",SearchHLookup(D203&amp;E203&amp;G203,Categorieën!$B$1:$P$30),I203)</f>
        <v/>
      </c>
    </row>
    <row r="204" spans="1:8">
      <c r="A204"/>
      <c r="B204" s="51"/>
      <c r="C204"/>
      <c r="D204"/>
      <c r="E204"/>
      <c r="F204"/>
      <c r="G204"/>
      <c r="H204" s="96" t="str">
        <f ca="1">IF(I204="",SearchHLookup(D204&amp;E204&amp;G204,Categorieën!$B$1:$P$30),I204)</f>
        <v/>
      </c>
    </row>
    <row r="205" spans="1:8">
      <c r="A205"/>
      <c r="B205" s="51"/>
      <c r="C205"/>
      <c r="D205"/>
      <c r="E205"/>
      <c r="F205"/>
      <c r="G205"/>
      <c r="H205" s="96" t="str">
        <f ca="1">IF(I205="",SearchHLookup(D205&amp;E205&amp;G205,Categorieën!$B$1:$P$30),I205)</f>
        <v/>
      </c>
    </row>
    <row r="206" spans="1:8">
      <c r="A206"/>
      <c r="B206" s="51"/>
      <c r="C206"/>
      <c r="D206"/>
      <c r="E206"/>
      <c r="F206"/>
      <c r="G206"/>
      <c r="H206" s="96" t="str">
        <f ca="1">IF(I206="",SearchHLookup(D206&amp;E206&amp;G206,Categorieën!$B$1:$P$30),I206)</f>
        <v/>
      </c>
    </row>
    <row r="207" spans="1:8">
      <c r="A207"/>
      <c r="B207" s="51"/>
      <c r="C207"/>
      <c r="D207"/>
      <c r="E207"/>
      <c r="F207"/>
      <c r="G207"/>
      <c r="H207" s="96" t="str">
        <f ca="1">IF(I207="",SearchHLookup(D207&amp;E207&amp;G207,Categorieën!$B$1:$P$30),I207)</f>
        <v/>
      </c>
    </row>
    <row r="208" spans="1:8">
      <c r="A208"/>
      <c r="B208" s="51"/>
      <c r="C208"/>
      <c r="D208"/>
      <c r="E208"/>
      <c r="F208"/>
      <c r="G208"/>
      <c r="H208" s="96" t="str">
        <f ca="1">IF(I208="",SearchHLookup(D208&amp;E208&amp;G208,Categorieën!$B$1:$P$30),I208)</f>
        <v/>
      </c>
    </row>
    <row r="209" spans="1:8">
      <c r="A209"/>
      <c r="B209" s="51"/>
      <c r="C209"/>
      <c r="D209"/>
      <c r="E209"/>
      <c r="F209"/>
      <c r="G209"/>
      <c r="H209" s="96" t="str">
        <f ca="1">IF(I209="",SearchHLookup(D209&amp;E209&amp;G209,Categorieën!$B$1:$P$30),I209)</f>
        <v/>
      </c>
    </row>
    <row r="210" spans="1:8">
      <c r="A210"/>
      <c r="B210" s="51"/>
      <c r="C210"/>
      <c r="D210"/>
      <c r="E210"/>
      <c r="F210"/>
      <c r="G210"/>
      <c r="H210" s="96" t="str">
        <f ca="1">IF(I210="",SearchHLookup(D210&amp;E210&amp;G210,Categorieën!$B$1:$P$30),I210)</f>
        <v/>
      </c>
    </row>
    <row r="211" spans="1:8">
      <c r="A211"/>
      <c r="B211" s="51"/>
      <c r="C211"/>
      <c r="D211"/>
      <c r="E211"/>
      <c r="F211"/>
      <c r="G211"/>
      <c r="H211" s="96" t="str">
        <f ca="1">IF(I211="",SearchHLookup(D211&amp;E211&amp;G211,Categorieën!$B$1:$P$30),I211)</f>
        <v/>
      </c>
    </row>
    <row r="212" spans="1:8">
      <c r="A212"/>
      <c r="B212" s="51"/>
      <c r="C212"/>
      <c r="D212"/>
      <c r="E212"/>
      <c r="F212"/>
      <c r="G212"/>
      <c r="H212" s="96" t="str">
        <f ca="1">IF(I212="",SearchHLookup(D212&amp;E212&amp;G212,Categorieën!$B$1:$P$30),I212)</f>
        <v/>
      </c>
    </row>
    <row r="213" spans="1:8">
      <c r="A213"/>
      <c r="B213" s="51"/>
      <c r="C213"/>
      <c r="D213"/>
      <c r="E213"/>
      <c r="F213"/>
      <c r="G213"/>
      <c r="H213" s="96" t="str">
        <f ca="1">IF(I213="",SearchHLookup(D213&amp;E213&amp;G213,Categorieën!$B$1:$P$30),I213)</f>
        <v/>
      </c>
    </row>
    <row r="214" spans="1:8">
      <c r="A214"/>
      <c r="B214" s="51"/>
      <c r="C214"/>
      <c r="D214"/>
      <c r="E214"/>
      <c r="F214"/>
      <c r="G214"/>
      <c r="H214" s="96" t="str">
        <f ca="1">IF(I214="",SearchHLookup(D214&amp;E214&amp;G214,Categorieën!$B$1:$P$30),I214)</f>
        <v/>
      </c>
    </row>
    <row r="215" spans="1:8">
      <c r="A215"/>
      <c r="B215" s="51"/>
      <c r="C215"/>
      <c r="D215"/>
      <c r="E215"/>
      <c r="F215"/>
      <c r="G215"/>
      <c r="H215" s="96" t="str">
        <f ca="1">IF(I215="",SearchHLookup(D215&amp;E215&amp;G215,Categorieën!$B$1:$P$30),I215)</f>
        <v/>
      </c>
    </row>
    <row r="216" spans="1:8">
      <c r="A216"/>
      <c r="B216" s="51"/>
      <c r="C216"/>
      <c r="D216"/>
      <c r="E216"/>
      <c r="F216"/>
      <c r="G216"/>
      <c r="H216" s="96" t="str">
        <f ca="1">IF(I216="",SearchHLookup(D216&amp;E216&amp;G216,Categorieën!$B$1:$P$30),I216)</f>
        <v/>
      </c>
    </row>
    <row r="217" spans="1:8">
      <c r="A217"/>
      <c r="B217" s="51"/>
      <c r="C217"/>
      <c r="D217"/>
      <c r="E217"/>
      <c r="F217"/>
      <c r="G217"/>
      <c r="H217" s="96" t="str">
        <f ca="1">IF(I217="",SearchHLookup(D217&amp;E217&amp;G217,Categorieën!$B$1:$P$30),I217)</f>
        <v/>
      </c>
    </row>
    <row r="218" spans="1:8">
      <c r="A218"/>
      <c r="B218" s="51"/>
      <c r="C218"/>
      <c r="D218"/>
      <c r="E218"/>
      <c r="F218"/>
      <c r="G218"/>
      <c r="H218" s="96" t="str">
        <f ca="1">IF(I218="",SearchHLookup(D218&amp;E218&amp;G218,Categorieën!$B$1:$P$30),I218)</f>
        <v/>
      </c>
    </row>
    <row r="219" spans="1:8">
      <c r="A219"/>
      <c r="B219" s="51"/>
      <c r="C219"/>
      <c r="D219"/>
      <c r="E219"/>
      <c r="F219"/>
      <c r="G219"/>
      <c r="H219" s="96" t="str">
        <f ca="1">IF(I219="",SearchHLookup(D219&amp;E219&amp;G219,Categorieën!$B$1:$P$30),I219)</f>
        <v/>
      </c>
    </row>
    <row r="220" spans="1:8">
      <c r="A220"/>
      <c r="B220" s="51"/>
      <c r="C220"/>
      <c r="D220"/>
      <c r="E220"/>
      <c r="F220"/>
      <c r="G220"/>
      <c r="H220" s="96" t="str">
        <f ca="1">IF(I220="",SearchHLookup(D220&amp;E220&amp;G220,Categorieën!$B$1:$P$30),I220)</f>
        <v/>
      </c>
    </row>
    <row r="221" spans="1:8">
      <c r="A221"/>
      <c r="B221" s="51"/>
      <c r="C221"/>
      <c r="D221"/>
      <c r="E221"/>
      <c r="F221"/>
      <c r="G221"/>
      <c r="H221" s="96" t="str">
        <f ca="1">IF(I221="",SearchHLookup(D221&amp;E221&amp;G221,Categorieën!$B$1:$P$30),I221)</f>
        <v/>
      </c>
    </row>
    <row r="222" spans="1:8">
      <c r="A222"/>
      <c r="B222" s="51"/>
      <c r="C222"/>
      <c r="D222"/>
      <c r="E222"/>
      <c r="F222"/>
      <c r="G222"/>
      <c r="H222" s="96" t="str">
        <f ca="1">IF(I222="",SearchHLookup(D222&amp;E222&amp;G222,Categorieën!$B$1:$P$30),I222)</f>
        <v/>
      </c>
    </row>
    <row r="223" spans="1:8">
      <c r="A223"/>
      <c r="B223" s="51"/>
      <c r="C223"/>
      <c r="D223"/>
      <c r="E223"/>
      <c r="F223"/>
      <c r="G223"/>
      <c r="H223" s="96" t="str">
        <f ca="1">IF(I223="",SearchHLookup(D223&amp;E223&amp;G223,Categorieën!$B$1:$P$30),I223)</f>
        <v/>
      </c>
    </row>
    <row r="224" spans="1:8">
      <c r="A224"/>
      <c r="B224" s="51"/>
      <c r="C224"/>
      <c r="D224"/>
      <c r="E224"/>
      <c r="F224"/>
      <c r="G224"/>
      <c r="H224" s="96" t="str">
        <f ca="1">IF(I224="",SearchHLookup(D224&amp;E224&amp;G224,Categorieën!$B$1:$P$30),I224)</f>
        <v/>
      </c>
    </row>
    <row r="225" spans="1:8">
      <c r="A225"/>
      <c r="B225" s="51"/>
      <c r="C225"/>
      <c r="D225"/>
      <c r="E225"/>
      <c r="F225"/>
      <c r="G225"/>
      <c r="H225" s="96" t="str">
        <f ca="1">IF(I225="",SearchHLookup(D225&amp;E225&amp;G225,Categorieën!$B$1:$P$30),I225)</f>
        <v/>
      </c>
    </row>
    <row r="226" spans="1:8">
      <c r="A226"/>
      <c r="B226" s="51"/>
      <c r="C226"/>
      <c r="D226"/>
      <c r="E226"/>
      <c r="F226"/>
      <c r="G226"/>
      <c r="H226" s="96" t="str">
        <f ca="1">IF(I226="",SearchHLookup(D226&amp;E226&amp;G226,Categorieën!$B$1:$P$30),I226)</f>
        <v/>
      </c>
    </row>
    <row r="227" spans="1:8">
      <c r="A227"/>
      <c r="B227" s="51"/>
      <c r="C227"/>
      <c r="D227"/>
      <c r="E227"/>
      <c r="F227"/>
      <c r="G227"/>
      <c r="H227" s="96" t="str">
        <f ca="1">IF(I227="",SearchHLookup(D227&amp;E227&amp;G227,Categorieën!$B$1:$P$30),I227)</f>
        <v/>
      </c>
    </row>
    <row r="228" spans="1:8">
      <c r="A228"/>
      <c r="B228" s="51"/>
      <c r="C228"/>
      <c r="D228"/>
      <c r="E228"/>
      <c r="F228"/>
      <c r="G228"/>
      <c r="H228" s="96" t="str">
        <f ca="1">IF(I228="",SearchHLookup(D228&amp;E228&amp;G228,Categorieën!$B$1:$P$30),I228)</f>
        <v/>
      </c>
    </row>
    <row r="229" spans="1:8">
      <c r="A229"/>
      <c r="B229" s="51"/>
      <c r="C229"/>
      <c r="D229"/>
      <c r="E229"/>
      <c r="F229"/>
      <c r="G229"/>
      <c r="H229" s="96" t="str">
        <f ca="1">IF(I229="",SearchHLookup(D229&amp;E229&amp;G229,Categorieën!$B$1:$P$30),I229)</f>
        <v/>
      </c>
    </row>
    <row r="230" spans="1:8">
      <c r="A230"/>
      <c r="B230" s="51"/>
      <c r="C230"/>
      <c r="D230"/>
      <c r="E230"/>
      <c r="F230"/>
      <c r="G230"/>
      <c r="H230" s="96" t="str">
        <f ca="1">IF(I230="",SearchHLookup(D230&amp;E230&amp;G230,Categorieën!$B$1:$P$30),I230)</f>
        <v/>
      </c>
    </row>
    <row r="231" spans="1:8">
      <c r="A231"/>
      <c r="B231" s="51"/>
      <c r="C231"/>
      <c r="D231"/>
      <c r="E231"/>
      <c r="F231"/>
      <c r="G231"/>
      <c r="H231" s="96" t="str">
        <f ca="1">IF(I231="",SearchHLookup(D231&amp;E231&amp;G231,Categorieën!$B$1:$P$30),I231)</f>
        <v/>
      </c>
    </row>
    <row r="232" spans="1:8">
      <c r="A232"/>
      <c r="B232" s="51"/>
      <c r="C232"/>
      <c r="D232"/>
      <c r="E232"/>
      <c r="F232"/>
      <c r="G232"/>
      <c r="H232" s="96" t="str">
        <f ca="1">IF(I232="",SearchHLookup(D232&amp;E232&amp;G232,Categorieën!$B$1:$P$30),I232)</f>
        <v/>
      </c>
    </row>
    <row r="233" spans="1:8">
      <c r="A233"/>
      <c r="B233" s="51"/>
      <c r="C233"/>
      <c r="D233"/>
      <c r="E233"/>
      <c r="F233"/>
      <c r="G233"/>
      <c r="H233" s="96" t="str">
        <f ca="1">IF(I233="",SearchHLookup(D233&amp;E233&amp;G233,Categorieën!$B$1:$P$30),I233)</f>
        <v/>
      </c>
    </row>
    <row r="234" spans="1:8">
      <c r="A234"/>
      <c r="B234" s="51"/>
      <c r="C234"/>
      <c r="D234"/>
      <c r="E234"/>
      <c r="F234"/>
      <c r="G234"/>
      <c r="H234" s="96" t="str">
        <f ca="1">IF(I234="",SearchHLookup(D234&amp;E234&amp;G234,Categorieën!$B$1:$P$30),I234)</f>
        <v/>
      </c>
    </row>
    <row r="235" spans="1:8">
      <c r="A235"/>
      <c r="B235" s="51"/>
      <c r="C235"/>
      <c r="D235"/>
      <c r="E235"/>
      <c r="F235"/>
      <c r="G235"/>
      <c r="H235" s="96" t="str">
        <f ca="1">IF(I235="",SearchHLookup(D235&amp;E235&amp;G235,Categorieën!$B$1:$P$30),I235)</f>
        <v/>
      </c>
    </row>
    <row r="236" spans="1:8">
      <c r="A236"/>
      <c r="B236" s="51"/>
      <c r="C236"/>
      <c r="D236"/>
      <c r="E236"/>
      <c r="F236"/>
      <c r="G236"/>
      <c r="H236" s="96" t="str">
        <f ca="1">IF(I236="",SearchHLookup(D236&amp;E236&amp;G236,Categorieën!$B$1:$P$30),I236)</f>
        <v/>
      </c>
    </row>
    <row r="237" spans="1:8">
      <c r="A237"/>
      <c r="B237" s="51"/>
      <c r="C237"/>
      <c r="D237"/>
      <c r="E237"/>
      <c r="F237"/>
      <c r="G237"/>
      <c r="H237" s="96" t="str">
        <f ca="1">IF(I237="",SearchHLookup(D237&amp;E237&amp;G237,Categorieën!$B$1:$P$30),I237)</f>
        <v/>
      </c>
    </row>
    <row r="238" spans="1:8">
      <c r="A238"/>
      <c r="B238" s="51"/>
      <c r="C238"/>
      <c r="D238"/>
      <c r="E238"/>
      <c r="F238"/>
      <c r="G238"/>
      <c r="H238" s="96" t="str">
        <f ca="1">IF(I238="",SearchHLookup(D238&amp;E238&amp;G238,Categorieën!$B$1:$P$30),I238)</f>
        <v/>
      </c>
    </row>
    <row r="239" spans="1:8">
      <c r="A239"/>
      <c r="B239" s="51"/>
      <c r="C239"/>
      <c r="D239"/>
      <c r="E239"/>
      <c r="F239"/>
      <c r="G239"/>
      <c r="H239" s="96" t="str">
        <f ca="1">IF(I239="",SearchHLookup(D239&amp;E239&amp;G239,Categorieën!$B$1:$P$30),I239)</f>
        <v/>
      </c>
    </row>
    <row r="240" spans="1:8">
      <c r="A240"/>
      <c r="B240" s="51"/>
      <c r="C240"/>
      <c r="D240"/>
      <c r="E240"/>
      <c r="F240"/>
      <c r="G240"/>
      <c r="H240" s="96" t="str">
        <f ca="1">IF(I240="",SearchHLookup(D240&amp;E240&amp;G240,Categorieën!$B$1:$P$30),I240)</f>
        <v/>
      </c>
    </row>
    <row r="241" spans="1:8">
      <c r="A241"/>
      <c r="B241" s="51"/>
      <c r="C241"/>
      <c r="D241"/>
      <c r="E241"/>
      <c r="F241"/>
      <c r="G241"/>
      <c r="H241" s="96" t="str">
        <f ca="1">IF(I241="",SearchHLookup(D241&amp;E241&amp;G241,Categorieën!$B$1:$P$30),I241)</f>
        <v/>
      </c>
    </row>
    <row r="242" spans="1:8">
      <c r="A242"/>
      <c r="B242" s="51"/>
      <c r="C242"/>
      <c r="D242"/>
      <c r="E242"/>
      <c r="F242"/>
      <c r="G242"/>
      <c r="H242" s="96" t="str">
        <f ca="1">IF(I242="",SearchHLookup(D242&amp;E242&amp;G242,Categorieën!$B$1:$P$30),I242)</f>
        <v/>
      </c>
    </row>
    <row r="243" spans="1:8">
      <c r="A243"/>
      <c r="B243" s="51"/>
      <c r="C243"/>
      <c r="D243"/>
      <c r="E243"/>
      <c r="F243"/>
      <c r="G243"/>
      <c r="H243" s="96" t="str">
        <f ca="1">IF(I243="",SearchHLookup(D243&amp;E243&amp;G243,Categorieën!$B$1:$P$30),I243)</f>
        <v/>
      </c>
    </row>
    <row r="244" spans="1:8">
      <c r="A244"/>
      <c r="B244" s="51"/>
      <c r="C244"/>
      <c r="D244"/>
      <c r="E244"/>
      <c r="F244"/>
      <c r="G244"/>
      <c r="H244" s="96" t="str">
        <f ca="1">IF(I244="",SearchHLookup(D244&amp;E244&amp;G244,Categorieën!$B$1:$P$30),I244)</f>
        <v/>
      </c>
    </row>
    <row r="245" spans="1:8">
      <c r="A245"/>
      <c r="B245" s="51"/>
      <c r="C245"/>
      <c r="D245"/>
      <c r="E245"/>
      <c r="F245"/>
      <c r="G245"/>
      <c r="H245" s="96" t="str">
        <f ca="1">IF(I245="",SearchHLookup(D245&amp;E245&amp;G245,Categorieën!$B$1:$P$30),I245)</f>
        <v/>
      </c>
    </row>
    <row r="246" spans="1:8">
      <c r="A246"/>
      <c r="B246" s="51"/>
      <c r="C246"/>
      <c r="D246"/>
      <c r="E246"/>
      <c r="F246"/>
      <c r="G246"/>
      <c r="H246" s="96" t="str">
        <f ca="1">IF(I246="",SearchHLookup(D246&amp;E246&amp;G246,Categorieën!$B$1:$P$30),I246)</f>
        <v/>
      </c>
    </row>
    <row r="247" spans="1:8">
      <c r="A247"/>
      <c r="B247" s="51"/>
      <c r="C247"/>
      <c r="D247"/>
      <c r="E247"/>
      <c r="F247"/>
      <c r="G247"/>
      <c r="H247" s="96" t="str">
        <f ca="1">IF(I247="",SearchHLookup(D247&amp;E247&amp;G247,Categorieën!$B$1:$P$30),I247)</f>
        <v/>
      </c>
    </row>
    <row r="248" spans="1:8">
      <c r="A248"/>
      <c r="B248" s="51"/>
      <c r="C248"/>
      <c r="D248"/>
      <c r="E248"/>
      <c r="F248"/>
      <c r="G248"/>
      <c r="H248" s="96" t="str">
        <f ca="1">IF(I248="",SearchHLookup(D248&amp;E248&amp;G248,Categorieën!$B$1:$P$30),I248)</f>
        <v/>
      </c>
    </row>
    <row r="249" spans="1:8">
      <c r="A249"/>
      <c r="B249" s="51"/>
      <c r="C249"/>
      <c r="D249"/>
      <c r="E249"/>
      <c r="F249"/>
      <c r="G249"/>
      <c r="H249" s="96" t="str">
        <f ca="1">IF(I249="",SearchHLookup(D249&amp;E249&amp;G249,Categorieën!$B$1:$P$30),I249)</f>
        <v/>
      </c>
    </row>
    <row r="250" spans="1:8">
      <c r="A250"/>
      <c r="B250" s="51"/>
      <c r="C250"/>
      <c r="D250"/>
      <c r="E250"/>
      <c r="F250"/>
      <c r="G250"/>
      <c r="H250" s="96" t="str">
        <f ca="1">IF(I250="",SearchHLookup(D250&amp;E250&amp;G250,Categorieën!$B$1:$P$30),I250)</f>
        <v/>
      </c>
    </row>
    <row r="251" spans="1:8">
      <c r="A251"/>
      <c r="B251" s="51"/>
      <c r="C251"/>
      <c r="D251"/>
      <c r="E251"/>
      <c r="F251"/>
      <c r="G251"/>
      <c r="H251" s="96" t="str">
        <f ca="1">IF(I251="",SearchHLookup(D251&amp;E251&amp;G251,Categorieën!$B$1:$P$30),I251)</f>
        <v/>
      </c>
    </row>
    <row r="252" spans="1:8">
      <c r="A252"/>
      <c r="B252" s="51"/>
      <c r="C252"/>
      <c r="D252"/>
      <c r="E252"/>
      <c r="F252"/>
      <c r="G252"/>
      <c r="H252" s="96" t="str">
        <f ca="1">IF(I252="",SearchHLookup(D252&amp;E252&amp;G252,Categorieën!$B$1:$P$30),I252)</f>
        <v/>
      </c>
    </row>
    <row r="253" spans="1:8">
      <c r="A253"/>
      <c r="B253" s="51"/>
      <c r="C253"/>
      <c r="D253"/>
      <c r="E253"/>
      <c r="F253"/>
      <c r="G253"/>
      <c r="H253" s="96" t="str">
        <f ca="1">IF(I253="",SearchHLookup(D253&amp;E253&amp;G253,Categorieën!$B$1:$P$30),I253)</f>
        <v/>
      </c>
    </row>
    <row r="254" spans="1:8">
      <c r="A254"/>
      <c r="B254" s="51"/>
      <c r="C254"/>
      <c r="D254"/>
      <c r="E254"/>
      <c r="F254"/>
      <c r="G254"/>
      <c r="H254" s="96" t="str">
        <f ca="1">IF(I254="",SearchHLookup(D254&amp;E254&amp;G254,Categorieën!$B$1:$P$30),I254)</f>
        <v/>
      </c>
    </row>
    <row r="255" spans="1:8">
      <c r="A255"/>
      <c r="B255" s="51"/>
      <c r="C255"/>
      <c r="D255"/>
      <c r="E255"/>
      <c r="F255"/>
      <c r="G255"/>
      <c r="H255" s="96" t="str">
        <f ca="1">IF(I255="",SearchHLookup(D255&amp;E255&amp;G255,Categorieën!$B$1:$P$30),I255)</f>
        <v/>
      </c>
    </row>
    <row r="256" spans="1:8">
      <c r="A256"/>
      <c r="B256" s="51"/>
      <c r="C256"/>
      <c r="D256"/>
      <c r="E256"/>
      <c r="F256"/>
      <c r="G256"/>
      <c r="H256" s="96" t="str">
        <f ca="1">IF(I256="",SearchHLookup(D256&amp;E256&amp;G256,Categorieën!$B$1:$P$30),I256)</f>
        <v/>
      </c>
    </row>
    <row r="257" spans="1:8">
      <c r="A257"/>
      <c r="B257" s="51"/>
      <c r="C257"/>
      <c r="D257"/>
      <c r="E257"/>
      <c r="F257"/>
      <c r="G257"/>
      <c r="H257" s="96" t="str">
        <f ca="1">IF(I257="",SearchHLookup(D257&amp;E257&amp;G257,Categorieën!$B$1:$P$30),I257)</f>
        <v/>
      </c>
    </row>
    <row r="258" spans="1:8">
      <c r="A258"/>
      <c r="B258" s="51"/>
      <c r="C258"/>
      <c r="D258"/>
      <c r="E258"/>
      <c r="F258"/>
      <c r="G258"/>
      <c r="H258" s="96" t="str">
        <f ca="1">IF(I258="",SearchHLookup(D258&amp;E258&amp;G258,Categorieën!$B$1:$P$30),I258)</f>
        <v/>
      </c>
    </row>
    <row r="259" spans="1:8">
      <c r="A259"/>
      <c r="B259" s="51"/>
      <c r="C259"/>
      <c r="D259"/>
      <c r="E259"/>
      <c r="F259"/>
      <c r="G259"/>
      <c r="H259" s="96" t="str">
        <f ca="1">IF(I259="",SearchHLookup(D259&amp;E259&amp;G259,Categorieën!$B$1:$P$30),I259)</f>
        <v/>
      </c>
    </row>
    <row r="260" spans="1:8">
      <c r="A260"/>
      <c r="B260" s="51"/>
      <c r="C260"/>
      <c r="D260"/>
      <c r="E260"/>
      <c r="F260"/>
      <c r="G260"/>
      <c r="H260" s="96" t="str">
        <f ca="1">IF(I260="",SearchHLookup(D260&amp;E260&amp;G260,Categorieën!$B$1:$P$30),I260)</f>
        <v/>
      </c>
    </row>
    <row r="261" spans="1:8">
      <c r="A261"/>
      <c r="B261" s="51"/>
      <c r="C261"/>
      <c r="D261"/>
      <c r="E261"/>
      <c r="F261"/>
      <c r="G261"/>
      <c r="H261" s="96" t="str">
        <f ca="1">IF(I261="",SearchHLookup(D261&amp;E261&amp;G261,Categorieën!$B$1:$P$30),I261)</f>
        <v/>
      </c>
    </row>
    <row r="262" spans="1:8">
      <c r="A262"/>
      <c r="B262" s="51"/>
      <c r="C262"/>
      <c r="D262"/>
      <c r="E262"/>
      <c r="F262"/>
      <c r="G262"/>
      <c r="H262" s="96" t="str">
        <f ca="1">IF(I262="",SearchHLookup(D262&amp;E262&amp;G262,Categorieën!$B$1:$P$30),I262)</f>
        <v/>
      </c>
    </row>
    <row r="263" spans="1:8">
      <c r="A263"/>
      <c r="B263" s="51"/>
      <c r="C263"/>
      <c r="D263"/>
      <c r="E263"/>
      <c r="F263"/>
      <c r="G263"/>
      <c r="H263" s="96" t="str">
        <f ca="1">IF(I263="",SearchHLookup(D263&amp;E263&amp;G263,Categorieën!$B$1:$P$30),I263)</f>
        <v/>
      </c>
    </row>
    <row r="264" spans="1:8">
      <c r="A264"/>
      <c r="B264" s="51"/>
      <c r="C264"/>
      <c r="D264"/>
      <c r="E264"/>
      <c r="F264"/>
      <c r="G264"/>
      <c r="H264" s="96" t="str">
        <f ca="1">IF(I264="",SearchHLookup(D264&amp;E264&amp;G264,Categorieën!$B$1:$P$30),I264)</f>
        <v/>
      </c>
    </row>
    <row r="265" spans="1:8">
      <c r="A265"/>
      <c r="B265" s="51"/>
      <c r="C265"/>
      <c r="D265"/>
      <c r="E265"/>
      <c r="F265"/>
      <c r="G265"/>
      <c r="H265" s="96" t="str">
        <f ca="1">IF(I265="",SearchHLookup(D265&amp;E265&amp;G265,Categorieën!$B$1:$P$30),I265)</f>
        <v/>
      </c>
    </row>
    <row r="266" spans="1:8">
      <c r="A266"/>
      <c r="B266" s="51"/>
      <c r="C266"/>
      <c r="D266"/>
      <c r="E266"/>
      <c r="F266"/>
      <c r="G266"/>
      <c r="H266" s="96" t="str">
        <f ca="1">IF(I266="",SearchHLookup(D266&amp;E266&amp;G266,Categorieën!$B$1:$P$30),I266)</f>
        <v/>
      </c>
    </row>
    <row r="267" spans="1:8">
      <c r="A267"/>
      <c r="B267" s="51"/>
      <c r="C267"/>
      <c r="D267"/>
      <c r="E267"/>
      <c r="F267"/>
      <c r="G267"/>
      <c r="H267" s="96" t="str">
        <f ca="1">IF(I267="",SearchHLookup(D267&amp;E267&amp;G267,Categorieën!$B$1:$P$30),I267)</f>
        <v/>
      </c>
    </row>
    <row r="268" spans="1:8">
      <c r="A268"/>
      <c r="B268" s="51"/>
      <c r="C268"/>
      <c r="D268"/>
      <c r="E268"/>
      <c r="F268"/>
      <c r="G268"/>
      <c r="H268" s="96" t="str">
        <f ca="1">IF(I268="",SearchHLookup(D268&amp;E268&amp;G268,Categorieën!$B$1:$P$30),I268)</f>
        <v/>
      </c>
    </row>
    <row r="269" spans="1:8">
      <c r="A269"/>
      <c r="B269" s="51"/>
      <c r="C269"/>
      <c r="D269"/>
      <c r="E269"/>
      <c r="F269"/>
      <c r="G269"/>
      <c r="H269" s="96" t="str">
        <f ca="1">IF(I269="",SearchHLookup(D269&amp;E269&amp;G269,Categorieën!$B$1:$P$30),I269)</f>
        <v/>
      </c>
    </row>
    <row r="270" spans="1:8">
      <c r="A270"/>
      <c r="B270" s="51"/>
      <c r="C270"/>
      <c r="D270"/>
      <c r="E270"/>
      <c r="F270"/>
      <c r="G270"/>
      <c r="H270" s="96" t="str">
        <f ca="1">IF(I270="",SearchHLookup(D270&amp;E270&amp;G270,Categorieën!$B$1:$P$30),I270)</f>
        <v/>
      </c>
    </row>
    <row r="271" spans="1:8">
      <c r="A271"/>
      <c r="B271" s="51"/>
      <c r="C271"/>
      <c r="D271"/>
      <c r="E271"/>
      <c r="F271"/>
      <c r="G271"/>
      <c r="H271" s="96" t="str">
        <f ca="1">IF(I271="",SearchHLookup(D271&amp;E271&amp;G271,Categorieën!$B$1:$P$30),I271)</f>
        <v/>
      </c>
    </row>
    <row r="272" spans="1:8">
      <c r="A272"/>
      <c r="B272" s="51"/>
      <c r="C272"/>
      <c r="D272"/>
      <c r="E272"/>
      <c r="F272"/>
      <c r="G272"/>
      <c r="H272" s="96" t="str">
        <f ca="1">IF(I272="",SearchHLookup(D272&amp;E272&amp;G272,Categorieën!$B$1:$P$30),I272)</f>
        <v/>
      </c>
    </row>
    <row r="273" spans="1:8">
      <c r="A273"/>
      <c r="B273" s="51"/>
      <c r="C273"/>
      <c r="D273"/>
      <c r="E273"/>
      <c r="F273"/>
      <c r="G273"/>
      <c r="H273" s="96" t="str">
        <f ca="1">IF(I273="",SearchHLookup(D273&amp;E273&amp;G273,Categorieën!$B$1:$P$30),I273)</f>
        <v/>
      </c>
    </row>
    <row r="274" spans="1:8">
      <c r="A274"/>
      <c r="B274" s="51"/>
      <c r="C274"/>
      <c r="D274"/>
      <c r="E274"/>
      <c r="F274"/>
      <c r="G274"/>
      <c r="H274" s="96" t="str">
        <f ca="1">IF(I274="",SearchHLookup(D274&amp;E274&amp;G274,Categorieën!$B$1:$P$30),I274)</f>
        <v/>
      </c>
    </row>
    <row r="275" spans="1:8">
      <c r="A275"/>
      <c r="B275" s="51"/>
      <c r="C275"/>
      <c r="D275"/>
      <c r="E275"/>
      <c r="F275"/>
      <c r="G275"/>
      <c r="H275" s="96" t="str">
        <f ca="1">IF(I275="",SearchHLookup(D275&amp;E275&amp;G275,Categorieën!$B$1:$P$30),I275)</f>
        <v/>
      </c>
    </row>
    <row r="276" spans="1:8">
      <c r="A276"/>
      <c r="B276" s="51"/>
      <c r="C276"/>
      <c r="D276"/>
      <c r="E276"/>
      <c r="F276"/>
      <c r="G276"/>
      <c r="H276" s="96" t="str">
        <f ca="1">IF(I276="",SearchHLookup(D276&amp;E276&amp;G276,Categorieën!$B$1:$P$30),I276)</f>
        <v/>
      </c>
    </row>
    <row r="277" spans="1:8">
      <c r="A277"/>
      <c r="B277" s="51"/>
      <c r="C277"/>
      <c r="D277"/>
      <c r="E277"/>
      <c r="F277"/>
      <c r="G277"/>
      <c r="H277" s="96" t="str">
        <f ca="1">IF(I277="",SearchHLookup(D277&amp;E277&amp;G277,Categorieën!$B$1:$P$30),I277)</f>
        <v/>
      </c>
    </row>
    <row r="278" spans="1:8">
      <c r="A278"/>
      <c r="B278" s="51"/>
      <c r="C278"/>
      <c r="D278"/>
      <c r="E278"/>
      <c r="F278"/>
      <c r="G278"/>
      <c r="H278" s="96" t="str">
        <f ca="1">IF(I278="",SearchHLookup(D278&amp;E278&amp;G278,Categorieën!$B$1:$P$30),I278)</f>
        <v/>
      </c>
    </row>
    <row r="279" spans="1:8">
      <c r="A279"/>
      <c r="B279" s="51"/>
      <c r="C279"/>
      <c r="D279"/>
      <c r="E279"/>
      <c r="F279"/>
      <c r="G279"/>
      <c r="H279" s="96" t="str">
        <f ca="1">IF(I279="",SearchHLookup(D279&amp;E279&amp;G279,Categorieën!$B$1:$P$30),I279)</f>
        <v/>
      </c>
    </row>
    <row r="280" spans="1:8">
      <c r="A280"/>
      <c r="B280" s="51"/>
      <c r="C280"/>
      <c r="D280"/>
      <c r="E280"/>
      <c r="F280"/>
      <c r="G280"/>
      <c r="H280" s="96" t="str">
        <f ca="1">IF(I280="",SearchHLookup(D280&amp;E280&amp;G280,Categorieën!$B$1:$P$30),I280)</f>
        <v/>
      </c>
    </row>
    <row r="281" spans="1:8">
      <c r="A281"/>
      <c r="B281" s="51"/>
      <c r="C281"/>
      <c r="D281"/>
      <c r="E281"/>
      <c r="F281"/>
      <c r="G281"/>
      <c r="H281" s="96" t="str">
        <f ca="1">IF(I281="",SearchHLookup(D281&amp;E281&amp;G281,Categorieën!$B$1:$P$30),I281)</f>
        <v/>
      </c>
    </row>
    <row r="282" spans="1:8">
      <c r="A282"/>
      <c r="B282" s="51"/>
      <c r="C282"/>
      <c r="D282"/>
      <c r="E282"/>
      <c r="F282"/>
      <c r="G282"/>
      <c r="H282" s="96" t="str">
        <f ca="1">IF(I282="",SearchHLookup(D282&amp;E282&amp;G282,Categorieën!$B$1:$P$30),I282)</f>
        <v/>
      </c>
    </row>
    <row r="283" spans="1:8">
      <c r="A283"/>
      <c r="B283" s="51"/>
      <c r="C283"/>
      <c r="D283"/>
      <c r="E283"/>
      <c r="F283"/>
      <c r="G283"/>
      <c r="H283" s="96" t="str">
        <f ca="1">IF(I283="",SearchHLookup(D283&amp;E283&amp;G283,Categorieën!$B$1:$P$30),I283)</f>
        <v/>
      </c>
    </row>
    <row r="284" spans="1:8">
      <c r="A284"/>
      <c r="B284" s="51"/>
      <c r="C284"/>
      <c r="D284"/>
      <c r="E284"/>
      <c r="F284"/>
      <c r="G284"/>
      <c r="H284" s="96" t="str">
        <f ca="1">IF(I284="",SearchHLookup(D284&amp;E284&amp;G284,Categorieën!$B$1:$P$30),I284)</f>
        <v/>
      </c>
    </row>
    <row r="285" spans="1:8">
      <c r="A285"/>
      <c r="B285" s="51"/>
      <c r="C285"/>
      <c r="D285"/>
      <c r="E285"/>
      <c r="F285"/>
      <c r="G285"/>
      <c r="H285" s="96" t="str">
        <f ca="1">IF(I285="",SearchHLookup(D285&amp;E285&amp;G285,Categorieën!$B$1:$P$30),I285)</f>
        <v/>
      </c>
    </row>
    <row r="286" spans="1:8">
      <c r="A286"/>
      <c r="B286" s="51"/>
      <c r="C286"/>
      <c r="D286"/>
      <c r="E286"/>
      <c r="F286"/>
      <c r="G286"/>
      <c r="H286" s="96" t="str">
        <f ca="1">IF(I286="",SearchHLookup(D286&amp;E286&amp;G286,Categorieën!$B$1:$P$30),I286)</f>
        <v/>
      </c>
    </row>
    <row r="287" spans="1:8">
      <c r="A287"/>
      <c r="B287" s="51"/>
      <c r="C287"/>
      <c r="D287"/>
      <c r="E287"/>
      <c r="F287"/>
      <c r="G287"/>
      <c r="H287" s="96" t="str">
        <f ca="1">IF(I287="",SearchHLookup(D287&amp;E287&amp;G287,Categorieën!$B$1:$P$30),I287)</f>
        <v/>
      </c>
    </row>
    <row r="288" spans="1:8">
      <c r="A288"/>
      <c r="B288" s="51"/>
      <c r="C288"/>
      <c r="D288"/>
      <c r="E288"/>
      <c r="F288"/>
      <c r="G288"/>
      <c r="H288" s="96" t="str">
        <f ca="1">IF(I288="",SearchHLookup(D288&amp;E288&amp;G288,Categorieën!$B$1:$P$30),I288)</f>
        <v/>
      </c>
    </row>
    <row r="289" spans="1:8">
      <c r="A289"/>
      <c r="B289" s="51"/>
      <c r="C289"/>
      <c r="D289"/>
      <c r="E289"/>
      <c r="F289"/>
      <c r="G289"/>
      <c r="H289" s="96" t="str">
        <f ca="1">IF(I289="",SearchHLookup(D289&amp;E289&amp;G289,Categorieën!$B$1:$P$30),I289)</f>
        <v/>
      </c>
    </row>
    <row r="290" spans="1:8">
      <c r="A290"/>
      <c r="B290" s="51"/>
      <c r="C290"/>
      <c r="D290"/>
      <c r="E290"/>
      <c r="F290"/>
      <c r="G290"/>
      <c r="H290" s="96" t="str">
        <f ca="1">IF(I290="",SearchHLookup(D290&amp;E290&amp;G290,Categorieën!$B$1:$P$30),I290)</f>
        <v/>
      </c>
    </row>
    <row r="291" spans="1:8">
      <c r="A291"/>
      <c r="B291" s="51"/>
      <c r="C291"/>
      <c r="D291"/>
      <c r="E291"/>
      <c r="F291"/>
      <c r="G291"/>
      <c r="H291" s="96" t="str">
        <f ca="1">IF(I291="",SearchHLookup(D291&amp;E291&amp;G291,Categorieën!$B$1:$P$30),I291)</f>
        <v/>
      </c>
    </row>
    <row r="292" spans="1:8">
      <c r="A292"/>
      <c r="B292" s="51"/>
      <c r="C292"/>
      <c r="D292"/>
      <c r="E292"/>
      <c r="F292"/>
      <c r="G292"/>
      <c r="H292" s="96" t="str">
        <f ca="1">IF(I292="",SearchHLookup(D292&amp;E292&amp;G292,Categorieën!$B$1:$P$30),I292)</f>
        <v/>
      </c>
    </row>
    <row r="293" spans="1:8">
      <c r="A293"/>
      <c r="B293" s="51"/>
      <c r="C293"/>
      <c r="D293"/>
      <c r="E293"/>
      <c r="F293"/>
      <c r="G293"/>
      <c r="H293" s="96" t="str">
        <f ca="1">IF(I293="",SearchHLookup(D293&amp;E293&amp;G293,Categorieën!$B$1:$P$30),I293)</f>
        <v/>
      </c>
    </row>
    <row r="294" spans="1:8">
      <c r="A294"/>
      <c r="B294" s="51"/>
      <c r="C294"/>
      <c r="D294"/>
      <c r="E294"/>
      <c r="F294"/>
      <c r="G294"/>
      <c r="H294" s="96" t="str">
        <f ca="1">IF(I294="",SearchHLookup(D294&amp;E294&amp;G294,Categorieën!$B$1:$P$30),I294)</f>
        <v/>
      </c>
    </row>
    <row r="295" spans="1:8">
      <c r="A295"/>
      <c r="B295" s="51"/>
      <c r="C295"/>
      <c r="D295"/>
      <c r="E295"/>
      <c r="F295"/>
      <c r="G295"/>
      <c r="H295" s="96" t="str">
        <f ca="1">IF(I295="",SearchHLookup(D295&amp;E295&amp;G295,Categorieën!$B$1:$P$30),I295)</f>
        <v/>
      </c>
    </row>
    <row r="296" spans="1:8">
      <c r="A296"/>
      <c r="B296" s="51"/>
      <c r="C296"/>
      <c r="D296"/>
      <c r="E296"/>
      <c r="F296"/>
      <c r="G296"/>
      <c r="H296" s="96" t="str">
        <f ca="1">IF(I296="",SearchHLookup(D296&amp;E296&amp;G296,Categorieën!$B$1:$P$30),I296)</f>
        <v/>
      </c>
    </row>
    <row r="297" spans="1:8">
      <c r="A297"/>
      <c r="B297" s="51"/>
      <c r="C297"/>
      <c r="D297"/>
      <c r="E297"/>
      <c r="F297"/>
      <c r="G297"/>
      <c r="H297" s="96" t="str">
        <f ca="1">IF(I297="",SearchHLookup(D297&amp;E297&amp;G297,Categorieën!$B$1:$P$30),I297)</f>
        <v/>
      </c>
    </row>
    <row r="298" spans="1:8">
      <c r="A298"/>
      <c r="B298" s="51"/>
      <c r="C298"/>
      <c r="D298"/>
      <c r="E298"/>
      <c r="F298"/>
      <c r="G298"/>
      <c r="H298" s="96" t="str">
        <f ca="1">IF(I298="",SearchHLookup(D298&amp;E298&amp;G298,Categorieën!$B$1:$P$30),I298)</f>
        <v/>
      </c>
    </row>
    <row r="299" spans="1:8">
      <c r="A299"/>
      <c r="B299" s="51"/>
      <c r="C299"/>
      <c r="D299"/>
      <c r="E299"/>
      <c r="F299"/>
      <c r="G299"/>
      <c r="H299" s="96" t="str">
        <f ca="1">IF(I299="",SearchHLookup(D299&amp;E299&amp;G299,Categorieën!$B$1:$P$30),I299)</f>
        <v/>
      </c>
    </row>
    <row r="300" spans="1:8">
      <c r="A300"/>
      <c r="B300" s="51"/>
      <c r="C300"/>
      <c r="D300"/>
      <c r="E300"/>
      <c r="F300"/>
      <c r="G300"/>
      <c r="H300" s="96" t="str">
        <f ca="1">IF(I300="",SearchHLookup(D300&amp;E300&amp;G300,Categorieën!$B$1:$P$30),I300)</f>
        <v/>
      </c>
    </row>
    <row r="301" spans="1:8">
      <c r="A301"/>
      <c r="B301" s="51"/>
      <c r="C301"/>
      <c r="D301"/>
      <c r="E301"/>
      <c r="F301"/>
      <c r="G301"/>
      <c r="H301" s="96" t="str">
        <f ca="1">IF(I301="",SearchHLookup(D301&amp;E301&amp;G301,Categorieën!$B$1:$P$30),I301)</f>
        <v/>
      </c>
    </row>
    <row r="302" spans="1:8">
      <c r="A302"/>
      <c r="B302" s="51"/>
      <c r="C302"/>
      <c r="D302"/>
      <c r="E302"/>
      <c r="F302"/>
      <c r="G302"/>
      <c r="H302" s="96" t="str">
        <f ca="1">IF(I302="",SearchHLookup(D302&amp;E302&amp;G302,Categorieën!$B$1:$P$30),I302)</f>
        <v/>
      </c>
    </row>
    <row r="303" spans="1:8">
      <c r="A303"/>
      <c r="B303" s="51"/>
      <c r="C303"/>
      <c r="D303"/>
      <c r="E303"/>
      <c r="F303"/>
      <c r="G303"/>
      <c r="H303" s="96" t="str">
        <f ca="1">IF(I303="",SearchHLookup(D303&amp;E303&amp;G303,Categorieën!$B$1:$P$30),I303)</f>
        <v/>
      </c>
    </row>
    <row r="304" spans="1:8">
      <c r="A304"/>
      <c r="B304" s="51"/>
      <c r="C304"/>
      <c r="D304"/>
      <c r="E304"/>
      <c r="F304"/>
      <c r="G304"/>
      <c r="H304" s="96" t="str">
        <f ca="1">IF(I304="",SearchHLookup(D304&amp;E304&amp;G304,Categorieën!$B$1:$P$30),I304)</f>
        <v/>
      </c>
    </row>
    <row r="305" spans="1:8">
      <c r="A305"/>
      <c r="B305" s="51"/>
      <c r="C305"/>
      <c r="D305"/>
      <c r="E305"/>
      <c r="F305"/>
      <c r="G305"/>
      <c r="H305" s="96" t="str">
        <f ca="1">IF(I305="",SearchHLookup(D305&amp;E305&amp;G305,Categorieën!$B$1:$P$30),I305)</f>
        <v/>
      </c>
    </row>
    <row r="306" spans="1:8">
      <c r="A306"/>
      <c r="B306" s="51"/>
      <c r="C306"/>
      <c r="D306"/>
      <c r="E306"/>
      <c r="F306"/>
      <c r="G306"/>
      <c r="H306" s="96" t="str">
        <f ca="1">IF(I306="",SearchHLookup(D306&amp;E306&amp;G306,Categorieën!$B$1:$P$30),I306)</f>
        <v/>
      </c>
    </row>
    <row r="307" spans="1:8">
      <c r="A307"/>
      <c r="B307" s="51"/>
      <c r="C307"/>
      <c r="D307"/>
      <c r="E307"/>
      <c r="F307"/>
      <c r="G307"/>
      <c r="H307" s="96" t="str">
        <f ca="1">IF(I307="",SearchHLookup(D307&amp;E307&amp;G307,Categorieën!$B$1:$P$30),I307)</f>
        <v/>
      </c>
    </row>
    <row r="308" spans="1:8">
      <c r="A308"/>
      <c r="B308" s="51"/>
      <c r="C308"/>
      <c r="D308"/>
      <c r="E308"/>
      <c r="F308"/>
      <c r="G308"/>
      <c r="H308" s="96" t="str">
        <f ca="1">IF(I308="",SearchHLookup(D308&amp;E308&amp;G308,Categorieën!$B$1:$P$30),I308)</f>
        <v/>
      </c>
    </row>
    <row r="309" spans="1:8">
      <c r="A309"/>
      <c r="B309" s="51"/>
      <c r="C309"/>
      <c r="D309"/>
      <c r="E309"/>
      <c r="F309"/>
      <c r="G309"/>
      <c r="H309" s="96" t="str">
        <f ca="1">IF(I309="",SearchHLookup(D309&amp;E309&amp;G309,Categorieën!$B$1:$P$30),I309)</f>
        <v/>
      </c>
    </row>
    <row r="310" spans="1:8">
      <c r="A310"/>
      <c r="B310" s="51"/>
      <c r="C310"/>
      <c r="D310"/>
      <c r="E310"/>
      <c r="F310"/>
      <c r="G310"/>
      <c r="H310" s="96" t="str">
        <f ca="1">IF(I310="",SearchHLookup(D310&amp;E310&amp;G310,Categorieën!$B$1:$P$30),I310)</f>
        <v/>
      </c>
    </row>
    <row r="311" spans="1:8">
      <c r="A311"/>
      <c r="B311" s="51"/>
      <c r="C311"/>
      <c r="D311"/>
      <c r="E311"/>
      <c r="F311"/>
      <c r="G311"/>
      <c r="H311" s="96" t="str">
        <f ca="1">IF(I311="",SearchHLookup(D311&amp;E311&amp;G311,Categorieën!$B$1:$P$30),I311)</f>
        <v/>
      </c>
    </row>
    <row r="312" spans="1:8">
      <c r="A312"/>
      <c r="B312" s="51"/>
      <c r="C312"/>
      <c r="D312"/>
      <c r="E312"/>
      <c r="F312"/>
      <c r="G312"/>
      <c r="H312" s="96" t="str">
        <f ca="1">IF(I312="",SearchHLookup(D312&amp;E312&amp;G312,Categorieën!$B$1:$P$30),I312)</f>
        <v/>
      </c>
    </row>
    <row r="313" spans="1:8">
      <c r="A313"/>
      <c r="B313" s="51"/>
      <c r="C313"/>
      <c r="D313"/>
      <c r="E313"/>
      <c r="F313"/>
      <c r="G313"/>
      <c r="H313" s="96" t="str">
        <f ca="1">IF(I313="",SearchHLookup(D313&amp;E313&amp;G313,Categorieën!$B$1:$P$30),I313)</f>
        <v/>
      </c>
    </row>
    <row r="314" spans="1:8">
      <c r="A314"/>
      <c r="B314" s="51"/>
      <c r="C314"/>
      <c r="D314"/>
      <c r="E314"/>
      <c r="F314"/>
      <c r="G314"/>
      <c r="H314" s="96" t="str">
        <f ca="1">IF(I314="",SearchHLookup(D314&amp;E314&amp;G314,Categorieën!$B$1:$P$30),I314)</f>
        <v/>
      </c>
    </row>
    <row r="315" spans="1:8">
      <c r="A315"/>
      <c r="B315" s="51"/>
      <c r="C315"/>
      <c r="D315"/>
      <c r="E315"/>
      <c r="F315"/>
      <c r="G315"/>
      <c r="H315" s="96" t="str">
        <f ca="1">IF(I315="",SearchHLookup(D315&amp;E315&amp;G315,Categorieën!$B$1:$P$30),I315)</f>
        <v/>
      </c>
    </row>
    <row r="316" spans="1:8">
      <c r="A316"/>
      <c r="B316" s="51"/>
      <c r="C316"/>
      <c r="D316"/>
      <c r="E316"/>
      <c r="F316"/>
      <c r="G316"/>
      <c r="H316" s="96" t="str">
        <f ca="1">IF(I316="",SearchHLookup(D316&amp;E316&amp;G316,Categorieën!$B$1:$P$30),I316)</f>
        <v/>
      </c>
    </row>
    <row r="317" spans="1:8">
      <c r="A317"/>
      <c r="B317" s="51"/>
      <c r="C317"/>
      <c r="D317"/>
      <c r="E317"/>
      <c r="F317"/>
      <c r="G317"/>
      <c r="H317" s="96" t="str">
        <f ca="1">IF(I317="",SearchHLookup(D317&amp;E317&amp;G317,Categorieën!$B$1:$P$30),I317)</f>
        <v/>
      </c>
    </row>
    <row r="318" spans="1:8">
      <c r="A318"/>
      <c r="B318" s="51"/>
      <c r="C318"/>
      <c r="D318"/>
      <c r="E318"/>
      <c r="F318"/>
      <c r="G318"/>
      <c r="H318" s="96" t="str">
        <f ca="1">IF(I318="",SearchHLookup(D318&amp;E318&amp;G318,Categorieën!$B$1:$P$30),I318)</f>
        <v/>
      </c>
    </row>
    <row r="319" spans="1:8">
      <c r="A319"/>
      <c r="B319" s="51"/>
      <c r="C319"/>
      <c r="D319"/>
      <c r="E319"/>
      <c r="F319"/>
      <c r="G319"/>
      <c r="H319" s="96" t="str">
        <f ca="1">IF(I319="",SearchHLookup(D319&amp;E319&amp;G319,Categorieën!$B$1:$P$30),I319)</f>
        <v/>
      </c>
    </row>
    <row r="320" spans="1:8">
      <c r="A320"/>
      <c r="B320" s="51"/>
      <c r="C320"/>
      <c r="D320"/>
      <c r="E320"/>
      <c r="F320"/>
      <c r="G320"/>
      <c r="H320" s="96" t="str">
        <f ca="1">IF(I320="",SearchHLookup(D320&amp;E320&amp;G320,Categorieën!$B$1:$P$30),I320)</f>
        <v/>
      </c>
    </row>
    <row r="321" spans="1:8">
      <c r="A321"/>
      <c r="B321" s="51"/>
      <c r="C321"/>
      <c r="D321"/>
      <c r="E321"/>
      <c r="F321"/>
      <c r="G321"/>
      <c r="H321" s="96" t="str">
        <f ca="1">IF(I321="",SearchHLookup(D321&amp;E321&amp;G321,Categorieën!$B$1:$P$30),I321)</f>
        <v/>
      </c>
    </row>
    <row r="322" spans="1:8">
      <c r="A322"/>
      <c r="B322" s="51"/>
      <c r="C322"/>
      <c r="D322"/>
      <c r="E322"/>
      <c r="F322"/>
      <c r="G322"/>
      <c r="H322" s="96" t="str">
        <f ca="1">IF(I322="",SearchHLookup(D322&amp;E322&amp;G322,Categorieën!$B$1:$P$30),I322)</f>
        <v/>
      </c>
    </row>
    <row r="323" spans="1:8">
      <c r="A323"/>
      <c r="B323" s="51"/>
      <c r="C323"/>
      <c r="D323"/>
      <c r="E323"/>
      <c r="F323"/>
      <c r="G323"/>
      <c r="H323" s="96" t="str">
        <f ca="1">IF(I323="",SearchHLookup(D323&amp;E323&amp;G323,Categorieën!$B$1:$P$30),I323)</f>
        <v/>
      </c>
    </row>
    <row r="324" spans="1:8">
      <c r="A324"/>
      <c r="B324" s="51"/>
      <c r="C324"/>
      <c r="D324"/>
      <c r="E324"/>
      <c r="F324"/>
      <c r="G324"/>
      <c r="H324" s="96" t="str">
        <f ca="1">IF(I324="",SearchHLookup(D324&amp;E324&amp;G324,Categorieën!$B$1:$P$30),I324)</f>
        <v/>
      </c>
    </row>
    <row r="325" spans="1:8">
      <c r="A325"/>
      <c r="B325" s="51"/>
      <c r="C325"/>
      <c r="D325"/>
      <c r="E325"/>
      <c r="F325"/>
      <c r="G325"/>
      <c r="H325" s="96" t="str">
        <f ca="1">IF(I325="",SearchHLookup(D325&amp;E325&amp;G325,Categorieën!$B$1:$P$30),I325)</f>
        <v/>
      </c>
    </row>
    <row r="326" spans="1:8">
      <c r="A326"/>
      <c r="B326" s="51"/>
      <c r="C326"/>
      <c r="D326"/>
      <c r="E326"/>
      <c r="F326"/>
      <c r="G326"/>
      <c r="H326" s="96" t="str">
        <f ca="1">IF(I326="",SearchHLookup(D326&amp;E326&amp;G326,Categorieën!$B$1:$P$30),I326)</f>
        <v/>
      </c>
    </row>
    <row r="327" spans="1:8">
      <c r="A327"/>
      <c r="B327" s="51"/>
      <c r="C327"/>
      <c r="D327"/>
      <c r="E327"/>
      <c r="F327"/>
      <c r="G327"/>
      <c r="H327" s="96" t="str">
        <f ca="1">IF(I327="",SearchHLookup(D327&amp;E327&amp;G327,Categorieën!$B$1:$P$30),I327)</f>
        <v/>
      </c>
    </row>
    <row r="328" spans="1:8">
      <c r="A328"/>
      <c r="B328" s="51"/>
      <c r="C328"/>
      <c r="D328"/>
      <c r="E328"/>
      <c r="F328"/>
      <c r="G328"/>
      <c r="H328" s="96" t="str">
        <f ca="1">IF(I328="",SearchHLookup(D328&amp;E328&amp;G328,Categorieën!$B$1:$P$30),I328)</f>
        <v/>
      </c>
    </row>
    <row r="329" spans="1:8">
      <c r="A329"/>
      <c r="B329" s="51"/>
      <c r="C329"/>
      <c r="D329"/>
      <c r="E329"/>
      <c r="F329"/>
      <c r="G329"/>
      <c r="H329" s="96" t="str">
        <f ca="1">IF(I329="",SearchHLookup(D329&amp;E329&amp;G329,Categorieën!$B$1:$P$30),I329)</f>
        <v/>
      </c>
    </row>
    <row r="330" spans="1:8">
      <c r="A330"/>
      <c r="B330" s="51"/>
      <c r="C330"/>
      <c r="D330"/>
      <c r="E330"/>
      <c r="F330"/>
      <c r="G330"/>
      <c r="H330" s="96" t="str">
        <f ca="1">IF(I330="",SearchHLookup(D330&amp;E330&amp;G330,Categorieën!$B$1:$P$30),I330)</f>
        <v/>
      </c>
    </row>
    <row r="331" spans="1:8">
      <c r="A331"/>
      <c r="B331" s="51"/>
      <c r="C331"/>
      <c r="D331"/>
      <c r="E331"/>
      <c r="F331"/>
      <c r="G331"/>
      <c r="H331" s="96" t="str">
        <f ca="1">IF(I331="",SearchHLookup(D331&amp;E331&amp;G331,Categorieën!$B$1:$P$30),I331)</f>
        <v/>
      </c>
    </row>
    <row r="332" spans="1:8">
      <c r="A332"/>
      <c r="B332" s="51"/>
      <c r="C332"/>
      <c r="D332"/>
      <c r="E332"/>
      <c r="F332"/>
      <c r="G332"/>
      <c r="H332" s="96" t="str">
        <f ca="1">IF(I332="",SearchHLookup(D332&amp;E332&amp;G332,Categorieën!$B$1:$P$30),I332)</f>
        <v/>
      </c>
    </row>
    <row r="333" spans="1:8">
      <c r="A333"/>
      <c r="B333" s="51"/>
      <c r="C333"/>
      <c r="D333"/>
      <c r="E333"/>
      <c r="F333"/>
      <c r="G333"/>
      <c r="H333" s="96" t="str">
        <f ca="1">IF(I333="",SearchHLookup(D333&amp;E333&amp;G333,Categorieën!$B$1:$P$30),I333)</f>
        <v/>
      </c>
    </row>
    <row r="334" spans="1:8">
      <c r="A334"/>
      <c r="B334" s="51"/>
      <c r="C334"/>
      <c r="D334"/>
      <c r="E334"/>
      <c r="F334"/>
      <c r="G334"/>
      <c r="H334" s="96" t="str">
        <f ca="1">IF(I334="",SearchHLookup(D334&amp;E334&amp;G334,Categorieën!$B$1:$P$30),I334)</f>
        <v/>
      </c>
    </row>
    <row r="335" spans="1:8">
      <c r="A335"/>
      <c r="B335" s="51"/>
      <c r="C335"/>
      <c r="D335"/>
      <c r="E335"/>
      <c r="F335"/>
      <c r="G335"/>
      <c r="H335" s="96" t="str">
        <f ca="1">IF(I335="",SearchHLookup(D335&amp;E335&amp;G335,Categorieën!$B$1:$P$30),I335)</f>
        <v/>
      </c>
    </row>
    <row r="336" spans="1:8">
      <c r="A336"/>
      <c r="B336" s="51"/>
      <c r="C336"/>
      <c r="D336"/>
      <c r="E336"/>
      <c r="F336"/>
      <c r="G336"/>
      <c r="H336" s="96" t="str">
        <f ca="1">IF(I336="",SearchHLookup(D336&amp;E336&amp;G336,Categorieën!$B$1:$P$30),I336)</f>
        <v/>
      </c>
    </row>
    <row r="337" spans="1:8">
      <c r="A337"/>
      <c r="B337" s="51"/>
      <c r="C337"/>
      <c r="D337"/>
      <c r="E337"/>
      <c r="F337"/>
      <c r="G337"/>
      <c r="H337" s="96" t="str">
        <f ca="1">IF(I337="",SearchHLookup(D337&amp;E337&amp;G337,Categorieën!$B$1:$P$30),I337)</f>
        <v/>
      </c>
    </row>
    <row r="338" spans="1:8">
      <c r="A338"/>
      <c r="B338" s="51"/>
      <c r="C338"/>
      <c r="D338"/>
      <c r="E338"/>
      <c r="F338"/>
      <c r="G338"/>
      <c r="H338" s="96" t="str">
        <f ca="1">IF(I338="",SearchHLookup(D338&amp;E338&amp;G338,Categorieën!$B$1:$P$30),I338)</f>
        <v/>
      </c>
    </row>
    <row r="339" spans="1:8">
      <c r="A339"/>
      <c r="B339" s="51"/>
      <c r="C339"/>
      <c r="D339"/>
      <c r="E339"/>
      <c r="F339"/>
      <c r="G339"/>
      <c r="H339" s="96" t="str">
        <f ca="1">IF(I339="",SearchHLookup(D339&amp;E339&amp;G339,Categorieën!$B$1:$P$30),I339)</f>
        <v/>
      </c>
    </row>
    <row r="340" spans="1:8">
      <c r="A340"/>
      <c r="B340" s="51"/>
      <c r="C340"/>
      <c r="D340"/>
      <c r="E340"/>
      <c r="F340"/>
      <c r="G340"/>
      <c r="H340" s="96" t="str">
        <f ca="1">IF(I340="",SearchHLookup(D340&amp;E340&amp;G340,Categorieën!$B$1:$P$30),I340)</f>
        <v/>
      </c>
    </row>
    <row r="341" spans="1:8">
      <c r="A341"/>
      <c r="B341" s="51"/>
      <c r="C341"/>
      <c r="D341"/>
      <c r="E341"/>
      <c r="F341"/>
      <c r="G341"/>
      <c r="H341" s="96" t="str">
        <f ca="1">IF(I341="",SearchHLookup(D341&amp;E341&amp;G341,Categorieën!$B$1:$P$30),I341)</f>
        <v/>
      </c>
    </row>
    <row r="342" spans="1:8">
      <c r="A342"/>
      <c r="B342" s="51"/>
      <c r="C342"/>
      <c r="D342"/>
      <c r="E342"/>
      <c r="F342"/>
      <c r="G342"/>
      <c r="H342" s="96" t="str">
        <f ca="1">IF(I342="",SearchHLookup(D342&amp;E342&amp;G342,Categorieën!$B$1:$P$30),I342)</f>
        <v/>
      </c>
    </row>
    <row r="343" spans="1:8">
      <c r="A343"/>
      <c r="B343" s="51"/>
      <c r="C343"/>
      <c r="D343"/>
      <c r="E343"/>
      <c r="F343"/>
      <c r="G343"/>
      <c r="H343" s="96" t="str">
        <f ca="1">IF(I343="",SearchHLookup(D343&amp;E343&amp;G343,Categorieën!$B$1:$P$30),I343)</f>
        <v/>
      </c>
    </row>
    <row r="344" spans="1:8">
      <c r="A344"/>
      <c r="B344" s="51"/>
      <c r="C344"/>
      <c r="D344"/>
      <c r="E344"/>
      <c r="F344"/>
      <c r="G344"/>
      <c r="H344" s="96" t="str">
        <f ca="1">IF(I344="",SearchHLookup(D344&amp;E344&amp;G344,Categorieën!$B$1:$P$30),I344)</f>
        <v/>
      </c>
    </row>
    <row r="345" spans="1:8">
      <c r="A345"/>
      <c r="B345" s="51"/>
      <c r="C345"/>
      <c r="D345"/>
      <c r="E345"/>
      <c r="F345"/>
      <c r="G345"/>
      <c r="H345" s="96" t="str">
        <f ca="1">IF(I345="",SearchHLookup(D345&amp;E345&amp;G345,Categorieën!$B$1:$P$30),I345)</f>
        <v/>
      </c>
    </row>
    <row r="346" spans="1:8">
      <c r="A346"/>
      <c r="B346" s="51"/>
      <c r="C346"/>
      <c r="D346"/>
      <c r="E346"/>
      <c r="F346"/>
      <c r="G346"/>
      <c r="H346" s="96" t="str">
        <f ca="1">IF(I346="",SearchHLookup(D346&amp;E346&amp;G346,Categorieën!$B$1:$P$30),I346)</f>
        <v/>
      </c>
    </row>
    <row r="347" spans="1:8">
      <c r="A347"/>
      <c r="B347" s="51"/>
      <c r="C347"/>
      <c r="D347"/>
      <c r="E347"/>
      <c r="F347"/>
      <c r="G347"/>
      <c r="H347" s="96" t="str">
        <f ca="1">IF(I347="",SearchHLookup(D347&amp;E347&amp;G347,Categorieën!$B$1:$P$30),I347)</f>
        <v/>
      </c>
    </row>
    <row r="348" spans="1:8">
      <c r="A348"/>
      <c r="B348" s="51"/>
      <c r="C348"/>
      <c r="D348"/>
      <c r="E348"/>
      <c r="F348"/>
      <c r="G348"/>
      <c r="H348" s="96" t="str">
        <f ca="1">IF(I348="",SearchHLookup(D348&amp;E348&amp;G348,Categorieën!$B$1:$P$30),I348)</f>
        <v/>
      </c>
    </row>
    <row r="349" spans="1:8">
      <c r="A349"/>
      <c r="B349" s="51"/>
      <c r="C349"/>
      <c r="D349"/>
      <c r="E349"/>
      <c r="F349"/>
      <c r="G349"/>
      <c r="H349" s="96" t="str">
        <f ca="1">IF(I349="",SearchHLookup(D349&amp;E349&amp;G349,Categorieën!$B$1:$P$30),I349)</f>
        <v/>
      </c>
    </row>
    <row r="350" spans="1:8">
      <c r="A350"/>
      <c r="B350" s="51"/>
      <c r="C350"/>
      <c r="D350"/>
      <c r="E350"/>
      <c r="F350"/>
      <c r="G350"/>
      <c r="H350" s="96" t="str">
        <f ca="1">IF(I350="",SearchHLookup(D350&amp;E350&amp;G350,Categorieën!$B$1:$P$30),I350)</f>
        <v/>
      </c>
    </row>
    <row r="351" spans="1:8">
      <c r="A351"/>
      <c r="B351" s="51"/>
      <c r="C351"/>
      <c r="D351"/>
      <c r="E351"/>
      <c r="F351"/>
      <c r="G351"/>
      <c r="H351" s="96" t="str">
        <f ca="1">IF(I351="",SearchHLookup(D351&amp;E351&amp;G351,Categorieën!$B$1:$P$30),I351)</f>
        <v/>
      </c>
    </row>
    <row r="352" spans="1:8">
      <c r="A352"/>
      <c r="B352" s="51"/>
      <c r="C352"/>
      <c r="D352"/>
      <c r="E352"/>
      <c r="F352"/>
      <c r="G352"/>
      <c r="H352" s="96" t="str">
        <f ca="1">IF(I352="",SearchHLookup(D352&amp;E352&amp;G352,Categorieën!$B$1:$P$30),I352)</f>
        <v/>
      </c>
    </row>
    <row r="353" spans="1:8">
      <c r="A353"/>
      <c r="B353" s="51"/>
      <c r="C353"/>
      <c r="D353"/>
      <c r="E353"/>
      <c r="F353"/>
      <c r="G353"/>
      <c r="H353" s="96" t="str">
        <f ca="1">IF(I353="",SearchHLookup(D353&amp;E353&amp;G353,Categorieën!$B$1:$P$30),I353)</f>
        <v/>
      </c>
    </row>
    <row r="354" spans="1:8">
      <c r="A354"/>
      <c r="B354" s="51"/>
      <c r="C354"/>
      <c r="D354"/>
      <c r="E354"/>
      <c r="F354"/>
      <c r="G354"/>
      <c r="H354" s="96" t="str">
        <f ca="1">IF(I354="",SearchHLookup(D354&amp;E354&amp;G354,Categorieën!$B$1:$P$30),I354)</f>
        <v/>
      </c>
    </row>
    <row r="355" spans="1:8">
      <c r="A355"/>
      <c r="B355" s="51"/>
      <c r="C355"/>
      <c r="D355"/>
      <c r="E355"/>
      <c r="F355"/>
      <c r="G355"/>
      <c r="H355" s="96" t="str">
        <f ca="1">IF(I355="",SearchHLookup(D355&amp;E355&amp;G355,Categorieën!$B$1:$P$30),I355)</f>
        <v/>
      </c>
    </row>
    <row r="356" spans="1:8">
      <c r="A356"/>
      <c r="B356" s="51"/>
      <c r="C356"/>
      <c r="D356"/>
      <c r="E356"/>
      <c r="F356"/>
      <c r="G356"/>
      <c r="H356" s="96" t="str">
        <f ca="1">IF(I356="",SearchHLookup(D356&amp;E356&amp;G356,Categorieën!$B$1:$P$30),I356)</f>
        <v/>
      </c>
    </row>
    <row r="357" spans="1:8">
      <c r="A357"/>
      <c r="B357" s="51"/>
      <c r="C357"/>
      <c r="D357"/>
      <c r="E357"/>
      <c r="F357"/>
      <c r="G357"/>
      <c r="H357" s="96" t="str">
        <f ca="1">IF(I357="",SearchHLookup(D357&amp;E357&amp;G357,Categorieën!$B$1:$P$30),I357)</f>
        <v/>
      </c>
    </row>
    <row r="358" spans="1:8">
      <c r="A358"/>
      <c r="B358" s="51"/>
      <c r="C358"/>
      <c r="D358"/>
      <c r="E358"/>
      <c r="F358"/>
      <c r="G358"/>
      <c r="H358" s="96" t="str">
        <f ca="1">IF(I358="",SearchHLookup(D358&amp;E358&amp;G358,Categorieën!$B$1:$P$30),I358)</f>
        <v/>
      </c>
    </row>
    <row r="359" spans="1:8">
      <c r="A359"/>
      <c r="B359" s="51"/>
      <c r="C359"/>
      <c r="D359"/>
      <c r="E359"/>
      <c r="F359"/>
      <c r="G359"/>
      <c r="H359" s="96" t="str">
        <f ca="1">IF(I359="",SearchHLookup(D359&amp;E359&amp;G359,Categorieën!$B$1:$P$30),I359)</f>
        <v/>
      </c>
    </row>
    <row r="360" spans="1:8">
      <c r="A360"/>
      <c r="B360" s="51"/>
      <c r="C360"/>
      <c r="D360"/>
      <c r="E360"/>
      <c r="F360"/>
      <c r="G360"/>
      <c r="H360" s="96" t="str">
        <f ca="1">IF(I360="",SearchHLookup(D360&amp;E360&amp;G360,Categorieën!$B$1:$P$30),I360)</f>
        <v/>
      </c>
    </row>
    <row r="361" spans="1:8">
      <c r="A361"/>
      <c r="B361" s="51"/>
      <c r="C361"/>
      <c r="D361"/>
      <c r="E361"/>
      <c r="F361"/>
      <c r="G361"/>
      <c r="H361" s="96" t="str">
        <f ca="1">IF(I361="",SearchHLookup(D361&amp;E361&amp;G361,Categorieën!$B$1:$P$30),I361)</f>
        <v/>
      </c>
    </row>
    <row r="362" spans="1:8">
      <c r="A362"/>
      <c r="B362" s="51"/>
      <c r="C362"/>
      <c r="D362"/>
      <c r="E362"/>
      <c r="F362"/>
      <c r="G362"/>
      <c r="H362" s="96" t="str">
        <f ca="1">IF(I362="",SearchHLookup(D362&amp;E362&amp;G362,Categorieën!$B$1:$P$30),I362)</f>
        <v/>
      </c>
    </row>
    <row r="363" spans="1:8">
      <c r="A363"/>
      <c r="B363" s="51"/>
      <c r="C363"/>
      <c r="D363"/>
      <c r="E363"/>
      <c r="F363"/>
      <c r="G363"/>
      <c r="H363" s="96" t="str">
        <f ca="1">IF(I363="",SearchHLookup(D363&amp;E363&amp;G363,Categorieën!$B$1:$P$30),I363)</f>
        <v/>
      </c>
    </row>
    <row r="364" spans="1:8">
      <c r="A364"/>
      <c r="B364" s="51"/>
      <c r="C364"/>
      <c r="D364"/>
      <c r="E364"/>
      <c r="F364"/>
      <c r="G364"/>
      <c r="H364" s="96" t="str">
        <f ca="1">IF(I364="",SearchHLookup(D364&amp;E364&amp;G364,Categorieën!$B$1:$P$30),I364)</f>
        <v/>
      </c>
    </row>
    <row r="365" spans="1:8">
      <c r="A365"/>
      <c r="B365" s="51"/>
      <c r="C365"/>
      <c r="D365"/>
      <c r="E365"/>
      <c r="F365"/>
      <c r="G365"/>
      <c r="H365" s="96" t="str">
        <f ca="1">IF(I365="",SearchHLookup(D365&amp;E365&amp;G365,Categorieën!$B$1:$P$30),I365)</f>
        <v/>
      </c>
    </row>
    <row r="366" spans="1:8">
      <c r="A366"/>
      <c r="B366" s="51"/>
      <c r="C366"/>
      <c r="D366"/>
      <c r="E366"/>
      <c r="F366"/>
      <c r="G366"/>
      <c r="H366" s="96" t="str">
        <f ca="1">IF(I366="",SearchHLookup(D366&amp;E366&amp;G366,Categorieën!$B$1:$P$30),I366)</f>
        <v/>
      </c>
    </row>
    <row r="367" spans="1:8">
      <c r="A367"/>
      <c r="B367" s="51"/>
      <c r="C367"/>
      <c r="D367"/>
      <c r="E367"/>
      <c r="F367"/>
      <c r="G367"/>
      <c r="H367" s="96" t="str">
        <f ca="1">IF(I367="",SearchHLookup(D367&amp;E367&amp;G367,Categorieën!$B$1:$P$30),I367)</f>
        <v/>
      </c>
    </row>
    <row r="368" spans="1:8">
      <c r="A368"/>
      <c r="B368" s="51"/>
      <c r="C368"/>
      <c r="D368"/>
      <c r="E368"/>
      <c r="F368"/>
      <c r="G368"/>
      <c r="H368" s="96" t="str">
        <f ca="1">IF(I368="",SearchHLookup(D368&amp;E368&amp;G368,Categorieën!$B$1:$P$30),I368)</f>
        <v/>
      </c>
    </row>
    <row r="369" spans="1:8">
      <c r="A369"/>
      <c r="B369" s="51"/>
      <c r="C369"/>
      <c r="D369"/>
      <c r="E369"/>
      <c r="F369"/>
      <c r="G369"/>
      <c r="H369" s="96" t="str">
        <f ca="1">IF(I369="",SearchHLookup(D369&amp;E369&amp;G369,Categorieën!$B$1:$P$30),I369)</f>
        <v/>
      </c>
    </row>
    <row r="370" spans="1:8">
      <c r="A370"/>
      <c r="B370" s="51"/>
      <c r="C370"/>
      <c r="D370"/>
      <c r="E370"/>
      <c r="F370"/>
      <c r="G370"/>
      <c r="H370" s="96" t="str">
        <f ca="1">IF(I370="",SearchHLookup(D370&amp;E370&amp;G370,Categorieën!$B$1:$P$30),I370)</f>
        <v/>
      </c>
    </row>
    <row r="371" spans="1:8">
      <c r="A371"/>
      <c r="B371" s="51"/>
      <c r="C371"/>
      <c r="D371"/>
      <c r="E371"/>
      <c r="F371"/>
      <c r="G371"/>
      <c r="H371" s="96" t="str">
        <f ca="1">IF(I371="",SearchHLookup(D371&amp;E371&amp;G371,Categorieën!$B$1:$P$30),I371)</f>
        <v/>
      </c>
    </row>
    <row r="372" spans="1:8">
      <c r="A372"/>
      <c r="B372" s="51"/>
      <c r="C372"/>
      <c r="D372"/>
      <c r="E372"/>
      <c r="F372"/>
      <c r="G372"/>
      <c r="H372" s="96" t="str">
        <f ca="1">IF(I372="",SearchHLookup(D372&amp;E372&amp;G372,Categorieën!$B$1:$P$30),I372)</f>
        <v/>
      </c>
    </row>
    <row r="373" spans="1:8">
      <c r="A373"/>
      <c r="B373" s="51"/>
      <c r="C373"/>
      <c r="D373"/>
      <c r="E373"/>
      <c r="F373"/>
      <c r="G373"/>
      <c r="H373" s="96" t="str">
        <f ca="1">IF(I373="",SearchHLookup(D373&amp;E373&amp;G373,Categorieën!$B$1:$P$30),I373)</f>
        <v/>
      </c>
    </row>
    <row r="374" spans="1:8">
      <c r="A374"/>
      <c r="B374" s="51"/>
      <c r="C374"/>
      <c r="D374"/>
      <c r="E374"/>
      <c r="F374"/>
      <c r="G374"/>
      <c r="H374" s="96" t="str">
        <f ca="1">IF(I374="",SearchHLookup(D374&amp;E374&amp;G374,Categorieën!$B$1:$P$30),I374)</f>
        <v/>
      </c>
    </row>
    <row r="375" spans="1:8">
      <c r="A375"/>
      <c r="B375" s="51"/>
      <c r="C375"/>
      <c r="D375"/>
      <c r="E375"/>
      <c r="F375"/>
      <c r="G375"/>
      <c r="H375" s="96" t="str">
        <f ca="1">IF(I375="",SearchHLookup(D375&amp;E375&amp;G375,Categorieën!$B$1:$P$30),I375)</f>
        <v/>
      </c>
    </row>
    <row r="376" spans="1:8">
      <c r="A376"/>
      <c r="B376" s="51"/>
      <c r="C376"/>
      <c r="D376"/>
      <c r="E376"/>
      <c r="F376"/>
      <c r="G376"/>
      <c r="H376" s="96" t="str">
        <f ca="1">IF(I376="",SearchHLookup(D376&amp;E376&amp;G376,Categorieën!$B$1:$P$30),I376)</f>
        <v/>
      </c>
    </row>
    <row r="377" spans="1:8">
      <c r="A377"/>
      <c r="B377" s="51"/>
      <c r="C377"/>
      <c r="D377"/>
      <c r="E377"/>
      <c r="F377"/>
      <c r="G377"/>
      <c r="H377" s="96" t="str">
        <f ca="1">IF(I377="",SearchHLookup(D377&amp;E377&amp;G377,Categorieën!$B$1:$P$30),I377)</f>
        <v/>
      </c>
    </row>
    <row r="378" spans="1:8">
      <c r="A378"/>
      <c r="B378" s="51"/>
      <c r="C378"/>
      <c r="D378"/>
      <c r="E378"/>
      <c r="F378"/>
      <c r="G378"/>
      <c r="H378" s="96" t="str">
        <f ca="1">IF(I378="",SearchHLookup(D378&amp;E378&amp;G378,Categorieën!$B$1:$P$30),I378)</f>
        <v/>
      </c>
    </row>
    <row r="379" spans="1:8">
      <c r="A379"/>
      <c r="B379" s="51"/>
      <c r="C379"/>
      <c r="D379"/>
      <c r="E379"/>
      <c r="F379"/>
      <c r="G379"/>
      <c r="H379" s="96" t="str">
        <f ca="1">IF(I379="",SearchHLookup(D379&amp;E379&amp;G379,Categorieën!$B$1:$P$30),I379)</f>
        <v/>
      </c>
    </row>
    <row r="380" spans="1:8">
      <c r="A380"/>
      <c r="B380" s="51"/>
      <c r="C380"/>
      <c r="D380"/>
      <c r="E380"/>
      <c r="F380"/>
      <c r="G380"/>
      <c r="H380" s="96" t="str">
        <f ca="1">IF(I380="",SearchHLookup(D380&amp;E380&amp;G380,Categorieën!$B$1:$P$30),I380)</f>
        <v/>
      </c>
    </row>
    <row r="381" spans="1:8">
      <c r="A381"/>
      <c r="B381" s="51"/>
      <c r="C381"/>
      <c r="D381"/>
      <c r="E381"/>
      <c r="F381"/>
      <c r="G381"/>
      <c r="H381" s="96" t="str">
        <f ca="1">IF(I381="",SearchHLookup(D381&amp;E381&amp;G381,Categorieën!$B$1:$P$30),I381)</f>
        <v/>
      </c>
    </row>
    <row r="382" spans="1:8">
      <c r="A382"/>
      <c r="B382" s="51"/>
      <c r="C382"/>
      <c r="D382"/>
      <c r="E382"/>
      <c r="F382"/>
      <c r="G382"/>
      <c r="H382" s="96" t="str">
        <f ca="1">IF(I382="",SearchHLookup(D382&amp;E382&amp;G382,Categorieën!$B$1:$P$30),I382)</f>
        <v/>
      </c>
    </row>
    <row r="383" spans="1:8">
      <c r="A383"/>
      <c r="B383" s="51"/>
      <c r="C383"/>
      <c r="D383"/>
      <c r="E383"/>
      <c r="F383"/>
      <c r="G383"/>
      <c r="H383" s="96" t="str">
        <f ca="1">IF(I383="",SearchHLookup(D383&amp;E383&amp;G383,Categorieën!$B$1:$P$30),I383)</f>
        <v/>
      </c>
    </row>
    <row r="384" spans="1:8">
      <c r="A384"/>
      <c r="B384" s="51"/>
      <c r="C384"/>
      <c r="D384"/>
      <c r="E384"/>
      <c r="F384"/>
      <c r="G384"/>
      <c r="H384" s="96" t="str">
        <f ca="1">IF(I384="",SearchHLookup(D384&amp;E384&amp;G384,Categorieën!$B$1:$P$30),I384)</f>
        <v/>
      </c>
    </row>
    <row r="385" spans="1:8">
      <c r="A385"/>
      <c r="B385" s="51"/>
      <c r="C385"/>
      <c r="D385"/>
      <c r="E385"/>
      <c r="F385"/>
      <c r="G385"/>
      <c r="H385" s="96" t="str">
        <f ca="1">IF(I385="",SearchHLookup(D385&amp;E385&amp;G385,Categorieën!$B$1:$P$30),I385)</f>
        <v/>
      </c>
    </row>
    <row r="386" spans="1:8">
      <c r="A386"/>
      <c r="B386" s="51"/>
      <c r="C386"/>
      <c r="D386"/>
      <c r="E386"/>
      <c r="F386"/>
      <c r="G386"/>
      <c r="H386" s="96" t="str">
        <f ca="1">IF(I386="",SearchHLookup(D386&amp;E386&amp;G386,Categorieën!$B$1:$P$30),I386)</f>
        <v/>
      </c>
    </row>
    <row r="387" spans="1:8">
      <c r="A387"/>
      <c r="B387" s="51"/>
      <c r="C387"/>
      <c r="D387"/>
      <c r="E387"/>
      <c r="F387"/>
      <c r="G387"/>
      <c r="H387" s="96" t="str">
        <f ca="1">IF(I387="",SearchHLookup(D387&amp;E387&amp;G387,Categorieën!$B$1:$P$30),I387)</f>
        <v/>
      </c>
    </row>
    <row r="388" spans="1:8">
      <c r="A388"/>
      <c r="B388" s="51"/>
      <c r="C388"/>
      <c r="D388"/>
      <c r="E388"/>
      <c r="F388"/>
      <c r="G388"/>
      <c r="H388" s="96" t="str">
        <f ca="1">IF(I388="",SearchHLookup(D388&amp;E388&amp;G388,Categorieën!$B$1:$P$30),I388)</f>
        <v/>
      </c>
    </row>
    <row r="389" spans="1:8">
      <c r="A389"/>
      <c r="B389" s="51"/>
      <c r="C389"/>
      <c r="D389"/>
      <c r="E389"/>
      <c r="F389"/>
      <c r="G389"/>
      <c r="H389" s="96" t="str">
        <f ca="1">IF(I389="",SearchHLookup(D389&amp;E389&amp;G389,Categorieën!$B$1:$P$30),I389)</f>
        <v/>
      </c>
    </row>
    <row r="390" spans="1:8">
      <c r="A390"/>
      <c r="B390" s="51"/>
      <c r="C390"/>
      <c r="D390"/>
      <c r="E390"/>
      <c r="F390"/>
      <c r="G390"/>
      <c r="H390" s="96" t="str">
        <f ca="1">IF(I390="",SearchHLookup(D390&amp;E390&amp;G390,Categorieën!$B$1:$P$30),I390)</f>
        <v/>
      </c>
    </row>
    <row r="391" spans="1:8">
      <c r="A391"/>
      <c r="B391" s="51"/>
      <c r="C391"/>
      <c r="D391"/>
      <c r="E391"/>
      <c r="F391"/>
      <c r="G391"/>
      <c r="H391" s="96" t="str">
        <f ca="1">IF(I391="",SearchHLookup(D391&amp;E391&amp;G391,Categorieën!$B$1:$P$30),I391)</f>
        <v/>
      </c>
    </row>
    <row r="392" spans="1:8">
      <c r="A392"/>
      <c r="B392" s="51"/>
      <c r="C392"/>
      <c r="D392"/>
      <c r="E392"/>
      <c r="F392"/>
      <c r="G392"/>
      <c r="H392" s="96" t="str">
        <f ca="1">IF(I392="",SearchHLookup(D392&amp;E392&amp;G392,Categorieën!$B$1:$P$30),I392)</f>
        <v/>
      </c>
    </row>
    <row r="393" spans="1:8">
      <c r="A393"/>
      <c r="B393" s="51"/>
      <c r="C393"/>
      <c r="D393"/>
      <c r="E393"/>
      <c r="F393"/>
      <c r="G393"/>
      <c r="H393" s="96" t="str">
        <f ca="1">IF(I393="",SearchHLookup(D393&amp;E393&amp;G393,Categorieën!$B$1:$P$30),I393)</f>
        <v/>
      </c>
    </row>
    <row r="394" spans="1:8">
      <c r="A394"/>
      <c r="B394" s="51"/>
      <c r="C394"/>
      <c r="D394"/>
      <c r="E394"/>
      <c r="F394"/>
      <c r="G394"/>
      <c r="H394" s="96" t="str">
        <f ca="1">IF(I394="",SearchHLookup(D394&amp;E394&amp;G394,Categorieën!$B$1:$P$30),I394)</f>
        <v/>
      </c>
    </row>
    <row r="395" spans="1:8">
      <c r="A395"/>
      <c r="B395" s="51"/>
      <c r="C395"/>
      <c r="D395"/>
      <c r="E395"/>
      <c r="F395"/>
      <c r="G395"/>
      <c r="H395" s="96" t="str">
        <f ca="1">IF(I395="",SearchHLookup(D395&amp;E395&amp;G395,Categorieën!$B$1:$P$30),I395)</f>
        <v/>
      </c>
    </row>
    <row r="396" spans="1:8">
      <c r="A396"/>
      <c r="B396" s="51"/>
      <c r="C396"/>
      <c r="D396"/>
      <c r="E396"/>
      <c r="F396"/>
      <c r="G396"/>
      <c r="H396" s="96" t="str">
        <f ca="1">IF(I396="",SearchHLookup(D396&amp;E396&amp;G396,Categorieën!$B$1:$P$30),I396)</f>
        <v/>
      </c>
    </row>
    <row r="397" spans="1:8">
      <c r="A397"/>
      <c r="B397" s="51"/>
      <c r="C397"/>
      <c r="D397"/>
      <c r="E397"/>
      <c r="F397"/>
      <c r="G397"/>
      <c r="H397" s="96" t="str">
        <f ca="1">IF(I397="",SearchHLookup(D397&amp;E397&amp;G397,Categorieën!$B$1:$P$30),I397)</f>
        <v/>
      </c>
    </row>
    <row r="398" spans="1:8">
      <c r="A398"/>
      <c r="B398" s="51"/>
      <c r="C398"/>
      <c r="D398"/>
      <c r="E398"/>
      <c r="F398"/>
      <c r="G398"/>
      <c r="H398" s="96" t="str">
        <f ca="1">IF(I398="",SearchHLookup(D398&amp;E398&amp;G398,Categorieën!$B$1:$P$30),I398)</f>
        <v/>
      </c>
    </row>
    <row r="399" spans="1:8">
      <c r="A399"/>
      <c r="B399" s="51"/>
      <c r="C399"/>
      <c r="D399"/>
      <c r="E399"/>
      <c r="F399"/>
      <c r="G399"/>
      <c r="H399" s="96" t="str">
        <f ca="1">IF(I399="",SearchHLookup(D399&amp;E399&amp;G399,Categorieën!$B$1:$P$30),I399)</f>
        <v/>
      </c>
    </row>
    <row r="400" spans="1:8">
      <c r="A400"/>
      <c r="B400" s="51"/>
      <c r="C400"/>
      <c r="D400"/>
      <c r="E400"/>
      <c r="F400"/>
      <c r="G400"/>
      <c r="H400" s="96" t="str">
        <f ca="1">IF(I400="",SearchHLookup(D400&amp;E400&amp;G400,Categorieën!$B$1:$P$30),I400)</f>
        <v/>
      </c>
    </row>
    <row r="401" spans="1:8">
      <c r="A401"/>
      <c r="B401" s="51"/>
      <c r="C401"/>
      <c r="D401"/>
      <c r="E401"/>
      <c r="F401"/>
      <c r="G401"/>
      <c r="H401" s="96"/>
    </row>
    <row r="402" spans="1:8">
      <c r="A402"/>
      <c r="B402" s="51"/>
      <c r="C402"/>
      <c r="D402"/>
      <c r="E402"/>
      <c r="F402"/>
      <c r="G402"/>
      <c r="H402" s="96"/>
    </row>
    <row r="403" spans="1:8">
      <c r="A403"/>
      <c r="B403" s="51"/>
      <c r="C403"/>
      <c r="D403"/>
      <c r="E403"/>
      <c r="F403"/>
      <c r="G403"/>
      <c r="H403" s="96"/>
    </row>
    <row r="404" spans="1:8">
      <c r="A404"/>
      <c r="B404" s="51"/>
      <c r="C404"/>
      <c r="D404"/>
      <c r="E404"/>
      <c r="F404"/>
      <c r="G404"/>
      <c r="H404" s="96"/>
    </row>
    <row r="405" spans="1:8">
      <c r="A405"/>
      <c r="B405" s="51"/>
      <c r="C405"/>
      <c r="D405"/>
      <c r="E405"/>
      <c r="F405"/>
      <c r="G405"/>
      <c r="H405" s="96"/>
    </row>
    <row r="406" spans="1:8">
      <c r="A406"/>
      <c r="B406" s="51"/>
      <c r="C406"/>
      <c r="D406"/>
      <c r="E406"/>
      <c r="F406"/>
      <c r="G406"/>
      <c r="H406" s="96"/>
    </row>
    <row r="407" spans="1:8">
      <c r="A407"/>
      <c r="B407" s="51"/>
      <c r="C407"/>
      <c r="D407"/>
      <c r="E407"/>
      <c r="F407"/>
      <c r="G407"/>
      <c r="H407" s="96"/>
    </row>
    <row r="408" spans="1:8">
      <c r="A408"/>
      <c r="B408" s="51"/>
      <c r="C408"/>
      <c r="D408"/>
      <c r="E408"/>
      <c r="F408"/>
      <c r="G408"/>
      <c r="H408" s="96"/>
    </row>
    <row r="409" spans="1:8">
      <c r="A409"/>
      <c r="B409" s="51"/>
      <c r="C409"/>
      <c r="D409"/>
      <c r="E409"/>
      <c r="F409"/>
      <c r="G409"/>
      <c r="H409" s="96"/>
    </row>
    <row r="410" spans="1:8">
      <c r="A410"/>
      <c r="B410" s="51"/>
      <c r="C410"/>
      <c r="D410"/>
      <c r="E410"/>
      <c r="F410"/>
      <c r="G410"/>
      <c r="H410" s="96"/>
    </row>
    <row r="411" spans="1:8">
      <c r="A411"/>
      <c r="B411" s="51"/>
      <c r="C411"/>
      <c r="D411"/>
      <c r="E411"/>
      <c r="F411"/>
      <c r="G411"/>
      <c r="H411" s="96"/>
    </row>
    <row r="412" spans="1:8">
      <c r="A412"/>
      <c r="B412" s="51"/>
      <c r="C412"/>
      <c r="D412"/>
      <c r="E412"/>
      <c r="F412"/>
      <c r="G412"/>
      <c r="H412" s="96"/>
    </row>
    <row r="413" spans="1:8">
      <c r="A413"/>
      <c r="B413" s="51"/>
      <c r="C413"/>
      <c r="D413"/>
      <c r="E413"/>
      <c r="F413"/>
      <c r="G413"/>
      <c r="H413" s="96"/>
    </row>
    <row r="414" spans="1:8">
      <c r="A414"/>
      <c r="B414" s="51"/>
      <c r="C414"/>
      <c r="D414"/>
      <c r="E414"/>
      <c r="F414"/>
      <c r="G414"/>
      <c r="H414" s="96"/>
    </row>
    <row r="415" spans="1:8">
      <c r="A415"/>
      <c r="B415" s="51"/>
      <c r="C415"/>
      <c r="D415"/>
      <c r="E415"/>
      <c r="F415"/>
      <c r="G415"/>
      <c r="H415" s="96"/>
    </row>
    <row r="416" spans="1:8">
      <c r="A416"/>
      <c r="B416" s="51"/>
      <c r="C416"/>
      <c r="D416"/>
      <c r="E416"/>
      <c r="F416"/>
      <c r="G416"/>
      <c r="H416" s="96"/>
    </row>
    <row r="417" spans="1:8">
      <c r="A417"/>
      <c r="B417" s="51"/>
      <c r="C417"/>
      <c r="D417"/>
      <c r="E417"/>
      <c r="F417"/>
      <c r="G417"/>
      <c r="H417" s="96"/>
    </row>
    <row r="418" spans="1:8">
      <c r="A418"/>
      <c r="B418" s="51"/>
      <c r="C418"/>
      <c r="D418"/>
      <c r="E418"/>
      <c r="F418"/>
      <c r="G418"/>
      <c r="H418" s="96"/>
    </row>
    <row r="419" spans="1:8">
      <c r="A419"/>
      <c r="B419" s="51"/>
      <c r="C419"/>
      <c r="D419"/>
      <c r="E419"/>
      <c r="F419"/>
      <c r="G419"/>
      <c r="H419" s="96"/>
    </row>
    <row r="420" spans="1:8">
      <c r="A420"/>
      <c r="B420" s="51"/>
      <c r="C420"/>
      <c r="D420"/>
      <c r="E420"/>
      <c r="F420"/>
      <c r="G420"/>
      <c r="H420" s="96"/>
    </row>
    <row r="421" spans="1:8">
      <c r="A421"/>
      <c r="B421" s="51"/>
      <c r="C421"/>
      <c r="D421"/>
      <c r="E421"/>
      <c r="F421"/>
      <c r="G421"/>
      <c r="H421" s="96"/>
    </row>
    <row r="422" spans="1:8">
      <c r="A422"/>
      <c r="B422" s="51"/>
      <c r="C422"/>
      <c r="D422"/>
      <c r="E422"/>
      <c r="F422"/>
      <c r="G422"/>
      <c r="H422" s="96"/>
    </row>
    <row r="423" spans="1:8">
      <c r="A423"/>
      <c r="B423" s="51"/>
      <c r="C423"/>
      <c r="D423"/>
      <c r="E423"/>
      <c r="F423"/>
      <c r="G423"/>
      <c r="H423" s="96"/>
    </row>
    <row r="424" spans="1:8">
      <c r="A424"/>
      <c r="B424" s="51"/>
      <c r="C424"/>
      <c r="D424"/>
      <c r="E424"/>
      <c r="F424"/>
      <c r="G424"/>
      <c r="H424" s="96"/>
    </row>
    <row r="425" spans="1:8">
      <c r="A425"/>
      <c r="B425" s="51"/>
      <c r="C425"/>
      <c r="D425"/>
      <c r="E425"/>
      <c r="F425"/>
      <c r="G425"/>
      <c r="H425" s="96"/>
    </row>
    <row r="426" spans="1:8">
      <c r="A426"/>
      <c r="B426" s="51"/>
      <c r="C426"/>
      <c r="D426"/>
      <c r="E426"/>
      <c r="F426"/>
      <c r="G426"/>
      <c r="H426" s="96"/>
    </row>
    <row r="427" spans="1:8">
      <c r="A427"/>
      <c r="B427" s="51"/>
      <c r="C427"/>
      <c r="D427"/>
      <c r="E427"/>
      <c r="F427"/>
      <c r="G427"/>
      <c r="H427" s="96"/>
    </row>
    <row r="428" spans="1:8">
      <c r="A428"/>
      <c r="B428" s="51"/>
      <c r="C428"/>
      <c r="D428"/>
      <c r="E428"/>
      <c r="F428"/>
      <c r="G428"/>
      <c r="H428" s="96"/>
    </row>
    <row r="429" spans="1:8">
      <c r="A429"/>
      <c r="B429" s="51"/>
      <c r="C429"/>
      <c r="D429"/>
      <c r="E429"/>
      <c r="F429"/>
      <c r="G429"/>
      <c r="H429" s="96"/>
    </row>
    <row r="430" spans="1:8">
      <c r="A430"/>
      <c r="B430" s="51"/>
      <c r="C430"/>
      <c r="D430"/>
      <c r="E430"/>
      <c r="F430"/>
      <c r="G430"/>
      <c r="H430" s="96"/>
    </row>
    <row r="431" spans="1:8">
      <c r="A431"/>
      <c r="B431" s="51"/>
      <c r="C431"/>
      <c r="D431"/>
      <c r="E431"/>
      <c r="F431"/>
      <c r="G431"/>
      <c r="H431" s="96"/>
    </row>
    <row r="432" spans="1:8">
      <c r="A432"/>
      <c r="B432" s="51"/>
      <c r="C432"/>
      <c r="D432"/>
      <c r="E432"/>
      <c r="F432"/>
      <c r="G432"/>
      <c r="H432" s="96"/>
    </row>
    <row r="433" spans="1:8">
      <c r="A433"/>
      <c r="B433" s="51"/>
      <c r="C433"/>
      <c r="D433"/>
      <c r="E433"/>
      <c r="F433"/>
      <c r="G433"/>
      <c r="H433" s="96"/>
    </row>
    <row r="434" spans="1:8">
      <c r="A434"/>
      <c r="B434" s="51"/>
      <c r="C434"/>
      <c r="D434"/>
      <c r="E434"/>
      <c r="F434"/>
      <c r="G434"/>
      <c r="H434" s="96"/>
    </row>
    <row r="435" spans="1:8">
      <c r="A435"/>
      <c r="B435" s="51"/>
      <c r="C435"/>
      <c r="D435"/>
      <c r="E435"/>
      <c r="F435"/>
      <c r="G435"/>
      <c r="H435" s="96"/>
    </row>
    <row r="436" spans="1:8">
      <c r="A436"/>
      <c r="B436" s="51"/>
      <c r="C436"/>
      <c r="D436"/>
      <c r="E436"/>
      <c r="F436"/>
      <c r="G436"/>
      <c r="H436" s="96"/>
    </row>
    <row r="437" spans="1:8">
      <c r="A437"/>
      <c r="B437" s="51"/>
      <c r="C437"/>
      <c r="D437"/>
      <c r="E437"/>
      <c r="F437"/>
      <c r="G437"/>
      <c r="H437" s="96"/>
    </row>
    <row r="438" spans="1:8">
      <c r="A438"/>
      <c r="B438" s="51"/>
      <c r="C438"/>
      <c r="D438"/>
      <c r="E438"/>
      <c r="F438"/>
      <c r="G438"/>
      <c r="H438" s="96"/>
    </row>
    <row r="439" spans="1:8">
      <c r="A439"/>
      <c r="B439" s="51"/>
      <c r="C439"/>
      <c r="D439"/>
      <c r="E439"/>
      <c r="F439"/>
      <c r="G439"/>
      <c r="H439" s="96"/>
    </row>
    <row r="440" spans="1:8">
      <c r="A440"/>
      <c r="B440" s="51"/>
      <c r="C440"/>
      <c r="D440"/>
      <c r="E440"/>
      <c r="F440"/>
      <c r="G440"/>
      <c r="H440" s="96"/>
    </row>
    <row r="441" spans="1:8">
      <c r="A441"/>
      <c r="B441" s="51"/>
      <c r="C441"/>
      <c r="D441"/>
      <c r="E441"/>
      <c r="F441"/>
      <c r="G441"/>
      <c r="H441" s="96"/>
    </row>
    <row r="442" spans="1:8">
      <c r="A442"/>
      <c r="B442" s="51"/>
      <c r="C442"/>
      <c r="D442"/>
      <c r="E442"/>
      <c r="F442"/>
      <c r="G442"/>
      <c r="H442" s="96"/>
    </row>
    <row r="443" spans="1:8">
      <c r="A443"/>
      <c r="B443" s="51"/>
      <c r="C443"/>
      <c r="D443"/>
      <c r="E443"/>
      <c r="F443"/>
      <c r="G443"/>
      <c r="H443" s="96"/>
    </row>
    <row r="444" spans="1:8">
      <c r="A444"/>
      <c r="B444" s="51"/>
      <c r="C444"/>
      <c r="D444"/>
      <c r="E444"/>
      <c r="F444"/>
      <c r="G444"/>
      <c r="H444" s="96"/>
    </row>
    <row r="445" spans="1:8">
      <c r="A445"/>
      <c r="B445" s="51"/>
      <c r="C445"/>
      <c r="D445"/>
      <c r="E445"/>
      <c r="F445"/>
      <c r="G445"/>
      <c r="H445" s="96"/>
    </row>
    <row r="446" spans="1:8">
      <c r="A446"/>
      <c r="B446" s="51"/>
      <c r="C446"/>
      <c r="D446"/>
      <c r="E446"/>
      <c r="F446"/>
      <c r="G446"/>
      <c r="H446" s="96"/>
    </row>
    <row r="447" spans="1:8">
      <c r="A447"/>
      <c r="B447" s="51"/>
      <c r="C447"/>
      <c r="D447"/>
      <c r="E447"/>
      <c r="F447"/>
      <c r="G447"/>
      <c r="H447" s="96"/>
    </row>
    <row r="448" spans="1:8">
      <c r="A448"/>
      <c r="B448" s="51"/>
      <c r="C448"/>
      <c r="D448"/>
      <c r="E448"/>
      <c r="F448"/>
      <c r="G448"/>
      <c r="H448" s="96"/>
    </row>
    <row r="449" spans="1:8">
      <c r="A449"/>
      <c r="B449" s="51"/>
      <c r="C449"/>
      <c r="D449"/>
      <c r="E449"/>
      <c r="F449"/>
      <c r="G449"/>
      <c r="H449" s="96"/>
    </row>
    <row r="450" spans="1:8">
      <c r="A450"/>
      <c r="B450" s="51"/>
      <c r="C450"/>
      <c r="D450"/>
      <c r="E450"/>
      <c r="F450"/>
      <c r="G450"/>
      <c r="H450" s="96"/>
    </row>
    <row r="451" spans="1:8">
      <c r="A451"/>
      <c r="B451" s="51"/>
      <c r="C451"/>
      <c r="D451"/>
      <c r="E451"/>
      <c r="F451"/>
      <c r="G451"/>
      <c r="H451" s="96"/>
    </row>
    <row r="452" spans="1:8">
      <c r="A452"/>
      <c r="B452" s="51"/>
      <c r="C452"/>
      <c r="D452"/>
      <c r="E452"/>
      <c r="F452"/>
      <c r="G452"/>
      <c r="H452" s="96"/>
    </row>
    <row r="453" spans="1:8">
      <c r="A453"/>
      <c r="B453" s="51"/>
      <c r="C453"/>
      <c r="D453"/>
      <c r="E453"/>
      <c r="F453"/>
      <c r="G453"/>
      <c r="H453" s="96"/>
    </row>
    <row r="454" spans="1:8">
      <c r="A454"/>
      <c r="B454" s="51"/>
      <c r="C454"/>
      <c r="D454"/>
      <c r="E454"/>
      <c r="F454"/>
      <c r="G454"/>
      <c r="H454" s="96"/>
    </row>
    <row r="455" spans="1:8">
      <c r="A455"/>
      <c r="B455" s="51"/>
      <c r="C455"/>
      <c r="D455"/>
      <c r="E455"/>
      <c r="F455"/>
      <c r="G455"/>
      <c r="H455" s="96"/>
    </row>
    <row r="456" spans="1:8">
      <c r="A456"/>
      <c r="B456" s="51"/>
      <c r="C456"/>
      <c r="D456"/>
      <c r="E456"/>
      <c r="F456"/>
      <c r="G456"/>
      <c r="H456" s="96"/>
    </row>
    <row r="457" spans="1:8">
      <c r="A457"/>
      <c r="B457" s="51"/>
      <c r="C457"/>
      <c r="D457"/>
      <c r="E457"/>
      <c r="F457"/>
      <c r="G457"/>
      <c r="H457" s="96"/>
    </row>
    <row r="458" spans="1:8">
      <c r="A458"/>
      <c r="B458" s="51"/>
      <c r="C458"/>
      <c r="D458"/>
      <c r="E458"/>
      <c r="F458"/>
      <c r="G458"/>
      <c r="H458" s="96"/>
    </row>
    <row r="459" spans="1:8">
      <c r="A459"/>
      <c r="B459" s="51"/>
      <c r="C459"/>
      <c r="D459"/>
      <c r="E459"/>
      <c r="F459"/>
      <c r="G459"/>
      <c r="H459" s="96"/>
    </row>
    <row r="460" spans="1:8">
      <c r="A460"/>
      <c r="B460" s="51"/>
      <c r="C460"/>
      <c r="D460"/>
      <c r="E460"/>
      <c r="F460"/>
      <c r="G460"/>
      <c r="H460" s="96"/>
    </row>
    <row r="461" spans="1:8">
      <c r="A461"/>
      <c r="B461" s="51"/>
      <c r="C461"/>
      <c r="D461"/>
      <c r="E461"/>
      <c r="F461"/>
      <c r="G461"/>
      <c r="H461" s="96"/>
    </row>
    <row r="462" spans="1:8">
      <c r="A462"/>
      <c r="B462" s="51"/>
      <c r="C462"/>
      <c r="D462"/>
      <c r="E462"/>
      <c r="F462"/>
      <c r="G462"/>
      <c r="H462" s="96"/>
    </row>
    <row r="463" spans="1:8">
      <c r="A463"/>
      <c r="B463" s="51"/>
      <c r="C463"/>
      <c r="D463"/>
      <c r="E463"/>
      <c r="F463"/>
      <c r="G463"/>
      <c r="H463" s="96"/>
    </row>
    <row r="464" spans="1:8">
      <c r="A464"/>
      <c r="B464" s="51"/>
      <c r="C464"/>
      <c r="D464"/>
      <c r="E464"/>
      <c r="F464"/>
      <c r="G464"/>
      <c r="H464" s="96"/>
    </row>
    <row r="465" spans="1:8">
      <c r="A465"/>
      <c r="B465" s="51"/>
      <c r="C465"/>
      <c r="D465"/>
      <c r="E465"/>
      <c r="F465"/>
      <c r="G465"/>
      <c r="H465" s="96"/>
    </row>
    <row r="466" spans="1:8">
      <c r="A466"/>
      <c r="B466" s="51"/>
      <c r="C466"/>
      <c r="D466"/>
      <c r="E466"/>
      <c r="F466"/>
      <c r="G466"/>
      <c r="H466" s="96"/>
    </row>
    <row r="467" spans="1:8">
      <c r="A467"/>
      <c r="B467" s="51"/>
      <c r="C467"/>
      <c r="D467"/>
      <c r="E467"/>
      <c r="F467"/>
      <c r="G467"/>
      <c r="H467" s="96"/>
    </row>
    <row r="468" spans="1:8">
      <c r="A468"/>
      <c r="B468" s="51"/>
      <c r="C468"/>
      <c r="D468"/>
      <c r="E468"/>
      <c r="F468"/>
      <c r="G468"/>
      <c r="H468" s="96"/>
    </row>
    <row r="469" spans="1:8">
      <c r="A469"/>
      <c r="B469" s="51"/>
      <c r="C469"/>
      <c r="D469"/>
      <c r="E469"/>
      <c r="F469"/>
      <c r="G469"/>
      <c r="H469" s="96"/>
    </row>
    <row r="470" spans="1:8">
      <c r="A470"/>
      <c r="B470" s="51"/>
      <c r="C470"/>
      <c r="D470"/>
      <c r="E470"/>
      <c r="F470"/>
      <c r="G470"/>
      <c r="H470" s="96"/>
    </row>
    <row r="471" spans="1:8">
      <c r="A471"/>
      <c r="B471" s="51"/>
      <c r="C471"/>
      <c r="D471"/>
      <c r="E471"/>
      <c r="F471"/>
      <c r="G471"/>
      <c r="H471" s="96"/>
    </row>
    <row r="472" spans="1:8">
      <c r="A472"/>
      <c r="B472" s="51"/>
      <c r="C472"/>
      <c r="D472"/>
      <c r="E472"/>
      <c r="F472"/>
      <c r="G472"/>
      <c r="H472" s="96"/>
    </row>
    <row r="473" spans="1:8">
      <c r="A473"/>
      <c r="B473" s="51"/>
      <c r="C473"/>
      <c r="D473"/>
      <c r="E473"/>
      <c r="F473"/>
      <c r="G473"/>
      <c r="H473" s="96"/>
    </row>
    <row r="474" spans="1:8">
      <c r="A474"/>
      <c r="B474" s="51"/>
      <c r="C474"/>
      <c r="D474"/>
      <c r="E474"/>
      <c r="F474"/>
      <c r="G474"/>
      <c r="H474" s="96"/>
    </row>
    <row r="475" spans="1:8">
      <c r="A475"/>
      <c r="B475" s="51"/>
      <c r="C475"/>
      <c r="D475"/>
      <c r="E475"/>
      <c r="F475"/>
      <c r="G475"/>
      <c r="H475" s="96"/>
    </row>
    <row r="476" spans="1:8">
      <c r="A476"/>
      <c r="B476" s="51"/>
      <c r="C476"/>
      <c r="D476"/>
      <c r="E476"/>
      <c r="F476"/>
      <c r="G476"/>
      <c r="H476" s="96"/>
    </row>
    <row r="477" spans="1:8">
      <c r="A477"/>
      <c r="B477" s="51"/>
      <c r="C477"/>
      <c r="D477"/>
      <c r="E477"/>
      <c r="F477"/>
      <c r="G477"/>
      <c r="H477" s="96"/>
    </row>
    <row r="478" spans="1:8">
      <c r="A478"/>
      <c r="B478" s="51"/>
      <c r="C478"/>
      <c r="D478"/>
      <c r="E478"/>
      <c r="F478"/>
      <c r="G478"/>
      <c r="H478" s="96"/>
    </row>
    <row r="479" spans="1:8">
      <c r="A479"/>
      <c r="B479" s="51"/>
      <c r="C479"/>
      <c r="D479"/>
      <c r="E479"/>
      <c r="F479"/>
      <c r="G479"/>
      <c r="H479" s="96"/>
    </row>
    <row r="480" spans="1:8">
      <c r="A480"/>
      <c r="B480" s="51"/>
      <c r="C480"/>
      <c r="D480"/>
      <c r="E480"/>
      <c r="F480"/>
      <c r="G480"/>
      <c r="H480" s="96"/>
    </row>
    <row r="481" spans="1:8">
      <c r="A481"/>
      <c r="B481" s="51"/>
      <c r="C481"/>
      <c r="D481"/>
      <c r="E481"/>
      <c r="F481"/>
      <c r="G481"/>
      <c r="H481" s="96"/>
    </row>
    <row r="482" spans="1:8">
      <c r="A482"/>
      <c r="B482" s="51"/>
      <c r="C482"/>
      <c r="D482"/>
      <c r="E482"/>
      <c r="F482"/>
      <c r="G482"/>
      <c r="H482" s="96"/>
    </row>
    <row r="483" spans="1:8">
      <c r="A483"/>
      <c r="B483" s="51"/>
      <c r="C483"/>
      <c r="D483"/>
      <c r="E483"/>
      <c r="F483"/>
      <c r="G483"/>
      <c r="H483" s="96"/>
    </row>
    <row r="484" spans="1:8">
      <c r="A484"/>
      <c r="B484" s="51"/>
      <c r="C484"/>
      <c r="D484"/>
      <c r="E484"/>
      <c r="F484"/>
      <c r="G484"/>
      <c r="H484" s="96"/>
    </row>
    <row r="485" spans="1:8">
      <c r="A485"/>
      <c r="B485" s="51"/>
      <c r="C485"/>
      <c r="D485"/>
      <c r="E485"/>
      <c r="F485"/>
      <c r="G485"/>
      <c r="H485" s="96"/>
    </row>
    <row r="486" spans="1:8">
      <c r="A486"/>
      <c r="B486" s="51"/>
      <c r="C486"/>
      <c r="D486"/>
      <c r="E486"/>
      <c r="F486"/>
      <c r="G486"/>
      <c r="H486" s="96"/>
    </row>
    <row r="487" spans="1:8">
      <c r="A487"/>
      <c r="B487" s="51"/>
      <c r="C487"/>
      <c r="D487"/>
      <c r="E487"/>
      <c r="F487"/>
      <c r="G487"/>
      <c r="H487" s="96"/>
    </row>
    <row r="488" spans="1:8">
      <c r="A488"/>
      <c r="B488" s="51"/>
      <c r="C488"/>
      <c r="D488"/>
      <c r="E488"/>
      <c r="F488"/>
      <c r="G488"/>
      <c r="H488" s="96"/>
    </row>
    <row r="489" spans="1:8">
      <c r="A489"/>
      <c r="B489" s="51"/>
      <c r="C489"/>
      <c r="D489"/>
      <c r="E489"/>
      <c r="F489"/>
      <c r="G489"/>
      <c r="H489" s="96"/>
    </row>
    <row r="490" spans="1:8">
      <c r="A490"/>
      <c r="B490" s="51"/>
      <c r="C490"/>
      <c r="D490"/>
      <c r="E490"/>
      <c r="F490"/>
      <c r="G490"/>
      <c r="H490" s="96"/>
    </row>
    <row r="491" spans="1:8">
      <c r="A491"/>
      <c r="B491" s="51"/>
      <c r="C491"/>
      <c r="D491"/>
      <c r="E491"/>
      <c r="F491"/>
      <c r="G491"/>
      <c r="H491" s="96"/>
    </row>
    <row r="492" spans="1:8">
      <c r="A492"/>
      <c r="B492" s="51"/>
      <c r="C492"/>
      <c r="D492"/>
      <c r="E492"/>
      <c r="F492"/>
      <c r="G492"/>
      <c r="H492" s="96"/>
    </row>
    <row r="493" spans="1:8">
      <c r="A493"/>
      <c r="B493" s="51"/>
      <c r="C493"/>
      <c r="D493"/>
      <c r="E493"/>
      <c r="F493"/>
      <c r="G493"/>
      <c r="H493" s="96"/>
    </row>
    <row r="494" spans="1:8">
      <c r="A494"/>
      <c r="B494" s="51"/>
      <c r="C494"/>
      <c r="D494"/>
      <c r="E494"/>
      <c r="F494"/>
      <c r="G494"/>
      <c r="H494" s="96"/>
    </row>
    <row r="495" spans="1:8">
      <c r="A495"/>
      <c r="B495" s="51"/>
      <c r="C495"/>
      <c r="D495"/>
      <c r="E495"/>
      <c r="F495"/>
      <c r="G495"/>
      <c r="H495" s="96"/>
    </row>
    <row r="496" spans="1:8">
      <c r="A496"/>
      <c r="B496" s="51"/>
      <c r="C496"/>
      <c r="D496"/>
      <c r="E496"/>
      <c r="F496"/>
      <c r="G496"/>
      <c r="H496" s="96"/>
    </row>
    <row r="497" spans="1:8">
      <c r="A497"/>
      <c r="B497" s="51"/>
      <c r="C497"/>
      <c r="D497"/>
      <c r="E497"/>
      <c r="F497"/>
      <c r="G497"/>
      <c r="H497" s="96"/>
    </row>
    <row r="498" spans="1:8">
      <c r="A498"/>
      <c r="B498" s="51"/>
      <c r="C498"/>
      <c r="D498"/>
      <c r="E498"/>
      <c r="F498"/>
      <c r="G498"/>
      <c r="H498" s="96"/>
    </row>
    <row r="499" spans="1:8">
      <c r="A499"/>
      <c r="B499" s="51"/>
      <c r="C499"/>
      <c r="D499"/>
      <c r="E499"/>
      <c r="F499"/>
      <c r="G499"/>
      <c r="H499" s="96"/>
    </row>
    <row r="500" spans="1:8">
      <c r="A500"/>
      <c r="B500" s="51"/>
      <c r="C500"/>
      <c r="D500"/>
      <c r="E500"/>
      <c r="F500"/>
      <c r="G500"/>
      <c r="H500" s="96"/>
    </row>
    <row r="501" spans="1:8">
      <c r="A501"/>
      <c r="B501" s="51"/>
      <c r="C501"/>
      <c r="D501"/>
      <c r="E501"/>
      <c r="F501"/>
      <c r="G501"/>
      <c r="H501" s="96"/>
    </row>
    <row r="502" spans="1:8">
      <c r="A502"/>
      <c r="B502" s="51"/>
      <c r="C502"/>
      <c r="D502"/>
      <c r="E502"/>
      <c r="F502"/>
      <c r="G502"/>
      <c r="H502" s="96"/>
    </row>
    <row r="503" spans="1:8">
      <c r="A503"/>
      <c r="B503" s="51"/>
      <c r="C503"/>
      <c r="D503"/>
      <c r="E503"/>
      <c r="F503"/>
      <c r="G503"/>
      <c r="H503" s="96"/>
    </row>
    <row r="504" spans="1:8">
      <c r="A504"/>
      <c r="B504" s="51"/>
      <c r="C504"/>
      <c r="D504"/>
      <c r="E504"/>
      <c r="F504"/>
      <c r="G504"/>
      <c r="H504" s="96"/>
    </row>
    <row r="505" spans="1:8">
      <c r="A505"/>
      <c r="B505" s="51"/>
      <c r="C505"/>
      <c r="D505"/>
      <c r="E505"/>
      <c r="F505"/>
      <c r="G505"/>
      <c r="H505" s="96"/>
    </row>
    <row r="506" spans="1:8">
      <c r="A506"/>
      <c r="B506" s="51"/>
      <c r="C506"/>
      <c r="D506"/>
      <c r="E506"/>
      <c r="F506"/>
      <c r="G506"/>
      <c r="H506" s="96"/>
    </row>
    <row r="507" spans="1:8">
      <c r="A507"/>
      <c r="B507" s="51"/>
      <c r="C507"/>
      <c r="D507"/>
      <c r="E507"/>
      <c r="F507"/>
      <c r="G507"/>
      <c r="H507" s="96"/>
    </row>
    <row r="508" spans="1:8">
      <c r="A508"/>
      <c r="B508" s="51"/>
      <c r="C508"/>
      <c r="D508"/>
      <c r="E508"/>
      <c r="F508"/>
      <c r="G508"/>
      <c r="H508" s="96"/>
    </row>
    <row r="509" spans="1:8">
      <c r="A509"/>
      <c r="B509" s="51"/>
      <c r="C509"/>
      <c r="D509"/>
      <c r="E509"/>
      <c r="F509"/>
      <c r="G509"/>
      <c r="H509" s="96"/>
    </row>
    <row r="510" spans="1:8">
      <c r="A510"/>
      <c r="B510" s="51"/>
      <c r="C510"/>
      <c r="D510"/>
      <c r="E510"/>
      <c r="F510"/>
      <c r="G510"/>
      <c r="H510" s="96"/>
    </row>
    <row r="511" spans="1:8">
      <c r="A511"/>
      <c r="B511" s="51"/>
      <c r="C511"/>
      <c r="D511"/>
      <c r="E511"/>
      <c r="F511"/>
      <c r="G511"/>
      <c r="H511" s="96"/>
    </row>
    <row r="512" spans="1:8">
      <c r="A512"/>
      <c r="B512" s="51"/>
      <c r="C512"/>
      <c r="D512"/>
      <c r="E512"/>
      <c r="F512"/>
      <c r="G512"/>
      <c r="H512" s="96"/>
    </row>
    <row r="513" spans="1:8">
      <c r="A513"/>
      <c r="B513" s="51"/>
      <c r="C513"/>
      <c r="D513"/>
      <c r="E513"/>
      <c r="F513"/>
      <c r="G513"/>
      <c r="H513" s="96"/>
    </row>
    <row r="514" spans="1:8">
      <c r="A514"/>
      <c r="B514" s="51"/>
      <c r="C514"/>
      <c r="D514"/>
      <c r="E514"/>
      <c r="F514"/>
      <c r="G514"/>
      <c r="H514" s="96"/>
    </row>
    <row r="515" spans="1:8">
      <c r="A515"/>
      <c r="B515" s="51"/>
      <c r="C515"/>
      <c r="D515"/>
      <c r="E515"/>
      <c r="F515"/>
      <c r="G515"/>
      <c r="H515" s="96"/>
    </row>
    <row r="516" spans="1:8">
      <c r="A516"/>
      <c r="B516" s="51"/>
      <c r="C516"/>
      <c r="D516"/>
      <c r="E516"/>
      <c r="F516"/>
      <c r="G516"/>
      <c r="H516" s="96"/>
    </row>
    <row r="517" spans="1:8">
      <c r="A517"/>
      <c r="B517" s="51"/>
      <c r="C517"/>
      <c r="D517"/>
      <c r="E517"/>
      <c r="F517"/>
      <c r="G517"/>
      <c r="H517" s="96"/>
    </row>
    <row r="518" spans="1:8">
      <c r="A518"/>
      <c r="B518" s="51"/>
      <c r="C518"/>
      <c r="D518"/>
      <c r="E518"/>
      <c r="F518"/>
      <c r="G518"/>
      <c r="H518" s="96"/>
    </row>
    <row r="519" spans="1:8">
      <c r="A519"/>
      <c r="B519" s="51"/>
      <c r="C519"/>
      <c r="D519"/>
      <c r="E519"/>
      <c r="F519"/>
      <c r="G519"/>
      <c r="H519" s="96"/>
    </row>
    <row r="520" spans="1:8">
      <c r="A520"/>
      <c r="B520" s="51"/>
      <c r="C520"/>
      <c r="D520"/>
      <c r="E520"/>
      <c r="F520"/>
      <c r="G520"/>
      <c r="H520" s="96"/>
    </row>
    <row r="521" spans="1:8">
      <c r="A521"/>
      <c r="B521" s="51"/>
      <c r="C521"/>
      <c r="D521"/>
      <c r="E521"/>
      <c r="F521"/>
      <c r="G521"/>
      <c r="H521" s="96"/>
    </row>
    <row r="522" spans="1:8">
      <c r="A522"/>
      <c r="B522" s="51"/>
      <c r="C522"/>
      <c r="D522"/>
      <c r="E522"/>
      <c r="F522"/>
      <c r="G522"/>
      <c r="H522" s="96"/>
    </row>
    <row r="523" spans="1:8">
      <c r="A523"/>
      <c r="B523" s="51"/>
      <c r="C523"/>
      <c r="D523"/>
      <c r="E523"/>
      <c r="F523"/>
      <c r="G523"/>
      <c r="H523" s="96"/>
    </row>
    <row r="524" spans="1:8">
      <c r="A524"/>
      <c r="B524" s="51"/>
      <c r="C524"/>
      <c r="D524"/>
      <c r="E524"/>
      <c r="F524"/>
      <c r="G524"/>
      <c r="H524" s="96"/>
    </row>
    <row r="525" spans="1:8">
      <c r="A525"/>
      <c r="B525" s="51"/>
      <c r="C525"/>
      <c r="D525"/>
      <c r="E525"/>
      <c r="F525"/>
      <c r="G525"/>
      <c r="H525" s="96"/>
    </row>
    <row r="526" spans="1:8">
      <c r="A526"/>
      <c r="B526" s="51"/>
      <c r="C526"/>
      <c r="D526"/>
      <c r="E526"/>
      <c r="F526"/>
      <c r="G526"/>
      <c r="H526" s="96"/>
    </row>
    <row r="527" spans="1:8">
      <c r="A527"/>
      <c r="B527" s="51"/>
      <c r="C527"/>
      <c r="D527"/>
      <c r="E527"/>
      <c r="F527"/>
      <c r="G527"/>
      <c r="H527" s="96"/>
    </row>
    <row r="528" spans="1:8">
      <c r="A528"/>
      <c r="B528" s="51"/>
      <c r="C528"/>
      <c r="D528"/>
      <c r="E528"/>
      <c r="F528"/>
      <c r="G528"/>
      <c r="H528" s="96"/>
    </row>
    <row r="529" spans="1:8">
      <c r="A529"/>
      <c r="B529" s="51"/>
      <c r="C529"/>
      <c r="D529"/>
      <c r="E529"/>
      <c r="F529"/>
      <c r="G529"/>
      <c r="H529" s="96"/>
    </row>
    <row r="530" spans="1:8">
      <c r="A530"/>
      <c r="B530" s="51"/>
      <c r="C530"/>
      <c r="D530"/>
      <c r="E530"/>
      <c r="F530"/>
      <c r="G530"/>
      <c r="H530" s="96"/>
    </row>
    <row r="531" spans="1:8">
      <c r="A531"/>
      <c r="B531" s="51"/>
      <c r="C531"/>
      <c r="D531"/>
      <c r="E531"/>
      <c r="F531"/>
      <c r="G531"/>
      <c r="H531" s="96"/>
    </row>
    <row r="532" spans="1:8">
      <c r="A532"/>
      <c r="B532" s="51"/>
      <c r="C532"/>
      <c r="D532"/>
      <c r="E532"/>
      <c r="F532"/>
      <c r="G532"/>
      <c r="H532" s="96"/>
    </row>
    <row r="533" spans="1:8">
      <c r="A533"/>
      <c r="B533" s="51"/>
      <c r="C533"/>
      <c r="D533"/>
      <c r="E533"/>
      <c r="F533"/>
      <c r="G533"/>
      <c r="H533" s="96"/>
    </row>
    <row r="534" spans="1:8">
      <c r="A534"/>
      <c r="B534" s="51"/>
      <c r="C534"/>
      <c r="D534"/>
      <c r="E534"/>
      <c r="F534"/>
      <c r="G534"/>
      <c r="H534" s="96"/>
    </row>
    <row r="535" spans="1:8">
      <c r="A535"/>
      <c r="B535" s="51"/>
      <c r="C535"/>
      <c r="D535"/>
      <c r="E535"/>
      <c r="F535"/>
      <c r="G535"/>
      <c r="H535" s="96"/>
    </row>
    <row r="536" spans="1:8">
      <c r="A536"/>
      <c r="B536" s="51"/>
      <c r="C536"/>
      <c r="D536"/>
      <c r="E536"/>
      <c r="F536"/>
      <c r="G536"/>
      <c r="H536" s="96"/>
    </row>
    <row r="537" spans="1:8">
      <c r="A537"/>
      <c r="B537" s="51"/>
      <c r="C537"/>
      <c r="D537"/>
      <c r="E537"/>
      <c r="F537"/>
      <c r="G537"/>
      <c r="H537" s="96"/>
    </row>
    <row r="538" spans="1:8">
      <c r="A538"/>
      <c r="B538" s="51"/>
      <c r="C538"/>
      <c r="D538"/>
      <c r="E538"/>
      <c r="F538"/>
      <c r="G538"/>
      <c r="H538" s="96"/>
    </row>
    <row r="539" spans="1:8">
      <c r="A539"/>
      <c r="B539" s="51"/>
      <c r="C539"/>
      <c r="D539"/>
      <c r="E539"/>
      <c r="F539"/>
      <c r="G539"/>
      <c r="H539" s="96"/>
    </row>
    <row r="540" spans="1:8">
      <c r="A540"/>
      <c r="B540" s="51"/>
      <c r="C540"/>
      <c r="D540"/>
      <c r="E540"/>
      <c r="F540"/>
      <c r="G540"/>
      <c r="H540" s="96"/>
    </row>
    <row r="541" spans="1:8">
      <c r="A541"/>
      <c r="B541" s="51"/>
      <c r="C541"/>
      <c r="D541"/>
      <c r="E541"/>
      <c r="F541"/>
      <c r="G541"/>
      <c r="H541" s="96"/>
    </row>
    <row r="542" spans="1:8">
      <c r="A542"/>
      <c r="B542" s="51"/>
      <c r="C542"/>
      <c r="D542"/>
      <c r="E542"/>
      <c r="F542"/>
      <c r="G542"/>
      <c r="H542" s="96"/>
    </row>
    <row r="543" spans="1:8">
      <c r="A543"/>
      <c r="B543" s="51"/>
      <c r="C543"/>
      <c r="D543"/>
      <c r="E543"/>
      <c r="F543"/>
      <c r="G543"/>
      <c r="H543" s="96"/>
    </row>
    <row r="544" spans="1:8">
      <c r="A544"/>
      <c r="B544" s="51"/>
      <c r="C544"/>
      <c r="D544"/>
      <c r="E544"/>
      <c r="F544"/>
      <c r="G544"/>
      <c r="H544" s="96"/>
    </row>
    <row r="545" spans="1:8">
      <c r="A545"/>
      <c r="B545" s="51"/>
      <c r="C545"/>
      <c r="D545"/>
      <c r="E545"/>
      <c r="F545"/>
      <c r="G545"/>
      <c r="H545" s="96"/>
    </row>
    <row r="546" spans="1:8">
      <c r="A546"/>
      <c r="B546" s="51"/>
      <c r="C546"/>
      <c r="D546"/>
      <c r="E546"/>
      <c r="F546"/>
      <c r="G546"/>
      <c r="H546" s="96"/>
    </row>
    <row r="547" spans="1:8">
      <c r="A547"/>
      <c r="B547" s="51"/>
      <c r="C547"/>
      <c r="D547"/>
      <c r="E547"/>
      <c r="F547"/>
      <c r="G547"/>
      <c r="H547" s="96"/>
    </row>
    <row r="548" spans="1:8">
      <c r="A548"/>
      <c r="B548" s="51"/>
      <c r="C548"/>
      <c r="D548"/>
      <c r="E548"/>
      <c r="F548"/>
      <c r="G548"/>
      <c r="H548" s="96"/>
    </row>
    <row r="549" spans="1:8">
      <c r="A549"/>
      <c r="B549" s="51"/>
      <c r="C549"/>
      <c r="D549"/>
      <c r="E549"/>
      <c r="F549"/>
      <c r="G549"/>
      <c r="H549" s="96"/>
    </row>
    <row r="550" spans="1:8">
      <c r="A550"/>
      <c r="B550" s="51"/>
      <c r="C550"/>
      <c r="D550"/>
      <c r="E550"/>
      <c r="F550"/>
      <c r="G550"/>
      <c r="H550" s="96"/>
    </row>
    <row r="551" spans="1:8">
      <c r="A551"/>
      <c r="B551" s="51"/>
      <c r="C551"/>
      <c r="D551"/>
      <c r="E551"/>
      <c r="F551"/>
      <c r="G551"/>
      <c r="H551" s="96"/>
    </row>
    <row r="552" spans="1:8">
      <c r="A552"/>
      <c r="B552" s="51"/>
      <c r="C552"/>
      <c r="D552"/>
      <c r="E552"/>
      <c r="F552"/>
      <c r="G552"/>
      <c r="H552" s="96"/>
    </row>
    <row r="553" spans="1:8">
      <c r="A553"/>
      <c r="B553" s="51"/>
      <c r="C553"/>
      <c r="D553"/>
      <c r="E553"/>
      <c r="F553"/>
      <c r="G553"/>
      <c r="H553" s="96"/>
    </row>
    <row r="554" spans="1:8">
      <c r="A554"/>
      <c r="B554" s="51"/>
      <c r="C554"/>
      <c r="D554"/>
      <c r="E554"/>
      <c r="F554"/>
      <c r="G554"/>
      <c r="H554" s="96"/>
    </row>
    <row r="555" spans="1:8">
      <c r="A555"/>
      <c r="B555" s="51"/>
      <c r="C555"/>
      <c r="D555"/>
      <c r="E555"/>
      <c r="F555"/>
      <c r="G555"/>
      <c r="H555" s="96"/>
    </row>
    <row r="556" spans="1:8">
      <c r="A556"/>
      <c r="B556" s="51"/>
      <c r="C556"/>
      <c r="D556"/>
      <c r="E556"/>
      <c r="F556"/>
      <c r="G556"/>
      <c r="H556" s="96"/>
    </row>
    <row r="557" spans="1:8">
      <c r="A557"/>
      <c r="B557" s="51"/>
      <c r="C557"/>
      <c r="D557"/>
      <c r="E557"/>
      <c r="F557"/>
      <c r="G557"/>
      <c r="H557" s="96"/>
    </row>
    <row r="558" spans="1:8">
      <c r="A558"/>
      <c r="B558" s="51"/>
      <c r="C558"/>
      <c r="D558"/>
      <c r="E558"/>
      <c r="F558"/>
      <c r="G558"/>
      <c r="H558" s="96"/>
    </row>
    <row r="559" spans="1:8">
      <c r="A559"/>
      <c r="B559" s="51"/>
      <c r="C559"/>
      <c r="D559"/>
      <c r="E559"/>
      <c r="F559"/>
      <c r="G559"/>
      <c r="H559" s="96"/>
    </row>
    <row r="560" spans="1:8">
      <c r="A560"/>
      <c r="B560" s="51"/>
      <c r="C560"/>
      <c r="D560"/>
      <c r="E560"/>
      <c r="F560"/>
      <c r="G560"/>
      <c r="H560" s="96"/>
    </row>
    <row r="561" spans="1:8">
      <c r="A561"/>
      <c r="B561" s="51"/>
      <c r="C561"/>
      <c r="D561"/>
      <c r="E561"/>
      <c r="F561"/>
      <c r="G561"/>
      <c r="H561" s="96"/>
    </row>
    <row r="562" spans="1:8">
      <c r="A562"/>
      <c r="B562" s="51"/>
      <c r="C562"/>
      <c r="D562"/>
      <c r="E562"/>
      <c r="F562"/>
      <c r="G562"/>
      <c r="H562" s="96"/>
    </row>
    <row r="563" spans="1:8">
      <c r="A563"/>
      <c r="B563" s="51"/>
      <c r="C563"/>
      <c r="D563"/>
      <c r="E563"/>
      <c r="F563"/>
      <c r="G563"/>
      <c r="H563" s="96"/>
    </row>
    <row r="564" spans="1:8">
      <c r="A564"/>
      <c r="B564" s="51"/>
      <c r="C564"/>
      <c r="D564"/>
      <c r="E564"/>
      <c r="F564"/>
      <c r="G564"/>
      <c r="H564" s="96"/>
    </row>
    <row r="565" spans="1:8">
      <c r="A565"/>
      <c r="B565" s="51"/>
      <c r="C565"/>
      <c r="D565"/>
      <c r="E565"/>
      <c r="F565"/>
      <c r="G565"/>
      <c r="H565" s="96"/>
    </row>
    <row r="566" spans="1:8">
      <c r="A566"/>
      <c r="B566" s="51"/>
      <c r="C566"/>
      <c r="D566"/>
      <c r="E566"/>
      <c r="F566"/>
      <c r="G566"/>
      <c r="H566" s="96"/>
    </row>
    <row r="567" spans="1:8">
      <c r="A567"/>
      <c r="B567" s="51"/>
      <c r="C567"/>
      <c r="D567"/>
      <c r="E567"/>
      <c r="F567"/>
      <c r="G567"/>
      <c r="H567" s="96"/>
    </row>
    <row r="568" spans="1:8">
      <c r="A568"/>
      <c r="B568" s="51"/>
      <c r="C568"/>
      <c r="D568"/>
      <c r="E568"/>
      <c r="F568"/>
      <c r="G568"/>
      <c r="H568" s="96"/>
    </row>
    <row r="569" spans="1:8">
      <c r="A569"/>
      <c r="B569" s="51"/>
      <c r="C569"/>
      <c r="D569"/>
      <c r="E569"/>
      <c r="F569"/>
      <c r="G569"/>
      <c r="H569" s="96"/>
    </row>
    <row r="570" spans="1:8">
      <c r="A570"/>
      <c r="B570" s="51"/>
      <c r="C570"/>
      <c r="D570"/>
      <c r="E570"/>
      <c r="F570"/>
      <c r="G570"/>
      <c r="H570" s="96"/>
    </row>
    <row r="571" spans="1:8">
      <c r="A571"/>
      <c r="B571" s="51"/>
      <c r="C571"/>
      <c r="D571"/>
      <c r="E571"/>
      <c r="F571"/>
      <c r="G571"/>
      <c r="H571" s="96"/>
    </row>
    <row r="572" spans="1:8">
      <c r="A572"/>
      <c r="B572" s="51"/>
      <c r="C572"/>
      <c r="D572"/>
      <c r="E572"/>
      <c r="F572"/>
      <c r="G572"/>
      <c r="H572" s="96"/>
    </row>
    <row r="573" spans="1:8">
      <c r="A573"/>
      <c r="B573" s="51"/>
      <c r="C573"/>
      <c r="D573"/>
      <c r="E573"/>
      <c r="F573"/>
      <c r="G573"/>
      <c r="H573" s="96"/>
    </row>
    <row r="574" spans="1:8">
      <c r="A574"/>
      <c r="B574" s="51"/>
      <c r="C574"/>
      <c r="D574"/>
      <c r="E574"/>
      <c r="F574"/>
      <c r="G574"/>
      <c r="H574" s="96"/>
    </row>
    <row r="575" spans="1:8">
      <c r="A575"/>
      <c r="B575" s="51"/>
      <c r="C575"/>
      <c r="D575"/>
      <c r="E575"/>
      <c r="F575"/>
      <c r="G575"/>
      <c r="H575" s="96"/>
    </row>
    <row r="576" spans="1:8">
      <c r="A576"/>
      <c r="B576" s="51"/>
      <c r="C576"/>
      <c r="D576"/>
      <c r="E576"/>
      <c r="F576"/>
      <c r="G576"/>
      <c r="H576" s="96"/>
    </row>
    <row r="577" spans="1:8">
      <c r="A577"/>
      <c r="B577" s="51"/>
      <c r="C577"/>
      <c r="D577"/>
      <c r="E577"/>
      <c r="F577"/>
      <c r="G577"/>
      <c r="H577" s="96"/>
    </row>
    <row r="578" spans="1:8">
      <c r="A578"/>
      <c r="B578" s="51"/>
      <c r="C578"/>
      <c r="D578"/>
      <c r="E578"/>
      <c r="F578"/>
      <c r="G578"/>
      <c r="H578" s="96"/>
    </row>
    <row r="579" spans="1:8">
      <c r="A579"/>
      <c r="B579" s="51"/>
      <c r="C579"/>
      <c r="D579"/>
      <c r="E579"/>
      <c r="F579"/>
      <c r="G579"/>
      <c r="H579" s="96"/>
    </row>
    <row r="580" spans="1:8">
      <c r="A580"/>
      <c r="B580" s="51"/>
      <c r="C580"/>
      <c r="D580"/>
      <c r="E580"/>
      <c r="F580"/>
      <c r="G580"/>
      <c r="H580" s="96"/>
    </row>
    <row r="581" spans="1:8">
      <c r="A581"/>
      <c r="B581" s="51"/>
      <c r="C581"/>
      <c r="D581"/>
      <c r="E581"/>
      <c r="F581"/>
      <c r="G581"/>
      <c r="H581" s="96"/>
    </row>
    <row r="582" spans="1:8">
      <c r="A582"/>
      <c r="B582" s="51"/>
      <c r="C582"/>
      <c r="D582"/>
      <c r="E582"/>
      <c r="F582"/>
      <c r="G582"/>
      <c r="H582" s="96"/>
    </row>
    <row r="583" spans="1:8">
      <c r="A583"/>
      <c r="B583" s="51"/>
      <c r="C583"/>
      <c r="D583"/>
      <c r="E583"/>
      <c r="F583"/>
      <c r="G583"/>
      <c r="H583" s="96"/>
    </row>
    <row r="584" spans="1:8">
      <c r="A584"/>
      <c r="B584" s="51"/>
      <c r="C584"/>
      <c r="D584"/>
      <c r="E584"/>
      <c r="F584"/>
      <c r="G584"/>
      <c r="H584" s="96"/>
    </row>
    <row r="585" spans="1:8">
      <c r="A585"/>
      <c r="B585" s="51"/>
      <c r="C585"/>
      <c r="D585"/>
      <c r="E585"/>
      <c r="F585"/>
      <c r="G585"/>
      <c r="H585" s="96"/>
    </row>
    <row r="586" spans="1:8">
      <c r="A586"/>
      <c r="B586" s="51"/>
      <c r="C586"/>
      <c r="D586"/>
      <c r="E586"/>
      <c r="F586"/>
      <c r="G586"/>
      <c r="H586" s="96"/>
    </row>
    <row r="587" spans="1:8">
      <c r="A587"/>
      <c r="B587" s="51"/>
      <c r="C587"/>
      <c r="D587"/>
      <c r="E587"/>
      <c r="F587"/>
      <c r="G587"/>
      <c r="H587" s="96"/>
    </row>
    <row r="588" spans="1:8">
      <c r="A588"/>
      <c r="B588" s="51"/>
      <c r="C588"/>
      <c r="D588"/>
      <c r="E588"/>
      <c r="F588"/>
      <c r="G588"/>
      <c r="H588" s="96"/>
    </row>
    <row r="589" spans="1:8">
      <c r="A589"/>
      <c r="B589" s="51"/>
      <c r="C589"/>
      <c r="D589"/>
      <c r="E589"/>
      <c r="F589"/>
      <c r="G589"/>
      <c r="H589" s="96"/>
    </row>
    <row r="590" spans="1:8">
      <c r="A590"/>
      <c r="B590" s="51"/>
      <c r="C590"/>
      <c r="D590"/>
      <c r="E590"/>
      <c r="F590"/>
      <c r="G590"/>
      <c r="H590" s="96"/>
    </row>
    <row r="591" spans="1:8">
      <c r="A591"/>
      <c r="B591" s="51"/>
      <c r="C591"/>
      <c r="D591"/>
      <c r="E591"/>
      <c r="F591"/>
      <c r="G591"/>
      <c r="H591" s="96"/>
    </row>
    <row r="592" spans="1:8">
      <c r="A592"/>
      <c r="B592" s="51"/>
      <c r="C592"/>
      <c r="D592"/>
      <c r="E592"/>
      <c r="F592"/>
      <c r="G592"/>
      <c r="H592" s="96"/>
    </row>
    <row r="593" spans="1:8">
      <c r="A593"/>
      <c r="B593" s="51"/>
      <c r="C593"/>
      <c r="D593"/>
      <c r="E593"/>
      <c r="F593"/>
      <c r="G593"/>
      <c r="H593" s="96"/>
    </row>
    <row r="594" spans="1:8">
      <c r="A594"/>
      <c r="B594" s="51"/>
      <c r="C594"/>
      <c r="D594"/>
      <c r="E594"/>
      <c r="F594"/>
      <c r="G594"/>
      <c r="H594" s="96"/>
    </row>
    <row r="595" spans="1:8">
      <c r="A595"/>
      <c r="B595" s="51"/>
      <c r="C595"/>
      <c r="D595"/>
      <c r="E595"/>
      <c r="F595"/>
      <c r="G595"/>
      <c r="H595" s="96"/>
    </row>
    <row r="596" spans="1:8">
      <c r="A596"/>
      <c r="B596" s="51"/>
      <c r="C596"/>
      <c r="D596"/>
      <c r="E596"/>
      <c r="F596"/>
      <c r="G596"/>
      <c r="H596" s="96"/>
    </row>
    <row r="597" spans="1:8">
      <c r="A597"/>
      <c r="B597" s="51"/>
      <c r="C597"/>
      <c r="D597"/>
      <c r="E597"/>
      <c r="F597"/>
      <c r="G597"/>
      <c r="H597" s="96"/>
    </row>
    <row r="598" spans="1:8">
      <c r="A598"/>
      <c r="B598" s="51"/>
      <c r="C598"/>
      <c r="D598"/>
      <c r="E598"/>
      <c r="F598"/>
      <c r="G598"/>
      <c r="H598" s="96"/>
    </row>
    <row r="599" spans="1:8">
      <c r="A599"/>
      <c r="B599" s="51"/>
      <c r="C599"/>
      <c r="D599"/>
      <c r="E599"/>
      <c r="F599"/>
      <c r="G599"/>
      <c r="H599" s="96"/>
    </row>
    <row r="600" spans="1:8">
      <c r="A600"/>
      <c r="B600" s="51"/>
      <c r="C600"/>
      <c r="D600"/>
      <c r="E600"/>
      <c r="F600"/>
      <c r="G600"/>
      <c r="H600" s="96"/>
    </row>
    <row r="601" spans="1:8">
      <c r="A601"/>
      <c r="B601" s="51"/>
      <c r="C601"/>
      <c r="D601"/>
      <c r="E601"/>
      <c r="F601"/>
      <c r="G601"/>
      <c r="H601" s="96"/>
    </row>
    <row r="602" spans="1:8">
      <c r="A602"/>
      <c r="B602" s="51"/>
      <c r="C602"/>
      <c r="D602"/>
      <c r="E602"/>
      <c r="F602"/>
      <c r="G602"/>
      <c r="H602" s="96"/>
    </row>
    <row r="603" spans="1:8">
      <c r="A603"/>
      <c r="B603" s="51"/>
      <c r="C603"/>
      <c r="D603"/>
      <c r="E603"/>
      <c r="F603"/>
      <c r="G603"/>
      <c r="H603" s="96"/>
    </row>
    <row r="604" spans="1:8">
      <c r="A604"/>
      <c r="B604" s="51"/>
      <c r="C604"/>
      <c r="D604"/>
      <c r="E604"/>
      <c r="F604"/>
      <c r="G604"/>
      <c r="H604" s="96"/>
    </row>
    <row r="605" spans="1:8">
      <c r="A605"/>
      <c r="B605" s="51"/>
      <c r="C605"/>
      <c r="D605"/>
      <c r="E605"/>
      <c r="F605"/>
      <c r="G605"/>
      <c r="H605" s="96"/>
    </row>
    <row r="606" spans="1:8">
      <c r="A606"/>
      <c r="B606" s="51"/>
      <c r="C606"/>
      <c r="D606"/>
      <c r="E606"/>
      <c r="F606"/>
      <c r="G606"/>
      <c r="H606" s="96"/>
    </row>
    <row r="607" spans="1:8">
      <c r="A607"/>
      <c r="B607" s="51"/>
      <c r="C607"/>
      <c r="D607"/>
      <c r="E607"/>
      <c r="F607"/>
      <c r="G607"/>
      <c r="H607" s="96"/>
    </row>
    <row r="608" spans="1:8">
      <c r="A608"/>
      <c r="B608" s="51"/>
      <c r="C608"/>
      <c r="D608"/>
      <c r="E608"/>
      <c r="F608"/>
      <c r="G608"/>
      <c r="H608" s="96"/>
    </row>
    <row r="609" spans="1:8">
      <c r="A609"/>
      <c r="B609" s="51"/>
      <c r="C609"/>
      <c r="D609"/>
      <c r="E609"/>
      <c r="F609"/>
      <c r="G609"/>
      <c r="H609" s="96"/>
    </row>
    <row r="610" spans="1:8">
      <c r="A610"/>
      <c r="B610" s="51"/>
      <c r="C610"/>
      <c r="D610"/>
      <c r="E610"/>
      <c r="F610"/>
      <c r="G610"/>
      <c r="H610" s="96"/>
    </row>
    <row r="611" spans="1:8">
      <c r="A611"/>
      <c r="B611" s="51"/>
      <c r="C611"/>
      <c r="D611"/>
      <c r="E611"/>
      <c r="F611"/>
      <c r="G611"/>
      <c r="H611" s="96"/>
    </row>
    <row r="612" spans="1:8">
      <c r="A612"/>
      <c r="B612" s="51"/>
      <c r="C612"/>
      <c r="D612"/>
      <c r="E612"/>
      <c r="F612"/>
      <c r="G612"/>
      <c r="H612" s="96"/>
    </row>
    <row r="613" spans="1:8">
      <c r="A613"/>
      <c r="B613" s="51"/>
      <c r="C613"/>
      <c r="D613"/>
      <c r="E613"/>
      <c r="F613"/>
      <c r="G613"/>
      <c r="H613" s="96"/>
    </row>
    <row r="614" spans="1:8">
      <c r="A614"/>
      <c r="B614" s="51"/>
      <c r="C614"/>
      <c r="D614"/>
      <c r="E614"/>
      <c r="F614"/>
      <c r="G614"/>
      <c r="H614" s="96"/>
    </row>
    <row r="615" spans="1:8">
      <c r="A615"/>
      <c r="B615" s="51"/>
      <c r="C615"/>
      <c r="D615"/>
      <c r="E615"/>
      <c r="F615"/>
      <c r="G615"/>
      <c r="H615" s="96"/>
    </row>
    <row r="616" spans="1:8">
      <c r="A616"/>
      <c r="B616" s="51"/>
      <c r="C616"/>
      <c r="D616"/>
      <c r="E616"/>
      <c r="F616"/>
      <c r="G616"/>
      <c r="H616" s="96"/>
    </row>
    <row r="617" spans="1:8">
      <c r="A617"/>
      <c r="B617" s="51"/>
      <c r="C617"/>
      <c r="D617"/>
      <c r="E617"/>
      <c r="F617"/>
      <c r="G617"/>
      <c r="H617" s="96"/>
    </row>
    <row r="618" spans="1:8">
      <c r="A618"/>
      <c r="B618" s="51"/>
      <c r="C618"/>
      <c r="D618"/>
      <c r="E618"/>
      <c r="F618"/>
      <c r="G618"/>
      <c r="H618" s="96"/>
    </row>
    <row r="619" spans="1:8">
      <c r="A619"/>
      <c r="B619" s="51"/>
      <c r="C619"/>
      <c r="D619"/>
      <c r="E619"/>
      <c r="F619"/>
      <c r="G619"/>
      <c r="H619" s="96"/>
    </row>
    <row r="620" spans="1:8">
      <c r="A620"/>
      <c r="B620" s="51"/>
      <c r="C620"/>
      <c r="D620"/>
      <c r="E620"/>
      <c r="F620"/>
      <c r="G620"/>
      <c r="H620" s="96"/>
    </row>
    <row r="621" spans="1:8">
      <c r="A621"/>
      <c r="B621" s="51"/>
      <c r="C621"/>
      <c r="D621"/>
      <c r="E621"/>
      <c r="F621"/>
      <c r="G621"/>
      <c r="H621" s="96"/>
    </row>
    <row r="622" spans="1:8">
      <c r="A622"/>
      <c r="B622" s="51"/>
      <c r="C622"/>
      <c r="D622"/>
      <c r="E622"/>
      <c r="F622"/>
      <c r="G622"/>
      <c r="H622" s="96"/>
    </row>
    <row r="623" spans="1:8">
      <c r="A623"/>
      <c r="B623" s="51"/>
      <c r="C623"/>
      <c r="D623"/>
      <c r="E623"/>
      <c r="F623"/>
      <c r="G623"/>
      <c r="H623" s="96"/>
    </row>
    <row r="624" spans="1:8">
      <c r="A624"/>
      <c r="B624" s="51"/>
      <c r="C624"/>
      <c r="D624"/>
      <c r="E624"/>
      <c r="F624"/>
      <c r="G624"/>
      <c r="H624" s="96"/>
    </row>
    <row r="625" spans="1:8">
      <c r="A625"/>
      <c r="B625" s="51"/>
      <c r="C625"/>
      <c r="D625"/>
      <c r="E625"/>
      <c r="F625"/>
      <c r="G625"/>
      <c r="H625" s="96"/>
    </row>
    <row r="626" spans="1:8">
      <c r="A626"/>
      <c r="B626" s="51"/>
      <c r="C626"/>
      <c r="D626"/>
      <c r="E626"/>
      <c r="F626"/>
      <c r="G626"/>
      <c r="H626" s="96"/>
    </row>
    <row r="627" spans="1:8">
      <c r="A627"/>
      <c r="B627" s="51"/>
      <c r="C627"/>
      <c r="D627"/>
      <c r="E627"/>
      <c r="F627"/>
      <c r="G627"/>
      <c r="H627" s="96"/>
    </row>
    <row r="628" spans="1:8">
      <c r="A628"/>
      <c r="B628" s="51"/>
      <c r="C628"/>
      <c r="D628"/>
      <c r="E628"/>
      <c r="F628"/>
      <c r="G628"/>
      <c r="H628" s="96"/>
    </row>
    <row r="629" spans="1:8">
      <c r="A629"/>
      <c r="B629" s="51"/>
      <c r="C629"/>
      <c r="D629"/>
      <c r="E629"/>
      <c r="F629"/>
      <c r="G629"/>
      <c r="H629" s="96"/>
    </row>
    <row r="630" spans="1:8">
      <c r="A630"/>
      <c r="B630" s="51"/>
      <c r="C630"/>
      <c r="D630"/>
      <c r="E630"/>
      <c r="F630"/>
      <c r="G630"/>
      <c r="H630" s="96"/>
    </row>
    <row r="631" spans="1:8">
      <c r="A631"/>
      <c r="B631" s="51"/>
      <c r="C631"/>
      <c r="D631"/>
      <c r="E631"/>
      <c r="F631"/>
      <c r="G631"/>
      <c r="H631" s="96"/>
    </row>
    <row r="632" spans="1:8">
      <c r="A632"/>
      <c r="B632" s="51"/>
      <c r="C632"/>
      <c r="D632"/>
      <c r="E632"/>
      <c r="F632"/>
      <c r="G632"/>
      <c r="H632" s="96"/>
    </row>
    <row r="633" spans="1:8">
      <c r="A633"/>
      <c r="B633" s="51"/>
      <c r="C633"/>
      <c r="D633"/>
      <c r="E633"/>
      <c r="F633"/>
      <c r="G633"/>
      <c r="H633" s="96"/>
    </row>
    <row r="634" spans="1:8">
      <c r="A634"/>
      <c r="B634" s="51"/>
      <c r="C634"/>
      <c r="D634"/>
      <c r="E634"/>
      <c r="F634"/>
      <c r="G634"/>
      <c r="H634" s="96"/>
    </row>
    <row r="635" spans="1:8">
      <c r="A635"/>
      <c r="B635" s="51"/>
      <c r="C635"/>
      <c r="D635"/>
      <c r="E635"/>
      <c r="F635"/>
      <c r="G635"/>
      <c r="H635" s="96"/>
    </row>
    <row r="636" spans="1:8">
      <c r="A636"/>
      <c r="B636" s="51"/>
      <c r="C636"/>
      <c r="D636"/>
      <c r="E636"/>
      <c r="F636"/>
      <c r="G636"/>
      <c r="H636" s="96"/>
    </row>
    <row r="637" spans="1:8">
      <c r="A637"/>
      <c r="B637" s="51"/>
      <c r="C637"/>
      <c r="D637"/>
      <c r="E637"/>
      <c r="F637"/>
      <c r="G637"/>
      <c r="H637" s="96"/>
    </row>
    <row r="638" spans="1:8">
      <c r="A638"/>
      <c r="B638" s="51"/>
      <c r="C638"/>
      <c r="D638"/>
      <c r="E638"/>
      <c r="F638"/>
      <c r="G638"/>
      <c r="H638" s="96"/>
    </row>
    <row r="639" spans="1:8">
      <c r="A639"/>
      <c r="B639" s="51"/>
      <c r="C639"/>
      <c r="D639"/>
      <c r="E639"/>
      <c r="F639"/>
      <c r="G639"/>
      <c r="H639" s="96"/>
    </row>
    <row r="640" spans="1:8">
      <c r="A640"/>
      <c r="B640" s="51"/>
      <c r="C640"/>
      <c r="D640"/>
      <c r="E640"/>
      <c r="F640"/>
      <c r="G640"/>
      <c r="H640" s="96"/>
    </row>
    <row r="641" spans="1:8">
      <c r="A641"/>
      <c r="B641" s="51"/>
      <c r="C641"/>
      <c r="D641"/>
      <c r="E641"/>
      <c r="F641"/>
      <c r="G641"/>
      <c r="H641" s="96"/>
    </row>
    <row r="642" spans="1:8">
      <c r="A642"/>
      <c r="B642" s="51"/>
      <c r="C642"/>
      <c r="D642"/>
      <c r="E642"/>
      <c r="F642"/>
      <c r="G642"/>
      <c r="H642" s="96"/>
    </row>
    <row r="643" spans="1:8">
      <c r="A643"/>
      <c r="B643" s="51"/>
      <c r="C643"/>
      <c r="D643"/>
      <c r="E643"/>
      <c r="F643"/>
      <c r="G643"/>
      <c r="H643" s="96"/>
    </row>
    <row r="644" spans="1:8">
      <c r="A644"/>
      <c r="B644" s="51"/>
      <c r="C644"/>
      <c r="D644"/>
      <c r="E644"/>
      <c r="F644"/>
      <c r="G644"/>
      <c r="H644" s="96"/>
    </row>
    <row r="645" spans="1:8">
      <c r="A645"/>
      <c r="B645" s="51"/>
      <c r="C645"/>
      <c r="D645"/>
      <c r="E645"/>
      <c r="F645"/>
      <c r="G645"/>
      <c r="H645" s="96"/>
    </row>
    <row r="646" spans="1:8">
      <c r="A646"/>
      <c r="B646" s="51"/>
      <c r="C646"/>
      <c r="D646"/>
      <c r="E646"/>
      <c r="F646"/>
      <c r="G646"/>
      <c r="H646" s="96"/>
    </row>
    <row r="647" spans="1:8">
      <c r="A647"/>
      <c r="B647" s="51"/>
      <c r="C647"/>
      <c r="D647"/>
      <c r="E647"/>
      <c r="F647"/>
      <c r="G647"/>
      <c r="H647" s="96"/>
    </row>
    <row r="648" spans="1:8">
      <c r="A648"/>
      <c r="B648" s="51"/>
      <c r="C648"/>
      <c r="D648"/>
      <c r="E648"/>
      <c r="F648"/>
      <c r="G648"/>
      <c r="H648" s="96"/>
    </row>
    <row r="649" spans="1:8">
      <c r="A649"/>
      <c r="B649" s="51"/>
      <c r="C649"/>
      <c r="D649"/>
      <c r="E649"/>
      <c r="F649"/>
      <c r="G649"/>
      <c r="H649" s="96"/>
    </row>
    <row r="650" spans="1:8">
      <c r="A650"/>
      <c r="B650" s="51"/>
      <c r="C650"/>
      <c r="D650"/>
      <c r="E650"/>
      <c r="F650"/>
      <c r="G650"/>
      <c r="H650" s="96"/>
    </row>
    <row r="651" spans="1:8">
      <c r="A651"/>
      <c r="B651" s="51"/>
      <c r="C651"/>
      <c r="D651"/>
      <c r="E651"/>
      <c r="F651"/>
      <c r="G651"/>
      <c r="H651" s="96"/>
    </row>
    <row r="652" spans="1:8">
      <c r="A652"/>
      <c r="B652" s="51"/>
      <c r="C652"/>
      <c r="D652"/>
      <c r="E652"/>
      <c r="F652"/>
      <c r="G652"/>
      <c r="H652" s="96"/>
    </row>
    <row r="653" spans="1:8">
      <c r="A653"/>
      <c r="B653" s="51"/>
      <c r="C653"/>
      <c r="D653"/>
      <c r="E653"/>
      <c r="F653"/>
      <c r="G653"/>
      <c r="H653" s="96"/>
    </row>
    <row r="654" spans="1:8">
      <c r="A654"/>
      <c r="B654" s="51"/>
      <c r="C654"/>
      <c r="D654"/>
      <c r="E654"/>
      <c r="F654"/>
      <c r="G654"/>
      <c r="H654" s="96"/>
    </row>
    <row r="655" spans="1:8">
      <c r="A655"/>
      <c r="B655" s="51"/>
      <c r="C655"/>
      <c r="D655"/>
      <c r="E655"/>
      <c r="F655"/>
      <c r="G655"/>
      <c r="H655" s="96"/>
    </row>
    <row r="656" spans="1:8">
      <c r="A656"/>
      <c r="B656" s="51"/>
      <c r="C656"/>
      <c r="D656"/>
      <c r="E656"/>
      <c r="F656"/>
      <c r="G656"/>
      <c r="H656" s="96"/>
    </row>
    <row r="657" spans="1:8">
      <c r="A657"/>
      <c r="B657" s="51"/>
      <c r="C657"/>
      <c r="D657"/>
      <c r="E657"/>
      <c r="F657"/>
      <c r="G657"/>
      <c r="H657" s="96"/>
    </row>
    <row r="658" spans="1:8">
      <c r="A658"/>
      <c r="B658" s="51"/>
      <c r="C658"/>
      <c r="D658"/>
      <c r="E658"/>
      <c r="F658"/>
      <c r="G658"/>
      <c r="H658" s="96"/>
    </row>
    <row r="659" spans="1:8">
      <c r="A659"/>
      <c r="B659" s="51"/>
      <c r="C659"/>
      <c r="D659"/>
      <c r="E659"/>
      <c r="F659"/>
      <c r="G659"/>
      <c r="H659" s="96"/>
    </row>
    <row r="660" spans="1:8">
      <c r="A660"/>
      <c r="B660" s="51"/>
      <c r="C660"/>
      <c r="D660"/>
      <c r="E660"/>
      <c r="F660"/>
      <c r="G660"/>
      <c r="H660" s="96"/>
    </row>
    <row r="661" spans="1:8">
      <c r="A661"/>
      <c r="B661" s="51"/>
      <c r="C661"/>
      <c r="D661"/>
      <c r="E661"/>
      <c r="F661"/>
      <c r="G661"/>
      <c r="H661" s="96"/>
    </row>
    <row r="662" spans="1:8">
      <c r="A662"/>
      <c r="B662" s="51"/>
      <c r="C662"/>
      <c r="D662"/>
      <c r="E662"/>
      <c r="F662"/>
      <c r="G662"/>
      <c r="H662" s="96"/>
    </row>
    <row r="663" spans="1:8">
      <c r="A663"/>
      <c r="B663" s="51"/>
      <c r="C663"/>
      <c r="D663"/>
      <c r="E663"/>
      <c r="F663"/>
      <c r="G663"/>
      <c r="H663" s="96"/>
    </row>
    <row r="664" spans="1:8">
      <c r="A664"/>
      <c r="B664" s="51"/>
      <c r="C664"/>
      <c r="D664"/>
      <c r="E664"/>
      <c r="F664"/>
      <c r="G664"/>
      <c r="H664" s="96"/>
    </row>
    <row r="665" spans="1:8">
      <c r="A665"/>
      <c r="B665" s="51"/>
      <c r="C665"/>
      <c r="D665"/>
      <c r="E665"/>
      <c r="F665"/>
      <c r="G665"/>
      <c r="H665" s="96"/>
    </row>
    <row r="666" spans="1:8">
      <c r="A666"/>
      <c r="B666" s="51"/>
      <c r="C666"/>
      <c r="D666"/>
      <c r="E666"/>
      <c r="F666"/>
      <c r="G666"/>
      <c r="H666" s="96"/>
    </row>
    <row r="667" spans="1:8">
      <c r="A667"/>
      <c r="B667" s="51"/>
      <c r="C667"/>
      <c r="D667"/>
      <c r="E667"/>
      <c r="F667"/>
      <c r="G667"/>
      <c r="H667" s="96"/>
    </row>
    <row r="668" spans="1:8">
      <c r="A668"/>
      <c r="B668" s="51"/>
      <c r="C668"/>
      <c r="D668"/>
      <c r="E668"/>
      <c r="F668"/>
      <c r="G668"/>
      <c r="H668" s="96"/>
    </row>
    <row r="669" spans="1:8">
      <c r="A669"/>
      <c r="B669" s="51"/>
      <c r="C669"/>
      <c r="D669"/>
      <c r="E669"/>
      <c r="F669"/>
      <c r="G669"/>
      <c r="H669" s="96"/>
    </row>
    <row r="670" spans="1:8">
      <c r="A670"/>
      <c r="B670" s="51"/>
      <c r="C670"/>
      <c r="D670"/>
      <c r="E670"/>
      <c r="F670"/>
      <c r="G670"/>
      <c r="H670" s="96"/>
    </row>
    <row r="671" spans="1:8">
      <c r="A671"/>
      <c r="B671" s="51"/>
      <c r="C671"/>
      <c r="D671"/>
      <c r="E671"/>
      <c r="F671"/>
      <c r="G671"/>
      <c r="H671" s="96"/>
    </row>
    <row r="672" spans="1:8">
      <c r="A672"/>
      <c r="B672" s="51"/>
      <c r="C672"/>
      <c r="D672"/>
      <c r="E672"/>
      <c r="F672"/>
      <c r="G672"/>
      <c r="H672" s="96"/>
    </row>
    <row r="673" spans="1:8">
      <c r="A673"/>
      <c r="B673" s="51"/>
      <c r="C673"/>
      <c r="D673"/>
      <c r="E673"/>
      <c r="F673"/>
      <c r="G673"/>
      <c r="H673" s="96"/>
    </row>
    <row r="674" spans="1:8">
      <c r="A674"/>
      <c r="B674" s="51"/>
      <c r="C674"/>
      <c r="D674"/>
      <c r="E674"/>
      <c r="F674"/>
      <c r="G674"/>
      <c r="H674" s="96"/>
    </row>
    <row r="675" spans="1:8">
      <c r="A675"/>
      <c r="B675" s="51"/>
      <c r="C675"/>
      <c r="D675"/>
      <c r="E675"/>
      <c r="F675"/>
      <c r="G675"/>
      <c r="H675" s="96"/>
    </row>
    <row r="676" spans="1:8">
      <c r="A676"/>
      <c r="B676" s="51"/>
      <c r="C676"/>
      <c r="D676"/>
      <c r="E676"/>
      <c r="F676"/>
      <c r="G676"/>
      <c r="H676" s="96"/>
    </row>
    <row r="677" spans="1:8">
      <c r="A677"/>
      <c r="B677" s="51"/>
      <c r="C677"/>
      <c r="D677"/>
      <c r="E677"/>
      <c r="F677"/>
      <c r="G677"/>
      <c r="H677" s="96"/>
    </row>
    <row r="678" spans="1:8">
      <c r="A678"/>
      <c r="B678" s="51"/>
      <c r="C678"/>
      <c r="D678"/>
      <c r="E678"/>
      <c r="F678"/>
      <c r="G678"/>
      <c r="H678" s="96"/>
    </row>
    <row r="679" spans="1:8">
      <c r="A679"/>
      <c r="B679" s="51"/>
      <c r="C679"/>
      <c r="D679"/>
      <c r="E679"/>
      <c r="F679"/>
      <c r="G679"/>
      <c r="H679" s="96"/>
    </row>
    <row r="680" spans="1:8">
      <c r="A680"/>
      <c r="B680" s="51"/>
      <c r="C680"/>
      <c r="D680"/>
      <c r="E680"/>
      <c r="F680"/>
      <c r="G680"/>
      <c r="H680" s="96"/>
    </row>
    <row r="681" spans="1:8">
      <c r="A681"/>
      <c r="B681" s="51"/>
      <c r="C681"/>
      <c r="D681"/>
      <c r="E681"/>
      <c r="F681"/>
      <c r="G681"/>
      <c r="H681" s="96"/>
    </row>
    <row r="682" spans="1:8">
      <c r="A682"/>
      <c r="B682" s="51"/>
      <c r="C682"/>
      <c r="D682"/>
      <c r="E682"/>
      <c r="F682"/>
      <c r="G682"/>
      <c r="H682" s="96"/>
    </row>
    <row r="683" spans="1:8">
      <c r="A683"/>
      <c r="B683" s="51"/>
      <c r="C683"/>
      <c r="D683"/>
      <c r="E683"/>
      <c r="F683"/>
      <c r="G683"/>
      <c r="H683" s="96"/>
    </row>
    <row r="684" spans="1:8">
      <c r="A684"/>
      <c r="B684" s="51"/>
      <c r="C684"/>
      <c r="D684"/>
      <c r="E684"/>
      <c r="F684"/>
      <c r="G684"/>
      <c r="H684" s="96"/>
    </row>
    <row r="685" spans="1:8">
      <c r="A685"/>
      <c r="B685" s="51"/>
      <c r="C685"/>
      <c r="D685"/>
      <c r="E685"/>
      <c r="F685"/>
      <c r="G685"/>
      <c r="H685" s="96"/>
    </row>
    <row r="686" spans="1:8">
      <c r="A686"/>
      <c r="B686" s="51"/>
      <c r="C686"/>
      <c r="D686"/>
      <c r="E686"/>
      <c r="F686"/>
      <c r="G686"/>
      <c r="H686" s="96"/>
    </row>
    <row r="687" spans="1:8">
      <c r="A687"/>
      <c r="B687" s="51"/>
      <c r="C687"/>
      <c r="D687"/>
      <c r="E687"/>
      <c r="F687"/>
      <c r="G687"/>
      <c r="H687" s="96"/>
    </row>
    <row r="688" spans="1:8">
      <c r="A688"/>
      <c r="B688" s="51"/>
      <c r="C688"/>
      <c r="D688"/>
      <c r="E688"/>
      <c r="F688"/>
      <c r="G688"/>
      <c r="H688" s="96"/>
    </row>
    <row r="689" spans="1:8">
      <c r="A689"/>
      <c r="B689" s="51"/>
      <c r="C689"/>
      <c r="D689"/>
      <c r="E689"/>
      <c r="F689"/>
      <c r="G689"/>
      <c r="H689" s="96"/>
    </row>
    <row r="690" spans="1:8">
      <c r="A690"/>
      <c r="B690" s="51"/>
      <c r="C690"/>
      <c r="D690"/>
      <c r="E690"/>
      <c r="F690"/>
      <c r="G690"/>
      <c r="H690" s="96"/>
    </row>
    <row r="691" spans="1:8">
      <c r="A691"/>
      <c r="B691" s="51"/>
      <c r="C691"/>
      <c r="D691"/>
      <c r="E691"/>
      <c r="F691"/>
      <c r="G691"/>
      <c r="H691" s="96"/>
    </row>
    <row r="692" spans="1:8">
      <c r="A692"/>
      <c r="B692" s="51"/>
      <c r="C692"/>
      <c r="D692"/>
      <c r="E692"/>
      <c r="F692"/>
      <c r="G692"/>
      <c r="H692" s="96"/>
    </row>
    <row r="693" spans="1:8">
      <c r="A693"/>
      <c r="B693" s="51"/>
      <c r="C693"/>
      <c r="D693"/>
      <c r="E693"/>
      <c r="F693"/>
      <c r="G693"/>
      <c r="H693" s="96"/>
    </row>
    <row r="694" spans="1:8">
      <c r="A694"/>
      <c r="B694" s="51"/>
      <c r="C694"/>
      <c r="D694"/>
      <c r="E694"/>
      <c r="F694"/>
      <c r="G694"/>
      <c r="H694" s="96"/>
    </row>
    <row r="695" spans="1:8">
      <c r="A695"/>
      <c r="B695" s="51"/>
      <c r="C695"/>
      <c r="D695"/>
      <c r="E695"/>
      <c r="F695"/>
      <c r="G695"/>
      <c r="H695" s="96"/>
    </row>
    <row r="696" spans="1:8">
      <c r="A696"/>
      <c r="B696" s="51"/>
      <c r="C696"/>
      <c r="D696"/>
      <c r="E696"/>
      <c r="F696"/>
      <c r="G696"/>
      <c r="H696" s="96"/>
    </row>
    <row r="697" spans="1:8">
      <c r="A697"/>
      <c r="B697" s="51"/>
      <c r="C697"/>
      <c r="D697"/>
      <c r="E697"/>
      <c r="F697"/>
      <c r="G697"/>
      <c r="H697" s="96"/>
    </row>
    <row r="698" spans="1:8">
      <c r="A698"/>
      <c r="B698" s="51"/>
      <c r="C698"/>
      <c r="D698"/>
      <c r="E698"/>
      <c r="F698"/>
      <c r="G698"/>
      <c r="H698" s="96"/>
    </row>
    <row r="699" spans="1:8">
      <c r="A699"/>
      <c r="B699" s="51"/>
      <c r="C699"/>
      <c r="D699"/>
      <c r="E699"/>
      <c r="F699"/>
      <c r="G699"/>
      <c r="H699" s="96"/>
    </row>
    <row r="700" spans="1:8">
      <c r="A700"/>
      <c r="B700" s="51"/>
      <c r="C700"/>
      <c r="D700"/>
      <c r="E700"/>
      <c r="F700"/>
      <c r="G700"/>
      <c r="H700" s="96"/>
    </row>
    <row r="701" spans="1:8">
      <c r="A701"/>
      <c r="B701" s="51"/>
      <c r="C701"/>
      <c r="D701"/>
      <c r="E701"/>
      <c r="F701"/>
      <c r="G701"/>
      <c r="H701" s="96"/>
    </row>
    <row r="702" spans="1:8">
      <c r="A702"/>
      <c r="B702" s="51"/>
      <c r="C702"/>
      <c r="D702"/>
      <c r="E702"/>
      <c r="F702"/>
      <c r="G702"/>
      <c r="H702" s="96"/>
    </row>
    <row r="703" spans="1:8">
      <c r="A703"/>
      <c r="B703" s="51"/>
      <c r="C703"/>
      <c r="D703"/>
      <c r="E703"/>
      <c r="F703"/>
      <c r="G703"/>
      <c r="H703" s="96"/>
    </row>
    <row r="704" spans="1:8">
      <c r="A704"/>
      <c r="B704" s="51"/>
      <c r="C704"/>
      <c r="D704"/>
      <c r="E704"/>
      <c r="F704"/>
      <c r="G704"/>
      <c r="H704" s="96"/>
    </row>
    <row r="705" spans="1:8">
      <c r="A705"/>
      <c r="B705" s="51"/>
      <c r="C705"/>
      <c r="D705"/>
      <c r="E705"/>
      <c r="F705"/>
      <c r="G705"/>
      <c r="H705" s="96"/>
    </row>
    <row r="706" spans="1:8">
      <c r="A706"/>
      <c r="B706" s="51"/>
      <c r="C706"/>
      <c r="D706"/>
      <c r="E706"/>
      <c r="F706"/>
      <c r="G706"/>
      <c r="H706" s="96"/>
    </row>
    <row r="707" spans="1:8">
      <c r="A707"/>
      <c r="B707" s="51"/>
      <c r="C707"/>
      <c r="D707"/>
      <c r="E707"/>
      <c r="F707"/>
      <c r="G707"/>
      <c r="H707" s="96"/>
    </row>
    <row r="708" spans="1:8">
      <c r="A708"/>
      <c r="B708" s="51"/>
      <c r="C708"/>
      <c r="D708"/>
      <c r="E708"/>
      <c r="F708"/>
      <c r="G708"/>
      <c r="H708" s="96"/>
    </row>
    <row r="709" spans="1:8">
      <c r="A709"/>
      <c r="B709" s="51"/>
      <c r="C709"/>
      <c r="D709"/>
      <c r="E709"/>
      <c r="F709"/>
      <c r="G709"/>
      <c r="H709" s="96"/>
    </row>
    <row r="710" spans="1:8">
      <c r="A710"/>
      <c r="B710" s="51"/>
      <c r="C710"/>
      <c r="D710"/>
      <c r="E710"/>
      <c r="F710"/>
      <c r="G710"/>
      <c r="H710" s="96"/>
    </row>
    <row r="711" spans="1:8">
      <c r="A711"/>
      <c r="B711" s="51"/>
      <c r="C711"/>
      <c r="D711"/>
      <c r="E711"/>
      <c r="F711"/>
      <c r="G711"/>
      <c r="H711" s="96"/>
    </row>
    <row r="712" spans="1:8">
      <c r="A712"/>
      <c r="B712" s="51"/>
      <c r="C712"/>
      <c r="D712"/>
      <c r="E712"/>
      <c r="F712"/>
      <c r="G712"/>
      <c r="H712" s="96"/>
    </row>
    <row r="713" spans="1:8">
      <c r="A713"/>
      <c r="B713" s="51"/>
      <c r="C713"/>
      <c r="D713"/>
      <c r="E713"/>
      <c r="F713"/>
      <c r="G713"/>
      <c r="H713" s="96"/>
    </row>
    <row r="714" spans="1:8">
      <c r="A714"/>
      <c r="B714" s="51"/>
      <c r="C714"/>
      <c r="D714"/>
      <c r="E714"/>
      <c r="F714"/>
      <c r="G714"/>
      <c r="H714" s="96"/>
    </row>
    <row r="715" spans="1:8">
      <c r="A715"/>
      <c r="B715" s="51"/>
      <c r="C715"/>
      <c r="D715"/>
      <c r="E715"/>
      <c r="F715"/>
      <c r="G715"/>
      <c r="H715" s="96"/>
    </row>
    <row r="716" spans="1:8">
      <c r="A716"/>
      <c r="B716" s="51"/>
      <c r="C716"/>
      <c r="D716"/>
      <c r="E716"/>
      <c r="F716"/>
      <c r="G716"/>
      <c r="H716" s="96"/>
    </row>
    <row r="717" spans="1:8">
      <c r="A717"/>
      <c r="B717" s="51"/>
      <c r="C717"/>
      <c r="D717"/>
      <c r="E717"/>
      <c r="F717"/>
      <c r="G717"/>
      <c r="H717" s="96"/>
    </row>
    <row r="718" spans="1:8">
      <c r="A718"/>
      <c r="B718" s="51"/>
      <c r="C718"/>
      <c r="D718"/>
      <c r="E718"/>
      <c r="F718"/>
      <c r="G718"/>
      <c r="H718" s="96"/>
    </row>
    <row r="719" spans="1:8">
      <c r="A719"/>
      <c r="B719" s="51"/>
      <c r="C719"/>
      <c r="D719"/>
      <c r="E719"/>
      <c r="F719"/>
      <c r="G719"/>
      <c r="H719" s="96"/>
    </row>
    <row r="720" spans="1:8">
      <c r="A720"/>
      <c r="B720" s="51"/>
      <c r="C720"/>
      <c r="D720"/>
      <c r="E720"/>
      <c r="F720"/>
      <c r="G720"/>
      <c r="H720" s="96"/>
    </row>
    <row r="721" spans="1:8">
      <c r="A721"/>
      <c r="B721" s="51"/>
      <c r="C721"/>
      <c r="D721"/>
      <c r="E721"/>
      <c r="F721"/>
      <c r="G721"/>
      <c r="H721" s="96"/>
    </row>
    <row r="722" spans="1:8">
      <c r="A722"/>
      <c r="B722" s="51"/>
      <c r="C722"/>
      <c r="D722"/>
      <c r="E722"/>
      <c r="F722"/>
      <c r="G722"/>
      <c r="H722" s="96"/>
    </row>
    <row r="723" spans="1:8">
      <c r="A723"/>
      <c r="B723" s="51"/>
      <c r="C723"/>
      <c r="D723"/>
      <c r="E723"/>
      <c r="F723"/>
      <c r="G723"/>
      <c r="H723" s="96"/>
    </row>
    <row r="724" spans="1:8">
      <c r="A724"/>
      <c r="B724" s="51"/>
      <c r="C724"/>
      <c r="D724"/>
      <c r="E724"/>
      <c r="F724"/>
      <c r="G724"/>
      <c r="H724" s="96"/>
    </row>
    <row r="725" spans="1:8">
      <c r="A725"/>
      <c r="B725" s="51"/>
      <c r="C725"/>
      <c r="D725"/>
      <c r="E725"/>
      <c r="F725"/>
      <c r="G725"/>
      <c r="H725" s="96"/>
    </row>
    <row r="726" spans="1:8">
      <c r="A726"/>
      <c r="B726" s="51"/>
      <c r="C726"/>
      <c r="D726"/>
      <c r="E726"/>
      <c r="F726"/>
      <c r="G726"/>
      <c r="H726" s="96"/>
    </row>
    <row r="727" spans="1:8">
      <c r="A727"/>
      <c r="B727" s="51"/>
      <c r="C727"/>
      <c r="D727"/>
      <c r="E727"/>
      <c r="F727"/>
      <c r="G727"/>
      <c r="H727" s="96"/>
    </row>
    <row r="728" spans="1:8">
      <c r="A728"/>
      <c r="B728" s="51"/>
      <c r="C728"/>
      <c r="D728"/>
      <c r="E728"/>
      <c r="F728"/>
      <c r="G728"/>
      <c r="H728" s="96"/>
    </row>
    <row r="729" spans="1:8">
      <c r="A729"/>
      <c r="B729" s="51"/>
      <c r="C729"/>
      <c r="D729"/>
      <c r="E729"/>
      <c r="F729"/>
      <c r="G729"/>
      <c r="H729" s="96"/>
    </row>
    <row r="730" spans="1:8">
      <c r="A730"/>
      <c r="B730" s="51"/>
      <c r="C730"/>
      <c r="D730"/>
      <c r="E730"/>
      <c r="F730"/>
      <c r="G730"/>
      <c r="H730" s="96"/>
    </row>
    <row r="731" spans="1:8">
      <c r="A731"/>
      <c r="B731" s="51"/>
      <c r="C731"/>
      <c r="D731"/>
      <c r="E731"/>
      <c r="F731"/>
      <c r="G731"/>
      <c r="H731" s="96"/>
    </row>
    <row r="732" spans="1:8">
      <c r="A732"/>
      <c r="B732" s="51"/>
      <c r="C732"/>
      <c r="D732"/>
      <c r="E732"/>
      <c r="F732"/>
      <c r="G732"/>
      <c r="H732" s="96"/>
    </row>
    <row r="733" spans="1:8">
      <c r="A733"/>
      <c r="B733" s="51"/>
      <c r="C733"/>
      <c r="D733"/>
      <c r="E733"/>
      <c r="F733"/>
      <c r="G733"/>
      <c r="H733" s="96"/>
    </row>
    <row r="734" spans="1:8">
      <c r="A734"/>
      <c r="B734" s="51"/>
      <c r="C734"/>
      <c r="D734"/>
      <c r="E734"/>
      <c r="F734"/>
      <c r="G734"/>
      <c r="H734" s="96"/>
    </row>
    <row r="735" spans="1:8">
      <c r="A735"/>
      <c r="B735" s="51"/>
      <c r="C735"/>
      <c r="D735"/>
      <c r="E735"/>
      <c r="F735"/>
      <c r="G735"/>
      <c r="H735" s="96"/>
    </row>
    <row r="736" spans="1:8">
      <c r="A736"/>
      <c r="B736" s="51"/>
      <c r="C736"/>
      <c r="D736"/>
      <c r="E736"/>
      <c r="F736"/>
      <c r="G736"/>
      <c r="H736" s="96"/>
    </row>
    <row r="737" spans="1:8">
      <c r="A737"/>
      <c r="B737" s="51"/>
      <c r="C737"/>
      <c r="D737"/>
      <c r="E737"/>
      <c r="F737"/>
      <c r="G737"/>
      <c r="H737" s="96"/>
    </row>
    <row r="738" spans="1:8">
      <c r="A738"/>
      <c r="B738" s="51"/>
      <c r="C738"/>
      <c r="D738"/>
      <c r="E738"/>
      <c r="F738"/>
      <c r="G738"/>
      <c r="H738" s="96"/>
    </row>
    <row r="739" spans="1:8">
      <c r="A739"/>
      <c r="B739" s="51"/>
      <c r="C739"/>
      <c r="D739"/>
      <c r="E739"/>
      <c r="F739"/>
      <c r="G739"/>
      <c r="H739" s="96"/>
    </row>
    <row r="740" spans="1:8">
      <c r="A740"/>
      <c r="B740" s="51"/>
      <c r="C740"/>
      <c r="D740"/>
      <c r="E740"/>
      <c r="F740"/>
      <c r="G740"/>
      <c r="H740" s="96"/>
    </row>
    <row r="741" spans="1:8">
      <c r="A741"/>
      <c r="B741" s="51"/>
      <c r="C741"/>
      <c r="D741"/>
      <c r="E741"/>
      <c r="F741"/>
      <c r="G741"/>
      <c r="H741" s="96"/>
    </row>
    <row r="742" spans="1:8">
      <c r="A742"/>
      <c r="B742" s="51"/>
      <c r="C742"/>
      <c r="D742"/>
      <c r="E742"/>
      <c r="F742"/>
      <c r="G742"/>
      <c r="H742" s="96"/>
    </row>
    <row r="743" spans="1:8">
      <c r="A743"/>
      <c r="B743" s="51"/>
      <c r="C743"/>
      <c r="D743"/>
      <c r="E743"/>
      <c r="F743"/>
      <c r="G743"/>
      <c r="H743" s="96"/>
    </row>
    <row r="744" spans="1:8">
      <c r="A744"/>
      <c r="B744" s="51"/>
      <c r="C744"/>
      <c r="D744"/>
      <c r="E744"/>
      <c r="F744"/>
      <c r="G744"/>
      <c r="H744" s="96"/>
    </row>
    <row r="745" spans="1:8">
      <c r="A745"/>
      <c r="B745" s="51"/>
      <c r="C745"/>
      <c r="D745"/>
      <c r="E745"/>
      <c r="F745"/>
      <c r="G745"/>
      <c r="H745" s="96"/>
    </row>
    <row r="746" spans="1:8">
      <c r="A746"/>
      <c r="B746" s="51"/>
      <c r="C746"/>
      <c r="D746"/>
      <c r="E746"/>
      <c r="F746"/>
      <c r="G746"/>
      <c r="H746" s="96"/>
    </row>
    <row r="747" spans="1:8">
      <c r="A747"/>
      <c r="B747" s="51"/>
      <c r="C747"/>
      <c r="D747"/>
      <c r="E747"/>
      <c r="F747"/>
      <c r="G747"/>
      <c r="H747" s="96"/>
    </row>
    <row r="748" spans="1:8">
      <c r="A748"/>
      <c r="B748" s="51"/>
      <c r="C748"/>
      <c r="D748"/>
      <c r="E748"/>
      <c r="F748"/>
      <c r="G748"/>
      <c r="H748" s="96"/>
    </row>
    <row r="749" spans="1:8">
      <c r="A749"/>
      <c r="B749" s="51"/>
      <c r="C749"/>
      <c r="D749"/>
      <c r="E749"/>
      <c r="F749"/>
      <c r="G749"/>
      <c r="H749" s="96"/>
    </row>
    <row r="750" spans="1:8">
      <c r="A750"/>
      <c r="B750" s="51"/>
      <c r="C750"/>
      <c r="D750"/>
      <c r="E750"/>
      <c r="F750"/>
      <c r="G750"/>
      <c r="H750" s="96"/>
    </row>
    <row r="751" spans="1:8">
      <c r="A751"/>
      <c r="B751" s="51"/>
      <c r="C751"/>
      <c r="D751"/>
      <c r="E751"/>
      <c r="F751"/>
      <c r="G751"/>
      <c r="H751" s="96"/>
    </row>
    <row r="752" spans="1:8">
      <c r="A752"/>
      <c r="B752" s="51"/>
      <c r="C752"/>
      <c r="D752"/>
      <c r="E752"/>
      <c r="F752"/>
      <c r="G752"/>
      <c r="H752" s="96"/>
    </row>
    <row r="753" spans="1:8">
      <c r="A753"/>
      <c r="B753" s="51"/>
      <c r="C753"/>
      <c r="D753"/>
      <c r="E753"/>
      <c r="F753"/>
      <c r="G753"/>
      <c r="H753" s="96"/>
    </row>
    <row r="754" spans="1:8">
      <c r="A754"/>
      <c r="B754" s="51"/>
      <c r="C754"/>
      <c r="D754"/>
      <c r="E754"/>
      <c r="F754"/>
      <c r="G754"/>
      <c r="H754" s="96"/>
    </row>
    <row r="755" spans="1:8">
      <c r="A755"/>
      <c r="B755" s="51"/>
      <c r="C755"/>
      <c r="D755"/>
      <c r="E755"/>
      <c r="F755"/>
      <c r="G755"/>
      <c r="H755" s="96"/>
    </row>
    <row r="756" spans="1:8">
      <c r="A756"/>
      <c r="B756" s="51"/>
      <c r="C756"/>
      <c r="D756"/>
      <c r="E756"/>
      <c r="F756"/>
      <c r="G756"/>
      <c r="H756" s="96"/>
    </row>
    <row r="757" spans="1:8">
      <c r="A757"/>
      <c r="B757" s="51"/>
      <c r="C757"/>
      <c r="D757"/>
      <c r="E757"/>
      <c r="F757"/>
      <c r="G757"/>
      <c r="H757" s="96"/>
    </row>
    <row r="758" spans="1:8">
      <c r="A758"/>
      <c r="B758" s="51"/>
      <c r="C758"/>
      <c r="D758"/>
      <c r="E758"/>
      <c r="F758"/>
      <c r="G758"/>
      <c r="H758" s="96"/>
    </row>
    <row r="759" spans="1:8">
      <c r="A759"/>
      <c r="B759" s="51"/>
      <c r="C759"/>
      <c r="D759"/>
      <c r="E759"/>
      <c r="F759"/>
      <c r="G759"/>
      <c r="H759" s="96"/>
    </row>
    <row r="760" spans="1:8">
      <c r="A760"/>
      <c r="B760" s="51"/>
      <c r="C760"/>
      <c r="D760"/>
      <c r="E760"/>
      <c r="F760"/>
      <c r="G760"/>
      <c r="H760" s="96"/>
    </row>
    <row r="761" spans="1:8">
      <c r="A761"/>
      <c r="B761" s="51"/>
      <c r="C761"/>
      <c r="D761"/>
      <c r="E761"/>
      <c r="F761"/>
      <c r="G761"/>
      <c r="H761" s="96"/>
    </row>
    <row r="762" spans="1:8">
      <c r="A762"/>
      <c r="B762" s="51"/>
      <c r="C762"/>
      <c r="D762"/>
      <c r="E762"/>
      <c r="F762"/>
      <c r="G762"/>
      <c r="H762" s="96"/>
    </row>
    <row r="763" spans="1:8">
      <c r="A763"/>
      <c r="B763" s="51"/>
      <c r="C763"/>
      <c r="D763"/>
      <c r="E763"/>
      <c r="F763"/>
      <c r="G763"/>
      <c r="H763" s="96"/>
    </row>
    <row r="764" spans="1:8">
      <c r="A764"/>
      <c r="B764" s="51"/>
      <c r="C764"/>
      <c r="D764"/>
      <c r="E764"/>
      <c r="F764"/>
      <c r="G764"/>
      <c r="H764" s="96"/>
    </row>
    <row r="765" spans="1:8">
      <c r="A765"/>
      <c r="B765" s="51"/>
      <c r="C765"/>
      <c r="D765"/>
      <c r="E765"/>
      <c r="F765"/>
      <c r="G765"/>
      <c r="H765" s="96"/>
    </row>
    <row r="766" spans="1:8">
      <c r="A766"/>
      <c r="B766" s="51"/>
      <c r="C766"/>
      <c r="D766"/>
      <c r="E766"/>
      <c r="F766"/>
      <c r="G766"/>
      <c r="H766" s="96"/>
    </row>
    <row r="767" spans="1:8">
      <c r="A767"/>
      <c r="B767" s="51"/>
      <c r="C767"/>
      <c r="D767"/>
      <c r="E767"/>
      <c r="F767"/>
      <c r="G767"/>
      <c r="H767" s="96"/>
    </row>
    <row r="768" spans="1:8">
      <c r="A768"/>
      <c r="B768" s="51"/>
      <c r="C768"/>
      <c r="D768"/>
      <c r="E768"/>
      <c r="F768"/>
      <c r="G768"/>
      <c r="H768" s="96"/>
    </row>
    <row r="769" spans="1:8">
      <c r="A769"/>
      <c r="B769" s="51"/>
      <c r="C769"/>
      <c r="D769"/>
      <c r="E769"/>
      <c r="F769"/>
      <c r="G769"/>
      <c r="H769" s="96"/>
    </row>
    <row r="770" spans="1:8">
      <c r="A770"/>
      <c r="B770" s="51"/>
      <c r="C770"/>
      <c r="D770"/>
      <c r="E770"/>
      <c r="F770"/>
      <c r="G770"/>
      <c r="H770" s="96"/>
    </row>
    <row r="771" spans="1:8">
      <c r="A771"/>
      <c r="B771" s="51"/>
      <c r="C771"/>
      <c r="D771"/>
      <c r="E771"/>
      <c r="F771"/>
      <c r="G771"/>
      <c r="H771" s="96"/>
    </row>
    <row r="772" spans="1:8">
      <c r="A772"/>
      <c r="B772" s="51"/>
      <c r="C772"/>
      <c r="D772"/>
      <c r="E772"/>
      <c r="F772"/>
      <c r="G772"/>
      <c r="H772" s="96"/>
    </row>
    <row r="773" spans="1:8">
      <c r="A773"/>
      <c r="B773" s="51"/>
      <c r="C773"/>
      <c r="D773"/>
      <c r="E773"/>
      <c r="F773"/>
      <c r="G773"/>
      <c r="H773" s="96"/>
    </row>
    <row r="774" spans="1:8">
      <c r="A774"/>
      <c r="B774" s="51"/>
      <c r="C774"/>
      <c r="D774"/>
      <c r="E774"/>
      <c r="F774"/>
      <c r="G774"/>
      <c r="H774" s="96"/>
    </row>
    <row r="775" spans="1:8">
      <c r="A775"/>
      <c r="B775" s="51"/>
      <c r="C775"/>
      <c r="D775"/>
      <c r="E775"/>
      <c r="F775"/>
      <c r="G775"/>
      <c r="H775" s="96"/>
    </row>
    <row r="776" spans="1:8">
      <c r="A776"/>
      <c r="B776" s="51"/>
      <c r="C776"/>
      <c r="D776"/>
      <c r="E776"/>
      <c r="F776"/>
      <c r="G776"/>
      <c r="H776" s="96"/>
    </row>
    <row r="777" spans="1:8">
      <c r="A777"/>
      <c r="B777" s="51"/>
      <c r="C777"/>
      <c r="D777"/>
      <c r="E777"/>
      <c r="F777"/>
      <c r="G777"/>
      <c r="H777" s="96"/>
    </row>
    <row r="778" spans="1:8">
      <c r="A778"/>
      <c r="B778" s="51"/>
      <c r="C778"/>
      <c r="D778"/>
      <c r="E778"/>
      <c r="F778"/>
      <c r="G778"/>
      <c r="H778" s="96"/>
    </row>
    <row r="779" spans="1:8">
      <c r="A779"/>
      <c r="B779" s="51"/>
      <c r="C779"/>
      <c r="D779"/>
      <c r="E779"/>
      <c r="F779"/>
      <c r="G779"/>
      <c r="H779" s="96"/>
    </row>
    <row r="780" spans="1:8">
      <c r="A780"/>
      <c r="B780" s="51"/>
      <c r="C780"/>
      <c r="D780"/>
      <c r="E780"/>
      <c r="F780"/>
      <c r="G780"/>
      <c r="H780" s="96"/>
    </row>
    <row r="781" spans="1:8">
      <c r="A781"/>
      <c r="B781" s="51"/>
      <c r="C781"/>
      <c r="D781"/>
      <c r="E781"/>
      <c r="F781"/>
      <c r="G781"/>
      <c r="H781" s="96"/>
    </row>
    <row r="782" spans="1:8">
      <c r="A782"/>
      <c r="B782" s="51"/>
      <c r="C782"/>
      <c r="D782"/>
      <c r="E782"/>
      <c r="F782"/>
      <c r="G782"/>
      <c r="H782" s="96"/>
    </row>
    <row r="783" spans="1:8">
      <c r="A783"/>
      <c r="B783" s="51"/>
      <c r="C783"/>
      <c r="D783"/>
      <c r="E783"/>
      <c r="F783"/>
      <c r="G783"/>
      <c r="H783" s="96"/>
    </row>
    <row r="784" spans="1:8">
      <c r="A784"/>
      <c r="B784" s="51"/>
      <c r="C784"/>
      <c r="D784"/>
      <c r="E784"/>
      <c r="F784"/>
      <c r="G784"/>
      <c r="H784" s="96"/>
    </row>
    <row r="785" spans="1:8">
      <c r="A785"/>
      <c r="B785" s="51"/>
      <c r="C785"/>
      <c r="D785"/>
      <c r="E785"/>
      <c r="F785"/>
      <c r="G785"/>
      <c r="H785" s="96"/>
    </row>
    <row r="786" spans="1:8">
      <c r="A786"/>
      <c r="B786" s="51"/>
      <c r="C786"/>
      <c r="D786"/>
      <c r="E786"/>
      <c r="F786"/>
      <c r="G786"/>
      <c r="H786" s="96"/>
    </row>
    <row r="787" spans="1:8">
      <c r="A787"/>
      <c r="B787" s="51"/>
      <c r="C787"/>
      <c r="D787"/>
      <c r="E787"/>
      <c r="F787"/>
      <c r="G787"/>
      <c r="H787" s="96"/>
    </row>
    <row r="788" spans="1:8">
      <c r="A788"/>
      <c r="B788" s="51"/>
      <c r="C788"/>
      <c r="D788"/>
      <c r="E788"/>
      <c r="F788"/>
      <c r="G788"/>
      <c r="H788" s="96"/>
    </row>
    <row r="789" spans="1:8">
      <c r="A789"/>
      <c r="B789" s="51"/>
      <c r="C789"/>
      <c r="D789"/>
      <c r="E789"/>
      <c r="F789"/>
      <c r="G789"/>
      <c r="H789" s="96"/>
    </row>
    <row r="790" spans="1:8">
      <c r="A790"/>
      <c r="B790" s="51"/>
      <c r="C790"/>
      <c r="D790"/>
      <c r="E790"/>
      <c r="F790"/>
      <c r="G790"/>
      <c r="H790" s="96"/>
    </row>
    <row r="791" spans="1:8">
      <c r="A791"/>
      <c r="B791" s="51"/>
      <c r="C791"/>
      <c r="D791"/>
      <c r="E791"/>
      <c r="F791"/>
      <c r="G791"/>
      <c r="H791" s="96"/>
    </row>
    <row r="792" spans="1:8">
      <c r="A792"/>
      <c r="B792" s="51"/>
      <c r="C792"/>
      <c r="D792"/>
      <c r="E792"/>
      <c r="F792"/>
      <c r="G792"/>
      <c r="H792" s="96"/>
    </row>
    <row r="793" spans="1:8">
      <c r="A793"/>
      <c r="B793" s="51"/>
      <c r="C793"/>
      <c r="D793"/>
      <c r="E793"/>
      <c r="F793"/>
      <c r="G793"/>
      <c r="H793" s="96"/>
    </row>
    <row r="794" spans="1:8">
      <c r="A794"/>
      <c r="B794" s="51"/>
      <c r="C794"/>
      <c r="D794"/>
      <c r="E794"/>
      <c r="F794"/>
      <c r="G794"/>
      <c r="H794" s="96"/>
    </row>
  </sheetData>
  <autoFilter ref="A1:I794"/>
  <phoneticPr fontId="8" type="noConversion"/>
  <conditionalFormatting sqref="B1:C1048576">
    <cfRule type="expression" dxfId="29" priority="4">
      <formula>IF(VALUE(TRIM(SUBSTITUTE(TRIM($B1),"EUR","")))&lt;0,1,0)</formula>
    </cfRule>
  </conditionalFormatting>
  <conditionalFormatting sqref="A1:I1048576">
    <cfRule type="expression" dxfId="28" priority="1">
      <formula>IFERROR(IF(YEAR($A1)=YEAR($A2),0,1),0)</formula>
    </cfRule>
    <cfRule type="expression" dxfId="27" priority="5">
      <formula>IF(OR($B1&lt;-100,$B1&gt;405),1,0)</formula>
    </cfRule>
  </conditionalFormatting>
  <dataValidations count="1">
    <dataValidation type="list" allowBlank="1" showInputMessage="1" sqref="I1:I1048576">
      <formula1>ManualTypes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>
    <tabColor theme="6" tint="-0.249977111117893"/>
  </sheetPr>
  <dimension ref="A1:M42"/>
  <sheetViews>
    <sheetView workbookViewId="0">
      <pane xSplit="1" ySplit="10" topLeftCell="B11" activePane="bottomRight" state="frozenSplit"/>
      <selection pane="topRight" activeCell="B1" sqref="B1"/>
      <selection pane="bottomLeft" activeCell="A5" sqref="A5"/>
      <selection pane="bottomRight" activeCell="D11" sqref="D11"/>
    </sheetView>
  </sheetViews>
  <sheetFormatPr defaultRowHeight="15" outlineLevelRow="1" outlineLevelCol="1"/>
  <cols>
    <col min="1" max="1" width="20.28515625" style="18" customWidth="1"/>
    <col min="2" max="2" width="13.85546875" style="76" customWidth="1" outlineLevel="1"/>
    <col min="3" max="3" width="16.28515625" style="76" customWidth="1" outlineLevel="1"/>
    <col min="4" max="4" width="18.140625" style="76" customWidth="1"/>
    <col min="5" max="5" width="14" style="76" customWidth="1"/>
    <col min="6" max="8" width="16" style="78" customWidth="1" outlineLevel="1"/>
    <col min="9" max="9" width="18.85546875" style="77" customWidth="1"/>
    <col min="10" max="10" width="13.42578125" style="83" customWidth="1"/>
    <col min="11" max="11" width="14" style="76" customWidth="1"/>
    <col min="12" max="12" width="14" style="78" customWidth="1"/>
    <col min="13" max="13" width="19.140625" style="77" customWidth="1"/>
  </cols>
  <sheetData>
    <row r="1" spans="1:13" s="9" customFormat="1" ht="24.75" customHeight="1">
      <c r="A1" s="121">
        <v>2009</v>
      </c>
      <c r="B1" s="123" t="s">
        <v>17</v>
      </c>
      <c r="C1" s="127" t="s">
        <v>73</v>
      </c>
      <c r="D1" s="125" t="s">
        <v>71</v>
      </c>
      <c r="E1" s="127" t="s">
        <v>3</v>
      </c>
      <c r="F1" s="127" t="s">
        <v>37</v>
      </c>
      <c r="G1" s="127" t="s">
        <v>42</v>
      </c>
      <c r="H1" s="127" t="s">
        <v>36</v>
      </c>
      <c r="I1" s="129" t="s">
        <v>72</v>
      </c>
      <c r="J1" s="119" t="s">
        <v>18</v>
      </c>
      <c r="K1" s="120"/>
      <c r="L1" s="120"/>
      <c r="M1" s="117" t="s">
        <v>55</v>
      </c>
    </row>
    <row r="2" spans="1:13" s="9" customFormat="1" ht="20.25" customHeight="1">
      <c r="A2" s="122"/>
      <c r="B2" s="124"/>
      <c r="C2" s="128"/>
      <c r="D2" s="126"/>
      <c r="E2" s="128"/>
      <c r="F2" s="128"/>
      <c r="G2" s="128"/>
      <c r="H2" s="128"/>
      <c r="I2" s="130"/>
      <c r="J2" s="80" t="s">
        <v>21</v>
      </c>
      <c r="K2" s="79" t="s">
        <v>0</v>
      </c>
      <c r="L2" s="79" t="s">
        <v>1</v>
      </c>
      <c r="M2" s="118"/>
    </row>
    <row r="3" spans="1:13" s="9" customFormat="1">
      <c r="A3" s="71" t="s">
        <v>45</v>
      </c>
      <c r="B3" s="25">
        <f t="array" ref="B3">IF(SUM((IF(YEAR($A$11:$A$300)&gt;=$A$1,1,0))*B$11:B$300)=0,0,SUM((IF(YEAR($A$11:$A$300)&gt;=$A$1,1,0))*B$11:B$300)/SUM((IF(YEAR($A$11:$A$300)&gt;=$A$1,1,0))*1))</f>
        <v>0</v>
      </c>
      <c r="C3" s="25">
        <f t="array" ref="C3">IF(SUM((IF(YEAR($A$11:$A$300)&gt;=$A$1,1,0))*C$11:C$300)=0,0,SUM((IF(YEAR($A$11:$A$300)&gt;=$A$1,1,0))*C$11:C$300)/SUM((IF(YEAR($A$11:$A$300)&gt;=$A$1,1,0))*1))</f>
        <v>0</v>
      </c>
      <c r="D3" s="25">
        <f t="array" ref="D3">IF(SUM(IF(YEAR($A$11:$A$300)&gt;=$A$1,1,0)*D$11:D$300)=0,0,SUM(IF(YEAR($A$11:$A$300)&gt;=$A$1,1,0)*D$11:D$300)/SUM((IF(YEAR($A$11:$A$300)&gt;=$A$1,1,0))*1))</f>
        <v>0</v>
      </c>
      <c r="E3" s="25">
        <f t="array" ref="E3">IF(SUM((IF(YEAR($A$11:$A$300)&gt;=$A$1,1,0))*E$11:E$300)=0,0,SUM((IF(YEAR($A$11:$A$300)&gt;=$A$1,1,0))*E$11:E$300)/SUM((IF(YEAR($A$11:$A$300)&gt;=$A$1,1,0))*1))</f>
        <v>0</v>
      </c>
      <c r="F3" s="25">
        <f t="array" ref="F3">IF(SUM((IF(YEAR($A$11:$A$300)&gt;=$A$1,1,0))*F$11:F$300)=0,0,SUM((IF(YEAR($A$11:$A$300)&gt;=$A$1,1,0))*F$11:F$300)/SUM((IF(YEAR($A$11:$A$300)&gt;=$A$1,1,0))*1))</f>
        <v>0</v>
      </c>
      <c r="G3" s="25">
        <f t="array" ref="G3">IF(SUM((IF(YEAR($A$11:$A$300)&gt;=$A$1,1,0))*G$11:G$300)=0,0,SUM((IF(YEAR($A$11:$A$300)&gt;=$A$1,1,0))*G$11:G$300)/SUM((IF(YEAR($A$11:$A$300)&gt;=$A$1,1,0))*1))</f>
        <v>0</v>
      </c>
      <c r="H3" s="25">
        <f t="array" ref="H3">IF(SUM((IF(YEAR($A$11:$A$300)&gt;=$A$1,1,0))*H$11:H$300)=0,0,SUM((IF(YEAR($A$11:$A$300)&gt;=$A$1,1,0))*H$11:H$300)/SUM((IF(YEAR($A$11:$A$300)&gt;=$A$1,1,0))*1))</f>
        <v>0</v>
      </c>
      <c r="I3" s="99">
        <f t="array" ref="I3">IF(SUM((IF(YEAR($A$11:$A$300)&gt;=$A$1,1,0))*I$11:I$300)=0,0,SUM((IF(YEAR($A$11:$A$300)&gt;=$A$1,1,0))*I$11:I$300)/SUM((IF(YEAR($A$11:$A$300)&gt;=$A$1,1,0))*1))</f>
        <v>0</v>
      </c>
      <c r="J3" s="25">
        <f t="array" ref="J3">IF(SUM((IF(YEAR($A$11:$A$300)&gt;=$A$1,1,0))*J$11:J$300)=0,0,SUM((IF(YEAR($A$11:$A$300)&gt;=$A$1,1,0))*J$11:J$300)/SUM((IF(YEAR($A$11:$A$300)&gt;=$A$1,1,0))*1))</f>
        <v>0</v>
      </c>
      <c r="K3" s="25">
        <f t="array" ref="K3">IF(SUM((IF(YEAR($A$11:$A$300)&gt;=$A$1,1,0))*K$11:K$300)=0,0,SUM((IF(YEAR($A$11:$A$300)&gt;=$A$1,1,0))*K$11:K$300)/SUM((IF(YEAR($A$11:$A$300)&gt;=$A$1,1,0))*1))</f>
        <v>0</v>
      </c>
      <c r="L3" s="25">
        <f t="array" ref="L3">IF(SUM((IF(YEAR($A$11:$A$300)&gt;=$A$1,1,0))*L$11:L$300)=0,0,SUM((IF(YEAR($A$11:$A$300)&gt;=$A$1,1,0))*L$11:L$300)/SUM((IF(YEAR($A$11:$A$300)&gt;=$A$1,1,0))*1))</f>
        <v>0</v>
      </c>
      <c r="M3" s="99">
        <f t="array" ref="M3">IF(SUM((IF(YEAR($A$11:$A$300)&gt;=$A$1,1,0))*M$11:M$300)=0,0,SUM((IF(YEAR($A$11:$A$300)&gt;=$A$1,1,0))*M$11:M$300)/SUM((IF(YEAR($A$11:$A$300)&gt;=$A$1,1,0))*1))</f>
        <v>0</v>
      </c>
    </row>
    <row r="4" spans="1:13" s="9" customFormat="1">
      <c r="A4" s="71" t="s">
        <v>46</v>
      </c>
      <c r="B4" s="25">
        <f t="array" aca="1" ref="B4" ca="1">SUM((IF(YEAR($A$11:$A$300)&gt;=$A$1,1,0))*B$11:B$300)/(YEAR(TODAY())-$A$1+1)</f>
        <v>0</v>
      </c>
      <c r="C4" s="25">
        <f t="array" aca="1" ref="C4" ca="1">SUM((IF(YEAR($A$11:$A$300)&gt;=$A$1,1,0))*C$11:C$300)/(YEAR(TODAY())-$A$1+1)</f>
        <v>0</v>
      </c>
      <c r="D4" s="25">
        <f t="array" aca="1" ref="D4" ca="1">SUM((IF(YEAR($A$11:$A$300)&gt;=$A$1,1,0))*D$11:D$300)/(YEAR(TODAY())-$A$1+1)</f>
        <v>0</v>
      </c>
      <c r="E4" s="25">
        <f t="array" aca="1" ref="E4" ca="1">SUM((IF(YEAR($A$11:$A$300)&gt;=$A$1,1,0))*E$11:E$300)/(YEAR(TODAY())-$A$1+1)</f>
        <v>0</v>
      </c>
      <c r="F4" s="25">
        <f t="array" aca="1" ref="F4" ca="1">SUM((IF(YEAR($A$11:$A$300)&gt;=$A$1,1,0))*F$11:F$300)/(YEAR(TODAY())-$A$1+1)</f>
        <v>0</v>
      </c>
      <c r="G4" s="25">
        <f t="array" aca="1" ref="G4" ca="1">SUM((IF(YEAR($A$11:$A$300)&gt;=$A$1,1,0))*G$11:G$300)/(YEAR(TODAY())-$A$1+1)</f>
        <v>0</v>
      </c>
      <c r="H4" s="25">
        <f t="array" aca="1" ref="H4" ca="1">SUM((IF(YEAR($A$11:$A$300)&gt;=$A$1,1,0))*H$11:H$300)/(YEAR(TODAY())-$A$1+1)</f>
        <v>0</v>
      </c>
      <c r="I4" s="99">
        <f t="array" aca="1" ref="I4" ca="1">SUM((IF(YEAR($A$11:$A$300)&gt;=$A$1,1,0))*I$11:I$300)/(YEAR(TODAY())-$A$1+1)</f>
        <v>0</v>
      </c>
      <c r="J4" s="25">
        <f t="array" aca="1" ref="J4" ca="1">SUM((IF(YEAR($A$11:$A$300)&gt;=$A$1,1,0))*J$11:J$300)/(YEAR(TODAY())-$A$1+1)</f>
        <v>0</v>
      </c>
      <c r="K4" s="25">
        <f t="array" aca="1" ref="K4" ca="1">SUM((IF(YEAR($A$11:$A$300)&gt;=$A$1,1,0))*K$11:K$300)/(YEAR(TODAY())-$A$1+1)</f>
        <v>0</v>
      </c>
      <c r="L4" s="25">
        <f t="array" aca="1" ref="L4" ca="1">SUM((IF(YEAR($A$11:$A$300)&gt;=$A$1,1,0))*L$11:L$300)/(YEAR(TODAY())-$A$1+1)</f>
        <v>0</v>
      </c>
      <c r="M4" s="99">
        <f t="array" aca="1" ref="M4" ca="1">SUM((IF(YEAR($A$11:$A$300)&gt;=$A$1,1,0))*M$11:M$300)/(YEAR(TODAY())-$A$1+1)</f>
        <v>0</v>
      </c>
    </row>
    <row r="5" spans="1:13" s="9" customFormat="1">
      <c r="A5" s="88" t="s">
        <v>29</v>
      </c>
      <c r="B5" s="21">
        <f t="array" ref="B5">IF(SUM((IF(YEAR($A$11:$A$300)&gt;=$A$1,1,0))*B$11:B$300)=0,0,SUM((IF(YEAR($A$11:$A$300)&gt;=$A$1,1,0))*B$11:B$300))</f>
        <v>0</v>
      </c>
      <c r="C5" s="21">
        <f t="array" ref="C5">IF(SUM((IF(YEAR($A$11:$A$300)&gt;=$A$1,1,0))*C$11:C$300)=0,0,SUM((IF(YEAR($A$11:$A$300)&gt;=$A$1,1,0))*C$11:C$300))</f>
        <v>0</v>
      </c>
      <c r="D5" s="21">
        <f t="array" ref="D5">IF(SUM((IF(YEAR($A$11:$A$300)&gt;=$A$1,1,0))*D$11:D$300)=0,0,SUM((IF(YEAR($A$11:$A$300)&gt;=$A$1,1,0))*D$11:D$300))</f>
        <v>0</v>
      </c>
      <c r="E5" s="21">
        <f t="array" ref="E5">IF(SUM((IF(YEAR($A$11:$A$300)&gt;=$A$1,1,0))*E$11:E$300)=0,0,SUM((IF(YEAR($A$11:$A$300)&gt;=$A$1,1,0))*E$11:E$300))</f>
        <v>0</v>
      </c>
      <c r="F5" s="21">
        <f t="array" ref="F5">IF(SUM((IF(YEAR($A$11:$A$300)&gt;=$A$1,1,0))*F$11:F$300)=0,0,SUM((IF(YEAR($A$11:$A$300)&gt;=$A$1,1,0))*F$11:F$300))</f>
        <v>0</v>
      </c>
      <c r="G5" s="21">
        <f t="array" ref="G5">IF(SUM((IF(YEAR($A$11:$A$300)&gt;=$A$1,1,0))*G$11:G$300)=0,0,SUM((IF(YEAR($A$11:$A$300)&gt;=$A$1,1,0))*G$11:G$300))</f>
        <v>0</v>
      </c>
      <c r="H5" s="21">
        <f t="array" ref="H5">IF(SUM((IF(YEAR($A$11:$A$300)&gt;=$A$1,1,0))*H$11:H$300)=0,0,SUM((IF(YEAR($A$11:$A$300)&gt;=$A$1,1,0))*H$11:H$300))</f>
        <v>0</v>
      </c>
      <c r="I5" s="22">
        <f t="array" ref="I5">IF(SUM((IF(YEAR($A$11:$A$300)&gt;=$A$1,1,0))*I$11:I$300)=0,0,SUM((IF(YEAR($A$11:$A$300)&gt;=$A$1,1,0))*I$11:I$300))</f>
        <v>0</v>
      </c>
      <c r="J5" s="21">
        <f t="array" ref="J5">IF(SUM((IF(YEAR($A$11:$A$300)&gt;=$A$1,1,0))*J$11:J$300)=0,0,SUM((IF(YEAR($A$11:$A$300)&gt;=$A$1,1,0))*J$11:J$300))</f>
        <v>0</v>
      </c>
      <c r="K5" s="21">
        <f t="array" ref="K5">IF(SUM((IF(YEAR($A$11:$A$300)&gt;=$A$1,1,0))*K$11:K$300)=0,0,SUM((IF(YEAR($A$11:$A$300)&gt;=$A$1,1,0))*K$11:K$300))</f>
        <v>0</v>
      </c>
      <c r="L5" s="21">
        <f t="array" ref="L5">IF(SUM((IF(YEAR($A$11:$A$300)&gt;=$A$1,1,0))*L$11:L$300)=0,0,SUM((IF(YEAR($A$11:$A$300)&gt;=$A$1,1,0))*L$11:L$300))</f>
        <v>0</v>
      </c>
      <c r="M5" s="22">
        <f t="array" ref="M5">IF(SUM((IF(YEAR($A$11:$A$300)&gt;=$A$1,1,0))*M$11:M$300)=0,0,SUM((IF(YEAR($A$11:$A$300)&gt;=$A$1,1,0))*M$11:M$300))</f>
        <v>0</v>
      </c>
    </row>
    <row r="6" spans="1:13" s="9" customFormat="1">
      <c r="A6" s="37">
        <v>39814</v>
      </c>
      <c r="B6" s="72">
        <f t="array" ref="B6">SUM((IF(YEAR($A$11:$A$1002)=YEAR($A6),1,0))*B$11:B$1002)</f>
        <v>0</v>
      </c>
      <c r="C6" s="72">
        <f t="array" ref="C6">SUM((IF(YEAR($A$11:$A$1002)=YEAR($A6),1,0))*C$11:C$1002)</f>
        <v>0</v>
      </c>
      <c r="D6" s="72">
        <f t="array" ref="D6">SUM((IF(YEAR($A$11:$A$1002)=YEAR($A6),1,0))*D$11:D$1002)</f>
        <v>0</v>
      </c>
      <c r="E6" s="72">
        <f t="array" ref="E6">SUM((IF(YEAR($A$11:$A$1002)=YEAR($A6),1,0))*E$11:E$1002)</f>
        <v>0</v>
      </c>
      <c r="F6" s="72">
        <f t="array" ref="F6">SUM((IF(YEAR($A$11:$A$1002)=YEAR($A6),1,0))*F$11:F$1002)</f>
        <v>0</v>
      </c>
      <c r="G6" s="72">
        <f t="array" ref="G6">SUM((IF(YEAR($A$11:$A$1002)=YEAR($A6),1,0))*G$11:G$1002)</f>
        <v>0</v>
      </c>
      <c r="H6" s="72">
        <f t="array" ref="H6">SUM((IF(YEAR($A$11:$A$1002)=YEAR($A6),1,0))*H$11:H$1002)</f>
        <v>0</v>
      </c>
      <c r="I6" s="73">
        <f t="array" ref="I6">SUM((IF(YEAR($A$11:$A$1002)=YEAR($A6),1,0))*I$11:I$1002)</f>
        <v>0</v>
      </c>
      <c r="J6" s="81">
        <f t="array" ref="J6">SUM((IF(YEAR($A$11:$A$1002)=YEAR($A6),1,0))*J$11:J$1002)</f>
        <v>0</v>
      </c>
      <c r="K6" s="72">
        <f t="array" ref="K6">SUM((IF(YEAR($A$11:$A$1002)=YEAR($A6),1,0))*K$11:K$1002)</f>
        <v>0</v>
      </c>
      <c r="L6" s="72">
        <f t="array" ref="L6">SUM((IF(YEAR($A$11:$A$1002)=YEAR($A6),1,0))*L$11:L$1002)</f>
        <v>0</v>
      </c>
      <c r="M6" s="73">
        <f t="array" ref="M6">SUM((IF(YEAR($A$11:$A$1002)=YEAR($A6),1,0))*M$11:M$1002)</f>
        <v>0</v>
      </c>
    </row>
    <row r="7" spans="1:13" s="9" customFormat="1">
      <c r="A7" s="71" t="s">
        <v>51</v>
      </c>
      <c r="B7" s="72">
        <f t="array" ref="B7">(SUM((IF(YEAR($A$11:$A$1002)=YEAR($A6),1,0))*B$11:B$1002))/(SUM((IF(YEAR($A$11:$A$1002)=YEAR($A6),1,0))*1))</f>
        <v>0</v>
      </c>
      <c r="C7" s="72">
        <f t="array" ref="C7">(SUM((IF(YEAR($A$11:$A$1002)=YEAR($A6),1,0))*C$11:C$1002))/(SUM((IF(YEAR($A$11:$A$1002)=YEAR($A6),1,0))*1))</f>
        <v>0</v>
      </c>
      <c r="D7" s="72">
        <f t="array" ref="D7">(SUM((IF(YEAR($A$11:$A$1002)=YEAR($A6),1,0))*D$11:D$1002))/(SUM((IF(YEAR($A$11:$A$1002)=YEAR($A6),1,0))*1))</f>
        <v>0</v>
      </c>
      <c r="E7" s="72">
        <f t="array" ref="E7">(SUM((IF(YEAR($A$11:$A$1002)=YEAR($A6),1,0))*E$11:E$1002))/(SUM((IF(YEAR($A$11:$A$1002)=YEAR($A6),1,0))*1))</f>
        <v>0</v>
      </c>
      <c r="F7" s="72">
        <f t="array" ref="F7">(SUM((IF(YEAR($A$11:$A$1002)=YEAR($A6),1,0))*F$11:F$1002))/(SUM((IF(YEAR($A$11:$A$1002)=YEAR($A6),1,0))*1))</f>
        <v>0</v>
      </c>
      <c r="G7" s="72">
        <f t="array" ref="G7">(SUM((IF(YEAR($A$11:$A$1002)=YEAR($A6),1,0))*G$11:G$1002))/(SUM((IF(YEAR($A$11:$A$1002)=YEAR($A6),1,0))*1))</f>
        <v>0</v>
      </c>
      <c r="H7" s="72">
        <f t="array" ref="H7">(SUM((IF(YEAR($A$11:$A$1002)=YEAR($A6),1,0))*H$11:H$1002))/(SUM((IF(YEAR($A$11:$A$1002)=YEAR($A6),1,0))*1))</f>
        <v>0</v>
      </c>
      <c r="I7" s="73">
        <f t="array" ref="I7">(SUM((IF(YEAR($A$11:$A$1002)=YEAR($A6),1,0))*I$11:I$1002))/(SUM((IF(YEAR($A$11:$A$1002)=YEAR($A6),1,0))*1))</f>
        <v>0</v>
      </c>
      <c r="J7" s="81">
        <f t="array" ref="J7">(SUM((IF(YEAR($A$11:$A$1002)=YEAR($A6),1,0))*J$11:J$1002))/(SUM((IF(YEAR($A$11:$A$1002)=YEAR($A6),1,0))*1))</f>
        <v>0</v>
      </c>
      <c r="K7" s="72">
        <f t="array" ref="K7">(SUM((IF(YEAR($A$11:$A$1002)=YEAR($A6),1,0))*K$11:K$1002))/(SUM((IF(YEAR($A$11:$A$1002)=YEAR($A6),1,0))*1))</f>
        <v>0</v>
      </c>
      <c r="L7" s="72">
        <f t="array" ref="L7">(SUM((IF(YEAR($A$11:$A$1002)=YEAR($A6),1,0))*L$11:L$1002))/(SUM((IF(YEAR($A$11:$A$1002)=YEAR($A6),1,0))*1))</f>
        <v>0</v>
      </c>
      <c r="M7" s="73">
        <f t="array" ref="M7">(SUM((IF(YEAR($A$11:$A$1002)=YEAR($A6),1,0))*M$11:M$1002))/(SUM((IF(YEAR($A$11:$A$1002)=YEAR($A6),1,0))*1))</f>
        <v>0</v>
      </c>
    </row>
    <row r="8" spans="1:13" s="9" customFormat="1">
      <c r="A8" s="37">
        <v>40179</v>
      </c>
      <c r="B8" s="72">
        <f t="array" ref="B8">SUM((IF(YEAR($A$11:$A$1002)=YEAR($A8),1,0))*B$11:B$1002)</f>
        <v>0</v>
      </c>
      <c r="C8" s="72">
        <f t="array" ref="C8">SUM((IF(YEAR($A$11:$A$1002)=YEAR($A8),1,0))*C$11:C$1002)</f>
        <v>0</v>
      </c>
      <c r="D8" s="72">
        <f t="array" ref="D8">SUM((IF(YEAR($A$11:$A$1002)=YEAR($A8),1,0))*D$11:D$1002)</f>
        <v>0</v>
      </c>
      <c r="E8" s="72">
        <f t="array" ref="E8">SUM((IF(YEAR($A$11:$A$1002)=YEAR($A8),1,0))*E$11:E$1002)</f>
        <v>0</v>
      </c>
      <c r="F8" s="72">
        <f t="array" ref="F8">SUM((IF(YEAR($A$11:$A$1002)=YEAR($A8),1,0))*F$11:F$1002)</f>
        <v>0</v>
      </c>
      <c r="G8" s="72">
        <f t="array" ref="G8">SUM((IF(YEAR($A$11:$A$1002)=YEAR($A8),1,0))*G$11:G$1002)</f>
        <v>0</v>
      </c>
      <c r="H8" s="72">
        <f t="array" ref="H8">SUM((IF(YEAR($A$11:$A$1002)=YEAR($A8),1,0))*H$11:H$1002)</f>
        <v>0</v>
      </c>
      <c r="I8" s="73">
        <f t="array" ref="I8">SUM((IF(YEAR($A$11:$A$1002)=YEAR($A8),1,0))*I$11:I$1002)</f>
        <v>0</v>
      </c>
      <c r="J8" s="81">
        <f t="array" ref="J8">SUM((IF(YEAR($A$11:$A$1002)=YEAR($A8),1,0))*J$11:J$1002)</f>
        <v>0</v>
      </c>
      <c r="K8" s="72">
        <f t="array" ref="K8">SUM((IF(YEAR($A$11:$A$1002)=YEAR($A8),1,0))*K$11:K$1002)</f>
        <v>0</v>
      </c>
      <c r="L8" s="72">
        <f t="array" ref="L8">SUM((IF(YEAR($A$11:$A$1002)=YEAR($A8),1,0))*L$11:L$1002)</f>
        <v>0</v>
      </c>
      <c r="M8" s="73">
        <f t="array" ref="M8">SUM((IF(YEAR($A$11:$A$1002)=YEAR($A8),1,0))*M$11:M$1002)</f>
        <v>0</v>
      </c>
    </row>
    <row r="9" spans="1:13" s="9" customFormat="1">
      <c r="A9" s="71" t="s">
        <v>52</v>
      </c>
      <c r="B9" s="72">
        <f t="array" ref="B9">(SUM((IF(YEAR($A$11:$A$1002)=YEAR($A8),1,0))*B$11:B$1002))/(SUM((IF(YEAR($A$11:$A$1002)=YEAR($A8),1,0))*1))</f>
        <v>0</v>
      </c>
      <c r="C9" s="72">
        <f t="array" ref="C9">(SUM((IF(YEAR($A$11:$A$1002)=YEAR($A8),1,0))*C$11:C$1002))/(SUM((IF(YEAR($A$11:$A$1002)=YEAR($A8),1,0))*1))</f>
        <v>0</v>
      </c>
      <c r="D9" s="72">
        <f t="array" ref="D9">(SUM((IF(YEAR($A$11:$A$1002)=YEAR($A8),1,0))*D$11:D$1002))/(SUM((IF(YEAR($A$11:$A$1002)=YEAR($A8),1,0))*1))</f>
        <v>0</v>
      </c>
      <c r="E9" s="72">
        <f t="array" ref="E9">(SUM((IF(YEAR($A$11:$A$1002)=YEAR($A8),1,0))*E$11:E$1002))/(SUM((IF(YEAR($A$11:$A$1002)=YEAR($A8),1,0))*1))</f>
        <v>0</v>
      </c>
      <c r="F9" s="72">
        <f t="array" ref="F9">(SUM((IF(YEAR($A$11:$A$1002)=YEAR($A8),1,0))*F$11:F$1002))/(SUM((IF(YEAR($A$11:$A$1002)=YEAR($A8),1,0))*1))</f>
        <v>0</v>
      </c>
      <c r="G9" s="72">
        <f t="array" ref="G9">(SUM((IF(YEAR($A$11:$A$1002)=YEAR($A8),1,0))*G$11:G$1002))/(SUM((IF(YEAR($A$11:$A$1002)=YEAR($A8),1,0))*1))</f>
        <v>0</v>
      </c>
      <c r="H9" s="72">
        <f t="array" ref="H9">(SUM((IF(YEAR($A$11:$A$1002)=YEAR($A8),1,0))*H$11:H$1002))/(SUM((IF(YEAR($A$11:$A$1002)=YEAR($A8),1,0))*1))</f>
        <v>0</v>
      </c>
      <c r="I9" s="73">
        <f t="array" ref="I9">(SUM((IF(YEAR($A$11:$A$1002)=YEAR($A8),1,0))*I$11:I$1002))/(SUM((IF(YEAR($A$11:$A$1002)=YEAR($A8),1,0))*1))</f>
        <v>0</v>
      </c>
      <c r="J9" s="81">
        <f t="array" ref="J9">(SUM((IF(YEAR($A$11:$A$1002)=YEAR($A8),1,0))*J$11:J$1002))/(SUM((IF(YEAR($A$11:$A$1002)=YEAR($A8),1,0))*1))</f>
        <v>0</v>
      </c>
      <c r="K9" s="72">
        <f t="array" ref="K9">(SUM((IF(YEAR($A$11:$A$1002)=YEAR($A8),1,0))*K$11:K$1002))/(SUM((IF(YEAR($A$11:$A$1002)=YEAR($A8),1,0))*1))</f>
        <v>0</v>
      </c>
      <c r="L9" s="72">
        <f t="array" ref="L9">(SUM((IF(YEAR($A$11:$A$1002)=YEAR($A8),1,0))*L$11:L$1002))/(SUM((IF(YEAR($A$11:$A$1002)=YEAR($A8),1,0))*1))</f>
        <v>0</v>
      </c>
      <c r="M9" s="73">
        <f t="array" ref="M9">(SUM((IF(YEAR($A$11:$A$1002)=YEAR($A8),1,0))*M$11:M$1002))/(SUM((IF(YEAR($A$11:$A$1002)=YEAR($A8),1,0))*1))</f>
        <v>0</v>
      </c>
    </row>
    <row r="10" spans="1:13" s="43" customFormat="1">
      <c r="A10" s="42"/>
      <c r="B10" s="74"/>
      <c r="C10" s="74"/>
      <c r="D10" s="74"/>
      <c r="E10" s="74"/>
      <c r="F10" s="74"/>
      <c r="G10" s="74"/>
      <c r="H10" s="74"/>
      <c r="I10" s="75"/>
      <c r="J10" s="82"/>
      <c r="K10" s="74"/>
      <c r="L10" s="74"/>
      <c r="M10" s="75"/>
    </row>
    <row r="11" spans="1:13" s="9" customFormat="1" outlineLevel="1">
      <c r="A11" s="19">
        <v>39965</v>
      </c>
      <c r="B11" s="78">
        <f t="array" aca="1" ref="B11" ca="1">SUM((IF(MONTH(CrelanData!$A$2:$A$2000)=MONTH(CrelanSamenv!$A11),1,0))*(IF(YEAR(CrelanData!$A$2:$A$2000)=YEAR(CrelanSamenv!$A11),1,0))*IF(CrelanData!$B$2:$B$2000&lt;0,1,0)*IF(CrelanData!$H$2:$H$2000=Categorieën!$C$1,0,1)*IF(CrelanData!$H$2:$H$2000=Categorieën!$B$1,0,1)*CrelanData!$B$2:$B$2000)</f>
        <v>0</v>
      </c>
      <c r="C11" s="78">
        <f>$B11-$D11</f>
        <v>0</v>
      </c>
      <c r="D11" s="78">
        <f t="array" aca="1" ref="D11" ca="1">SUM(IF(MONTH(CrelanData!$A$2:$A$2000)=MONTH(CrelanSamenv!$A11),1,0)*IF(YEAR(CrelanData!$A$2:$A$2000)=YEAR(CrelanSamenv!$A11),1,0)*IF(CrelanData!$B$2:$B$2000&lt;0,1,0)*IF(LEFT(CrelanData!$H$2:$H$2000,3)="VK-",1,0)*CrelanData!$B$2:$B$2000)</f>
        <v>0</v>
      </c>
      <c r="E11" s="78">
        <f ca="1">SUM(IF(MONTH(CrelanData!$A$2:$A$2000)=MONTH(CrelanSamenv!$A11),1,0)*IF(YEAR(CrelanData!$A$2:$A$2000)=YEAR(CrelanSamenv!$A11),1,0)*IF(CrelanData!$B$2:$B$2000&lt;0,1,0)*IF(CrelanData!$H$2:$H$2000=E$1,1,0)*CrelanData!$B$2:$B$2000)*-1</f>
        <v>0</v>
      </c>
      <c r="F11" s="78">
        <f t="array" aca="1" ref="F11" ca="1">SUM(IF(MONTH(CrelanData!$A$2:$A$2000)=MONTH($A11),1,0)*IF(YEAR(CrelanData!$A$2:$A$2000)=YEAR($A11),1,0)*IF(CrelanData!$H$2:$H$2000=F$1,1,0)*CrelanData!$B$2:$B$2000)</f>
        <v>0</v>
      </c>
      <c r="G11" s="78">
        <f t="array" aca="1" ref="G11" ca="1">SUM(IF(MONTH(CrelanData!$A$2:$A$2000)=MONTH($A11),1,0)*IF(YEAR(CrelanData!$A$2:$A$2000)=YEAR($A11),1,0)*IF(CrelanData!$H$2:$H$2000=G$1,1,0)*CrelanData!$B$2:$B$2000)</f>
        <v>0</v>
      </c>
      <c r="H11" s="78">
        <f t="array" aca="1" ref="H11" ca="1">SUM(IF(MONTH(CrelanData!$A$2:$A$2000)=MONTH($A11),1,0)*IF(YEAR(CrelanData!$A$2:$A$2000)=YEAR($A11),1,0)*IF(CrelanData!$H$2:$H$2000=H$1,1,0)*CrelanData!$B$2:$B$2000)</f>
        <v>0</v>
      </c>
      <c r="I11" s="77">
        <f t="shared" ref="I11:I27" si="0">$B11-$D11+$E11</f>
        <v>0</v>
      </c>
      <c r="J11" s="83">
        <f t="array" aca="1" ref="J11" ca="1">SUM((IF(MONTH(CrelanData!$A$2:$A$2000)=MONTH(CrelanSamenv!$A11),1,0))*(IF(YEAR(CrelanData!$A$2:$A$2000)=YEAR(CrelanSamenv!$A11),1,0))*(IF(CrelanData!$B$2:$B$2000&gt;0,1,0))*CrelanData!$B$2:$B$2000)</f>
        <v>0</v>
      </c>
      <c r="K11" s="78">
        <f t="array" aca="1" ref="K11" ca="1">SUM(IF(MONTH(CrelanData!$A$2:$A$2000)=MONTH(CrelanSamenv!$A11),1,0)*IF(YEAR(CrelanData!$A$2:$A$2000)=YEAR(CrelanSamenv!$A11),1,0)*IF(CrelanData!$B$2:$B$2000&gt;0,1,0)*IF(CrelanData!$H$2:$H$2000=K$2,1,0)*CrelanData!$B$2:$B$2000)</f>
        <v>0</v>
      </c>
      <c r="L11" s="78">
        <f t="array" aca="1" ref="L11" ca="1">SUM(IF(MONTH(CrelanData!$A$2:$A$2000)=MONTH(CrelanSamenv!$A11),1,0)*IF(YEAR(CrelanData!$A$2:$A$2000)=YEAR(CrelanSamenv!$A11),1,0)*IF(CrelanData!$B$2:$B$2000&gt;0,1,0)*IF(CrelanData!$H$2:$H$2000=L$2,1,0)*CrelanData!$B$2:$B$2000)</f>
        <v>0</v>
      </c>
      <c r="M11" s="77">
        <f>J11-(K11+L11)</f>
        <v>0</v>
      </c>
    </row>
    <row r="12" spans="1:13" s="9" customFormat="1" outlineLevel="1">
      <c r="A12" s="19">
        <v>39995</v>
      </c>
      <c r="B12" s="78">
        <f t="array" aca="1" ref="B12" ca="1">SUM((IF(MONTH(CrelanData!$A$2:$A$2000)=MONTH(CrelanSamenv!$A12),1,0))*(IF(YEAR(CrelanData!$A$2:$A$2000)=YEAR(CrelanSamenv!$A12),1,0))*IF(CrelanData!$B$2:$B$2000&lt;0,1,0)*IF(CrelanData!$H$2:$H$2000=Categorieën!$C$1,0,1)*IF(CrelanData!$H$2:$H$2000=Categorieën!$B$1,0,1)*CrelanData!$B$2:$B$2000)</f>
        <v>0</v>
      </c>
      <c r="C12" s="78">
        <f t="shared" ref="C12:C27" si="1">$B12-$D12</f>
        <v>0</v>
      </c>
      <c r="D12" s="78">
        <f t="array" aca="1" ref="D12" ca="1">SUM(IF(MONTH(CrelanData!$A$2:$A$2000)=MONTH(CrelanSamenv!$A12),1,0)*IF(YEAR(CrelanData!$A$2:$A$2000)=YEAR(CrelanSamenv!$A12),1,0)*IF(CrelanData!$B$2:$B$2000&lt;0,1,0)*IF(LEFT(CrelanData!$H$2:$H$2000,3)="VK-",1,0)*CrelanData!$B$2:$B$2000)</f>
        <v>0</v>
      </c>
      <c r="E12" s="78">
        <f ca="1">SUM(IF(MONTH(CrelanData!$A$2:$A$2000)=MONTH(CrelanSamenv!$A12),1,0)*IF(YEAR(CrelanData!$A$2:$A$2000)=YEAR(CrelanSamenv!$A12),1,0)*IF(CrelanData!$B$2:$B$2000&lt;0,1,0)*IF(CrelanData!$H$2:$H$2000=E$1,1,0)*CrelanData!$B$2:$B$2000)*-1</f>
        <v>0</v>
      </c>
      <c r="F12" s="78">
        <f t="array" aca="1" ref="F12" ca="1">SUM(IF(MONTH(CrelanData!$A$2:$A$2000)=MONTH($A12),1,0)*IF(YEAR(CrelanData!$A$2:$A$2000)=YEAR($A12),1,0)*IF(CrelanData!$H$2:$H$2000=F$1,1,0)*CrelanData!$B$2:$B$2000)</f>
        <v>0</v>
      </c>
      <c r="G12" s="78">
        <f t="array" aca="1" ref="G12" ca="1">SUM(IF(MONTH(CrelanData!$A$2:$A$2000)=MONTH($A12),1,0)*IF(YEAR(CrelanData!$A$2:$A$2000)=YEAR($A12),1,0)*IF(CrelanData!$H$2:$H$2000=G$1,1,0)*CrelanData!$B$2:$B$2000)</f>
        <v>0</v>
      </c>
      <c r="H12" s="78">
        <f t="array" aca="1" ref="H12" ca="1">SUM(IF(MONTH(CrelanData!$A$2:$A$2000)=MONTH($A12),1,0)*IF(YEAR(CrelanData!$A$2:$A$2000)=YEAR($A12),1,0)*IF(CrelanData!$H$2:$H$2000=H$1,1,0)*CrelanData!$B$2:$B$2000)</f>
        <v>0</v>
      </c>
      <c r="I12" s="77">
        <f t="shared" si="0"/>
        <v>0</v>
      </c>
      <c r="J12" s="83">
        <f t="array" aca="1" ref="J12" ca="1">SUM((IF(MONTH(CrelanData!$A$2:$A$2000)=MONTH(CrelanSamenv!$A12),1,0))*(IF(YEAR(CrelanData!$A$2:$A$2000)=YEAR(CrelanSamenv!$A12),1,0))*(IF(CrelanData!$B$2:$B$2000&gt;0,1,0))*CrelanData!$B$2:$B$2000)</f>
        <v>0</v>
      </c>
      <c r="K12" s="78">
        <f t="array" aca="1" ref="K12" ca="1">SUM(IF(MONTH(CrelanData!$A$2:$A$2000)=MONTH(CrelanSamenv!$A12),1,0)*IF(YEAR(CrelanData!$A$2:$A$2000)=YEAR(CrelanSamenv!$A12),1,0)*IF(CrelanData!$B$2:$B$2000&gt;0,1,0)*IF(CrelanData!$H$2:$H$2000=K$2,1,0)*CrelanData!$B$2:$B$2000)</f>
        <v>0</v>
      </c>
      <c r="L12" s="78">
        <f t="array" aca="1" ref="L12" ca="1">SUM(IF(MONTH(CrelanData!$A$2:$A$2000)=MONTH(CrelanSamenv!$A12),1,0)*IF(YEAR(CrelanData!$A$2:$A$2000)=YEAR(CrelanSamenv!$A12),1,0)*IF(CrelanData!$B$2:$B$2000&gt;0,1,0)*IF(CrelanData!$H$2:$H$2000=L$2,1,0)*CrelanData!$B$2:$B$2000)</f>
        <v>0</v>
      </c>
      <c r="M12" s="77">
        <f t="shared" ref="M12:M18" si="2">J12-(K12+L12)</f>
        <v>0</v>
      </c>
    </row>
    <row r="13" spans="1:13" s="9" customFormat="1" outlineLevel="1">
      <c r="A13" s="19">
        <v>40026</v>
      </c>
      <c r="B13" s="78">
        <f t="array" aca="1" ref="B13" ca="1">SUM((IF(MONTH(CrelanData!$A$2:$A$2000)=MONTH(CrelanSamenv!$A13),1,0))*(IF(YEAR(CrelanData!$A$2:$A$2000)=YEAR(CrelanSamenv!$A13),1,0))*IF(CrelanData!$B$2:$B$2000&lt;0,1,0)*IF(CrelanData!$H$2:$H$2000=Categorieën!$C$1,0,1)*IF(CrelanData!$H$2:$H$2000=Categorieën!$B$1,0,1)*CrelanData!$B$2:$B$2000)</f>
        <v>0</v>
      </c>
      <c r="C13" s="78">
        <f t="shared" si="1"/>
        <v>0</v>
      </c>
      <c r="D13" s="78">
        <f t="array" aca="1" ref="D13" ca="1">SUM(IF(MONTH(CrelanData!$A$2:$A$2000)=MONTH(CrelanSamenv!$A13),1,0)*IF(YEAR(CrelanData!$A$2:$A$2000)=YEAR(CrelanSamenv!$A13),1,0)*IF(CrelanData!$B$2:$B$2000&lt;0,1,0)*IF(LEFT(CrelanData!$H$2:$H$2000,3)="VK-",1,0)*CrelanData!$B$2:$B$2000)</f>
        <v>0</v>
      </c>
      <c r="E13" s="78">
        <f ca="1">SUM(IF(MONTH(CrelanData!$A$2:$A$2000)=MONTH(CrelanSamenv!$A13),1,0)*IF(YEAR(CrelanData!$A$2:$A$2000)=YEAR(CrelanSamenv!$A13),1,0)*IF(CrelanData!$B$2:$B$2000&lt;0,1,0)*IF(CrelanData!$H$2:$H$2000=E$1,1,0)*CrelanData!$B$2:$B$2000)*-1</f>
        <v>0</v>
      </c>
      <c r="F13" s="78">
        <f t="array" aca="1" ref="F13" ca="1">SUM(IF(MONTH(CrelanData!$A$2:$A$2000)=MONTH($A13),1,0)*IF(YEAR(CrelanData!$A$2:$A$2000)=YEAR($A13),1,0)*IF(CrelanData!$H$2:$H$2000=F$1,1,0)*CrelanData!$B$2:$B$2000)</f>
        <v>0</v>
      </c>
      <c r="G13" s="78">
        <f t="array" aca="1" ref="G13" ca="1">SUM(IF(MONTH(CrelanData!$A$2:$A$2000)=MONTH($A13),1,0)*IF(YEAR(CrelanData!$A$2:$A$2000)=YEAR($A13),1,0)*IF(CrelanData!$H$2:$H$2000=G$1,1,0)*CrelanData!$B$2:$B$2000)</f>
        <v>0</v>
      </c>
      <c r="H13" s="78">
        <f t="array" aca="1" ref="H13" ca="1">SUM(IF(MONTH(CrelanData!$A$2:$A$2000)=MONTH($A13),1,0)*IF(YEAR(CrelanData!$A$2:$A$2000)=YEAR($A13),1,0)*IF(CrelanData!$H$2:$H$2000=H$1,1,0)*CrelanData!$B$2:$B$2000)</f>
        <v>0</v>
      </c>
      <c r="I13" s="77">
        <f t="shared" si="0"/>
        <v>0</v>
      </c>
      <c r="J13" s="83">
        <f t="array" aca="1" ref="J13" ca="1">SUM((IF(MONTH(CrelanData!$A$2:$A$2000)=MONTH(CrelanSamenv!$A13),1,0))*(IF(YEAR(CrelanData!$A$2:$A$2000)=YEAR(CrelanSamenv!$A13),1,0))*(IF(CrelanData!$B$2:$B$2000&gt;0,1,0))*CrelanData!$B$2:$B$2000)</f>
        <v>0</v>
      </c>
      <c r="K13" s="78">
        <f t="array" aca="1" ref="K13" ca="1">SUM(IF(MONTH(CrelanData!$A$2:$A$2000)=MONTH(CrelanSamenv!$A13),1,0)*IF(YEAR(CrelanData!$A$2:$A$2000)=YEAR(CrelanSamenv!$A13),1,0)*IF(CrelanData!$B$2:$B$2000&gt;0,1,0)*IF(CrelanData!$H$2:$H$2000=K$2,1,0)*CrelanData!$B$2:$B$2000)</f>
        <v>0</v>
      </c>
      <c r="L13" s="78">
        <f t="array" aca="1" ref="L13" ca="1">SUM(IF(MONTH(CrelanData!$A$2:$A$2000)=MONTH(CrelanSamenv!$A13),1,0)*IF(YEAR(CrelanData!$A$2:$A$2000)=YEAR(CrelanSamenv!$A13),1,0)*IF(CrelanData!$B$2:$B$2000&gt;0,1,0)*IF(CrelanData!$H$2:$H$2000=L$2,1,0)*CrelanData!$B$2:$B$2000)</f>
        <v>0</v>
      </c>
      <c r="M13" s="77">
        <f t="shared" si="2"/>
        <v>0</v>
      </c>
    </row>
    <row r="14" spans="1:13" s="9" customFormat="1" outlineLevel="1">
      <c r="A14" s="19">
        <v>40057</v>
      </c>
      <c r="B14" s="78">
        <f t="array" aca="1" ref="B14" ca="1">SUM((IF(MONTH(CrelanData!$A$2:$A$2000)=MONTH(CrelanSamenv!$A14),1,0))*(IF(YEAR(CrelanData!$A$2:$A$2000)=YEAR(CrelanSamenv!$A14),1,0))*IF(CrelanData!$B$2:$B$2000&lt;0,1,0)*IF(CrelanData!$H$2:$H$2000=Categorieën!$C$1,0,1)*IF(CrelanData!$H$2:$H$2000=Categorieën!$B$1,0,1)*CrelanData!$B$2:$B$2000)</f>
        <v>0</v>
      </c>
      <c r="C14" s="78">
        <f t="shared" si="1"/>
        <v>0</v>
      </c>
      <c r="D14" s="78">
        <f t="array" aca="1" ref="D14" ca="1">SUM(IF(MONTH(CrelanData!$A$2:$A$2000)=MONTH(CrelanSamenv!$A14),1,0)*IF(YEAR(CrelanData!$A$2:$A$2000)=YEAR(CrelanSamenv!$A14),1,0)*IF(CrelanData!$B$2:$B$2000&lt;0,1,0)*IF(LEFT(CrelanData!$H$2:$H$2000,3)="VK-",1,0)*CrelanData!$B$2:$B$2000)</f>
        <v>0</v>
      </c>
      <c r="E14" s="78">
        <f ca="1">SUM(IF(MONTH(CrelanData!$A$2:$A$2000)=MONTH(CrelanSamenv!$A14),1,0)*IF(YEAR(CrelanData!$A$2:$A$2000)=YEAR(CrelanSamenv!$A14),1,0)*IF(CrelanData!$B$2:$B$2000&lt;0,1,0)*IF(CrelanData!$H$2:$H$2000=E$1,1,0)*CrelanData!$B$2:$B$2000)*-1</f>
        <v>0</v>
      </c>
      <c r="F14" s="78">
        <f t="array" aca="1" ref="F14" ca="1">SUM(IF(MONTH(CrelanData!$A$2:$A$2000)=MONTH($A14),1,0)*IF(YEAR(CrelanData!$A$2:$A$2000)=YEAR($A14),1,0)*IF(CrelanData!$H$2:$H$2000=F$1,1,0)*CrelanData!$B$2:$B$2000)</f>
        <v>0</v>
      </c>
      <c r="G14" s="78">
        <f t="array" aca="1" ref="G14" ca="1">SUM(IF(MONTH(CrelanData!$A$2:$A$2000)=MONTH($A14),1,0)*IF(YEAR(CrelanData!$A$2:$A$2000)=YEAR($A14),1,0)*IF(CrelanData!$H$2:$H$2000=G$1,1,0)*CrelanData!$B$2:$B$2000)</f>
        <v>0</v>
      </c>
      <c r="H14" s="78">
        <f t="array" aca="1" ref="H14" ca="1">SUM(IF(MONTH(CrelanData!$A$2:$A$2000)=MONTH($A14),1,0)*IF(YEAR(CrelanData!$A$2:$A$2000)=YEAR($A14),1,0)*IF(CrelanData!$H$2:$H$2000=H$1,1,0)*CrelanData!$B$2:$B$2000)</f>
        <v>0</v>
      </c>
      <c r="I14" s="77">
        <f t="shared" si="0"/>
        <v>0</v>
      </c>
      <c r="J14" s="83">
        <f t="array" aca="1" ref="J14" ca="1">SUM((IF(MONTH(CrelanData!$A$2:$A$2000)=MONTH(CrelanSamenv!$A14),1,0))*(IF(YEAR(CrelanData!$A$2:$A$2000)=YEAR(CrelanSamenv!$A14),1,0))*(IF(CrelanData!$B$2:$B$2000&gt;0,1,0))*CrelanData!$B$2:$B$2000)</f>
        <v>0</v>
      </c>
      <c r="K14" s="78">
        <f t="array" aca="1" ref="K14" ca="1">SUM(IF(MONTH(CrelanData!$A$2:$A$2000)=MONTH(CrelanSamenv!$A14),1,0)*IF(YEAR(CrelanData!$A$2:$A$2000)=YEAR(CrelanSamenv!$A14),1,0)*IF(CrelanData!$B$2:$B$2000&gt;0,1,0)*IF(CrelanData!$H$2:$H$2000=K$2,1,0)*CrelanData!$B$2:$B$2000)</f>
        <v>0</v>
      </c>
      <c r="L14" s="78">
        <f t="array" aca="1" ref="L14" ca="1">SUM(IF(MONTH(CrelanData!$A$2:$A$2000)=MONTH(CrelanSamenv!$A14),1,0)*IF(YEAR(CrelanData!$A$2:$A$2000)=YEAR(CrelanSamenv!$A14),1,0)*IF(CrelanData!$B$2:$B$2000&gt;0,1,0)*IF(CrelanData!$H$2:$H$2000=L$2,1,0)*CrelanData!$B$2:$B$2000)</f>
        <v>0</v>
      </c>
      <c r="M14" s="77">
        <f t="shared" si="2"/>
        <v>0</v>
      </c>
    </row>
    <row r="15" spans="1:13" s="9" customFormat="1" outlineLevel="1">
      <c r="A15" s="19">
        <v>40087</v>
      </c>
      <c r="B15" s="78">
        <f t="array" aca="1" ref="B15" ca="1">SUM((IF(MONTH(CrelanData!$A$2:$A$2000)=MONTH(CrelanSamenv!$A15),1,0))*(IF(YEAR(CrelanData!$A$2:$A$2000)=YEAR(CrelanSamenv!$A15),1,0))*IF(CrelanData!$B$2:$B$2000&lt;0,1,0)*IF(CrelanData!$H$2:$H$2000=Categorieën!$C$1,0,1)*IF(CrelanData!$H$2:$H$2000=Categorieën!$B$1,0,1)*CrelanData!$B$2:$B$2000)</f>
        <v>0</v>
      </c>
      <c r="C15" s="78">
        <f t="shared" si="1"/>
        <v>0</v>
      </c>
      <c r="D15" s="78">
        <f t="array" aca="1" ref="D15" ca="1">SUM(IF(MONTH(CrelanData!$A$2:$A$2000)=MONTH(CrelanSamenv!$A15),1,0)*IF(YEAR(CrelanData!$A$2:$A$2000)=YEAR(CrelanSamenv!$A15),1,0)*IF(CrelanData!$B$2:$B$2000&lt;0,1,0)*IF(LEFT(CrelanData!$H$2:$H$2000,3)="VK-",1,0)*CrelanData!$B$2:$B$2000)</f>
        <v>0</v>
      </c>
      <c r="E15" s="78">
        <f ca="1">SUM(IF(MONTH(CrelanData!$A$2:$A$2000)=MONTH(CrelanSamenv!$A15),1,0)*IF(YEAR(CrelanData!$A$2:$A$2000)=YEAR(CrelanSamenv!$A15),1,0)*IF(CrelanData!$B$2:$B$2000&lt;0,1,0)*IF(CrelanData!$H$2:$H$2000=E$1,1,0)*CrelanData!$B$2:$B$2000)*-1</f>
        <v>0</v>
      </c>
      <c r="F15" s="78">
        <f t="array" aca="1" ref="F15" ca="1">SUM(IF(MONTH(CrelanData!$A$2:$A$2000)=MONTH($A15),1,0)*IF(YEAR(CrelanData!$A$2:$A$2000)=YEAR($A15),1,0)*IF(CrelanData!$H$2:$H$2000=F$1,1,0)*CrelanData!$B$2:$B$2000)</f>
        <v>0</v>
      </c>
      <c r="G15" s="78">
        <f t="array" aca="1" ref="G15" ca="1">SUM(IF(MONTH(CrelanData!$A$2:$A$2000)=MONTH($A15),1,0)*IF(YEAR(CrelanData!$A$2:$A$2000)=YEAR($A15),1,0)*IF(CrelanData!$H$2:$H$2000=G$1,1,0)*CrelanData!$B$2:$B$2000)</f>
        <v>0</v>
      </c>
      <c r="H15" s="78">
        <f t="array" aca="1" ref="H15" ca="1">SUM(IF(MONTH(CrelanData!$A$2:$A$2000)=MONTH($A15),1,0)*IF(YEAR(CrelanData!$A$2:$A$2000)=YEAR($A15),1,0)*IF(CrelanData!$H$2:$H$2000=H$1,1,0)*CrelanData!$B$2:$B$2000)</f>
        <v>0</v>
      </c>
      <c r="I15" s="77">
        <f t="shared" si="0"/>
        <v>0</v>
      </c>
      <c r="J15" s="83">
        <f t="array" aca="1" ref="J15" ca="1">SUM((IF(MONTH(CrelanData!$A$2:$A$2000)=MONTH(CrelanSamenv!$A15),1,0))*(IF(YEAR(CrelanData!$A$2:$A$2000)=YEAR(CrelanSamenv!$A15),1,0))*(IF(CrelanData!$B$2:$B$2000&gt;0,1,0))*CrelanData!$B$2:$B$2000)</f>
        <v>0</v>
      </c>
      <c r="K15" s="78">
        <f t="array" aca="1" ref="K15" ca="1">SUM(IF(MONTH(CrelanData!$A$2:$A$2000)=MONTH(CrelanSamenv!$A15),1,0)*IF(YEAR(CrelanData!$A$2:$A$2000)=YEAR(CrelanSamenv!$A15),1,0)*IF(CrelanData!$B$2:$B$2000&gt;0,1,0)*IF(CrelanData!$H$2:$H$2000=K$2,1,0)*CrelanData!$B$2:$B$2000)</f>
        <v>0</v>
      </c>
      <c r="L15" s="78">
        <f t="array" aca="1" ref="L15" ca="1">SUM(IF(MONTH(CrelanData!$A$2:$A$2000)=MONTH(CrelanSamenv!$A15),1,0)*IF(YEAR(CrelanData!$A$2:$A$2000)=YEAR(CrelanSamenv!$A15),1,0)*IF(CrelanData!$B$2:$B$2000&gt;0,1,0)*IF(CrelanData!$H$2:$H$2000=L$2,1,0)*CrelanData!$B$2:$B$2000)</f>
        <v>0</v>
      </c>
      <c r="M15" s="77">
        <f t="shared" si="2"/>
        <v>0</v>
      </c>
    </row>
    <row r="16" spans="1:13" s="9" customFormat="1" outlineLevel="1">
      <c r="A16" s="19">
        <v>40118</v>
      </c>
      <c r="B16" s="78">
        <f t="array" aca="1" ref="B16" ca="1">SUM((IF(MONTH(CrelanData!$A$2:$A$2000)=MONTH(CrelanSamenv!$A16),1,0))*(IF(YEAR(CrelanData!$A$2:$A$2000)=YEAR(CrelanSamenv!$A16),1,0))*IF(CrelanData!$B$2:$B$2000&lt;0,1,0)*IF(CrelanData!$H$2:$H$2000=Categorieën!$C$1,0,1)*IF(CrelanData!$H$2:$H$2000=Categorieën!$B$1,0,1)*CrelanData!$B$2:$B$2000)</f>
        <v>0</v>
      </c>
      <c r="C16" s="78">
        <f t="shared" si="1"/>
        <v>0</v>
      </c>
      <c r="D16" s="78">
        <f t="array" aca="1" ref="D16" ca="1">SUM(IF(MONTH(CrelanData!$A$2:$A$2000)=MONTH(CrelanSamenv!$A16),1,0)*IF(YEAR(CrelanData!$A$2:$A$2000)=YEAR(CrelanSamenv!$A16),1,0)*IF(CrelanData!$B$2:$B$2000&lt;0,1,0)*IF(LEFT(CrelanData!$H$2:$H$2000,3)="VK-",1,0)*CrelanData!$B$2:$B$2000)</f>
        <v>0</v>
      </c>
      <c r="E16" s="78">
        <f ca="1">SUM(IF(MONTH(CrelanData!$A$2:$A$2000)=MONTH(CrelanSamenv!$A16),1,0)*IF(YEAR(CrelanData!$A$2:$A$2000)=YEAR(CrelanSamenv!$A16),1,0)*IF(CrelanData!$B$2:$B$2000&lt;0,1,0)*IF(CrelanData!$H$2:$H$2000=E$1,1,0)*CrelanData!$B$2:$B$2000)*-1</f>
        <v>0</v>
      </c>
      <c r="F16" s="78">
        <f t="array" aca="1" ref="F16" ca="1">SUM(IF(MONTH(CrelanData!$A$2:$A$2000)=MONTH($A16),1,0)*IF(YEAR(CrelanData!$A$2:$A$2000)=YEAR($A16),1,0)*IF(CrelanData!$H$2:$H$2000=F$1,1,0)*CrelanData!$B$2:$B$2000)</f>
        <v>0</v>
      </c>
      <c r="G16" s="78">
        <f t="array" aca="1" ref="G16" ca="1">SUM(IF(MONTH(CrelanData!$A$2:$A$2000)=MONTH($A16),1,0)*IF(YEAR(CrelanData!$A$2:$A$2000)=YEAR($A16),1,0)*IF(CrelanData!$H$2:$H$2000=G$1,1,0)*CrelanData!$B$2:$B$2000)</f>
        <v>0</v>
      </c>
      <c r="H16" s="78">
        <f t="array" aca="1" ref="H16" ca="1">SUM(IF(MONTH(CrelanData!$A$2:$A$2000)=MONTH($A16),1,0)*IF(YEAR(CrelanData!$A$2:$A$2000)=YEAR($A16),1,0)*IF(CrelanData!$H$2:$H$2000=H$1,1,0)*CrelanData!$B$2:$B$2000)</f>
        <v>0</v>
      </c>
      <c r="I16" s="77">
        <f t="shared" si="0"/>
        <v>0</v>
      </c>
      <c r="J16" s="83">
        <f t="array" aca="1" ref="J16" ca="1">SUM((IF(MONTH(CrelanData!$A$2:$A$2000)=MONTH(CrelanSamenv!$A16),1,0))*(IF(YEAR(CrelanData!$A$2:$A$2000)=YEAR(CrelanSamenv!$A16),1,0))*(IF(CrelanData!$B$2:$B$2000&gt;0,1,0))*CrelanData!$B$2:$B$2000)</f>
        <v>0</v>
      </c>
      <c r="K16" s="78">
        <f t="array" aca="1" ref="K16" ca="1">SUM(IF(MONTH(CrelanData!$A$2:$A$2000)=MONTH(CrelanSamenv!$A16),1,0)*IF(YEAR(CrelanData!$A$2:$A$2000)=YEAR(CrelanSamenv!$A16),1,0)*IF(CrelanData!$B$2:$B$2000&gt;0,1,0)*IF(CrelanData!$H$2:$H$2000=K$2,1,0)*CrelanData!$B$2:$B$2000)</f>
        <v>0</v>
      </c>
      <c r="L16" s="78">
        <f t="array" aca="1" ref="L16" ca="1">SUM(IF(MONTH(CrelanData!$A$2:$A$2000)=MONTH(CrelanSamenv!$A16),1,0)*IF(YEAR(CrelanData!$A$2:$A$2000)=YEAR(CrelanSamenv!$A16),1,0)*IF(CrelanData!$B$2:$B$2000&gt;0,1,0)*IF(CrelanData!$H$2:$H$2000=L$2,1,0)*CrelanData!$B$2:$B$2000)</f>
        <v>0</v>
      </c>
      <c r="M16" s="77">
        <f t="shared" si="2"/>
        <v>0</v>
      </c>
    </row>
    <row r="17" spans="1:13" s="9" customFormat="1">
      <c r="A17" s="10">
        <v>40148</v>
      </c>
      <c r="B17" s="78">
        <f t="array" aca="1" ref="B17" ca="1">SUM((IF(MONTH(CrelanData!$A$2:$A$2000)=MONTH(CrelanSamenv!$A17),1,0))*(IF(YEAR(CrelanData!$A$2:$A$2000)=YEAR(CrelanSamenv!$A17),1,0))*IF(CrelanData!$B$2:$B$2000&lt;0,1,0)*IF(CrelanData!$H$2:$H$2000=Categorieën!$C$1,0,1)*IF(CrelanData!$H$2:$H$2000=Categorieën!$B$1,0,1)*CrelanData!$B$2:$B$2000)</f>
        <v>0</v>
      </c>
      <c r="C17" s="78">
        <f t="shared" si="1"/>
        <v>0</v>
      </c>
      <c r="D17" s="78">
        <f t="array" aca="1" ref="D17" ca="1">SUM(IF(MONTH(CrelanData!$A$2:$A$2000)=MONTH(CrelanSamenv!$A17),1,0)*IF(YEAR(CrelanData!$A$2:$A$2000)=YEAR(CrelanSamenv!$A17),1,0)*IF(CrelanData!$B$2:$B$2000&lt;0,1,0)*IF(LEFT(CrelanData!$H$2:$H$2000,3)="VK-",1,0)*CrelanData!$B$2:$B$2000)</f>
        <v>0</v>
      </c>
      <c r="E17" s="78">
        <f ca="1">SUM(IF(MONTH(CrelanData!$A$2:$A$2000)=MONTH(CrelanSamenv!$A17),1,0)*IF(YEAR(CrelanData!$A$2:$A$2000)=YEAR(CrelanSamenv!$A17),1,0)*IF(CrelanData!$B$2:$B$2000&lt;0,1,0)*IF(CrelanData!$H$2:$H$2000=E$1,1,0)*CrelanData!$B$2:$B$2000)*-1</f>
        <v>0</v>
      </c>
      <c r="F17" s="78">
        <f t="array" aca="1" ref="F17" ca="1">SUM(IF(MONTH(CrelanData!$A$2:$A$2000)=MONTH($A17),1,0)*IF(YEAR(CrelanData!$A$2:$A$2000)=YEAR($A17),1,0)*IF(CrelanData!$H$2:$H$2000=F$1,1,0)*CrelanData!$B$2:$B$2000)</f>
        <v>0</v>
      </c>
      <c r="G17" s="78">
        <f t="array" aca="1" ref="G17" ca="1">SUM(IF(MONTH(CrelanData!$A$2:$A$2000)=MONTH($A17),1,0)*IF(YEAR(CrelanData!$A$2:$A$2000)=YEAR($A17),1,0)*IF(CrelanData!$H$2:$H$2000=G$1,1,0)*CrelanData!$B$2:$B$2000)</f>
        <v>0</v>
      </c>
      <c r="H17" s="78">
        <f t="array" aca="1" ref="H17" ca="1">SUM(IF(MONTH(CrelanData!$A$2:$A$2000)=MONTH($A17),1,0)*IF(YEAR(CrelanData!$A$2:$A$2000)=YEAR($A17),1,0)*IF(CrelanData!$H$2:$H$2000=H$1,1,0)*CrelanData!$B$2:$B$2000)</f>
        <v>0</v>
      </c>
      <c r="I17" s="78">
        <f t="shared" si="0"/>
        <v>0</v>
      </c>
      <c r="J17" s="78">
        <f t="array" aca="1" ref="J17" ca="1">SUM((IF(MONTH(CrelanData!$A$2:$A$2000)=MONTH(CrelanSamenv!$A17),1,0))*(IF(YEAR(CrelanData!$A$2:$A$2000)=YEAR(CrelanSamenv!$A17),1,0))*(IF(CrelanData!$B$2:$B$2000&gt;0,1,0))*CrelanData!$B$2:$B$2000)</f>
        <v>0</v>
      </c>
      <c r="K17" s="78">
        <f t="array" aca="1" ref="K17" ca="1">SUM(IF(MONTH(CrelanData!$A$2:$A$2000)=MONTH(CrelanSamenv!$A17),1,0)*IF(YEAR(CrelanData!$A$2:$A$2000)=YEAR(CrelanSamenv!$A17),1,0)*IF(CrelanData!$B$2:$B$2000&gt;0,1,0)*IF(CrelanData!$H$2:$H$2000=K$2,1,0)*CrelanData!$B$2:$B$2000)</f>
        <v>0</v>
      </c>
      <c r="L17" s="78">
        <f t="array" aca="1" ref="L17" ca="1">SUM(IF(MONTH(CrelanData!$A$2:$A$2000)=MONTH(CrelanSamenv!$A17),1,0)*IF(YEAR(CrelanData!$A$2:$A$2000)=YEAR(CrelanSamenv!$A17),1,0)*IF(CrelanData!$B$2:$B$2000&gt;0,1,0)*IF(CrelanData!$H$2:$H$2000=L$2,1,0)*CrelanData!$B$2:$B$2000)</f>
        <v>0</v>
      </c>
      <c r="M17" s="77">
        <f t="shared" si="2"/>
        <v>0</v>
      </c>
    </row>
    <row r="18" spans="1:13" s="9" customFormat="1">
      <c r="A18" s="19">
        <v>40179</v>
      </c>
      <c r="B18" s="78">
        <f t="array" aca="1" ref="B18" ca="1">SUM((IF(MONTH(CrelanData!$A$2:$A$2000)=MONTH(CrelanSamenv!$A18),1,0))*(IF(YEAR(CrelanData!$A$2:$A$2000)=YEAR(CrelanSamenv!$A18),1,0))*IF(CrelanData!$B$2:$B$2000&lt;0,1,0)*IF(CrelanData!$H$2:$H$2000=Categorieën!$C$1,0,1)*IF(CrelanData!$H$2:$H$2000=Categorieën!$B$1,0,1)*CrelanData!$B$2:$B$2000)</f>
        <v>0</v>
      </c>
      <c r="C18" s="78">
        <f t="shared" si="1"/>
        <v>0</v>
      </c>
      <c r="D18" s="78">
        <f t="array" aca="1" ref="D18" ca="1">SUM(IF(MONTH(CrelanData!$A$2:$A$2000)=MONTH(CrelanSamenv!$A18),1,0)*IF(YEAR(CrelanData!$A$2:$A$2000)=YEAR(CrelanSamenv!$A18),1,0)*IF(CrelanData!$B$2:$B$2000&lt;0,1,0)*IF(LEFT(CrelanData!$H$2:$H$2000,3)="VK-",1,0)*CrelanData!$B$2:$B$2000)</f>
        <v>0</v>
      </c>
      <c r="E18" s="78">
        <f ca="1">SUM(IF(MONTH(CrelanData!$A$2:$A$2000)=MONTH(CrelanSamenv!$A18),1,0)*IF(YEAR(CrelanData!$A$2:$A$2000)=YEAR(CrelanSamenv!$A18),1,0)*IF(CrelanData!$B$2:$B$2000&lt;0,1,0)*IF(CrelanData!$H$2:$H$2000=E$1,1,0)*CrelanData!$B$2:$B$2000)*-1</f>
        <v>0</v>
      </c>
      <c r="F18" s="78">
        <f t="array" aca="1" ref="F18" ca="1">SUM(IF(MONTH(CrelanData!$A$2:$A$2000)=MONTH($A18),1,0)*IF(YEAR(CrelanData!$A$2:$A$2000)=YEAR($A18),1,0)*IF(CrelanData!$H$2:$H$2000=F$1,1,0)*CrelanData!$B$2:$B$2000)</f>
        <v>0</v>
      </c>
      <c r="G18" s="78">
        <f t="array" aca="1" ref="G18" ca="1">SUM(IF(MONTH(CrelanData!$A$2:$A$2000)=MONTH($A18),1,0)*IF(YEAR(CrelanData!$A$2:$A$2000)=YEAR($A18),1,0)*IF(CrelanData!$H$2:$H$2000=G$1,1,0)*CrelanData!$B$2:$B$2000)</f>
        <v>0</v>
      </c>
      <c r="H18" s="78">
        <f t="array" aca="1" ref="H18" ca="1">SUM(IF(MONTH(CrelanData!$A$2:$A$2000)=MONTH($A18),1,0)*IF(YEAR(CrelanData!$A$2:$A$2000)=YEAR($A18),1,0)*IF(CrelanData!$H$2:$H$2000=H$1,1,0)*CrelanData!$B$2:$B$2000)</f>
        <v>0</v>
      </c>
      <c r="I18" s="77">
        <f t="shared" si="0"/>
        <v>0</v>
      </c>
      <c r="J18" s="83">
        <f t="array" aca="1" ref="J18" ca="1">SUM((IF(MONTH(CrelanData!$A$2:$A$2000)=MONTH(CrelanSamenv!$A18),1,0))*(IF(YEAR(CrelanData!$A$2:$A$2000)=YEAR(CrelanSamenv!$A18),1,0))*(IF(CrelanData!$B$2:$B$2000&gt;0,1,0))*CrelanData!$B$2:$B$2000)</f>
        <v>0</v>
      </c>
      <c r="K18" s="78">
        <f t="array" aca="1" ref="K18" ca="1">SUM(IF(MONTH(CrelanData!$A$2:$A$2000)=MONTH(CrelanSamenv!$A18),1,0)*IF(YEAR(CrelanData!$A$2:$A$2000)=YEAR(CrelanSamenv!$A18),1,0)*IF(CrelanData!$B$2:$B$2000&gt;0,1,0)*IF(CrelanData!$H$2:$H$2000=K$2,1,0)*CrelanData!$B$2:$B$2000)</f>
        <v>0</v>
      </c>
      <c r="L18" s="78">
        <f t="array" aca="1" ref="L18" ca="1">SUM(IF(MONTH(CrelanData!$A$2:$A$2000)=MONTH(CrelanSamenv!$A18),1,0)*IF(YEAR(CrelanData!$A$2:$A$2000)=YEAR(CrelanSamenv!$A18),1,0)*IF(CrelanData!$B$2:$B$2000&gt;0,1,0)*IF(CrelanData!$H$2:$H$2000=L$2,1,0)*CrelanData!$B$2:$B$2000)</f>
        <v>0</v>
      </c>
      <c r="M18" s="77">
        <f t="shared" si="2"/>
        <v>0</v>
      </c>
    </row>
    <row r="19" spans="1:13" s="9" customFormat="1">
      <c r="A19" s="19">
        <v>40210</v>
      </c>
      <c r="B19" s="78">
        <f t="array" aca="1" ref="B19" ca="1">SUM((IF(MONTH(CrelanData!$A$2:$A$2000)=MONTH(CrelanSamenv!$A19),1,0))*(IF(YEAR(CrelanData!$A$2:$A$2000)=YEAR(CrelanSamenv!$A19),1,0))*IF(CrelanData!$B$2:$B$2000&lt;0,1,0)*IF(CrelanData!$H$2:$H$2000=Categorieën!$C$1,0,1)*IF(CrelanData!$H$2:$H$2000=Categorieën!$B$1,0,1)*CrelanData!$B$2:$B$2000)</f>
        <v>0</v>
      </c>
      <c r="C19" s="78">
        <f t="shared" si="1"/>
        <v>0</v>
      </c>
      <c r="D19" s="78">
        <f t="array" aca="1" ref="D19" ca="1">SUM(IF(MONTH(CrelanData!$A$2:$A$2000)=MONTH(CrelanSamenv!$A19),1,0)*IF(YEAR(CrelanData!$A$2:$A$2000)=YEAR(CrelanSamenv!$A19),1,0)*IF(CrelanData!$B$2:$B$2000&lt;0,1,0)*IF(LEFT(CrelanData!$H$2:$H$2000,3)="VK-",1,0)*CrelanData!$B$2:$B$2000)</f>
        <v>0</v>
      </c>
      <c r="E19" s="78">
        <f ca="1">SUM(IF(MONTH(CrelanData!$A$2:$A$2000)=MONTH(CrelanSamenv!$A19),1,0)*IF(YEAR(CrelanData!$A$2:$A$2000)=YEAR(CrelanSamenv!$A19),1,0)*IF(CrelanData!$B$2:$B$2000&lt;0,1,0)*IF(CrelanData!$H$2:$H$2000=E$1,1,0)*CrelanData!$B$2:$B$2000)*-1</f>
        <v>0</v>
      </c>
      <c r="F19" s="78">
        <f t="array" aca="1" ref="F19" ca="1">SUM(IF(MONTH(CrelanData!$A$2:$A$2000)=MONTH($A19),1,0)*IF(YEAR(CrelanData!$A$2:$A$2000)=YEAR($A19),1,0)*IF(CrelanData!$H$2:$H$2000=F$1,1,0)*CrelanData!$B$2:$B$2000)</f>
        <v>0</v>
      </c>
      <c r="G19" s="78">
        <f t="array" aca="1" ref="G19" ca="1">SUM(IF(MONTH(CrelanData!$A$2:$A$2000)=MONTH($A19),1,0)*IF(YEAR(CrelanData!$A$2:$A$2000)=YEAR($A19),1,0)*IF(CrelanData!$H$2:$H$2000=G$1,1,0)*CrelanData!$B$2:$B$2000)</f>
        <v>0</v>
      </c>
      <c r="H19" s="78">
        <f t="array" aca="1" ref="H19" ca="1">SUM(IF(MONTH(CrelanData!$A$2:$A$2000)=MONTH($A19),1,0)*IF(YEAR(CrelanData!$A$2:$A$2000)=YEAR($A19),1,0)*IF(CrelanData!$H$2:$H$2000=H$1,1,0)*CrelanData!$B$2:$B$2000)</f>
        <v>0</v>
      </c>
      <c r="I19" s="77">
        <f t="shared" si="0"/>
        <v>0</v>
      </c>
      <c r="J19" s="83">
        <f t="array" aca="1" ref="J19" ca="1">SUM((IF(MONTH(CrelanData!$A$2:$A$2000)=MONTH(CrelanSamenv!$A19),1,0))*(IF(YEAR(CrelanData!$A$2:$A$2000)=YEAR(CrelanSamenv!$A19),1,0))*(IF(CrelanData!$B$2:$B$2000&gt;0,1,0))*CrelanData!$B$2:$B$2000)</f>
        <v>0</v>
      </c>
      <c r="K19" s="78">
        <f t="array" aca="1" ref="K19" ca="1">SUM(IF(MONTH(CrelanData!$A$2:$A$2000)=MONTH(CrelanSamenv!$A19),1,0)*IF(YEAR(CrelanData!$A$2:$A$2000)=YEAR(CrelanSamenv!$A19),1,0)*IF(CrelanData!$B$2:$B$2000&gt;0,1,0)*IF(CrelanData!$H$2:$H$2000=K$2,1,0)*CrelanData!$B$2:$B$2000)</f>
        <v>0</v>
      </c>
      <c r="L19" s="78">
        <f t="array" aca="1" ref="L19" ca="1">SUM(IF(MONTH(CrelanData!$A$2:$A$2000)=MONTH(CrelanSamenv!$A19),1,0)*IF(YEAR(CrelanData!$A$2:$A$2000)=YEAR(CrelanSamenv!$A19),1,0)*IF(CrelanData!$B$2:$B$2000&gt;0,1,0)*IF(CrelanData!$H$2:$H$2000=L$2,1,0)*CrelanData!$B$2:$B$2000)</f>
        <v>0</v>
      </c>
      <c r="M19" s="77">
        <f t="shared" ref="M19:M27" si="3">J19-(K19+L19)</f>
        <v>0</v>
      </c>
    </row>
    <row r="20" spans="1:13" s="9" customFormat="1">
      <c r="A20" s="19">
        <v>40238</v>
      </c>
      <c r="B20" s="78">
        <f t="array" aca="1" ref="B20" ca="1">SUM((IF(MONTH(CrelanData!$A$2:$A$2000)=MONTH(CrelanSamenv!$A20),1,0))*(IF(YEAR(CrelanData!$A$2:$A$2000)=YEAR(CrelanSamenv!$A20),1,0))*IF(CrelanData!$B$2:$B$2000&lt;0,1,0)*IF(CrelanData!$H$2:$H$2000=Categorieën!$C$1,0,1)*IF(CrelanData!$H$2:$H$2000=Categorieën!$B$1,0,1)*CrelanData!$B$2:$B$2000)</f>
        <v>0</v>
      </c>
      <c r="C20" s="78">
        <f t="shared" si="1"/>
        <v>0</v>
      </c>
      <c r="D20" s="78">
        <f t="array" aca="1" ref="D20" ca="1">SUM(IF(MONTH(CrelanData!$A$2:$A$2000)=MONTH(CrelanSamenv!$A20),1,0)*IF(YEAR(CrelanData!$A$2:$A$2000)=YEAR(CrelanSamenv!$A20),1,0)*IF(CrelanData!$B$2:$B$2000&lt;0,1,0)*IF(LEFT(CrelanData!$H$2:$H$2000,3)="VK-",1,0)*CrelanData!$B$2:$B$2000)</f>
        <v>0</v>
      </c>
      <c r="E20" s="78">
        <f ca="1">SUM(IF(MONTH(CrelanData!$A$2:$A$2000)=MONTH(CrelanSamenv!$A20),1,0)*IF(YEAR(CrelanData!$A$2:$A$2000)=YEAR(CrelanSamenv!$A20),1,0)*IF(CrelanData!$B$2:$B$2000&lt;0,1,0)*IF(CrelanData!$H$2:$H$2000=E$1,1,0)*CrelanData!$B$2:$B$2000)*-1</f>
        <v>0</v>
      </c>
      <c r="F20" s="78">
        <f t="array" aca="1" ref="F20" ca="1">SUM(IF(MONTH(CrelanData!$A$2:$A$2000)=MONTH($A20),1,0)*IF(YEAR(CrelanData!$A$2:$A$2000)=YEAR($A20),1,0)*IF(CrelanData!$H$2:$H$2000=F$1,1,0)*CrelanData!$B$2:$B$2000)</f>
        <v>0</v>
      </c>
      <c r="G20" s="78">
        <f t="array" aca="1" ref="G20" ca="1">SUM(IF(MONTH(CrelanData!$A$2:$A$2000)=MONTH($A20),1,0)*IF(YEAR(CrelanData!$A$2:$A$2000)=YEAR($A20),1,0)*IF(CrelanData!$H$2:$H$2000=G$1,1,0)*CrelanData!$B$2:$B$2000)</f>
        <v>0</v>
      </c>
      <c r="H20" s="78">
        <f t="array" aca="1" ref="H20" ca="1">SUM(IF(MONTH(CrelanData!$A$2:$A$2000)=MONTH($A20),1,0)*IF(YEAR(CrelanData!$A$2:$A$2000)=YEAR($A20),1,0)*IF(CrelanData!$H$2:$H$2000=H$1,1,0)*CrelanData!$B$2:$B$2000)</f>
        <v>0</v>
      </c>
      <c r="I20" s="77">
        <f t="shared" si="0"/>
        <v>0</v>
      </c>
      <c r="J20" s="83">
        <f t="array" aca="1" ref="J20" ca="1">SUM((IF(MONTH(CrelanData!$A$2:$A$2000)=MONTH(CrelanSamenv!$A20),1,0))*(IF(YEAR(CrelanData!$A$2:$A$2000)=YEAR(CrelanSamenv!$A20),1,0))*(IF(CrelanData!$B$2:$B$2000&gt;0,1,0))*CrelanData!$B$2:$B$2000)</f>
        <v>0</v>
      </c>
      <c r="K20" s="78">
        <f t="array" aca="1" ref="K20" ca="1">SUM(IF(MONTH(CrelanData!$A$2:$A$2000)=MONTH(CrelanSamenv!$A20),1,0)*IF(YEAR(CrelanData!$A$2:$A$2000)=YEAR(CrelanSamenv!$A20),1,0)*IF(CrelanData!$B$2:$B$2000&gt;0,1,0)*IF(CrelanData!$H$2:$H$2000=K$2,1,0)*CrelanData!$B$2:$B$2000)</f>
        <v>0</v>
      </c>
      <c r="L20" s="78">
        <f t="array" aca="1" ref="L20" ca="1">SUM(IF(MONTH(CrelanData!$A$2:$A$2000)=MONTH(CrelanSamenv!$A20),1,0)*IF(YEAR(CrelanData!$A$2:$A$2000)=YEAR(CrelanSamenv!$A20),1,0)*IF(CrelanData!$B$2:$B$2000&gt;0,1,0)*IF(CrelanData!$H$2:$H$2000=L$2,1,0)*CrelanData!$B$2:$B$2000)</f>
        <v>0</v>
      </c>
      <c r="M20" s="77">
        <f t="shared" si="3"/>
        <v>0</v>
      </c>
    </row>
    <row r="21" spans="1:13" s="9" customFormat="1">
      <c r="A21" s="19">
        <v>40269</v>
      </c>
      <c r="B21" s="78">
        <f t="array" aca="1" ref="B21" ca="1">SUM((IF(MONTH(CrelanData!$A$2:$A$2000)=MONTH(CrelanSamenv!$A21),1,0))*(IF(YEAR(CrelanData!$A$2:$A$2000)=YEAR(CrelanSamenv!$A21),1,0))*IF(CrelanData!$B$2:$B$2000&lt;0,1,0)*IF(CrelanData!$H$2:$H$2000=Categorieën!$C$1,0,1)*IF(CrelanData!$H$2:$H$2000=Categorieën!$B$1,0,1)*CrelanData!$B$2:$B$2000)</f>
        <v>0</v>
      </c>
      <c r="C21" s="78">
        <f t="shared" si="1"/>
        <v>0</v>
      </c>
      <c r="D21" s="78">
        <f t="array" aca="1" ref="D21" ca="1">SUM(IF(MONTH(CrelanData!$A$2:$A$2000)=MONTH(CrelanSamenv!$A21),1,0)*IF(YEAR(CrelanData!$A$2:$A$2000)=YEAR(CrelanSamenv!$A21),1,0)*IF(CrelanData!$B$2:$B$2000&lt;0,1,0)*IF(LEFT(CrelanData!$H$2:$H$2000,3)="VK-",1,0)*CrelanData!$B$2:$B$2000)</f>
        <v>0</v>
      </c>
      <c r="E21" s="78">
        <f ca="1">SUM(IF(MONTH(CrelanData!$A$2:$A$2000)=MONTH(CrelanSamenv!$A21),1,0)*IF(YEAR(CrelanData!$A$2:$A$2000)=YEAR(CrelanSamenv!$A21),1,0)*IF(CrelanData!$B$2:$B$2000&lt;0,1,0)*IF(CrelanData!$H$2:$H$2000=E$1,1,0)*CrelanData!$B$2:$B$2000)*-1</f>
        <v>0</v>
      </c>
      <c r="F21" s="78">
        <f t="array" aca="1" ref="F21" ca="1">SUM(IF(MONTH(CrelanData!$A$2:$A$2000)=MONTH($A21),1,0)*IF(YEAR(CrelanData!$A$2:$A$2000)=YEAR($A21),1,0)*IF(CrelanData!$H$2:$H$2000=F$1,1,0)*CrelanData!$B$2:$B$2000)</f>
        <v>0</v>
      </c>
      <c r="G21" s="78">
        <f t="array" aca="1" ref="G21" ca="1">SUM(IF(MONTH(CrelanData!$A$2:$A$2000)=MONTH($A21),1,0)*IF(YEAR(CrelanData!$A$2:$A$2000)=YEAR($A21),1,0)*IF(CrelanData!$H$2:$H$2000=G$1,1,0)*CrelanData!$B$2:$B$2000)</f>
        <v>0</v>
      </c>
      <c r="H21" s="78">
        <f t="array" aca="1" ref="H21" ca="1">SUM(IF(MONTH(CrelanData!$A$2:$A$2000)=MONTH($A21),1,0)*IF(YEAR(CrelanData!$A$2:$A$2000)=YEAR($A21),1,0)*IF(CrelanData!$H$2:$H$2000=H$1,1,0)*CrelanData!$B$2:$B$2000)</f>
        <v>0</v>
      </c>
      <c r="I21" s="77">
        <f t="shared" si="0"/>
        <v>0</v>
      </c>
      <c r="J21" s="83">
        <f t="array" aca="1" ref="J21" ca="1">SUM((IF(MONTH(CrelanData!$A$2:$A$2000)=MONTH(CrelanSamenv!$A21),1,0))*(IF(YEAR(CrelanData!$A$2:$A$2000)=YEAR(CrelanSamenv!$A21),1,0))*(IF(CrelanData!$B$2:$B$2000&gt;0,1,0))*CrelanData!$B$2:$B$2000)</f>
        <v>0</v>
      </c>
      <c r="K21" s="78">
        <f t="array" aca="1" ref="K21" ca="1">SUM(IF(MONTH(CrelanData!$A$2:$A$2000)=MONTH(CrelanSamenv!$A21),1,0)*IF(YEAR(CrelanData!$A$2:$A$2000)=YEAR(CrelanSamenv!$A21),1,0)*IF(CrelanData!$B$2:$B$2000&gt;0,1,0)*IF(CrelanData!$H$2:$H$2000=K$2,1,0)*CrelanData!$B$2:$B$2000)</f>
        <v>0</v>
      </c>
      <c r="L21" s="78">
        <f t="array" aca="1" ref="L21" ca="1">SUM(IF(MONTH(CrelanData!$A$2:$A$2000)=MONTH(CrelanSamenv!$A21),1,0)*IF(YEAR(CrelanData!$A$2:$A$2000)=YEAR(CrelanSamenv!$A21),1,0)*IF(CrelanData!$B$2:$B$2000&gt;0,1,0)*IF(CrelanData!$H$2:$H$2000=L$2,1,0)*CrelanData!$B$2:$B$2000)</f>
        <v>0</v>
      </c>
      <c r="M21" s="77">
        <f t="shared" si="3"/>
        <v>0</v>
      </c>
    </row>
    <row r="22" spans="1:13" s="9" customFormat="1">
      <c r="A22" s="19">
        <v>40299</v>
      </c>
      <c r="B22" s="78">
        <f t="array" aca="1" ref="B22" ca="1">SUM((IF(MONTH(CrelanData!$A$2:$A$2000)=MONTH(CrelanSamenv!$A22),1,0))*(IF(YEAR(CrelanData!$A$2:$A$2000)=YEAR(CrelanSamenv!$A22),1,0))*IF(CrelanData!$B$2:$B$2000&lt;0,1,0)*IF(CrelanData!$H$2:$H$2000=Categorieën!$C$1,0,1)*IF(CrelanData!$H$2:$H$2000=Categorieën!$B$1,0,1)*CrelanData!$B$2:$B$2000)</f>
        <v>0</v>
      </c>
      <c r="C22" s="78">
        <f t="shared" si="1"/>
        <v>0</v>
      </c>
      <c r="D22" s="78">
        <f t="array" aca="1" ref="D22" ca="1">SUM(IF(MONTH(CrelanData!$A$2:$A$2000)=MONTH(CrelanSamenv!$A22),1,0)*IF(YEAR(CrelanData!$A$2:$A$2000)=YEAR(CrelanSamenv!$A22),1,0)*IF(CrelanData!$B$2:$B$2000&lt;0,1,0)*IF(LEFT(CrelanData!$H$2:$H$2000,3)="VK-",1,0)*CrelanData!$B$2:$B$2000)</f>
        <v>0</v>
      </c>
      <c r="E22" s="78">
        <f ca="1">SUM(IF(MONTH(CrelanData!$A$2:$A$2000)=MONTH(CrelanSamenv!$A22),1,0)*IF(YEAR(CrelanData!$A$2:$A$2000)=YEAR(CrelanSamenv!$A22),1,0)*IF(CrelanData!$B$2:$B$2000&lt;0,1,0)*IF(CrelanData!$H$2:$H$2000=E$1,1,0)*CrelanData!$B$2:$B$2000)*-1</f>
        <v>0</v>
      </c>
      <c r="F22" s="78">
        <f t="array" aca="1" ref="F22" ca="1">SUM(IF(MONTH(CrelanData!$A$2:$A$2000)=MONTH($A22),1,0)*IF(YEAR(CrelanData!$A$2:$A$2000)=YEAR($A22),1,0)*IF(CrelanData!$H$2:$H$2000=F$1,1,0)*CrelanData!$B$2:$B$2000)</f>
        <v>0</v>
      </c>
      <c r="G22" s="78">
        <f t="array" aca="1" ref="G22" ca="1">SUM(IF(MONTH(CrelanData!$A$2:$A$2000)=MONTH($A22),1,0)*IF(YEAR(CrelanData!$A$2:$A$2000)=YEAR($A22),1,0)*IF(CrelanData!$H$2:$H$2000=G$1,1,0)*CrelanData!$B$2:$B$2000)</f>
        <v>0</v>
      </c>
      <c r="H22" s="78">
        <f t="array" aca="1" ref="H22" ca="1">SUM(IF(MONTH(CrelanData!$A$2:$A$2000)=MONTH($A22),1,0)*IF(YEAR(CrelanData!$A$2:$A$2000)=YEAR($A22),1,0)*IF(CrelanData!$H$2:$H$2000=H$1,1,0)*CrelanData!$B$2:$B$2000)</f>
        <v>0</v>
      </c>
      <c r="I22" s="77">
        <f t="shared" si="0"/>
        <v>0</v>
      </c>
      <c r="J22" s="83">
        <f t="array" aca="1" ref="J22" ca="1">SUM((IF(MONTH(CrelanData!$A$2:$A$2000)=MONTH(CrelanSamenv!$A22),1,0))*(IF(YEAR(CrelanData!$A$2:$A$2000)=YEAR(CrelanSamenv!$A22),1,0))*(IF(CrelanData!$B$2:$B$2000&gt;0,1,0))*CrelanData!$B$2:$B$2000)</f>
        <v>0</v>
      </c>
      <c r="K22" s="78">
        <f t="array" aca="1" ref="K22" ca="1">SUM(IF(MONTH(CrelanData!$A$2:$A$2000)=MONTH(CrelanSamenv!$A22),1,0)*IF(YEAR(CrelanData!$A$2:$A$2000)=YEAR(CrelanSamenv!$A22),1,0)*IF(CrelanData!$B$2:$B$2000&gt;0,1,0)*IF(CrelanData!$H$2:$H$2000=K$2,1,0)*CrelanData!$B$2:$B$2000)</f>
        <v>0</v>
      </c>
      <c r="L22" s="78">
        <f t="array" aca="1" ref="L22" ca="1">SUM(IF(MONTH(CrelanData!$A$2:$A$2000)=MONTH(CrelanSamenv!$A22),1,0)*IF(YEAR(CrelanData!$A$2:$A$2000)=YEAR(CrelanSamenv!$A22),1,0)*IF(CrelanData!$B$2:$B$2000&gt;0,1,0)*IF(CrelanData!$H$2:$H$2000=L$2,1,0)*CrelanData!$B$2:$B$2000)</f>
        <v>0</v>
      </c>
      <c r="M22" s="77">
        <f t="shared" si="3"/>
        <v>0</v>
      </c>
    </row>
    <row r="23" spans="1:13" s="9" customFormat="1">
      <c r="A23" s="19">
        <v>40330</v>
      </c>
      <c r="B23" s="78">
        <f t="array" aca="1" ref="B23" ca="1">SUM((IF(MONTH(CrelanData!$A$2:$A$2000)=MONTH(CrelanSamenv!$A23),1,0))*(IF(YEAR(CrelanData!$A$2:$A$2000)=YEAR(CrelanSamenv!$A23),1,0))*IF(CrelanData!$B$2:$B$2000&lt;0,1,0)*IF(CrelanData!$H$2:$H$2000=Categorieën!$C$1,0,1)*IF(CrelanData!$H$2:$H$2000=Categorieën!$B$1,0,1)*CrelanData!$B$2:$B$2000)</f>
        <v>0</v>
      </c>
      <c r="C23" s="78">
        <f t="shared" si="1"/>
        <v>0</v>
      </c>
      <c r="D23" s="78">
        <f t="array" aca="1" ref="D23" ca="1">SUM(IF(MONTH(CrelanData!$A$2:$A$2000)=MONTH(CrelanSamenv!$A23),1,0)*IF(YEAR(CrelanData!$A$2:$A$2000)=YEAR(CrelanSamenv!$A23),1,0)*IF(CrelanData!$B$2:$B$2000&lt;0,1,0)*IF(LEFT(CrelanData!$H$2:$H$2000,3)="VK-",1,0)*CrelanData!$B$2:$B$2000)</f>
        <v>0</v>
      </c>
      <c r="E23" s="78">
        <f ca="1">SUM(IF(MONTH(CrelanData!$A$2:$A$2000)=MONTH(CrelanSamenv!$A23),1,0)*IF(YEAR(CrelanData!$A$2:$A$2000)=YEAR(CrelanSamenv!$A23),1,0)*IF(CrelanData!$B$2:$B$2000&lt;0,1,0)*IF(CrelanData!$H$2:$H$2000=E$1,1,0)*CrelanData!$B$2:$B$2000)*-1</f>
        <v>0</v>
      </c>
      <c r="F23" s="78">
        <f t="array" aca="1" ref="F23" ca="1">SUM(IF(MONTH(CrelanData!$A$2:$A$2000)=MONTH($A23),1,0)*IF(YEAR(CrelanData!$A$2:$A$2000)=YEAR($A23),1,0)*IF(CrelanData!$H$2:$H$2000=F$1,1,0)*CrelanData!$B$2:$B$2000)</f>
        <v>0</v>
      </c>
      <c r="G23" s="78">
        <f t="array" aca="1" ref="G23" ca="1">SUM(IF(MONTH(CrelanData!$A$2:$A$2000)=MONTH($A23),1,0)*IF(YEAR(CrelanData!$A$2:$A$2000)=YEAR($A23),1,0)*IF(CrelanData!$H$2:$H$2000=G$1,1,0)*CrelanData!$B$2:$B$2000)</f>
        <v>0</v>
      </c>
      <c r="H23" s="78">
        <f t="array" aca="1" ref="H23" ca="1">SUM(IF(MONTH(CrelanData!$A$2:$A$2000)=MONTH($A23),1,0)*IF(YEAR(CrelanData!$A$2:$A$2000)=YEAR($A23),1,0)*IF(CrelanData!$H$2:$H$2000=H$1,1,0)*CrelanData!$B$2:$B$2000)</f>
        <v>0</v>
      </c>
      <c r="I23" s="77">
        <f t="shared" si="0"/>
        <v>0</v>
      </c>
      <c r="J23" s="83">
        <f t="array" aca="1" ref="J23" ca="1">SUM((IF(MONTH(CrelanData!$A$2:$A$2000)=MONTH(CrelanSamenv!$A23),1,0))*(IF(YEAR(CrelanData!$A$2:$A$2000)=YEAR(CrelanSamenv!$A23),1,0))*(IF(CrelanData!$B$2:$B$2000&gt;0,1,0))*CrelanData!$B$2:$B$2000)</f>
        <v>0</v>
      </c>
      <c r="K23" s="78">
        <f t="array" aca="1" ref="K23" ca="1">SUM(IF(MONTH(CrelanData!$A$2:$A$2000)=MONTH(CrelanSamenv!$A23),1,0)*IF(YEAR(CrelanData!$A$2:$A$2000)=YEAR(CrelanSamenv!$A23),1,0)*IF(CrelanData!$B$2:$B$2000&gt;0,1,0)*IF(CrelanData!$H$2:$H$2000=K$2,1,0)*CrelanData!$B$2:$B$2000)</f>
        <v>0</v>
      </c>
      <c r="L23" s="78">
        <f t="array" aca="1" ref="L23" ca="1">SUM(IF(MONTH(CrelanData!$A$2:$A$2000)=MONTH(CrelanSamenv!$A23),1,0)*IF(YEAR(CrelanData!$A$2:$A$2000)=YEAR(CrelanSamenv!$A23),1,0)*IF(CrelanData!$B$2:$B$2000&gt;0,1,0)*IF(CrelanData!$H$2:$H$2000=L$2,1,0)*CrelanData!$B$2:$B$2000)</f>
        <v>0</v>
      </c>
      <c r="M23" s="77">
        <f t="shared" si="3"/>
        <v>0</v>
      </c>
    </row>
    <row r="24" spans="1:13" s="9" customFormat="1">
      <c r="A24" s="19">
        <v>40360</v>
      </c>
      <c r="B24" s="78">
        <f t="array" aca="1" ref="B24" ca="1">SUM((IF(MONTH(CrelanData!$A$2:$A$2000)=MONTH(CrelanSamenv!$A24),1,0))*(IF(YEAR(CrelanData!$A$2:$A$2000)=YEAR(CrelanSamenv!$A24),1,0))*IF(CrelanData!$B$2:$B$2000&lt;0,1,0)*IF(CrelanData!$H$2:$H$2000=Categorieën!$C$1,0,1)*IF(CrelanData!$H$2:$H$2000=Categorieën!$B$1,0,1)*CrelanData!$B$2:$B$2000)</f>
        <v>0</v>
      </c>
      <c r="C24" s="78">
        <f t="shared" si="1"/>
        <v>0</v>
      </c>
      <c r="D24" s="78">
        <f t="array" aca="1" ref="D24" ca="1">SUM(IF(MONTH(CrelanData!$A$2:$A$2000)=MONTH(CrelanSamenv!$A24),1,0)*IF(YEAR(CrelanData!$A$2:$A$2000)=YEAR(CrelanSamenv!$A24),1,0)*IF(CrelanData!$B$2:$B$2000&lt;0,1,0)*IF(LEFT(CrelanData!$H$2:$H$2000,3)="VK-",1,0)*CrelanData!$B$2:$B$2000)</f>
        <v>0</v>
      </c>
      <c r="E24" s="78">
        <f ca="1">SUM(IF(MONTH(CrelanData!$A$2:$A$2000)=MONTH(CrelanSamenv!$A24),1,0)*IF(YEAR(CrelanData!$A$2:$A$2000)=YEAR(CrelanSamenv!$A24),1,0)*IF(CrelanData!$B$2:$B$2000&lt;0,1,0)*IF(CrelanData!$H$2:$H$2000=E$1,1,0)*CrelanData!$B$2:$B$2000)*-1</f>
        <v>0</v>
      </c>
      <c r="F24" s="78">
        <f t="array" aca="1" ref="F24" ca="1">SUM(IF(MONTH(CrelanData!$A$2:$A$2000)=MONTH($A24),1,0)*IF(YEAR(CrelanData!$A$2:$A$2000)=YEAR($A24),1,0)*IF(CrelanData!$H$2:$H$2000=F$1,1,0)*CrelanData!$B$2:$B$2000)</f>
        <v>0</v>
      </c>
      <c r="G24" s="78">
        <f t="array" aca="1" ref="G24" ca="1">SUM(IF(MONTH(CrelanData!$A$2:$A$2000)=MONTH($A24),1,0)*IF(YEAR(CrelanData!$A$2:$A$2000)=YEAR($A24),1,0)*IF(CrelanData!$H$2:$H$2000=G$1,1,0)*CrelanData!$B$2:$B$2000)</f>
        <v>0</v>
      </c>
      <c r="H24" s="78">
        <f t="array" aca="1" ref="H24" ca="1">SUM(IF(MONTH(CrelanData!$A$2:$A$2000)=MONTH($A24),1,0)*IF(YEAR(CrelanData!$A$2:$A$2000)=YEAR($A24),1,0)*IF(CrelanData!$H$2:$H$2000=H$1,1,0)*CrelanData!$B$2:$B$2000)</f>
        <v>0</v>
      </c>
      <c r="I24" s="77">
        <f t="shared" si="0"/>
        <v>0</v>
      </c>
      <c r="J24" s="83">
        <f t="array" aca="1" ref="J24" ca="1">SUM((IF(MONTH(CrelanData!$A$2:$A$2000)=MONTH(CrelanSamenv!$A24),1,0))*(IF(YEAR(CrelanData!$A$2:$A$2000)=YEAR(CrelanSamenv!$A24),1,0))*(IF(CrelanData!$B$2:$B$2000&gt;0,1,0))*CrelanData!$B$2:$B$2000)</f>
        <v>0</v>
      </c>
      <c r="K24" s="78">
        <f t="array" aca="1" ref="K24" ca="1">SUM(IF(MONTH(CrelanData!$A$2:$A$2000)=MONTH(CrelanSamenv!$A24),1,0)*IF(YEAR(CrelanData!$A$2:$A$2000)=YEAR(CrelanSamenv!$A24),1,0)*IF(CrelanData!$B$2:$B$2000&gt;0,1,0)*IF(CrelanData!$H$2:$H$2000=K$2,1,0)*CrelanData!$B$2:$B$2000)</f>
        <v>0</v>
      </c>
      <c r="L24" s="78">
        <f t="array" aca="1" ref="L24" ca="1">SUM(IF(MONTH(CrelanData!$A$2:$A$2000)=MONTH(CrelanSamenv!$A24),1,0)*IF(YEAR(CrelanData!$A$2:$A$2000)=YEAR(CrelanSamenv!$A24),1,0)*IF(CrelanData!$B$2:$B$2000&gt;0,1,0)*IF(CrelanData!$H$2:$H$2000=L$2,1,0)*CrelanData!$B$2:$B$2000)</f>
        <v>0</v>
      </c>
      <c r="M24" s="77">
        <f t="shared" si="3"/>
        <v>0</v>
      </c>
    </row>
    <row r="25" spans="1:13" s="9" customFormat="1">
      <c r="A25" s="19">
        <v>40391</v>
      </c>
      <c r="B25" s="78">
        <f t="array" aca="1" ref="B25" ca="1">SUM((IF(MONTH(CrelanData!$A$2:$A$2000)=MONTH(CrelanSamenv!$A25),1,0))*(IF(YEAR(CrelanData!$A$2:$A$2000)=YEAR(CrelanSamenv!$A25),1,0))*IF(CrelanData!$B$2:$B$2000&lt;0,1,0)*IF(CrelanData!$H$2:$H$2000=Categorieën!$C$1,0,1)*IF(CrelanData!$H$2:$H$2000=Categorieën!$B$1,0,1)*CrelanData!$B$2:$B$2000)</f>
        <v>0</v>
      </c>
      <c r="C25" s="78">
        <f t="shared" si="1"/>
        <v>0</v>
      </c>
      <c r="D25" s="78">
        <f t="array" aca="1" ref="D25" ca="1">SUM(IF(MONTH(CrelanData!$A$2:$A$2000)=MONTH(CrelanSamenv!$A25),1,0)*IF(YEAR(CrelanData!$A$2:$A$2000)=YEAR(CrelanSamenv!$A25),1,0)*IF(CrelanData!$B$2:$B$2000&lt;0,1,0)*IF(LEFT(CrelanData!$H$2:$H$2000,3)="VK-",1,0)*CrelanData!$B$2:$B$2000)</f>
        <v>0</v>
      </c>
      <c r="E25" s="78">
        <f ca="1">SUM(IF(MONTH(CrelanData!$A$2:$A$2000)=MONTH(CrelanSamenv!$A25),1,0)*IF(YEAR(CrelanData!$A$2:$A$2000)=YEAR(CrelanSamenv!$A25),1,0)*IF(CrelanData!$B$2:$B$2000&lt;0,1,0)*IF(CrelanData!$H$2:$H$2000=E$1,1,0)*CrelanData!$B$2:$B$2000)*-1</f>
        <v>0</v>
      </c>
      <c r="F25" s="78">
        <f t="array" aca="1" ref="F25" ca="1">SUM(IF(MONTH(CrelanData!$A$2:$A$2000)=MONTH($A25),1,0)*IF(YEAR(CrelanData!$A$2:$A$2000)=YEAR($A25),1,0)*IF(CrelanData!$H$2:$H$2000=F$1,1,0)*CrelanData!$B$2:$B$2000)</f>
        <v>0</v>
      </c>
      <c r="G25" s="78">
        <f t="array" aca="1" ref="G25" ca="1">SUM(IF(MONTH(CrelanData!$A$2:$A$2000)=MONTH($A25),1,0)*IF(YEAR(CrelanData!$A$2:$A$2000)=YEAR($A25),1,0)*IF(CrelanData!$H$2:$H$2000=G$1,1,0)*CrelanData!$B$2:$B$2000)</f>
        <v>0</v>
      </c>
      <c r="H25" s="78">
        <f t="array" aca="1" ref="H25" ca="1">SUM(IF(MONTH(CrelanData!$A$2:$A$2000)=MONTH($A25),1,0)*IF(YEAR(CrelanData!$A$2:$A$2000)=YEAR($A25),1,0)*IF(CrelanData!$H$2:$H$2000=H$1,1,0)*CrelanData!$B$2:$B$2000)</f>
        <v>0</v>
      </c>
      <c r="I25" s="77">
        <f t="shared" si="0"/>
        <v>0</v>
      </c>
      <c r="J25" s="83">
        <f t="array" aca="1" ref="J25" ca="1">SUM((IF(MONTH(CrelanData!$A$2:$A$2000)=MONTH(CrelanSamenv!$A25),1,0))*(IF(YEAR(CrelanData!$A$2:$A$2000)=YEAR(CrelanSamenv!$A25),1,0))*(IF(CrelanData!$B$2:$B$2000&gt;0,1,0))*CrelanData!$B$2:$B$2000)</f>
        <v>0</v>
      </c>
      <c r="K25" s="78">
        <f t="array" aca="1" ref="K25" ca="1">SUM(IF(MONTH(CrelanData!$A$2:$A$2000)=MONTH(CrelanSamenv!$A25),1,0)*IF(YEAR(CrelanData!$A$2:$A$2000)=YEAR(CrelanSamenv!$A25),1,0)*IF(CrelanData!$B$2:$B$2000&gt;0,1,0)*IF(CrelanData!$H$2:$H$2000=K$2,1,0)*CrelanData!$B$2:$B$2000)</f>
        <v>0</v>
      </c>
      <c r="L25" s="78">
        <f t="array" aca="1" ref="L25" ca="1">SUM(IF(MONTH(CrelanData!$A$2:$A$2000)=MONTH(CrelanSamenv!$A25),1,0)*IF(YEAR(CrelanData!$A$2:$A$2000)=YEAR(CrelanSamenv!$A25),1,0)*IF(CrelanData!$B$2:$B$2000&gt;0,1,0)*IF(CrelanData!$H$2:$H$2000=L$2,1,0)*CrelanData!$B$2:$B$2000)</f>
        <v>0</v>
      </c>
      <c r="M25" s="77">
        <f t="shared" si="3"/>
        <v>0</v>
      </c>
    </row>
    <row r="26" spans="1:13" s="9" customFormat="1">
      <c r="A26" s="19">
        <v>40422</v>
      </c>
      <c r="B26" s="78">
        <f t="array" aca="1" ref="B26" ca="1">SUM((IF(MONTH(CrelanData!$A$2:$A$2000)=MONTH(CrelanSamenv!$A26),1,0))*(IF(YEAR(CrelanData!$A$2:$A$2000)=YEAR(CrelanSamenv!$A26),1,0))*IF(CrelanData!$B$2:$B$2000&lt;0,1,0)*IF(CrelanData!$H$2:$H$2000=Categorieën!$C$1,0,1)*IF(CrelanData!$H$2:$H$2000=Categorieën!$B$1,0,1)*CrelanData!$B$2:$B$2000)</f>
        <v>0</v>
      </c>
      <c r="C26" s="78">
        <f t="shared" si="1"/>
        <v>0</v>
      </c>
      <c r="D26" s="78">
        <f t="array" aca="1" ref="D26" ca="1">SUM(IF(MONTH(CrelanData!$A$2:$A$2000)=MONTH(CrelanSamenv!$A26),1,0)*IF(YEAR(CrelanData!$A$2:$A$2000)=YEAR(CrelanSamenv!$A26),1,0)*IF(CrelanData!$B$2:$B$2000&lt;0,1,0)*IF(LEFT(CrelanData!$H$2:$H$2000,3)="VK-",1,0)*CrelanData!$B$2:$B$2000)</f>
        <v>0</v>
      </c>
      <c r="E26" s="78">
        <f ca="1">SUM(IF(MONTH(CrelanData!$A$2:$A$2000)=MONTH(CrelanSamenv!$A26),1,0)*IF(YEAR(CrelanData!$A$2:$A$2000)=YEAR(CrelanSamenv!$A26),1,0)*IF(CrelanData!$B$2:$B$2000&lt;0,1,0)*IF(CrelanData!$H$2:$H$2000=E$1,1,0)*CrelanData!$B$2:$B$2000)*-1</f>
        <v>0</v>
      </c>
      <c r="F26" s="78">
        <f t="array" aca="1" ref="F26" ca="1">SUM(IF(MONTH(CrelanData!$A$2:$A$2000)=MONTH($A26),1,0)*IF(YEAR(CrelanData!$A$2:$A$2000)=YEAR($A26),1,0)*IF(CrelanData!$H$2:$H$2000=F$1,1,0)*CrelanData!$B$2:$B$2000)</f>
        <v>0</v>
      </c>
      <c r="G26" s="78">
        <f t="array" aca="1" ref="G26" ca="1">SUM(IF(MONTH(CrelanData!$A$2:$A$2000)=MONTH($A26),1,0)*IF(YEAR(CrelanData!$A$2:$A$2000)=YEAR($A26),1,0)*IF(CrelanData!$H$2:$H$2000=G$1,1,0)*CrelanData!$B$2:$B$2000)</f>
        <v>0</v>
      </c>
      <c r="H26" s="78">
        <f t="array" aca="1" ref="H26" ca="1">SUM(IF(MONTH(CrelanData!$A$2:$A$2000)=MONTH($A26),1,0)*IF(YEAR(CrelanData!$A$2:$A$2000)=YEAR($A26),1,0)*IF(CrelanData!$H$2:$H$2000=H$1,1,0)*CrelanData!$B$2:$B$2000)</f>
        <v>0</v>
      </c>
      <c r="I26" s="77">
        <f t="shared" si="0"/>
        <v>0</v>
      </c>
      <c r="J26" s="83">
        <f t="array" aca="1" ref="J26" ca="1">SUM((IF(MONTH(CrelanData!$A$2:$A$2000)=MONTH(CrelanSamenv!$A26),1,0))*(IF(YEAR(CrelanData!$A$2:$A$2000)=YEAR(CrelanSamenv!$A26),1,0))*(IF(CrelanData!$B$2:$B$2000&gt;0,1,0))*CrelanData!$B$2:$B$2000)</f>
        <v>0</v>
      </c>
      <c r="K26" s="78">
        <f t="array" aca="1" ref="K26" ca="1">SUM(IF(MONTH(CrelanData!$A$2:$A$2000)=MONTH(CrelanSamenv!$A26),1,0)*IF(YEAR(CrelanData!$A$2:$A$2000)=YEAR(CrelanSamenv!$A26),1,0)*IF(CrelanData!$B$2:$B$2000&gt;0,1,0)*IF(CrelanData!$H$2:$H$2000=K$2,1,0)*CrelanData!$B$2:$B$2000)</f>
        <v>0</v>
      </c>
      <c r="L26" s="78">
        <f t="array" aca="1" ref="L26" ca="1">SUM(IF(MONTH(CrelanData!$A$2:$A$2000)=MONTH(CrelanSamenv!$A26),1,0)*IF(YEAR(CrelanData!$A$2:$A$2000)=YEAR(CrelanSamenv!$A26),1,0)*IF(CrelanData!$B$2:$B$2000&gt;0,1,0)*IF(CrelanData!$H$2:$H$2000=L$2,1,0)*CrelanData!$B$2:$B$2000)</f>
        <v>0</v>
      </c>
      <c r="M26" s="77">
        <f t="shared" si="3"/>
        <v>0</v>
      </c>
    </row>
    <row r="27" spans="1:13" s="9" customFormat="1">
      <c r="A27" s="19">
        <v>40452</v>
      </c>
      <c r="B27" s="78">
        <f t="array" aca="1" ref="B27" ca="1">SUM((IF(MONTH(CrelanData!$A$2:$A$2000)=MONTH(CrelanSamenv!$A27),1,0))*(IF(YEAR(CrelanData!$A$2:$A$2000)=YEAR(CrelanSamenv!$A27),1,0))*IF(CrelanData!$B$2:$B$2000&lt;0,1,0)*IF(CrelanData!$H$2:$H$2000=Categorieën!$C$1,0,1)*IF(CrelanData!$H$2:$H$2000=Categorieën!$B$1,0,1)*CrelanData!$B$2:$B$2000)</f>
        <v>0</v>
      </c>
      <c r="C27" s="78">
        <f t="shared" si="1"/>
        <v>0</v>
      </c>
      <c r="D27" s="78">
        <f t="array" aca="1" ref="D27" ca="1">SUM(IF(MONTH(CrelanData!$A$2:$A$2000)=MONTH(CrelanSamenv!$A27),1,0)*IF(YEAR(CrelanData!$A$2:$A$2000)=YEAR(CrelanSamenv!$A27),1,0)*IF(CrelanData!$B$2:$B$2000&lt;0,1,0)*IF(LEFT(CrelanData!$H$2:$H$2000,3)="VK-",1,0)*CrelanData!$B$2:$B$2000)</f>
        <v>0</v>
      </c>
      <c r="E27" s="78">
        <f ca="1">SUM(IF(MONTH(CrelanData!$A$2:$A$2000)=MONTH(CrelanSamenv!$A27),1,0)*IF(YEAR(CrelanData!$A$2:$A$2000)=YEAR(CrelanSamenv!$A27),1,0)*IF(CrelanData!$B$2:$B$2000&lt;0,1,0)*IF(CrelanData!$H$2:$H$2000=E$1,1,0)*CrelanData!$B$2:$B$2000)*-1</f>
        <v>0</v>
      </c>
      <c r="F27" s="78">
        <f t="array" aca="1" ref="F27" ca="1">SUM(IF(MONTH(CrelanData!$A$2:$A$2000)=MONTH($A27),1,0)*IF(YEAR(CrelanData!$A$2:$A$2000)=YEAR($A27),1,0)*IF(CrelanData!$H$2:$H$2000=F$1,1,0)*CrelanData!$B$2:$B$2000)</f>
        <v>0</v>
      </c>
      <c r="G27" s="78">
        <f t="array" aca="1" ref="G27" ca="1">SUM(IF(MONTH(CrelanData!$A$2:$A$2000)=MONTH($A27),1,0)*IF(YEAR(CrelanData!$A$2:$A$2000)=YEAR($A27),1,0)*IF(CrelanData!$H$2:$H$2000=G$1,1,0)*CrelanData!$B$2:$B$2000)</f>
        <v>0</v>
      </c>
      <c r="H27" s="78">
        <f t="array" aca="1" ref="H27" ca="1">SUM(IF(MONTH(CrelanData!$A$2:$A$2000)=MONTH($A27),1,0)*IF(YEAR(CrelanData!$A$2:$A$2000)=YEAR($A27),1,0)*IF(CrelanData!$H$2:$H$2000=H$1,1,0)*CrelanData!$B$2:$B$2000)</f>
        <v>0</v>
      </c>
      <c r="I27" s="77">
        <f t="shared" si="0"/>
        <v>0</v>
      </c>
      <c r="J27" s="83">
        <f t="array" aca="1" ref="J27" ca="1">SUM((IF(MONTH(CrelanData!$A$2:$A$2000)=MONTH(CrelanSamenv!$A27),1,0))*(IF(YEAR(CrelanData!$A$2:$A$2000)=YEAR(CrelanSamenv!$A27),1,0))*(IF(CrelanData!$B$2:$B$2000&gt;0,1,0))*CrelanData!$B$2:$B$2000)</f>
        <v>0</v>
      </c>
      <c r="K27" s="78">
        <f t="array" aca="1" ref="K27" ca="1">SUM(IF(MONTH(CrelanData!$A$2:$A$2000)=MONTH(CrelanSamenv!$A27),1,0)*IF(YEAR(CrelanData!$A$2:$A$2000)=YEAR(CrelanSamenv!$A27),1,0)*IF(CrelanData!$B$2:$B$2000&gt;0,1,0)*IF(CrelanData!$H$2:$H$2000=K$2,1,0)*CrelanData!$B$2:$B$2000)</f>
        <v>0</v>
      </c>
      <c r="L27" s="78">
        <f t="array" aca="1" ref="L27" ca="1">SUM(IF(MONTH(CrelanData!$A$2:$A$2000)=MONTH(CrelanSamenv!$A27),1,0)*IF(YEAR(CrelanData!$A$2:$A$2000)=YEAR(CrelanSamenv!$A27),1,0)*IF(CrelanData!$B$2:$B$2000&gt;0,1,0)*IF(CrelanData!$H$2:$H$2000=L$2,1,0)*CrelanData!$B$2:$B$2000)</f>
        <v>0</v>
      </c>
      <c r="M27" s="77">
        <f t="shared" si="3"/>
        <v>0</v>
      </c>
    </row>
    <row r="28" spans="1:13" s="9" customFormat="1">
      <c r="A28" s="18"/>
      <c r="B28" s="78"/>
      <c r="C28" s="78"/>
      <c r="D28" s="78"/>
      <c r="E28" s="78"/>
      <c r="F28" s="78"/>
      <c r="G28" s="78"/>
      <c r="H28" s="78"/>
      <c r="I28" s="77"/>
      <c r="J28" s="83"/>
      <c r="K28" s="78"/>
      <c r="L28" s="78"/>
      <c r="M28" s="77"/>
    </row>
    <row r="29" spans="1:13" s="9" customFormat="1">
      <c r="A29" s="18"/>
      <c r="B29" s="76"/>
      <c r="C29" s="76"/>
      <c r="D29" s="76"/>
      <c r="E29" s="76"/>
      <c r="F29" s="78"/>
      <c r="G29" s="78"/>
      <c r="H29" s="78"/>
      <c r="I29" s="77"/>
      <c r="J29" s="83"/>
      <c r="K29" s="76"/>
      <c r="L29" s="78"/>
      <c r="M29" s="77"/>
    </row>
    <row r="30" spans="1:13" s="3" customFormat="1">
      <c r="A30" s="18"/>
      <c r="B30" s="76"/>
      <c r="C30" s="76"/>
      <c r="D30" s="76"/>
      <c r="E30" s="76"/>
      <c r="F30" s="78"/>
      <c r="G30" s="78"/>
      <c r="H30" s="78"/>
      <c r="I30" s="77"/>
      <c r="J30" s="83"/>
      <c r="K30" s="76"/>
      <c r="L30" s="78"/>
      <c r="M30" s="77"/>
    </row>
    <row r="31" spans="1:13" s="3" customFormat="1" ht="15" customHeight="1">
      <c r="A31" s="18"/>
      <c r="B31" s="76"/>
      <c r="C31" s="76"/>
      <c r="D31" s="76"/>
      <c r="E31" s="76"/>
      <c r="F31" s="78"/>
      <c r="G31" s="78"/>
      <c r="H31" s="78"/>
      <c r="I31" s="77"/>
      <c r="J31" s="83"/>
      <c r="K31" s="76"/>
      <c r="L31" s="78"/>
      <c r="M31" s="77"/>
    </row>
    <row r="32" spans="1:13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collapsed="1"/>
  </sheetData>
  <mergeCells count="11">
    <mergeCell ref="F1:F2"/>
    <mergeCell ref="M1:M2"/>
    <mergeCell ref="J1:L1"/>
    <mergeCell ref="A1:A2"/>
    <mergeCell ref="B1:B2"/>
    <mergeCell ref="D1:D2"/>
    <mergeCell ref="C1:C2"/>
    <mergeCell ref="E1:E2"/>
    <mergeCell ref="I1:I2"/>
    <mergeCell ref="G1:G2"/>
    <mergeCell ref="H1:H2"/>
  </mergeCells>
  <phoneticPr fontId="8" type="noConversion"/>
  <conditionalFormatting sqref="B1:M1048576">
    <cfRule type="cellIs" dxfId="26" priority="4" operator="lessThan">
      <formula>0</formula>
    </cfRule>
  </conditionalFormatting>
  <conditionalFormatting sqref="M1:M1048576 I1:J1048576 K28:K65536 K1:K11 A1:C1048576 D1:F11 D28:F65536">
    <cfRule type="expression" dxfId="25" priority="1">
      <formula>IFERROR(IF(YEAR($A1)=YEAR($A2),0,1),0)</formula>
    </cfRule>
  </conditionalFormatting>
  <dataValidations count="2">
    <dataValidation type="list" allowBlank="1" showInputMessage="1" showErrorMessage="1" sqref="A1:A2">
      <formula1>"2009,2010,2011,2012,2013,2014,2015"</formula1>
    </dataValidation>
    <dataValidation type="list" allowBlank="1" showInputMessage="1" showErrorMessage="1" sqref="F1:H2 K2:L2 E1:E3">
      <formula1>ManualTypes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theme="1"/>
  </sheetPr>
  <dimension ref="A1:L693"/>
  <sheetViews>
    <sheetView zoomScale="85" zoomScaleNormal="85" workbookViewId="0">
      <pane xSplit="1" ySplit="1" topLeftCell="E2" activePane="bottomRight" state="frozenSplit"/>
      <selection pane="topRight" activeCell="B1" sqref="B1"/>
      <selection pane="bottomLeft"/>
      <selection pane="bottomRight" activeCell="K2" sqref="K2"/>
    </sheetView>
  </sheetViews>
  <sheetFormatPr defaultRowHeight="15"/>
  <cols>
    <col min="1" max="1" width="16.28515625" customWidth="1"/>
    <col min="2" max="2" width="18.7109375" bestFit="1" customWidth="1"/>
    <col min="3" max="3" width="28" customWidth="1"/>
    <col min="4" max="4" width="11.42578125" customWidth="1"/>
    <col min="5" max="5" width="5.7109375" customWidth="1"/>
    <col min="6" max="6" width="14.42578125" customWidth="1"/>
    <col min="7" max="7" width="21.5703125" customWidth="1"/>
    <col min="8" max="8" width="37.85546875" bestFit="1" customWidth="1"/>
    <col min="9" max="9" width="30.28515625" customWidth="1"/>
    <col min="10" max="10" width="22.28515625" customWidth="1"/>
    <col min="11" max="11" width="23.5703125" style="17" customWidth="1"/>
    <col min="12" max="12" width="21.85546875" customWidth="1"/>
  </cols>
  <sheetData>
    <row r="1" spans="1:12" s="3" customFormat="1">
      <c r="A1" s="3" t="s">
        <v>20</v>
      </c>
      <c r="B1" s="3" t="s">
        <v>16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14</v>
      </c>
      <c r="J1" s="3" t="s">
        <v>15</v>
      </c>
      <c r="K1" s="94" t="s">
        <v>32</v>
      </c>
      <c r="L1" s="34" t="s">
        <v>33</v>
      </c>
    </row>
    <row r="2" spans="1:12">
      <c r="A2" s="1"/>
      <c r="F2" s="1"/>
      <c r="K2" s="17" t="str">
        <f ca="1">IF(L2="",SearchHLookup(G2&amp;" "&amp;H2&amp;" "&amp;I2,Categorieën!$B$1:$P$30),L2)</f>
        <v/>
      </c>
    </row>
    <row r="3" spans="1:12">
      <c r="A3" s="1"/>
      <c r="D3" s="7"/>
      <c r="F3" s="1"/>
      <c r="K3" s="17" t="str">
        <f ca="1">IF(L3="",SearchHLookup(G3&amp;" "&amp;H3&amp;" "&amp;I3,Categorieën!$B$1:$P$30),L3)</f>
        <v/>
      </c>
    </row>
    <row r="4" spans="1:12">
      <c r="A4" s="1"/>
      <c r="F4" s="1"/>
      <c r="K4" s="17" t="str">
        <f ca="1">IF(L4="",SearchHLookup(G4&amp;" "&amp;H4&amp;" "&amp;I4,Categorieën!$B$1:$P$30),L4)</f>
        <v/>
      </c>
    </row>
    <row r="5" spans="1:12">
      <c r="A5" s="1"/>
      <c r="F5" s="1"/>
      <c r="K5" s="17" t="str">
        <f ca="1">IF(L5="",SearchHLookup(G5&amp;" "&amp;H5&amp;" "&amp;I5,Categorieën!$B$1:$P$30),L5)</f>
        <v/>
      </c>
    </row>
    <row r="6" spans="1:12">
      <c r="A6" s="1"/>
      <c r="F6" s="1"/>
      <c r="K6" s="17" t="str">
        <f ca="1">IF(L6="",SearchHLookup(G6&amp;" "&amp;H6&amp;" "&amp;I6,Categorieën!$B$1:$P$30),L6)</f>
        <v/>
      </c>
    </row>
    <row r="7" spans="1:12">
      <c r="A7" s="1"/>
      <c r="F7" s="1"/>
      <c r="K7" s="17" t="str">
        <f ca="1">IF(L7="",SearchHLookup(G7&amp;" "&amp;H7&amp;" "&amp;I7,Categorieën!$B$1:$P$30),L7)</f>
        <v/>
      </c>
    </row>
    <row r="8" spans="1:12">
      <c r="A8" s="1"/>
      <c r="F8" s="1"/>
      <c r="K8" s="17" t="str">
        <f ca="1">IF(L8="",SearchHLookup(G8&amp;" "&amp;H8&amp;" "&amp;I8,Categorieën!$B$1:$P$30),L8)</f>
        <v/>
      </c>
    </row>
    <row r="9" spans="1:12">
      <c r="A9" s="1"/>
      <c r="F9" s="1"/>
      <c r="K9" s="17" t="str">
        <f ca="1">IF(L9="",SearchHLookup(G9&amp;" "&amp;H9&amp;" "&amp;I9,Categorieën!$B$1:$P$30),L9)</f>
        <v/>
      </c>
    </row>
    <row r="10" spans="1:12">
      <c r="A10" s="1"/>
      <c r="F10" s="1"/>
      <c r="K10" s="17" t="str">
        <f ca="1">IF(L10="",SearchHLookup(G10&amp;" "&amp;H10&amp;" "&amp;I10,Categorieën!$B$1:$P$30),L10)</f>
        <v/>
      </c>
    </row>
    <row r="11" spans="1:12">
      <c r="A11" s="1"/>
      <c r="D11" s="7"/>
      <c r="F11" s="1"/>
      <c r="K11" s="17" t="str">
        <f ca="1">IF(L11="",SearchHLookup(G11&amp;" "&amp;H11&amp;" "&amp;I11,Categorieën!$B$1:$P$30),L11)</f>
        <v/>
      </c>
    </row>
    <row r="12" spans="1:12">
      <c r="A12" s="1"/>
      <c r="F12" s="1"/>
      <c r="K12" s="17" t="str">
        <f ca="1">IF(L12="",SearchHLookup(G12&amp;" "&amp;H12&amp;" "&amp;I12,Categorieën!$B$1:$P$30),L12)</f>
        <v/>
      </c>
    </row>
    <row r="13" spans="1:12">
      <c r="A13" s="1"/>
      <c r="F13" s="1"/>
      <c r="K13" s="17" t="str">
        <f ca="1">IF(L13="",SearchHLookup(G13&amp;" "&amp;H13&amp;" "&amp;I13,Categorieën!$B$1:$P$30),L13)</f>
        <v/>
      </c>
    </row>
    <row r="14" spans="1:12">
      <c r="A14" s="1"/>
      <c r="F14" s="1"/>
      <c r="K14" s="17" t="str">
        <f ca="1">IF(L14="",SearchHLookup(G14&amp;" "&amp;H14&amp;" "&amp;I14,Categorieën!$B$1:$P$30),L14)</f>
        <v/>
      </c>
    </row>
    <row r="15" spans="1:12">
      <c r="A15" s="1"/>
      <c r="F15" s="1"/>
      <c r="K15" s="17" t="str">
        <f ca="1">IF(L15="",SearchHLookup(G15&amp;" "&amp;H15&amp;" "&amp;I15,Categorieën!$B$1:$P$30),L15)</f>
        <v/>
      </c>
    </row>
    <row r="16" spans="1:12">
      <c r="A16" s="1"/>
      <c r="F16" s="1"/>
      <c r="K16" s="17" t="str">
        <f ca="1">IF(L16="",SearchHLookup(G16&amp;" "&amp;H16&amp;" "&amp;I16,Categorieën!$B$1:$P$30),L16)</f>
        <v/>
      </c>
    </row>
    <row r="17" spans="1:11">
      <c r="A17" s="1"/>
      <c r="F17" s="1"/>
      <c r="K17" s="17" t="str">
        <f ca="1">IF(L17="",SearchHLookup(G17&amp;" "&amp;H17&amp;" "&amp;I17,Categorieën!$B$1:$P$30),L17)</f>
        <v/>
      </c>
    </row>
    <row r="18" spans="1:11">
      <c r="A18" s="1"/>
      <c r="F18" s="1"/>
      <c r="K18" s="17" t="str">
        <f ca="1">IF(L18="",SearchHLookup(G18&amp;" "&amp;H18&amp;" "&amp;I18,Categorieën!$B$1:$P$30),L18)</f>
        <v/>
      </c>
    </row>
    <row r="19" spans="1:11">
      <c r="A19" s="1"/>
      <c r="F19" s="1"/>
      <c r="K19" s="17" t="str">
        <f ca="1">IF(L19="",SearchHLookup(G19&amp;" "&amp;H19&amp;" "&amp;I19,Categorieën!$B$1:$P$30),L19)</f>
        <v/>
      </c>
    </row>
    <row r="20" spans="1:11">
      <c r="A20" s="1"/>
      <c r="F20" s="1"/>
      <c r="K20" s="17" t="str">
        <f ca="1">IF(L20="",SearchHLookup(G20&amp;" "&amp;H20&amp;" "&amp;I20,Categorieën!$B$1:$P$30),L20)</f>
        <v/>
      </c>
    </row>
    <row r="21" spans="1:11">
      <c r="A21" s="1"/>
      <c r="F21" s="1"/>
      <c r="K21" s="17" t="str">
        <f ca="1">IF(L21="",SearchHLookup(G21&amp;" "&amp;H21&amp;" "&amp;I21,Categorieën!$B$1:$P$30),L21)</f>
        <v/>
      </c>
    </row>
    <row r="22" spans="1:11">
      <c r="A22" s="1"/>
      <c r="F22" s="1"/>
      <c r="K22" s="17" t="str">
        <f ca="1">IF(L22="",SearchHLookup(G22&amp;" "&amp;H22&amp;" "&amp;I22,Categorieën!$B$1:$P$30),L22)</f>
        <v/>
      </c>
    </row>
    <row r="23" spans="1:11">
      <c r="A23" s="1"/>
      <c r="F23" s="1"/>
      <c r="K23" s="17" t="str">
        <f ca="1">IF(L23="",SearchHLookup(G23&amp;" "&amp;H23&amp;" "&amp;I23,Categorieën!$B$1:$P$30),L23)</f>
        <v/>
      </c>
    </row>
    <row r="24" spans="1:11">
      <c r="A24" s="1"/>
      <c r="F24" s="1"/>
      <c r="K24" s="17" t="str">
        <f ca="1">IF(L24="",SearchHLookup(G24&amp;" "&amp;H24&amp;" "&amp;I24,Categorieën!$B$1:$P$30),L24)</f>
        <v/>
      </c>
    </row>
    <row r="25" spans="1:11">
      <c r="A25" s="1"/>
      <c r="D25" s="7"/>
      <c r="F25" s="1"/>
      <c r="K25" s="17" t="str">
        <f ca="1">IF(L25="",SearchHLookup(G25&amp;" "&amp;H25&amp;" "&amp;I25,Categorieën!$B$1:$P$30),L25)</f>
        <v/>
      </c>
    </row>
    <row r="26" spans="1:11">
      <c r="A26" s="1"/>
      <c r="F26" s="1"/>
      <c r="K26" s="17" t="str">
        <f ca="1">IF(L26="",SearchHLookup(G26&amp;" "&amp;H26&amp;" "&amp;I26,Categorieën!$B$1:$P$30),L26)</f>
        <v/>
      </c>
    </row>
    <row r="27" spans="1:11">
      <c r="A27" s="1"/>
      <c r="F27" s="1"/>
      <c r="K27" s="17" t="str">
        <f ca="1">IF(L27="",SearchHLookup(G27&amp;" "&amp;H27&amp;" "&amp;I27,Categorieën!$B$1:$P$30),L27)</f>
        <v/>
      </c>
    </row>
    <row r="28" spans="1:11">
      <c r="A28" s="1"/>
      <c r="F28" s="1"/>
      <c r="K28" s="17" t="str">
        <f ca="1">IF(L28="",SearchHLookup(G28&amp;" "&amp;H28&amp;" "&amp;I28,Categorieën!$B$1:$P$30),L28)</f>
        <v/>
      </c>
    </row>
    <row r="29" spans="1:11">
      <c r="A29" s="1"/>
      <c r="F29" s="1"/>
      <c r="K29" s="17" t="str">
        <f ca="1">IF(L29="",SearchHLookup(G29&amp;" "&amp;H29&amp;" "&amp;I29,Categorieën!$B$1:$P$30),L29)</f>
        <v/>
      </c>
    </row>
    <row r="30" spans="1:11">
      <c r="A30" s="1"/>
      <c r="D30" s="7"/>
      <c r="F30" s="1"/>
      <c r="K30" s="17" t="str">
        <f ca="1">IF(L30="",SearchHLookup(G30&amp;" "&amp;H30&amp;" "&amp;I30,Categorieën!$B$1:$P$30),L30)</f>
        <v/>
      </c>
    </row>
    <row r="31" spans="1:11">
      <c r="A31" s="1"/>
      <c r="F31" s="1"/>
      <c r="K31" s="17" t="str">
        <f ca="1">IF(L31="",SearchHLookup(G31&amp;" "&amp;H31&amp;" "&amp;I31,Categorieën!$B$1:$P$30),L31)</f>
        <v/>
      </c>
    </row>
    <row r="32" spans="1:11">
      <c r="A32" s="1"/>
      <c r="D32" s="7"/>
      <c r="F32" s="1"/>
      <c r="K32" s="17" t="str">
        <f ca="1">IF(L32="",SearchHLookup(G32&amp;" "&amp;H32&amp;" "&amp;I32,Categorieën!$B$1:$P$30),L32)</f>
        <v/>
      </c>
    </row>
    <row r="33" spans="1:11">
      <c r="A33" s="1"/>
      <c r="F33" s="1"/>
      <c r="K33" s="17" t="str">
        <f ca="1">IF(L33="",SearchHLookup(G33&amp;" "&amp;H33&amp;" "&amp;I33,Categorieën!$B$1:$P$30),L33)</f>
        <v/>
      </c>
    </row>
    <row r="34" spans="1:11">
      <c r="A34" s="1"/>
      <c r="D34" s="7"/>
      <c r="F34" s="1"/>
      <c r="K34" s="17" t="str">
        <f ca="1">IF(L34="",SearchHLookup(G34&amp;" "&amp;H34&amp;" "&amp;I34,Categorieën!$B$1:$P$30),L34)</f>
        <v/>
      </c>
    </row>
    <row r="35" spans="1:11">
      <c r="A35" s="1"/>
      <c r="F35" s="1"/>
      <c r="K35" s="17" t="str">
        <f ca="1">IF(L35="",SearchHLookup(G35&amp;" "&amp;H35&amp;" "&amp;I35,Categorieën!$B$1:$P$30),L35)</f>
        <v/>
      </c>
    </row>
    <row r="36" spans="1:11">
      <c r="A36" s="1"/>
      <c r="D36" s="7"/>
      <c r="F36" s="1"/>
      <c r="K36" s="17" t="str">
        <f ca="1">IF(L36="",SearchHLookup(G36&amp;" "&amp;H36&amp;" "&amp;I36,Categorieën!$B$1:$P$30),L36)</f>
        <v/>
      </c>
    </row>
    <row r="37" spans="1:11">
      <c r="A37" s="1"/>
      <c r="F37" s="1"/>
      <c r="K37" s="17" t="str">
        <f ca="1">IF(L37="",SearchHLookup(G37&amp;" "&amp;H37&amp;" "&amp;I37,Categorieën!$B$1:$P$30),L37)</f>
        <v/>
      </c>
    </row>
    <row r="38" spans="1:11">
      <c r="A38" s="1"/>
      <c r="D38" s="7"/>
      <c r="F38" s="1"/>
      <c r="K38" s="17" t="str">
        <f ca="1">IF(L38="",SearchHLookup(G38&amp;" "&amp;H38&amp;" "&amp;I38,Categorieën!$B$1:$P$30),L38)</f>
        <v/>
      </c>
    </row>
    <row r="39" spans="1:11">
      <c r="A39" s="1"/>
      <c r="F39" s="1"/>
      <c r="K39" s="17" t="str">
        <f ca="1">IF(L39="",SearchHLookup(G39&amp;" "&amp;H39&amp;" "&amp;I39,Categorieën!$B$1:$P$30),L39)</f>
        <v/>
      </c>
    </row>
    <row r="40" spans="1:11">
      <c r="A40" s="1"/>
      <c r="F40" s="1"/>
      <c r="K40" s="17" t="str">
        <f ca="1">IF(L40="",SearchHLookup(G40&amp;" "&amp;H40&amp;" "&amp;I40,Categorieën!$B$1:$P$30),L40)</f>
        <v/>
      </c>
    </row>
    <row r="41" spans="1:11">
      <c r="A41" s="1"/>
      <c r="F41" s="1"/>
      <c r="K41" s="17" t="str">
        <f ca="1">IF(L41="",SearchHLookup(G41&amp;" "&amp;H41&amp;" "&amp;I41,Categorieën!$B$1:$P$30),L41)</f>
        <v/>
      </c>
    </row>
    <row r="42" spans="1:11">
      <c r="A42" s="1"/>
      <c r="F42" s="1"/>
      <c r="K42" s="17" t="str">
        <f ca="1">IF(L42="",SearchHLookup(G42&amp;" "&amp;H42&amp;" "&amp;I42,Categorieën!$B$1:$P$30),L42)</f>
        <v/>
      </c>
    </row>
    <row r="43" spans="1:11">
      <c r="A43" s="1"/>
      <c r="F43" s="1"/>
      <c r="K43" s="17" t="str">
        <f ca="1">IF(L43="",SearchHLookup(G43&amp;" "&amp;H43&amp;" "&amp;I43,Categorieën!$B$1:$P$30),L43)</f>
        <v/>
      </c>
    </row>
    <row r="44" spans="1:11">
      <c r="A44" s="1"/>
      <c r="F44" s="1"/>
      <c r="K44" s="17" t="str">
        <f ca="1">IF(L44="",SearchHLookup(G44&amp;" "&amp;H44&amp;" "&amp;I44,Categorieën!$B$1:$P$30),L44)</f>
        <v/>
      </c>
    </row>
    <row r="45" spans="1:11">
      <c r="A45" s="1"/>
      <c r="F45" s="1"/>
      <c r="K45" s="17" t="str">
        <f ca="1">IF(L45="",SearchHLookup(G45&amp;" "&amp;H45&amp;" "&amp;I45,Categorieën!$B$1:$P$30),L45)</f>
        <v/>
      </c>
    </row>
    <row r="46" spans="1:11">
      <c r="A46" s="1"/>
      <c r="F46" s="1"/>
      <c r="K46" s="17" t="str">
        <f ca="1">IF(L46="",SearchHLookup(G46&amp;" "&amp;H46&amp;" "&amp;I46,Categorieën!$B$1:$P$30),L46)</f>
        <v/>
      </c>
    </row>
    <row r="47" spans="1:11">
      <c r="A47" s="1"/>
      <c r="D47" s="7"/>
      <c r="F47" s="1"/>
      <c r="K47" s="17" t="str">
        <f ca="1">IF(L47="",SearchHLookup(G47&amp;" "&amp;H47&amp;" "&amp;I47,Categorieën!$B$1:$P$30),L47)</f>
        <v/>
      </c>
    </row>
    <row r="48" spans="1:11">
      <c r="A48" s="1"/>
      <c r="D48" s="7"/>
      <c r="F48" s="1"/>
      <c r="K48" s="17" t="str">
        <f ca="1">IF(L48="",SearchHLookup(G48&amp;" "&amp;H48&amp;" "&amp;I48,Categorieën!$B$1:$P$30),L48)</f>
        <v/>
      </c>
    </row>
    <row r="49" spans="1:11">
      <c r="A49" s="1"/>
      <c r="F49" s="1"/>
      <c r="K49" s="17" t="str">
        <f ca="1">IF(L49="",SearchHLookup(G49&amp;" "&amp;H49&amp;" "&amp;I49,Categorieën!$B$1:$P$30),L49)</f>
        <v/>
      </c>
    </row>
    <row r="50" spans="1:11">
      <c r="A50" s="1"/>
      <c r="F50" s="1"/>
      <c r="K50" s="17" t="str">
        <f ca="1">IF(L50="",SearchHLookup(G50&amp;" "&amp;H50&amp;" "&amp;I50,Categorieën!$B$1:$P$30),L50)</f>
        <v/>
      </c>
    </row>
    <row r="51" spans="1:11">
      <c r="A51" s="1"/>
      <c r="D51" s="7"/>
      <c r="F51" s="1"/>
      <c r="K51" s="17" t="str">
        <f ca="1">IF(L51="",SearchHLookup(G51&amp;" "&amp;H51&amp;" "&amp;I51,Categorieën!$B$1:$P$30),L51)</f>
        <v/>
      </c>
    </row>
    <row r="52" spans="1:11">
      <c r="A52" s="1"/>
      <c r="F52" s="1"/>
      <c r="K52" s="17" t="str">
        <f ca="1">IF(L52="",SearchHLookup(G52&amp;" "&amp;H52&amp;" "&amp;I52,Categorieën!$B$1:$P$30),L52)</f>
        <v/>
      </c>
    </row>
    <row r="53" spans="1:11">
      <c r="A53" s="1"/>
      <c r="F53" s="1"/>
      <c r="K53" s="17" t="str">
        <f ca="1">IF(L53="",SearchHLookup(G53&amp;" "&amp;H53&amp;" "&amp;I53,Categorieën!$B$1:$P$30),L53)</f>
        <v/>
      </c>
    </row>
    <row r="54" spans="1:11">
      <c r="A54" s="1"/>
      <c r="F54" s="1"/>
      <c r="K54" s="17" t="str">
        <f ca="1">IF(L54="",SearchHLookup(G54&amp;" "&amp;H54&amp;" "&amp;I54,Categorieën!$B$1:$P$30),L54)</f>
        <v/>
      </c>
    </row>
    <row r="55" spans="1:11">
      <c r="A55" s="1"/>
      <c r="F55" s="1"/>
      <c r="K55" s="17" t="str">
        <f ca="1">IF(L55="",SearchHLookup(G55&amp;" "&amp;H55&amp;" "&amp;I55,Categorieën!$B$1:$P$30),L55)</f>
        <v/>
      </c>
    </row>
    <row r="56" spans="1:11">
      <c r="A56" s="1"/>
      <c r="D56" s="7"/>
      <c r="F56" s="1"/>
      <c r="K56" s="17" t="str">
        <f ca="1">IF(L56="",SearchHLookup(G56&amp;" "&amp;H56&amp;" "&amp;I56,Categorieën!$B$1:$P$30),L56)</f>
        <v/>
      </c>
    </row>
    <row r="57" spans="1:11">
      <c r="A57" s="1"/>
      <c r="D57" s="7"/>
      <c r="F57" s="1"/>
      <c r="K57" s="17" t="str">
        <f ca="1">IF(L57="",SearchHLookup(G57&amp;" "&amp;H57&amp;" "&amp;I57,Categorieën!$B$1:$P$30),L57)</f>
        <v/>
      </c>
    </row>
    <row r="58" spans="1:11">
      <c r="A58" s="1"/>
      <c r="F58" s="1"/>
      <c r="K58" s="17" t="str">
        <f ca="1">IF(L58="",SearchHLookup(G58&amp;" "&amp;H58&amp;" "&amp;I58,Categorieën!$B$1:$P$30),L58)</f>
        <v/>
      </c>
    </row>
    <row r="59" spans="1:11">
      <c r="A59" s="1"/>
      <c r="F59" s="1"/>
      <c r="K59" s="17" t="str">
        <f ca="1">IF(L59="",SearchHLookup(G59&amp;" "&amp;H59&amp;" "&amp;I59,Categorieën!$B$1:$P$30),L59)</f>
        <v/>
      </c>
    </row>
    <row r="60" spans="1:11">
      <c r="A60" s="1"/>
      <c r="F60" s="1"/>
      <c r="K60" s="17" t="str">
        <f ca="1">IF(L60="",SearchHLookup(G60&amp;" "&amp;H60&amp;" "&amp;I60,Categorieën!$B$1:$P$30),L60)</f>
        <v/>
      </c>
    </row>
    <row r="61" spans="1:11">
      <c r="A61" s="1"/>
      <c r="F61" s="1"/>
      <c r="K61" s="17" t="str">
        <f ca="1">IF(L61="",SearchHLookup(G61&amp;" "&amp;H61&amp;" "&amp;I61,Categorieën!$B$1:$P$30),L61)</f>
        <v/>
      </c>
    </row>
    <row r="62" spans="1:11">
      <c r="A62" s="1"/>
      <c r="F62" s="1"/>
      <c r="K62" s="17" t="str">
        <f ca="1">IF(L62="",SearchHLookup(G62&amp;" "&amp;H62&amp;" "&amp;I62,Categorieën!$B$1:$P$30),L62)</f>
        <v/>
      </c>
    </row>
    <row r="63" spans="1:11">
      <c r="A63" s="1"/>
      <c r="F63" s="1"/>
      <c r="K63" s="17" t="str">
        <f ca="1">IF(L63="",SearchHLookup(G63&amp;" "&amp;H63&amp;" "&amp;I63,Categorieën!$B$1:$P$30),L63)</f>
        <v/>
      </c>
    </row>
    <row r="64" spans="1:11">
      <c r="A64" s="1"/>
      <c r="D64" s="7"/>
      <c r="F64" s="1"/>
      <c r="K64" s="17" t="str">
        <f ca="1">IF(L64="",SearchHLookup(G64&amp;" "&amp;H64&amp;" "&amp;I64,Categorieën!$B$1:$P$30),L64)</f>
        <v/>
      </c>
    </row>
    <row r="65" spans="1:11">
      <c r="A65" s="1"/>
      <c r="F65" s="1"/>
      <c r="K65" s="17" t="str">
        <f ca="1">IF(L65="",SearchHLookup(G65&amp;" "&amp;H65&amp;" "&amp;I65,Categorieën!$B$1:$P$30),L65)</f>
        <v/>
      </c>
    </row>
    <row r="66" spans="1:11">
      <c r="A66" s="1"/>
      <c r="F66" s="1"/>
      <c r="K66" s="17" t="str">
        <f ca="1">IF(L66="",SearchHLookup(G66&amp;" "&amp;H66&amp;" "&amp;I66,Categorieën!$B$1:$P$30),L66)</f>
        <v/>
      </c>
    </row>
    <row r="67" spans="1:11">
      <c r="A67" s="1"/>
      <c r="F67" s="1"/>
      <c r="K67" s="17" t="str">
        <f ca="1">IF(L67="",SearchHLookup(G67&amp;" "&amp;H67&amp;" "&amp;I67,Categorieën!$B$1:$P$30),L67)</f>
        <v/>
      </c>
    </row>
    <row r="68" spans="1:11">
      <c r="A68" s="1"/>
      <c r="F68" s="1"/>
      <c r="K68" s="17" t="str">
        <f ca="1">IF(L68="",SearchHLookup(G68&amp;" "&amp;H68&amp;" "&amp;I68,Categorieën!$B$1:$P$30),L68)</f>
        <v/>
      </c>
    </row>
    <row r="69" spans="1:11">
      <c r="A69" s="1"/>
      <c r="F69" s="1"/>
      <c r="K69" s="17" t="str">
        <f ca="1">IF(L69="",SearchHLookup(G69&amp;" "&amp;H69&amp;" "&amp;I69,Categorieën!$B$1:$P$30),L69)</f>
        <v/>
      </c>
    </row>
    <row r="70" spans="1:11">
      <c r="A70" s="1"/>
      <c r="F70" s="1"/>
      <c r="K70" s="17" t="str">
        <f ca="1">IF(L70="",SearchHLookup(G70&amp;" "&amp;H70&amp;" "&amp;I70,Categorieën!$B$1:$P$30),L70)</f>
        <v/>
      </c>
    </row>
    <row r="71" spans="1:11">
      <c r="A71" s="1"/>
      <c r="F71" s="1"/>
      <c r="K71" s="17" t="str">
        <f ca="1">IF(L71="",SearchHLookup(G71&amp;" "&amp;H71&amp;" "&amp;I71,Categorieën!$B$1:$P$30),L71)</f>
        <v/>
      </c>
    </row>
    <row r="72" spans="1:11">
      <c r="A72" s="1"/>
      <c r="F72" s="1"/>
      <c r="K72" s="17" t="str">
        <f ca="1">IF(L72="",SearchHLookup(G72&amp;" "&amp;H72&amp;" "&amp;I72,Categorieën!$B$1:$P$30),L72)</f>
        <v/>
      </c>
    </row>
    <row r="73" spans="1:11">
      <c r="A73" s="1"/>
      <c r="D73" s="7"/>
      <c r="F73" s="1"/>
      <c r="K73" s="17" t="str">
        <f ca="1">IF(L73="",SearchHLookup(G73&amp;" "&amp;H73&amp;" "&amp;I73,Categorieën!$B$1:$P$30),L73)</f>
        <v/>
      </c>
    </row>
    <row r="74" spans="1:11">
      <c r="A74" s="1"/>
      <c r="D74" s="7"/>
      <c r="F74" s="1"/>
      <c r="K74" s="17" t="str">
        <f ca="1">IF(L74="",SearchHLookup(G74&amp;" "&amp;H74&amp;" "&amp;I74,Categorieën!$B$1:$P$30),L74)</f>
        <v/>
      </c>
    </row>
    <row r="75" spans="1:11">
      <c r="A75" s="1"/>
      <c r="F75" s="1"/>
      <c r="K75" s="17" t="str">
        <f ca="1">IF(L75="",SearchHLookup(G75&amp;" "&amp;H75&amp;" "&amp;I75,Categorieën!$B$1:$P$30),L75)</f>
        <v/>
      </c>
    </row>
    <row r="76" spans="1:11">
      <c r="A76" s="1"/>
      <c r="F76" s="1"/>
      <c r="K76" s="17" t="str">
        <f ca="1">IF(L76="",SearchHLookup(G76&amp;" "&amp;H76&amp;" "&amp;I76,Categorieën!$B$1:$P$30),L76)</f>
        <v/>
      </c>
    </row>
    <row r="77" spans="1:11">
      <c r="A77" s="1"/>
      <c r="F77" s="1"/>
      <c r="K77" s="17" t="str">
        <f ca="1">IF(L77="",SearchHLookup(G77&amp;" "&amp;H77&amp;" "&amp;I77,Categorieën!$B$1:$P$30),L77)</f>
        <v/>
      </c>
    </row>
    <row r="78" spans="1:11">
      <c r="A78" s="1"/>
      <c r="F78" s="1"/>
      <c r="K78" s="17" t="str">
        <f ca="1">IF(L78="",SearchHLookup(G78&amp;" "&amp;H78&amp;" "&amp;I78,Categorieën!$B$1:$P$30),L78)</f>
        <v/>
      </c>
    </row>
    <row r="79" spans="1:11">
      <c r="A79" s="1"/>
      <c r="F79" s="1"/>
      <c r="K79" s="17" t="str">
        <f ca="1">IF(L79="",SearchHLookup(G79&amp;" "&amp;H79&amp;" "&amp;I79,Categorieën!$B$1:$P$30),L79)</f>
        <v/>
      </c>
    </row>
    <row r="80" spans="1:11">
      <c r="A80" s="1"/>
      <c r="F80" s="1"/>
      <c r="K80" s="17" t="str">
        <f ca="1">IF(L80="",SearchHLookup(G80&amp;" "&amp;H80&amp;" "&amp;I80,Categorieën!$B$1:$P$30),L80)</f>
        <v/>
      </c>
    </row>
    <row r="81" spans="1:11">
      <c r="A81" s="1"/>
      <c r="F81" s="1"/>
      <c r="K81" s="17" t="str">
        <f ca="1">IF(L81="",SearchHLookup(G81&amp;" "&amp;H81&amp;" "&amp;I81,Categorieën!$B$1:$P$30),L81)</f>
        <v/>
      </c>
    </row>
    <row r="82" spans="1:11">
      <c r="A82" s="1"/>
      <c r="F82" s="1"/>
      <c r="K82" s="17" t="str">
        <f ca="1">IF(L82="",SearchHLookup(G82&amp;" "&amp;H82&amp;" "&amp;I82,Categorieën!$B$1:$P$30),L82)</f>
        <v/>
      </c>
    </row>
    <row r="83" spans="1:11">
      <c r="A83" s="1"/>
      <c r="F83" s="1"/>
      <c r="K83" s="17" t="str">
        <f ca="1">IF(L83="",SearchHLookup(G83&amp;" "&amp;H83&amp;" "&amp;I83,Categorieën!$B$1:$P$30),L83)</f>
        <v/>
      </c>
    </row>
    <row r="84" spans="1:11">
      <c r="A84" s="1"/>
      <c r="F84" s="1"/>
      <c r="K84" s="17" t="str">
        <f ca="1">IF(L84="",SearchHLookup(G84&amp;" "&amp;H84&amp;" "&amp;I84,Categorieën!$B$1:$P$30),L84)</f>
        <v/>
      </c>
    </row>
    <row r="85" spans="1:11">
      <c r="A85" s="1"/>
      <c r="F85" s="1"/>
      <c r="K85" s="17" t="str">
        <f ca="1">IF(L85="",SearchHLookup(G85&amp;" "&amp;H85&amp;" "&amp;I85,Categorieën!$B$1:$P$30),L85)</f>
        <v/>
      </c>
    </row>
    <row r="86" spans="1:11">
      <c r="A86" s="1"/>
      <c r="F86" s="1"/>
      <c r="K86" s="17" t="str">
        <f ca="1">IF(L86="",SearchHLookup(G86&amp;" "&amp;H86&amp;" "&amp;I86,Categorieën!$B$1:$P$30),L86)</f>
        <v/>
      </c>
    </row>
    <row r="87" spans="1:11">
      <c r="A87" s="1"/>
      <c r="F87" s="1"/>
      <c r="K87" s="17" t="str">
        <f ca="1">IF(L87="",SearchHLookup(G87&amp;" "&amp;H87&amp;" "&amp;I87,Categorieën!$B$1:$P$30),L87)</f>
        <v/>
      </c>
    </row>
    <row r="88" spans="1:11">
      <c r="A88" s="1"/>
      <c r="F88" s="1"/>
      <c r="K88" s="17" t="str">
        <f ca="1">IF(L88="",SearchHLookup(G88&amp;" "&amp;H88&amp;" "&amp;I88,Categorieën!$B$1:$P$30),L88)</f>
        <v/>
      </c>
    </row>
    <row r="89" spans="1:11">
      <c r="A89" s="1"/>
      <c r="F89" s="1"/>
      <c r="K89" s="17" t="str">
        <f ca="1">IF(L89="",SearchHLookup(G89&amp;" "&amp;H89&amp;" "&amp;I89,Categorieën!$B$1:$P$30),L89)</f>
        <v/>
      </c>
    </row>
    <row r="90" spans="1:11">
      <c r="A90" s="1"/>
      <c r="F90" s="1"/>
      <c r="K90" s="17" t="str">
        <f ca="1">IF(L90="",SearchHLookup(G90&amp;" "&amp;H90&amp;" "&amp;I90,Categorieën!$B$1:$P$30),L90)</f>
        <v/>
      </c>
    </row>
    <row r="91" spans="1:11">
      <c r="A91" s="1"/>
      <c r="F91" s="1"/>
      <c r="K91" s="17" t="str">
        <f ca="1">IF(L91="",SearchHLookup(G91&amp;" "&amp;H91&amp;" "&amp;I91,Categorieën!$B$1:$P$30),L91)</f>
        <v/>
      </c>
    </row>
    <row r="92" spans="1:11">
      <c r="A92" s="1"/>
      <c r="D92" s="7"/>
      <c r="F92" s="1"/>
      <c r="K92" s="17" t="str">
        <f ca="1">IF(L92="",SearchHLookup(G92&amp;" "&amp;H92&amp;" "&amp;I92,Categorieën!$B$1:$P$30),L92)</f>
        <v/>
      </c>
    </row>
    <row r="93" spans="1:11">
      <c r="A93" s="1"/>
      <c r="F93" s="1"/>
      <c r="K93" s="17" t="str">
        <f ca="1">IF(L93="",SearchHLookup(G93&amp;" "&amp;H93&amp;" "&amp;I93,Categorieën!$B$1:$P$30),L93)</f>
        <v/>
      </c>
    </row>
    <row r="94" spans="1:11">
      <c r="A94" s="1"/>
      <c r="F94" s="1"/>
      <c r="K94" s="17" t="str">
        <f ca="1">IF(L94="",SearchHLookup(G94&amp;" "&amp;H94&amp;" "&amp;I94,Categorieën!$B$1:$P$30),L94)</f>
        <v/>
      </c>
    </row>
    <row r="95" spans="1:11">
      <c r="A95" s="1"/>
      <c r="F95" s="1"/>
      <c r="K95" s="17" t="str">
        <f ca="1">IF(L95="",SearchHLookup(G95&amp;" "&amp;H95&amp;" "&amp;I95,Categorieën!$B$1:$P$30),L95)</f>
        <v/>
      </c>
    </row>
    <row r="96" spans="1:11">
      <c r="A96" s="1"/>
      <c r="F96" s="1"/>
      <c r="K96" s="17" t="str">
        <f ca="1">IF(L96="",SearchHLookup(G96&amp;" "&amp;H96&amp;" "&amp;I96,Categorieën!$B$1:$P$30),L96)</f>
        <v/>
      </c>
    </row>
    <row r="97" spans="1:11">
      <c r="A97" s="1"/>
      <c r="F97" s="1"/>
      <c r="K97" s="17" t="str">
        <f ca="1">IF(L97="",SearchHLookup(G97&amp;" "&amp;H97&amp;" "&amp;I97,Categorieën!$B$1:$P$30),L97)</f>
        <v/>
      </c>
    </row>
    <row r="98" spans="1:11">
      <c r="A98" s="1"/>
      <c r="D98" s="7"/>
      <c r="F98" s="1"/>
      <c r="K98" s="17" t="str">
        <f ca="1">IF(L98="",SearchHLookup(G98&amp;" "&amp;H98&amp;" "&amp;I98,Categorieën!$B$1:$P$30),L98)</f>
        <v/>
      </c>
    </row>
    <row r="99" spans="1:11">
      <c r="A99" s="1"/>
      <c r="F99" s="1"/>
      <c r="K99" s="17" t="str">
        <f ca="1">IF(L99="",SearchHLookup(G99&amp;" "&amp;H99&amp;" "&amp;I99,Categorieën!$B$1:$P$30),L99)</f>
        <v/>
      </c>
    </row>
    <row r="100" spans="1:11">
      <c r="A100" s="1"/>
      <c r="F100" s="1"/>
      <c r="K100" s="17" t="str">
        <f ca="1">IF(L100="",SearchHLookup(G100&amp;" "&amp;H100&amp;" "&amp;I100,Categorieën!$B$1:$P$30),L100)</f>
        <v/>
      </c>
    </row>
    <row r="101" spans="1:11">
      <c r="A101" s="1"/>
      <c r="F101" s="1"/>
      <c r="K101" s="17" t="str">
        <f ca="1">IF(L101="",SearchHLookup(G101&amp;" "&amp;H101&amp;" "&amp;I101,Categorieën!$B$1:$P$30),L101)</f>
        <v/>
      </c>
    </row>
    <row r="102" spans="1:11">
      <c r="A102" s="1"/>
      <c r="F102" s="1"/>
      <c r="K102" s="17" t="str">
        <f ca="1">IF(L102="",SearchHLookup(G102&amp;" "&amp;H102&amp;" "&amp;I102,Categorieën!$B$1:$P$30),L102)</f>
        <v/>
      </c>
    </row>
    <row r="103" spans="1:11">
      <c r="A103" s="1"/>
      <c r="F103" s="1"/>
      <c r="K103" s="17" t="str">
        <f ca="1">IF(L103="",SearchHLookup(G103&amp;" "&amp;H103&amp;" "&amp;I103,Categorieën!$B$1:$P$30),L103)</f>
        <v/>
      </c>
    </row>
    <row r="104" spans="1:11">
      <c r="A104" s="1"/>
      <c r="F104" s="1"/>
      <c r="K104" s="17" t="str">
        <f ca="1">IF(L104="",SearchHLookup(G104&amp;" "&amp;H104&amp;" "&amp;I104,Categorieën!$B$1:$P$30),L104)</f>
        <v/>
      </c>
    </row>
    <row r="105" spans="1:11">
      <c r="A105" s="1"/>
      <c r="F105" s="1"/>
      <c r="K105" s="17" t="str">
        <f ca="1">IF(L105="",SearchHLookup(G105&amp;" "&amp;H105&amp;" "&amp;I105,Categorieën!$B$1:$P$30),L105)</f>
        <v/>
      </c>
    </row>
    <row r="106" spans="1:11">
      <c r="A106" s="1"/>
      <c r="F106" s="1"/>
      <c r="K106" s="17" t="str">
        <f ca="1">IF(L106="",SearchHLookup(G106&amp;" "&amp;H106&amp;" "&amp;I106,Categorieën!$B$1:$P$30),L106)</f>
        <v/>
      </c>
    </row>
    <row r="107" spans="1:11">
      <c r="A107" s="1"/>
      <c r="F107" s="1"/>
      <c r="K107" s="17" t="str">
        <f ca="1">IF(L107="",SearchHLookup(G107&amp;" "&amp;H107&amp;" "&amp;I107,Categorieën!$B$1:$P$30),L107)</f>
        <v/>
      </c>
    </row>
    <row r="108" spans="1:11">
      <c r="A108" s="1"/>
      <c r="F108" s="1"/>
      <c r="K108" s="17" t="str">
        <f ca="1">IF(L108="",SearchHLookup(G108&amp;" "&amp;H108&amp;" "&amp;I108,Categorieën!$B$1:$P$30),L108)</f>
        <v/>
      </c>
    </row>
    <row r="109" spans="1:11">
      <c r="A109" s="1"/>
      <c r="F109" s="1"/>
      <c r="K109" s="17" t="str">
        <f ca="1">IF(L109="",SearchHLookup(G109&amp;" "&amp;H109&amp;" "&amp;I109,Categorieën!$B$1:$P$30),L109)</f>
        <v/>
      </c>
    </row>
    <row r="110" spans="1:11">
      <c r="A110" s="1"/>
      <c r="F110" s="1"/>
      <c r="K110" s="17" t="str">
        <f ca="1">IF(L110="",SearchHLookup(G110&amp;" "&amp;H110&amp;" "&amp;I110,Categorieën!$B$1:$P$30),L110)</f>
        <v/>
      </c>
    </row>
    <row r="111" spans="1:11">
      <c r="A111" s="1"/>
      <c r="F111" s="1"/>
      <c r="K111" s="17" t="str">
        <f ca="1">IF(L111="",SearchHLookup(G111&amp;" "&amp;H111&amp;" "&amp;I111,Categorieën!$B$1:$P$30),L111)</f>
        <v/>
      </c>
    </row>
    <row r="112" spans="1:11">
      <c r="A112" s="1"/>
      <c r="D112" s="7"/>
      <c r="F112" s="1"/>
      <c r="K112" s="17" t="str">
        <f ca="1">IF(L112="",SearchHLookup(G112&amp;" "&amp;H112&amp;" "&amp;I112,Categorieën!$B$1:$P$30),L112)</f>
        <v/>
      </c>
    </row>
    <row r="113" spans="1:11">
      <c r="A113" s="1"/>
      <c r="F113" s="1"/>
      <c r="K113" s="17" t="str">
        <f ca="1">IF(L113="",SearchHLookup(G113&amp;" "&amp;H113&amp;" "&amp;I113,Categorieën!$B$1:$P$30),L113)</f>
        <v/>
      </c>
    </row>
    <row r="114" spans="1:11">
      <c r="A114" s="1"/>
      <c r="F114" s="1"/>
      <c r="K114" s="17" t="str">
        <f ca="1">IF(L114="",SearchHLookup(G114&amp;" "&amp;H114&amp;" "&amp;I114,Categorieën!$B$1:$P$30),L114)</f>
        <v/>
      </c>
    </row>
    <row r="115" spans="1:11">
      <c r="A115" s="1"/>
      <c r="F115" s="1"/>
      <c r="K115" s="17" t="str">
        <f ca="1">IF(L115="",SearchHLookup(G115&amp;" "&amp;H115&amp;" "&amp;I115,Categorieën!$B$1:$P$30),L115)</f>
        <v/>
      </c>
    </row>
    <row r="116" spans="1:11">
      <c r="A116" s="1"/>
      <c r="F116" s="1"/>
      <c r="K116" s="17" t="str">
        <f ca="1">IF(L116="",SearchHLookup(G116&amp;" "&amp;H116&amp;" "&amp;I116,Categorieën!$B$1:$P$30),L116)</f>
        <v/>
      </c>
    </row>
    <row r="117" spans="1:11">
      <c r="A117" s="1"/>
      <c r="F117" s="1"/>
      <c r="K117" s="17" t="str">
        <f ca="1">IF(L117="",SearchHLookup(G117&amp;" "&amp;H117&amp;" "&amp;I117,Categorieën!$B$1:$P$30),L117)</f>
        <v/>
      </c>
    </row>
    <row r="118" spans="1:11">
      <c r="A118" s="1"/>
      <c r="F118" s="1"/>
      <c r="K118" s="17" t="str">
        <f ca="1">IF(L118="",SearchHLookup(G118&amp;" "&amp;H118&amp;" "&amp;I118,Categorieën!$B$1:$P$30),L118)</f>
        <v/>
      </c>
    </row>
    <row r="119" spans="1:11">
      <c r="A119" s="1"/>
      <c r="F119" s="1"/>
      <c r="K119" s="17" t="str">
        <f ca="1">IF(L119="",SearchHLookup(G119&amp;" "&amp;H119&amp;" "&amp;I119,Categorieën!$B$1:$P$30),L119)</f>
        <v/>
      </c>
    </row>
    <row r="120" spans="1:11">
      <c r="A120" s="1"/>
      <c r="F120" s="1"/>
      <c r="K120" s="17" t="str">
        <f ca="1">IF(L120="",SearchHLookup(G120&amp;" "&amp;H120&amp;" "&amp;I120,Categorieën!$B$1:$P$30),L120)</f>
        <v/>
      </c>
    </row>
    <row r="121" spans="1:11">
      <c r="A121" s="1"/>
      <c r="F121" s="1"/>
      <c r="K121" s="17" t="str">
        <f ca="1">IF(L121="",SearchHLookup(G121&amp;" "&amp;H121&amp;" "&amp;I121,Categorieën!$B$1:$P$30),L121)</f>
        <v/>
      </c>
    </row>
    <row r="122" spans="1:11">
      <c r="A122" s="1"/>
      <c r="F122" s="1"/>
      <c r="K122" s="17" t="str">
        <f ca="1">IF(L122="",SearchHLookup(G122&amp;" "&amp;H122&amp;" "&amp;I122,Categorieën!$B$1:$P$30),L122)</f>
        <v/>
      </c>
    </row>
    <row r="123" spans="1:11">
      <c r="A123" s="1"/>
      <c r="F123" s="1"/>
      <c r="K123" s="17" t="str">
        <f ca="1">IF(L123="",SearchHLookup(G123&amp;" "&amp;H123&amp;" "&amp;I123,Categorieën!$B$1:$P$30),L123)</f>
        <v/>
      </c>
    </row>
    <row r="124" spans="1:11">
      <c r="A124" s="1"/>
      <c r="F124" s="1"/>
      <c r="K124" s="17" t="str">
        <f ca="1">IF(L124="",SearchHLookup(G124&amp;" "&amp;H124&amp;" "&amp;I124,Categorieën!$B$1:$P$30),L124)</f>
        <v/>
      </c>
    </row>
    <row r="125" spans="1:11">
      <c r="A125" s="1"/>
      <c r="F125" s="1"/>
      <c r="K125" s="17" t="str">
        <f ca="1">IF(L125="",SearchHLookup(G125&amp;" "&amp;H125&amp;" "&amp;I125,Categorieën!$B$1:$P$30),L125)</f>
        <v/>
      </c>
    </row>
    <row r="126" spans="1:11">
      <c r="A126" s="1"/>
      <c r="D126" s="7"/>
      <c r="F126" s="1"/>
      <c r="K126" s="17" t="str">
        <f ca="1">IF(L126="",SearchHLookup(G126&amp;" "&amp;H126&amp;" "&amp;I126,Categorieën!$B$1:$P$30),L126)</f>
        <v/>
      </c>
    </row>
    <row r="127" spans="1:11">
      <c r="A127" s="1"/>
      <c r="F127" s="1"/>
      <c r="K127" s="17" t="str">
        <f ca="1">IF(L127="",SearchHLookup(G127&amp;" "&amp;H127&amp;" "&amp;I127,Categorieën!$B$1:$P$30),L127)</f>
        <v/>
      </c>
    </row>
    <row r="128" spans="1:11">
      <c r="A128" s="1"/>
      <c r="F128" s="1"/>
      <c r="K128" s="17" t="str">
        <f ca="1">IF(L128="",SearchHLookup(G128&amp;" "&amp;H128&amp;" "&amp;I128,Categorieën!$B$1:$P$30),L128)</f>
        <v/>
      </c>
    </row>
    <row r="129" spans="1:11">
      <c r="A129" s="1"/>
      <c r="F129" s="1"/>
      <c r="K129" s="17" t="str">
        <f ca="1">IF(L129="",SearchHLookup(G129&amp;" "&amp;H129&amp;" "&amp;I129,Categorieën!$B$1:$P$30),L129)</f>
        <v/>
      </c>
    </row>
    <row r="130" spans="1:11">
      <c r="A130" s="1"/>
      <c r="F130" s="1"/>
      <c r="K130" s="17" t="str">
        <f ca="1">IF(L130="",SearchHLookup(G130&amp;" "&amp;H130&amp;" "&amp;I130,Categorieën!$B$1:$P$30),L130)</f>
        <v/>
      </c>
    </row>
    <row r="131" spans="1:11">
      <c r="A131" s="1"/>
      <c r="F131" s="1"/>
      <c r="K131" s="17" t="str">
        <f ca="1">IF(L131="",SearchHLookup(G131&amp;" "&amp;H131&amp;" "&amp;I131,Categorieën!$B$1:$P$30),L131)</f>
        <v/>
      </c>
    </row>
    <row r="132" spans="1:11">
      <c r="A132" s="1"/>
      <c r="F132" s="1"/>
      <c r="K132" s="17" t="str">
        <f ca="1">IF(L132="",SearchHLookup(G132&amp;" "&amp;H132&amp;" "&amp;I132,Categorieën!$B$1:$P$30),L132)</f>
        <v/>
      </c>
    </row>
    <row r="133" spans="1:11">
      <c r="A133" s="1"/>
      <c r="F133" s="1"/>
      <c r="K133" s="17" t="str">
        <f ca="1">IF(L133="",SearchHLookup(G133&amp;" "&amp;H133&amp;" "&amp;I133,Categorieën!$B$1:$P$30),L133)</f>
        <v/>
      </c>
    </row>
    <row r="134" spans="1:11">
      <c r="A134" s="1"/>
      <c r="F134" s="1"/>
      <c r="K134" s="17" t="str">
        <f ca="1">IF(L134="",SearchHLookup(G134&amp;" "&amp;H134&amp;" "&amp;I134,Categorieën!$B$1:$P$30),L134)</f>
        <v/>
      </c>
    </row>
    <row r="135" spans="1:11">
      <c r="A135" s="1"/>
      <c r="F135" s="1"/>
      <c r="K135" s="17" t="str">
        <f ca="1">IF(L135="",SearchHLookup(G135&amp;" "&amp;H135&amp;" "&amp;I135,Categorieën!$B$1:$P$30),L135)</f>
        <v/>
      </c>
    </row>
    <row r="136" spans="1:11">
      <c r="A136" s="1"/>
      <c r="F136" s="1"/>
      <c r="K136" s="17" t="str">
        <f ca="1">IF(L136="",SearchHLookup(G136&amp;" "&amp;H136&amp;" "&amp;I136,Categorieën!$B$1:$P$30),L136)</f>
        <v/>
      </c>
    </row>
    <row r="137" spans="1:11">
      <c r="A137" s="1"/>
      <c r="F137" s="1"/>
      <c r="K137" s="17" t="str">
        <f ca="1">IF(L137="",SearchHLookup(G137&amp;" "&amp;H137&amp;" "&amp;I137,Categorieën!$B$1:$P$30),L137)</f>
        <v/>
      </c>
    </row>
    <row r="138" spans="1:11">
      <c r="A138" s="1"/>
      <c r="F138" s="1"/>
      <c r="K138" s="17" t="str">
        <f ca="1">IF(L138="",SearchHLookup(G138&amp;" "&amp;H138&amp;" "&amp;I138,Categorieën!$B$1:$P$30),L138)</f>
        <v/>
      </c>
    </row>
    <row r="139" spans="1:11">
      <c r="A139" s="1"/>
      <c r="D139" s="7"/>
      <c r="F139" s="1"/>
      <c r="K139" s="17" t="str">
        <f ca="1">IF(L139="",SearchHLookup(G139&amp;" "&amp;H139&amp;" "&amp;I139,Categorieën!$B$1:$P$30),L139)</f>
        <v/>
      </c>
    </row>
    <row r="140" spans="1:11">
      <c r="A140" s="1"/>
      <c r="F140" s="1"/>
      <c r="K140" s="17" t="str">
        <f ca="1">IF(L140="",SearchHLookup(G140&amp;" "&amp;H140&amp;" "&amp;I140,Categorieën!$B$1:$P$30),L140)</f>
        <v/>
      </c>
    </row>
    <row r="141" spans="1:11">
      <c r="A141" s="1"/>
      <c r="F141" s="1"/>
      <c r="K141" s="17" t="str">
        <f ca="1">IF(L141="",SearchHLookup(G141&amp;" "&amp;H141&amp;" "&amp;I141,Categorieën!$B$1:$P$30),L141)</f>
        <v/>
      </c>
    </row>
    <row r="142" spans="1:11">
      <c r="A142" s="1"/>
      <c r="D142" s="7"/>
      <c r="F142" s="1"/>
      <c r="K142" s="17" t="str">
        <f ca="1">IF(L142="",SearchHLookup(G142&amp;" "&amp;H142&amp;" "&amp;I142,Categorieën!$B$1:$P$30),L142)</f>
        <v/>
      </c>
    </row>
    <row r="143" spans="1:11">
      <c r="A143" s="1"/>
      <c r="F143" s="1"/>
      <c r="K143" s="17" t="str">
        <f ca="1">IF(L143="",SearchHLookup(G143&amp;" "&amp;H143&amp;" "&amp;I143,Categorieën!$B$1:$P$30),L143)</f>
        <v/>
      </c>
    </row>
    <row r="144" spans="1:11">
      <c r="A144" s="1"/>
      <c r="F144" s="1"/>
      <c r="K144" s="17" t="str">
        <f ca="1">IF(L144="",SearchHLookup(G144&amp;" "&amp;H144&amp;" "&amp;I144,Categorieën!$B$1:$P$30),L144)</f>
        <v/>
      </c>
    </row>
    <row r="145" spans="1:11">
      <c r="A145" s="1"/>
      <c r="F145" s="1"/>
      <c r="K145" s="17" t="str">
        <f ca="1">IF(L145="",SearchHLookup(G145&amp;" "&amp;H145&amp;" "&amp;I145,Categorieën!$B$1:$P$30),L145)</f>
        <v/>
      </c>
    </row>
    <row r="146" spans="1:11">
      <c r="A146" s="1"/>
      <c r="F146" s="1"/>
      <c r="K146" s="17" t="str">
        <f ca="1">IF(L146="",SearchHLookup(G146&amp;" "&amp;H146&amp;" "&amp;I146,Categorieën!$B$1:$P$30),L146)</f>
        <v/>
      </c>
    </row>
    <row r="147" spans="1:11">
      <c r="A147" s="1"/>
      <c r="F147" s="1"/>
      <c r="K147" s="17" t="str">
        <f ca="1">IF(L147="",SearchHLookup(G147&amp;" "&amp;H147&amp;" "&amp;I147,Categorieën!$B$1:$P$30),L147)</f>
        <v/>
      </c>
    </row>
    <row r="148" spans="1:11">
      <c r="A148" s="1"/>
      <c r="F148" s="1"/>
      <c r="K148" s="17" t="str">
        <f ca="1">IF(L148="",SearchHLookup(G148&amp;" "&amp;H148&amp;" "&amp;I148,Categorieën!$B$1:$P$30),L148)</f>
        <v/>
      </c>
    </row>
    <row r="149" spans="1:11">
      <c r="A149" s="1"/>
      <c r="F149" s="1"/>
      <c r="K149" s="17" t="str">
        <f ca="1">IF(L149="",SearchHLookup(G149&amp;" "&amp;H149&amp;" "&amp;I149,Categorieën!$B$1:$P$30),L149)</f>
        <v/>
      </c>
    </row>
    <row r="150" spans="1:11">
      <c r="A150" s="1"/>
      <c r="F150" s="1"/>
      <c r="K150" s="17" t="str">
        <f ca="1">IF(L150="",SearchHLookup(G150&amp;" "&amp;H150&amp;" "&amp;I150,Categorieën!$B$1:$P$30),L150)</f>
        <v/>
      </c>
    </row>
    <row r="151" spans="1:11">
      <c r="A151" s="1"/>
      <c r="D151" s="7"/>
      <c r="F151" s="1"/>
      <c r="K151" s="17" t="str">
        <f ca="1">IF(L151="",SearchHLookup(G151&amp;" "&amp;H151&amp;" "&amp;I151,Categorieën!$B$1:$P$30),L151)</f>
        <v/>
      </c>
    </row>
    <row r="152" spans="1:11">
      <c r="A152" s="1"/>
      <c r="F152" s="1"/>
      <c r="K152" s="17" t="str">
        <f ca="1">IF(L152="",SearchHLookup(G152&amp;" "&amp;H152&amp;" "&amp;I152,Categorieën!$B$1:$P$30),L152)</f>
        <v/>
      </c>
    </row>
    <row r="153" spans="1:11">
      <c r="A153" s="1"/>
      <c r="F153" s="1"/>
      <c r="K153" s="17" t="str">
        <f ca="1">IF(L153="",SearchHLookup(G153&amp;" "&amp;H153&amp;" "&amp;I153,Categorieën!$B$1:$P$30),L153)</f>
        <v/>
      </c>
    </row>
    <row r="154" spans="1:11">
      <c r="A154" s="1"/>
      <c r="F154" s="1"/>
      <c r="K154" s="17" t="str">
        <f ca="1">IF(L154="",SearchHLookup(G154&amp;" "&amp;H154&amp;" "&amp;I154,Categorieën!$B$1:$P$30),L154)</f>
        <v/>
      </c>
    </row>
    <row r="155" spans="1:11">
      <c r="A155" s="1"/>
      <c r="F155" s="1"/>
      <c r="K155" s="17" t="str">
        <f ca="1">IF(L155="",SearchHLookup(G155&amp;" "&amp;H155&amp;" "&amp;I155,Categorieën!$B$1:$P$30),L155)</f>
        <v/>
      </c>
    </row>
    <row r="156" spans="1:11">
      <c r="A156" s="1"/>
      <c r="F156" s="1"/>
      <c r="K156" s="17" t="str">
        <f ca="1">IF(L156="",SearchHLookup(G156&amp;" "&amp;H156&amp;" "&amp;I156,Categorieën!$B$1:$P$30),L156)</f>
        <v/>
      </c>
    </row>
    <row r="157" spans="1:11">
      <c r="A157" s="1"/>
      <c r="F157" s="1"/>
      <c r="K157" s="17" t="str">
        <f ca="1">IF(L157="",SearchHLookup(G157&amp;" "&amp;H157&amp;" "&amp;I157,Categorieën!$B$1:$P$30),L157)</f>
        <v/>
      </c>
    </row>
    <row r="158" spans="1:11">
      <c r="A158" s="1"/>
      <c r="F158" s="1"/>
      <c r="K158" s="17" t="str">
        <f ca="1">IF(L158="",SearchHLookup(G158&amp;" "&amp;H158&amp;" "&amp;I158,Categorieën!$B$1:$P$30),L158)</f>
        <v/>
      </c>
    </row>
    <row r="159" spans="1:11">
      <c r="A159" s="1"/>
      <c r="F159" s="1"/>
      <c r="K159" s="17" t="str">
        <f ca="1">IF(L159="",SearchHLookup(G159&amp;" "&amp;H159&amp;" "&amp;I159,Categorieën!$B$1:$P$30),L159)</f>
        <v/>
      </c>
    </row>
    <row r="160" spans="1:11">
      <c r="A160" s="1"/>
      <c r="D160" s="7"/>
      <c r="F160" s="1"/>
      <c r="K160" s="17" t="str">
        <f ca="1">IF(L160="",SearchHLookup(G160&amp;" "&amp;H160&amp;" "&amp;I160,Categorieën!$B$1:$P$30),L160)</f>
        <v/>
      </c>
    </row>
    <row r="161" spans="1:11">
      <c r="A161" s="1"/>
      <c r="F161" s="1"/>
      <c r="K161" s="17" t="str">
        <f ca="1">IF(L161="",SearchHLookup(G161&amp;" "&amp;H161&amp;" "&amp;I161,Categorieën!$B$1:$P$30),L161)</f>
        <v/>
      </c>
    </row>
    <row r="162" spans="1:11">
      <c r="A162" s="1"/>
      <c r="F162" s="1"/>
      <c r="K162" s="17" t="str">
        <f ca="1">IF(L162="",SearchHLookup(G162&amp;" "&amp;H162&amp;" "&amp;I162,Categorieën!$B$1:$P$30),L162)</f>
        <v/>
      </c>
    </row>
    <row r="163" spans="1:11">
      <c r="A163" s="1"/>
      <c r="F163" s="1"/>
      <c r="K163" s="17" t="str">
        <f ca="1">IF(L163="",SearchHLookup(G163&amp;" "&amp;H163&amp;" "&amp;I163,Categorieën!$B$1:$P$30),L163)</f>
        <v/>
      </c>
    </row>
    <row r="164" spans="1:11">
      <c r="A164" s="1"/>
      <c r="F164" s="1"/>
      <c r="K164" s="17" t="str">
        <f ca="1">IF(L164="",SearchHLookup(G164&amp;" "&amp;H164&amp;" "&amp;I164,Categorieën!$B$1:$P$30),L164)</f>
        <v/>
      </c>
    </row>
    <row r="165" spans="1:11">
      <c r="A165" s="1"/>
      <c r="F165" s="1"/>
      <c r="K165" s="17" t="str">
        <f ca="1">IF(L165="",SearchHLookup(G165&amp;" "&amp;H165&amp;" "&amp;I165,Categorieën!$B$1:$P$30),L165)</f>
        <v/>
      </c>
    </row>
    <row r="166" spans="1:11">
      <c r="A166" s="1"/>
      <c r="F166" s="1"/>
      <c r="K166" s="17" t="str">
        <f ca="1">IF(L166="",SearchHLookup(G166&amp;" "&amp;H166&amp;" "&amp;I166,Categorieën!$B$1:$P$30),L166)</f>
        <v/>
      </c>
    </row>
    <row r="167" spans="1:11">
      <c r="A167" s="1"/>
      <c r="F167" s="1"/>
      <c r="K167" s="17" t="str">
        <f ca="1">IF(L167="",SearchHLookup(G167&amp;" "&amp;H167&amp;" "&amp;I167,Categorieën!$B$1:$P$30),L167)</f>
        <v/>
      </c>
    </row>
    <row r="168" spans="1:11">
      <c r="A168" s="1"/>
      <c r="F168" s="1"/>
      <c r="K168" s="17" t="str">
        <f ca="1">IF(L168="",SearchHLookup(G168&amp;" "&amp;H168&amp;" "&amp;I168,Categorieën!$B$1:$P$30),L168)</f>
        <v/>
      </c>
    </row>
    <row r="169" spans="1:11">
      <c r="A169" s="1"/>
      <c r="F169" s="1"/>
      <c r="K169" s="17" t="str">
        <f ca="1">IF(L169="",SearchHLookup(G169&amp;" "&amp;H169&amp;" "&amp;I169,Categorieën!$B$1:$P$30),L169)</f>
        <v/>
      </c>
    </row>
    <row r="170" spans="1:11">
      <c r="A170" s="1"/>
      <c r="F170" s="1"/>
      <c r="K170" s="17" t="str">
        <f ca="1">IF(L170="",SearchHLookup(G170&amp;" "&amp;H170&amp;" "&amp;I170,Categorieën!$B$1:$P$30),L170)</f>
        <v/>
      </c>
    </row>
    <row r="171" spans="1:11">
      <c r="A171" s="1"/>
      <c r="F171" s="1"/>
      <c r="K171" s="17" t="str">
        <f ca="1">IF(L171="",SearchHLookup(G171&amp;" "&amp;H171&amp;" "&amp;I171,Categorieën!$B$1:$P$30),L171)</f>
        <v/>
      </c>
    </row>
    <row r="172" spans="1:11">
      <c r="A172" s="1"/>
      <c r="F172" s="1"/>
      <c r="K172" s="17" t="str">
        <f ca="1">IF(L172="",SearchHLookup(G172&amp;" "&amp;H172&amp;" "&amp;I172,Categorieën!$B$1:$P$30),L172)</f>
        <v/>
      </c>
    </row>
    <row r="173" spans="1:11">
      <c r="A173" s="1"/>
      <c r="D173" s="7"/>
      <c r="F173" s="1"/>
      <c r="K173" s="17" t="str">
        <f ca="1">IF(L173="",SearchHLookup(G173&amp;" "&amp;H173&amp;" "&amp;I173,Categorieën!$B$1:$P$30),L173)</f>
        <v/>
      </c>
    </row>
    <row r="174" spans="1:11">
      <c r="A174" s="1"/>
      <c r="F174" s="1"/>
      <c r="K174" s="17" t="str">
        <f ca="1">IF(L174="",SearchHLookup(G174&amp;" "&amp;H174&amp;" "&amp;I174,Categorieën!$B$1:$P$30),L174)</f>
        <v/>
      </c>
    </row>
    <row r="175" spans="1:11">
      <c r="A175" s="1"/>
      <c r="F175" s="1"/>
      <c r="K175" s="17" t="str">
        <f ca="1">IF(L175="",SearchHLookup(G175&amp;" "&amp;H175&amp;" "&amp;I175,Categorieën!$B$1:$P$30),L175)</f>
        <v/>
      </c>
    </row>
    <row r="176" spans="1:11">
      <c r="A176" s="1"/>
      <c r="F176" s="1"/>
      <c r="K176" s="17" t="str">
        <f ca="1">IF(L176="",SearchHLookup(G176&amp;" "&amp;H176&amp;" "&amp;I176,Categorieën!$B$1:$P$30),L176)</f>
        <v/>
      </c>
    </row>
    <row r="177" spans="1:11">
      <c r="A177" s="1"/>
      <c r="F177" s="1"/>
      <c r="K177" s="17" t="str">
        <f ca="1">IF(L177="",SearchHLookup(G177&amp;" "&amp;H177&amp;" "&amp;I177,Categorieën!$B$1:$P$30),L177)</f>
        <v/>
      </c>
    </row>
    <row r="178" spans="1:11">
      <c r="A178" s="1"/>
      <c r="F178" s="1"/>
      <c r="K178" s="17" t="str">
        <f ca="1">IF(L178="",SearchHLookup(G178&amp;" "&amp;H178&amp;" "&amp;I178,Categorieën!$B$1:$P$30),L178)</f>
        <v/>
      </c>
    </row>
    <row r="179" spans="1:11">
      <c r="A179" s="1"/>
      <c r="F179" s="1"/>
      <c r="K179" s="17" t="str">
        <f ca="1">IF(L179="",SearchHLookup(G179&amp;" "&amp;H179&amp;" "&amp;I179,Categorieën!$B$1:$P$30),L179)</f>
        <v/>
      </c>
    </row>
    <row r="180" spans="1:11">
      <c r="A180" s="1"/>
      <c r="F180" s="1"/>
      <c r="K180" s="17" t="str">
        <f ca="1">IF(L180="",SearchHLookup(G180&amp;" "&amp;H180&amp;" "&amp;I180,Categorieën!$B$1:$P$30),L180)</f>
        <v/>
      </c>
    </row>
    <row r="181" spans="1:11">
      <c r="A181" s="1"/>
      <c r="F181" s="1"/>
      <c r="K181" s="17" t="str">
        <f ca="1">IF(L181="",SearchHLookup(G181&amp;" "&amp;H181&amp;" "&amp;I181,Categorieën!$B$1:$P$30),L181)</f>
        <v/>
      </c>
    </row>
    <row r="182" spans="1:11">
      <c r="A182" s="1"/>
      <c r="F182" s="1"/>
      <c r="K182" s="17" t="str">
        <f ca="1">IF(L182="",SearchHLookup(G182&amp;" "&amp;H182&amp;" "&amp;I182,Categorieën!$B$1:$P$30),L182)</f>
        <v/>
      </c>
    </row>
    <row r="183" spans="1:11">
      <c r="A183" s="1"/>
      <c r="F183" s="1"/>
      <c r="K183" s="17" t="str">
        <f ca="1">IF(L183="",SearchHLookup(G183&amp;" "&amp;H183&amp;" "&amp;I183,Categorieën!$B$1:$P$30),L183)</f>
        <v/>
      </c>
    </row>
    <row r="184" spans="1:11">
      <c r="A184" s="1"/>
      <c r="F184" s="1"/>
      <c r="K184" s="17" t="str">
        <f ca="1">IF(L184="",SearchHLookup(G184&amp;" "&amp;H184&amp;" "&amp;I184,Categorieën!$B$1:$P$30),L184)</f>
        <v/>
      </c>
    </row>
    <row r="185" spans="1:11">
      <c r="A185" s="1"/>
      <c r="F185" s="1"/>
      <c r="K185" s="17" t="str">
        <f ca="1">IF(L185="",SearchHLookup(G185&amp;" "&amp;H185&amp;" "&amp;I185,Categorieën!$B$1:$P$30),L185)</f>
        <v/>
      </c>
    </row>
    <row r="186" spans="1:11">
      <c r="A186" s="1"/>
      <c r="F186" s="1"/>
      <c r="K186" s="17" t="str">
        <f ca="1">IF(L186="",SearchHLookup(G186&amp;" "&amp;H186&amp;" "&amp;I186,Categorieën!$B$1:$P$30),L186)</f>
        <v/>
      </c>
    </row>
    <row r="187" spans="1:11">
      <c r="A187" s="1"/>
      <c r="D187" s="7"/>
      <c r="F187" s="1"/>
      <c r="K187" s="17" t="str">
        <f ca="1">IF(L187="",SearchHLookup(G187&amp;" "&amp;H187&amp;" "&amp;I187,Categorieën!$B$1:$P$30),L187)</f>
        <v/>
      </c>
    </row>
    <row r="188" spans="1:11">
      <c r="A188" s="1"/>
      <c r="F188" s="1"/>
      <c r="K188" s="17" t="str">
        <f ca="1">IF(L188="",SearchHLookup(G188&amp;" "&amp;H188&amp;" "&amp;I188,Categorieën!$B$1:$P$30),L188)</f>
        <v/>
      </c>
    </row>
    <row r="189" spans="1:11">
      <c r="A189" s="1"/>
      <c r="F189" s="1"/>
      <c r="K189" s="17" t="str">
        <f ca="1">IF(L189="",SearchHLookup(G189&amp;" "&amp;H189&amp;" "&amp;I189,Categorieën!$B$1:$P$30),L189)</f>
        <v/>
      </c>
    </row>
    <row r="190" spans="1:11">
      <c r="A190" s="1"/>
      <c r="D190" s="7"/>
      <c r="F190" s="1"/>
      <c r="K190" s="17" t="str">
        <f ca="1">IF(L190="",SearchHLookup(G190&amp;" "&amp;H190&amp;" "&amp;I190,Categorieën!$B$1:$P$30),L190)</f>
        <v/>
      </c>
    </row>
    <row r="191" spans="1:11">
      <c r="A191" s="1"/>
      <c r="F191" s="1"/>
      <c r="K191" s="17" t="str">
        <f ca="1">IF(L191="",SearchHLookup(G191&amp;" "&amp;H191&amp;" "&amp;I191,Categorieën!$B$1:$P$30),L191)</f>
        <v/>
      </c>
    </row>
    <row r="192" spans="1:11">
      <c r="A192" s="1"/>
      <c r="F192" s="1"/>
      <c r="K192" s="17" t="str">
        <f ca="1">IF(L192="",SearchHLookup(G192&amp;" "&amp;H192&amp;" "&amp;I192,Categorieën!$B$1:$P$30),L192)</f>
        <v/>
      </c>
    </row>
    <row r="193" spans="1:11">
      <c r="A193" s="1"/>
      <c r="F193" s="1"/>
      <c r="K193" s="17" t="str">
        <f ca="1">IF(L193="",SearchHLookup(G193&amp;" "&amp;H193&amp;" "&amp;I193,Categorieën!$B$1:$P$30),L193)</f>
        <v/>
      </c>
    </row>
    <row r="194" spans="1:11">
      <c r="A194" s="1"/>
      <c r="F194" s="1"/>
      <c r="K194" s="17" t="str">
        <f ca="1">IF(L194="",SearchHLookup(G194&amp;" "&amp;H194&amp;" "&amp;I194,Categorieën!$B$1:$P$30),L194)</f>
        <v/>
      </c>
    </row>
    <row r="195" spans="1:11">
      <c r="A195" s="1"/>
      <c r="F195" s="1"/>
      <c r="K195" s="17" t="str">
        <f ca="1">IF(L195="",SearchHLookup(G195&amp;" "&amp;H195&amp;" "&amp;I195,Categorieën!$B$1:$P$30),L195)</f>
        <v/>
      </c>
    </row>
    <row r="196" spans="1:11">
      <c r="A196" s="1"/>
      <c r="F196" s="1"/>
      <c r="K196" s="17" t="str">
        <f ca="1">IF(L196="",SearchHLookup(G196&amp;" "&amp;H196&amp;" "&amp;I196,Categorieën!$B$1:$P$30),L196)</f>
        <v/>
      </c>
    </row>
    <row r="197" spans="1:11">
      <c r="A197" s="1"/>
      <c r="F197" s="1"/>
      <c r="K197" s="17" t="str">
        <f ca="1">IF(L197="",SearchHLookup(G197&amp;" "&amp;H197&amp;" "&amp;I197,Categorieën!$B$1:$P$30),L197)</f>
        <v/>
      </c>
    </row>
    <row r="198" spans="1:11">
      <c r="A198" s="1"/>
      <c r="F198" s="1"/>
      <c r="K198" s="17" t="str">
        <f ca="1">IF(L198="",SearchHLookup(G198&amp;" "&amp;H198&amp;" "&amp;I198,Categorieën!$B$1:$P$30),L198)</f>
        <v/>
      </c>
    </row>
    <row r="199" spans="1:11">
      <c r="A199" s="1"/>
      <c r="F199" s="1"/>
      <c r="K199" s="17" t="str">
        <f ca="1">IF(L199="",SearchHLookup(G199&amp;" "&amp;H199&amp;" "&amp;I199,Categorieën!$B$1:$P$30),L199)</f>
        <v/>
      </c>
    </row>
    <row r="200" spans="1:11">
      <c r="A200" s="1"/>
      <c r="F200" s="1"/>
      <c r="K200" s="17" t="str">
        <f ca="1">IF(L200="",SearchHLookup(G200&amp;" "&amp;H200&amp;" "&amp;I200,Categorieën!$B$1:$P$30),L200)</f>
        <v/>
      </c>
    </row>
    <row r="201" spans="1:11">
      <c r="A201" s="1"/>
      <c r="D201" s="7"/>
      <c r="F201" s="1"/>
      <c r="K201" s="17" t="str">
        <f ca="1">IF(L201="",SearchHLookup(G201&amp;" "&amp;H201&amp;" "&amp;I201,Categorieën!$B$1:$P$30),L201)</f>
        <v/>
      </c>
    </row>
    <row r="202" spans="1:11">
      <c r="A202" s="1"/>
      <c r="F202" s="1"/>
      <c r="K202" s="17" t="str">
        <f ca="1">IF(L202="",SearchHLookup(G202&amp;" "&amp;H202&amp;" "&amp;I202,Categorieën!$B$1:$P$30),L202)</f>
        <v/>
      </c>
    </row>
    <row r="203" spans="1:11">
      <c r="A203" s="1"/>
      <c r="D203" s="7"/>
      <c r="F203" s="1"/>
      <c r="K203" s="17" t="str">
        <f ca="1">IF(L203="",SearchHLookup(G203&amp;" "&amp;H203&amp;" "&amp;I203,Categorieën!$B$1:$P$30),L203)</f>
        <v/>
      </c>
    </row>
    <row r="204" spans="1:11">
      <c r="A204" s="1"/>
      <c r="D204" s="7"/>
      <c r="F204" s="1"/>
      <c r="K204" s="17" t="str">
        <f ca="1">IF(L204="",SearchHLookup(G204&amp;" "&amp;H204&amp;" "&amp;I204,Categorieën!$B$1:$P$30),L204)</f>
        <v/>
      </c>
    </row>
    <row r="205" spans="1:11">
      <c r="A205" s="1"/>
      <c r="F205" s="1"/>
      <c r="K205" s="17" t="str">
        <f ca="1">IF(L205="",SearchHLookup(G205&amp;" "&amp;H205&amp;" "&amp;I205,Categorieën!$B$1:$P$30),L205)</f>
        <v/>
      </c>
    </row>
    <row r="206" spans="1:11">
      <c r="A206" s="1"/>
      <c r="F206" s="1"/>
      <c r="K206" s="17" t="str">
        <f ca="1">IF(L206="",SearchHLookup(G206&amp;" "&amp;H206&amp;" "&amp;I206,Categorieën!$B$1:$P$30),L206)</f>
        <v/>
      </c>
    </row>
    <row r="207" spans="1:11">
      <c r="A207" s="1"/>
      <c r="F207" s="1"/>
      <c r="K207" s="17" t="str">
        <f ca="1">IF(L207="",SearchHLookup(G207&amp;" "&amp;H207&amp;" "&amp;I207,Categorieën!$B$1:$P$30),L207)</f>
        <v/>
      </c>
    </row>
    <row r="208" spans="1:11">
      <c r="A208" s="1"/>
      <c r="F208" s="1"/>
      <c r="K208" s="17" t="str">
        <f ca="1">IF(L208="",SearchHLookup(G208&amp;" "&amp;H208&amp;" "&amp;I208,Categorieën!$B$1:$P$30),L208)</f>
        <v/>
      </c>
    </row>
    <row r="209" spans="1:11">
      <c r="A209" s="1"/>
      <c r="F209" s="1"/>
      <c r="K209" s="17" t="str">
        <f ca="1">IF(L209="",SearchHLookup(G209&amp;" "&amp;H209&amp;" "&amp;I209,Categorieën!$B$1:$P$30),L209)</f>
        <v/>
      </c>
    </row>
    <row r="210" spans="1:11">
      <c r="A210" s="1"/>
      <c r="F210" s="1"/>
      <c r="K210" s="17" t="str">
        <f ca="1">IF(L210="",SearchHLookup(G210&amp;" "&amp;H210&amp;" "&amp;I210,Categorieën!$B$1:$P$30),L210)</f>
        <v/>
      </c>
    </row>
    <row r="211" spans="1:11">
      <c r="A211" s="1"/>
      <c r="D211" s="7"/>
      <c r="F211" s="1"/>
      <c r="K211" s="17" t="str">
        <f ca="1">IF(L211="",SearchHLookup(G211&amp;" "&amp;H211&amp;" "&amp;I211,Categorieën!$B$1:$P$30),L211)</f>
        <v/>
      </c>
    </row>
    <row r="212" spans="1:11">
      <c r="A212" s="1"/>
      <c r="F212" s="1"/>
      <c r="K212" s="17" t="str">
        <f ca="1">IF(L212="",SearchHLookup(G212&amp;" "&amp;H212&amp;" "&amp;I212,Categorieën!$B$1:$P$30),L212)</f>
        <v/>
      </c>
    </row>
    <row r="213" spans="1:11">
      <c r="A213" s="1"/>
      <c r="F213" s="1"/>
      <c r="K213" s="17" t="str">
        <f ca="1">IF(L213="",SearchHLookup(G213&amp;" "&amp;H213&amp;" "&amp;I213,Categorieën!$B$1:$P$30),L213)</f>
        <v/>
      </c>
    </row>
    <row r="214" spans="1:11">
      <c r="A214" s="1"/>
      <c r="D214" s="7"/>
      <c r="F214" s="1"/>
      <c r="K214" s="17" t="str">
        <f ca="1">IF(L214="",SearchHLookup(G214&amp;" "&amp;H214&amp;" "&amp;I214,Categorieën!$B$1:$P$30),L214)</f>
        <v/>
      </c>
    </row>
    <row r="215" spans="1:11">
      <c r="A215" s="1"/>
      <c r="F215" s="1"/>
      <c r="K215" s="17" t="str">
        <f ca="1">IF(L215="",SearchHLookup(G215&amp;" "&amp;H215&amp;" "&amp;I215,Categorieën!$B$1:$P$30),L215)</f>
        <v/>
      </c>
    </row>
    <row r="216" spans="1:11">
      <c r="A216" s="1"/>
      <c r="F216" s="1"/>
      <c r="K216" s="17" t="str">
        <f ca="1">IF(L216="",SearchHLookup(G216&amp;" "&amp;H216&amp;" "&amp;I216,Categorieën!$B$1:$P$30),L216)</f>
        <v/>
      </c>
    </row>
    <row r="217" spans="1:11">
      <c r="A217" s="1"/>
      <c r="F217" s="1"/>
      <c r="K217" s="17" t="str">
        <f ca="1">IF(L217="",SearchHLookup(G217&amp;" "&amp;H217&amp;" "&amp;I217,Categorieën!$B$1:$P$30),L217)</f>
        <v/>
      </c>
    </row>
    <row r="218" spans="1:11">
      <c r="A218" s="1"/>
      <c r="F218" s="1"/>
      <c r="K218" s="17" t="str">
        <f ca="1">IF(L218="",SearchHLookup(G218&amp;" "&amp;H218&amp;" "&amp;I218,Categorieën!$B$1:$P$30),L218)</f>
        <v/>
      </c>
    </row>
    <row r="219" spans="1:11">
      <c r="A219" s="1"/>
      <c r="F219" s="1"/>
      <c r="K219" s="17" t="str">
        <f ca="1">IF(L219="",SearchHLookup(G219&amp;" "&amp;H219&amp;" "&amp;I219,Categorieën!$B$1:$P$30),L219)</f>
        <v/>
      </c>
    </row>
    <row r="220" spans="1:11">
      <c r="A220" s="1"/>
      <c r="F220" s="1"/>
      <c r="K220" s="17" t="str">
        <f ca="1">IF(L220="",SearchHLookup(G220&amp;" "&amp;H220&amp;" "&amp;I220,Categorieën!$B$1:$P$30),L220)</f>
        <v/>
      </c>
    </row>
    <row r="221" spans="1:11">
      <c r="A221" s="1"/>
      <c r="F221" s="1"/>
      <c r="K221" s="17" t="str">
        <f ca="1">IF(L221="",SearchHLookup(G221&amp;" "&amp;H221&amp;" "&amp;I221,Categorieën!$B$1:$P$30),L221)</f>
        <v/>
      </c>
    </row>
    <row r="222" spans="1:11">
      <c r="A222" s="1"/>
      <c r="F222" s="1"/>
      <c r="K222" s="17" t="str">
        <f ca="1">IF(L222="",SearchHLookup(G222&amp;" "&amp;H222&amp;" "&amp;I222,Categorieën!$B$1:$P$30),L222)</f>
        <v/>
      </c>
    </row>
    <row r="223" spans="1:11">
      <c r="A223" s="1"/>
      <c r="F223" s="1"/>
      <c r="K223" s="17" t="str">
        <f ca="1">IF(L223="",SearchHLookup(G223&amp;" "&amp;H223&amp;" "&amp;I223,Categorieën!$B$1:$P$30),L223)</f>
        <v/>
      </c>
    </row>
    <row r="224" spans="1:11">
      <c r="A224" s="1"/>
      <c r="F224" s="1"/>
      <c r="J224" s="1"/>
      <c r="K224" s="17" t="str">
        <f ca="1">IF(L224="",SearchHLookup(G224&amp;" "&amp;H224&amp;" "&amp;I224,Categorieën!$B$1:$P$30),L224)</f>
        <v/>
      </c>
    </row>
    <row r="225" spans="1:11">
      <c r="A225" s="1"/>
      <c r="F225" s="1"/>
      <c r="K225" s="17" t="str">
        <f ca="1">IF(L225="",SearchHLookup(G225&amp;" "&amp;H225&amp;" "&amp;I225,Categorieën!$B$1:$P$30),L225)</f>
        <v/>
      </c>
    </row>
    <row r="226" spans="1:11">
      <c r="A226" s="1"/>
      <c r="F226" s="1"/>
      <c r="K226" s="17" t="str">
        <f ca="1">IF(L226="",SearchHLookup(G226&amp;" "&amp;H226&amp;" "&amp;I226,Categorieën!$B$1:$P$30),L226)</f>
        <v/>
      </c>
    </row>
    <row r="227" spans="1:11">
      <c r="A227" s="1"/>
      <c r="F227" s="1"/>
      <c r="K227" s="17" t="str">
        <f ca="1">IF(L227="",SearchHLookup(G227&amp;" "&amp;H227&amp;" "&amp;I227,Categorieën!$B$1:$P$30),L227)</f>
        <v/>
      </c>
    </row>
    <row r="228" spans="1:11">
      <c r="A228" s="1"/>
      <c r="F228" s="1"/>
      <c r="K228" s="17" t="str">
        <f ca="1">IF(L228="",SearchHLookup(G228&amp;" "&amp;H228&amp;" "&amp;I228,Categorieën!$B$1:$P$30),L228)</f>
        <v/>
      </c>
    </row>
    <row r="229" spans="1:11">
      <c r="A229" s="1"/>
      <c r="F229" s="1"/>
      <c r="K229" s="17" t="str">
        <f ca="1">IF(L229="",SearchHLookup(G229&amp;" "&amp;H229&amp;" "&amp;I229,Categorieën!$B$1:$P$30),L229)</f>
        <v/>
      </c>
    </row>
    <row r="230" spans="1:11">
      <c r="A230" s="1"/>
      <c r="F230" s="1"/>
      <c r="K230" s="17" t="str">
        <f ca="1">IF(L230="",SearchHLookup(G230&amp;" "&amp;H230&amp;" "&amp;I230,Categorieën!$B$1:$P$30),L230)</f>
        <v/>
      </c>
    </row>
    <row r="231" spans="1:11">
      <c r="A231" s="1"/>
      <c r="F231" s="1"/>
      <c r="K231" s="17" t="str">
        <f ca="1">IF(L231="",SearchHLookup(G231&amp;" "&amp;H231&amp;" "&amp;I231,Categorieën!$B$1:$P$30),L231)</f>
        <v/>
      </c>
    </row>
    <row r="232" spans="1:11">
      <c r="A232" s="1"/>
      <c r="F232" s="1"/>
      <c r="K232" s="17" t="str">
        <f ca="1">IF(L232="",SearchHLookup(G232&amp;" "&amp;H232&amp;" "&amp;I232,Categorieën!$B$1:$P$30),L232)</f>
        <v/>
      </c>
    </row>
    <row r="233" spans="1:11">
      <c r="A233" s="1"/>
      <c r="F233" s="1"/>
      <c r="K233" s="17" t="str">
        <f ca="1">IF(L233="",SearchHLookup(G233&amp;" "&amp;H233&amp;" "&amp;I233,Categorieën!$B$1:$P$30),L233)</f>
        <v/>
      </c>
    </row>
    <row r="234" spans="1:11">
      <c r="A234" s="1"/>
      <c r="F234" s="1"/>
      <c r="K234" s="17" t="str">
        <f ca="1">IF(L234="",SearchHLookup(G234&amp;" "&amp;H234&amp;" "&amp;I234,Categorieën!$B$1:$P$30),L234)</f>
        <v/>
      </c>
    </row>
    <row r="235" spans="1:11">
      <c r="A235" s="1"/>
      <c r="F235" s="1"/>
      <c r="K235" s="17" t="str">
        <f ca="1">IF(L235="",SearchHLookup(G235&amp;" "&amp;H235&amp;" "&amp;I235,Categorieën!$B$1:$P$30),L235)</f>
        <v/>
      </c>
    </row>
    <row r="236" spans="1:11">
      <c r="A236" s="1"/>
      <c r="D236" s="7"/>
      <c r="F236" s="1"/>
      <c r="K236" s="17" t="str">
        <f ca="1">IF(L236="",SearchHLookup(G236&amp;" "&amp;H236&amp;" "&amp;I236,Categorieën!$B$1:$P$30),L236)</f>
        <v/>
      </c>
    </row>
    <row r="237" spans="1:11">
      <c r="A237" s="1"/>
      <c r="F237" s="1"/>
      <c r="K237" s="17" t="str">
        <f ca="1">IF(L237="",SearchHLookup(G237&amp;" "&amp;H237&amp;" "&amp;I237,Categorieën!$B$1:$P$30),L237)</f>
        <v/>
      </c>
    </row>
    <row r="238" spans="1:11">
      <c r="A238" s="1"/>
      <c r="F238" s="1"/>
      <c r="K238" s="17" t="str">
        <f ca="1">IF(L238="",SearchHLookup(G238&amp;" "&amp;H238&amp;" "&amp;I238,Categorieën!$B$1:$P$30),L238)</f>
        <v/>
      </c>
    </row>
    <row r="239" spans="1:11">
      <c r="A239" s="1"/>
      <c r="D239" s="7"/>
      <c r="F239" s="1"/>
      <c r="K239" s="17" t="str">
        <f ca="1">IF(L239="",SearchHLookup(G239&amp;" "&amp;H239&amp;" "&amp;I239,Categorieën!$B$1:$P$30),L239)</f>
        <v/>
      </c>
    </row>
    <row r="240" spans="1:11">
      <c r="A240" s="1"/>
      <c r="F240" s="1"/>
      <c r="K240" s="17" t="str">
        <f ca="1">IF(L240="",SearchHLookup(G240&amp;" "&amp;H240&amp;" "&amp;I240,Categorieën!$B$1:$P$30),L240)</f>
        <v/>
      </c>
    </row>
    <row r="241" spans="1:11">
      <c r="A241" s="1"/>
      <c r="F241" s="1"/>
      <c r="K241" s="17" t="str">
        <f ca="1">IF(L241="",SearchHLookup(G241&amp;" "&amp;H241&amp;" "&amp;I241,Categorieën!$B$1:$P$30),L241)</f>
        <v/>
      </c>
    </row>
    <row r="242" spans="1:11">
      <c r="A242" s="1"/>
      <c r="F242" s="1"/>
      <c r="K242" s="17" t="str">
        <f ca="1">IF(L242="",SearchHLookup(G242&amp;" "&amp;H242&amp;" "&amp;I242,Categorieën!$B$1:$P$30),L242)</f>
        <v/>
      </c>
    </row>
    <row r="243" spans="1:11">
      <c r="A243" s="1"/>
      <c r="F243" s="1"/>
      <c r="K243" s="17" t="str">
        <f ca="1">IF(L243="",SearchHLookup(G243&amp;" "&amp;H243&amp;" "&amp;I243,Categorieën!$B$1:$P$30),L243)</f>
        <v/>
      </c>
    </row>
    <row r="244" spans="1:11">
      <c r="A244" s="1"/>
      <c r="F244" s="1"/>
      <c r="K244" s="17" t="str">
        <f ca="1">IF(L244="",SearchHLookup(G244&amp;" "&amp;H244&amp;" "&amp;I244,Categorieën!$B$1:$P$30),L244)</f>
        <v/>
      </c>
    </row>
    <row r="245" spans="1:11">
      <c r="A245" s="1"/>
      <c r="F245" s="1"/>
      <c r="K245" s="17" t="str">
        <f ca="1">IF(L245="",SearchHLookup(G245&amp;" "&amp;H245&amp;" "&amp;I245,Categorieën!$B$1:$P$30),L245)</f>
        <v/>
      </c>
    </row>
    <row r="246" spans="1:11">
      <c r="A246" s="1"/>
      <c r="D246" s="7"/>
      <c r="F246" s="1"/>
      <c r="K246" s="17" t="str">
        <f ca="1">IF(L246="",SearchHLookup(G246&amp;" "&amp;H246&amp;" "&amp;I246,Categorieën!$B$1:$P$30),L246)</f>
        <v/>
      </c>
    </row>
    <row r="247" spans="1:11">
      <c r="A247" s="1"/>
      <c r="D247" s="7"/>
      <c r="F247" s="1"/>
      <c r="K247" s="17" t="str">
        <f ca="1">IF(L247="",SearchHLookup(G247&amp;" "&amp;H247&amp;" "&amp;I247,Categorieën!$B$1:$P$30),L247)</f>
        <v/>
      </c>
    </row>
    <row r="248" spans="1:11">
      <c r="A248" s="1"/>
      <c r="F248" s="1"/>
      <c r="K248" s="17" t="str">
        <f ca="1">IF(L248="",SearchHLookup(G248&amp;" "&amp;H248&amp;" "&amp;I248,Categorieën!$B$1:$P$30),L248)</f>
        <v/>
      </c>
    </row>
    <row r="249" spans="1:11">
      <c r="A249" s="1"/>
      <c r="F249" s="1"/>
      <c r="K249" s="17" t="str">
        <f ca="1">IF(L249="",SearchHLookup(G249&amp;" "&amp;H249&amp;" "&amp;I249,Categorieën!$B$1:$P$30),L249)</f>
        <v/>
      </c>
    </row>
    <row r="250" spans="1:11">
      <c r="A250" s="1"/>
      <c r="F250" s="1"/>
      <c r="K250" s="17" t="str">
        <f ca="1">IF(L250="",SearchHLookup(G250&amp;" "&amp;H250&amp;" "&amp;I250,Categorieën!$B$1:$P$30),L250)</f>
        <v/>
      </c>
    </row>
    <row r="251" spans="1:11">
      <c r="A251" s="1"/>
      <c r="F251" s="1"/>
      <c r="K251" s="17" t="str">
        <f ca="1">IF(L251="",SearchHLookup(G251&amp;" "&amp;H251&amp;" "&amp;I251,Categorieën!$B$1:$P$30),L251)</f>
        <v/>
      </c>
    </row>
    <row r="252" spans="1:11">
      <c r="A252" s="1"/>
      <c r="F252" s="1"/>
      <c r="K252" s="17" t="str">
        <f ca="1">IF(L252="",SearchHLookup(G252&amp;" "&amp;H252&amp;" "&amp;I252,Categorieën!$B$1:$P$30),L252)</f>
        <v/>
      </c>
    </row>
    <row r="253" spans="1:11">
      <c r="A253" s="1"/>
      <c r="F253" s="1"/>
      <c r="K253" s="17" t="str">
        <f ca="1">IF(L253="",SearchHLookup(G253&amp;" "&amp;H253&amp;" "&amp;I253,Categorieën!$B$1:$P$30),L253)</f>
        <v/>
      </c>
    </row>
    <row r="254" spans="1:11">
      <c r="A254" s="1"/>
      <c r="F254" s="1"/>
      <c r="K254" s="17" t="str">
        <f ca="1">IF(L254="",SearchHLookup(G254&amp;" "&amp;H254&amp;" "&amp;I254,Categorieën!$B$1:$P$30),L254)</f>
        <v/>
      </c>
    </row>
    <row r="255" spans="1:11">
      <c r="A255" s="1"/>
      <c r="F255" s="1"/>
      <c r="K255" s="17" t="str">
        <f ca="1">IF(L255="",SearchHLookup(G255&amp;" "&amp;H255&amp;" "&amp;I255,Categorieën!$B$1:$P$30),L255)</f>
        <v/>
      </c>
    </row>
    <row r="256" spans="1:11">
      <c r="A256" s="1"/>
      <c r="F256" s="1"/>
      <c r="K256" s="17" t="str">
        <f ca="1">IF(L256="",SearchHLookup(G256&amp;" "&amp;H256&amp;" "&amp;I256,Categorieën!$B$1:$P$30),L256)</f>
        <v/>
      </c>
    </row>
    <row r="257" spans="1:11">
      <c r="A257" s="1"/>
      <c r="F257" s="1"/>
      <c r="K257" s="17" t="str">
        <f ca="1">IF(L257="",SearchHLookup(G257&amp;" "&amp;H257&amp;" "&amp;I257,Categorieën!$B$1:$P$30),L257)</f>
        <v/>
      </c>
    </row>
    <row r="258" spans="1:11">
      <c r="A258" s="1"/>
      <c r="F258" s="1"/>
      <c r="K258" s="17" t="str">
        <f ca="1">IF(L258="",SearchHLookup(G258&amp;" "&amp;H258&amp;" "&amp;I258,Categorieën!$B$1:$P$30),L258)</f>
        <v/>
      </c>
    </row>
    <row r="259" spans="1:11">
      <c r="A259" s="1"/>
      <c r="F259" s="1"/>
      <c r="K259" s="17" t="str">
        <f ca="1">IF(L259="",SearchHLookup(G259&amp;" "&amp;H259&amp;" "&amp;I259,Categorieën!$B$1:$P$30),L259)</f>
        <v/>
      </c>
    </row>
    <row r="260" spans="1:11">
      <c r="A260" s="1"/>
      <c r="F260" s="1"/>
      <c r="K260" s="17" t="str">
        <f ca="1">IF(L260="",SearchHLookup(G260&amp;" "&amp;H260&amp;" "&amp;I260,Categorieën!$B$1:$P$30),L260)</f>
        <v/>
      </c>
    </row>
    <row r="261" spans="1:11">
      <c r="A261" s="1"/>
      <c r="F261" s="1"/>
      <c r="K261" s="17" t="str">
        <f ca="1">IF(L261="",SearchHLookup(G261&amp;" "&amp;H261&amp;" "&amp;I261,Categorieën!$B$1:$P$30),L261)</f>
        <v/>
      </c>
    </row>
    <row r="262" spans="1:11">
      <c r="A262" s="1"/>
      <c r="F262" s="1"/>
      <c r="K262" s="17" t="str">
        <f ca="1">IF(L262="",SearchHLookup(G262&amp;" "&amp;H262&amp;" "&amp;I262,Categorieën!$B$1:$P$30),L262)</f>
        <v/>
      </c>
    </row>
    <row r="263" spans="1:11">
      <c r="A263" s="1"/>
      <c r="F263" s="1"/>
      <c r="K263" s="17" t="str">
        <f ca="1">IF(L263="",SearchHLookup(G263&amp;" "&amp;H263&amp;" "&amp;I263,Categorieën!$B$1:$P$30),L263)</f>
        <v/>
      </c>
    </row>
    <row r="264" spans="1:11">
      <c r="A264" s="1"/>
      <c r="D264" s="7"/>
      <c r="F264" s="1"/>
      <c r="K264" s="17" t="str">
        <f ca="1">IF(L264="",SearchHLookup(G264&amp;" "&amp;H264&amp;" "&amp;I264,Categorieën!$B$1:$P$30),L264)</f>
        <v/>
      </c>
    </row>
    <row r="265" spans="1:11">
      <c r="A265" s="1"/>
      <c r="F265" s="1"/>
      <c r="K265" s="17" t="str">
        <f ca="1">IF(L265="",SearchHLookup(G265&amp;" "&amp;H265&amp;" "&amp;I265,Categorieën!$B$1:$P$30),L265)</f>
        <v/>
      </c>
    </row>
    <row r="266" spans="1:11">
      <c r="A266" s="1"/>
      <c r="F266" s="1"/>
      <c r="K266" s="17" t="str">
        <f ca="1">IF(L266="",SearchHLookup(G266&amp;" "&amp;H266&amp;" "&amp;I266,Categorieën!$B$1:$P$30),L266)</f>
        <v/>
      </c>
    </row>
    <row r="267" spans="1:11">
      <c r="A267" s="1"/>
      <c r="F267" s="1"/>
      <c r="K267" s="17" t="str">
        <f ca="1">IF(L267="",SearchHLookup(G267&amp;" "&amp;H267&amp;" "&amp;I267,Categorieën!$B$1:$P$30),L267)</f>
        <v/>
      </c>
    </row>
    <row r="268" spans="1:11">
      <c r="A268" s="1"/>
      <c r="F268" s="1"/>
      <c r="K268" s="17" t="str">
        <f ca="1">IF(L268="",SearchHLookup(G268&amp;" "&amp;H268&amp;" "&amp;I268,Categorieën!$B$1:$P$30),L268)</f>
        <v/>
      </c>
    </row>
    <row r="269" spans="1:11">
      <c r="A269" s="1"/>
      <c r="F269" s="1"/>
      <c r="K269" s="17" t="str">
        <f ca="1">IF(L269="",SearchHLookup(G269&amp;" "&amp;H269&amp;" "&amp;I269,Categorieën!$B$1:$P$30),L269)</f>
        <v/>
      </c>
    </row>
    <row r="270" spans="1:11">
      <c r="A270" s="1"/>
      <c r="D270" s="7"/>
      <c r="F270" s="1"/>
      <c r="K270" s="17" t="str">
        <f ca="1">IF(L270="",SearchHLookup(G270&amp;" "&amp;H270&amp;" "&amp;I270,Categorieën!$B$1:$P$30),L270)</f>
        <v/>
      </c>
    </row>
    <row r="271" spans="1:11">
      <c r="A271" s="1"/>
      <c r="F271" s="1"/>
      <c r="K271" s="17" t="str">
        <f ca="1">IF(L271="",SearchHLookup(G271&amp;" "&amp;H271&amp;" "&amp;I271,Categorieën!$B$1:$P$30),L271)</f>
        <v/>
      </c>
    </row>
    <row r="272" spans="1:11">
      <c r="A272" s="1"/>
      <c r="F272" s="1"/>
      <c r="K272" s="17" t="str">
        <f ca="1">IF(L272="",SearchHLookup(G272&amp;" "&amp;H272&amp;" "&amp;I272,Categorieën!$B$1:$P$30),L272)</f>
        <v/>
      </c>
    </row>
    <row r="273" spans="1:11">
      <c r="A273" s="1"/>
      <c r="F273" s="1"/>
      <c r="K273" s="17" t="str">
        <f ca="1">IF(L273="",SearchHLookup(G273&amp;" "&amp;H273&amp;" "&amp;I273,Categorieën!$B$1:$P$30),L273)</f>
        <v/>
      </c>
    </row>
    <row r="274" spans="1:11">
      <c r="A274" s="1"/>
      <c r="F274" s="1"/>
      <c r="K274" s="17" t="str">
        <f ca="1">IF(L274="",SearchHLookup(G274&amp;" "&amp;H274&amp;" "&amp;I274,Categorieën!$B$1:$P$30),L274)</f>
        <v/>
      </c>
    </row>
    <row r="275" spans="1:11">
      <c r="A275" s="1"/>
      <c r="F275" s="1"/>
      <c r="K275" s="17" t="str">
        <f ca="1">IF(L275="",SearchHLookup(G275&amp;" "&amp;H275&amp;" "&amp;I275,Categorieën!$B$1:$P$30),L275)</f>
        <v/>
      </c>
    </row>
    <row r="276" spans="1:11">
      <c r="A276" s="1"/>
      <c r="F276" s="1"/>
      <c r="K276" s="17" t="str">
        <f ca="1">IF(L276="",SearchHLookup(G276&amp;" "&amp;H276&amp;" "&amp;I276,Categorieën!$B$1:$P$30),L276)</f>
        <v/>
      </c>
    </row>
    <row r="277" spans="1:11">
      <c r="A277" s="1"/>
      <c r="F277" s="1"/>
      <c r="K277" s="17" t="str">
        <f ca="1">IF(L277="",SearchHLookup(G277&amp;" "&amp;H277&amp;" "&amp;I277,Categorieën!$B$1:$P$30),L277)</f>
        <v/>
      </c>
    </row>
    <row r="278" spans="1:11">
      <c r="A278" s="1"/>
      <c r="F278" s="1"/>
      <c r="K278" s="17" t="str">
        <f ca="1">IF(L278="",SearchHLookup(G278&amp;" "&amp;H278&amp;" "&amp;I278,Categorieën!$B$1:$P$30),L278)</f>
        <v/>
      </c>
    </row>
    <row r="279" spans="1:11">
      <c r="A279" s="1"/>
      <c r="D279" s="7"/>
      <c r="F279" s="1"/>
      <c r="K279" s="17" t="str">
        <f ca="1">IF(L279="",SearchHLookup(G279&amp;" "&amp;H279&amp;" "&amp;I279,Categorieën!$B$1:$P$30),L279)</f>
        <v/>
      </c>
    </row>
    <row r="280" spans="1:11">
      <c r="A280" s="1"/>
      <c r="F280" s="1"/>
      <c r="K280" s="17" t="str">
        <f ca="1">IF(L280="",SearchHLookup(G280&amp;" "&amp;H280&amp;" "&amp;I280,Categorieën!$B$1:$P$30),L280)</f>
        <v/>
      </c>
    </row>
    <row r="281" spans="1:11">
      <c r="A281" s="1"/>
      <c r="F281" s="1"/>
      <c r="K281" s="17" t="str">
        <f ca="1">IF(L281="",SearchHLookup(G281&amp;" "&amp;H281&amp;" "&amp;I281,Categorieën!$B$1:$P$30),L281)</f>
        <v/>
      </c>
    </row>
    <row r="282" spans="1:11">
      <c r="A282" s="1"/>
      <c r="F282" s="1"/>
      <c r="K282" s="17" t="str">
        <f ca="1">IF(L282="",SearchHLookup(G282&amp;" "&amp;H282&amp;" "&amp;I282,Categorieën!$B$1:$P$30),L282)</f>
        <v/>
      </c>
    </row>
    <row r="283" spans="1:11">
      <c r="A283" s="1"/>
      <c r="F283" s="1"/>
      <c r="K283" s="17" t="str">
        <f ca="1">IF(L283="",SearchHLookup(G283&amp;" "&amp;H283&amp;" "&amp;I283,Categorieën!$B$1:$P$30),L283)</f>
        <v/>
      </c>
    </row>
    <row r="284" spans="1:11">
      <c r="A284" s="1"/>
      <c r="F284" s="1"/>
      <c r="K284" s="17" t="str">
        <f ca="1">IF(L284="",SearchHLookup(G284&amp;" "&amp;H284&amp;" "&amp;I284,Categorieën!$B$1:$P$30),L284)</f>
        <v/>
      </c>
    </row>
    <row r="285" spans="1:11">
      <c r="A285" s="1"/>
      <c r="F285" s="1"/>
      <c r="K285" s="17" t="str">
        <f ca="1">IF(L285="",SearchHLookup(G285&amp;" "&amp;H285&amp;" "&amp;I285,Categorieën!$B$1:$P$30),L285)</f>
        <v/>
      </c>
    </row>
    <row r="286" spans="1:11">
      <c r="A286" s="1"/>
      <c r="F286" s="1"/>
      <c r="K286" s="17" t="str">
        <f ca="1">IF(L286="",SearchHLookup(G286&amp;" "&amp;H286&amp;" "&amp;I286,Categorieën!$B$1:$P$30),L286)</f>
        <v/>
      </c>
    </row>
    <row r="287" spans="1:11">
      <c r="A287" s="1"/>
      <c r="D287" s="7"/>
      <c r="F287" s="1"/>
      <c r="K287" s="17" t="str">
        <f ca="1">IF(L287="",SearchHLookup(G287&amp;" "&amp;H287&amp;" "&amp;I287,Categorieën!$B$1:$P$30),L287)</f>
        <v/>
      </c>
    </row>
    <row r="288" spans="1:11">
      <c r="A288" s="1"/>
      <c r="F288" s="1"/>
      <c r="K288" s="17" t="str">
        <f ca="1">IF(L288="",SearchHLookup(G288&amp;" "&amp;H288&amp;" "&amp;I288,Categorieën!$B$1:$P$30),L288)</f>
        <v/>
      </c>
    </row>
    <row r="289" spans="1:11">
      <c r="A289" s="1"/>
      <c r="F289" s="1"/>
      <c r="K289" s="17" t="str">
        <f ca="1">IF(L289="",SearchHLookup(G289&amp;" "&amp;H289&amp;" "&amp;I289,Categorieën!$B$1:$P$30),L289)</f>
        <v/>
      </c>
    </row>
    <row r="290" spans="1:11">
      <c r="A290" s="1"/>
      <c r="F290" s="1"/>
      <c r="K290" s="17" t="str">
        <f ca="1">IF(L290="",SearchHLookup(G290&amp;" "&amp;H290&amp;" "&amp;I290,Categorieën!$B$1:$P$30),L290)</f>
        <v/>
      </c>
    </row>
    <row r="291" spans="1:11">
      <c r="A291" s="1"/>
      <c r="F291" s="1"/>
      <c r="K291" s="17" t="str">
        <f ca="1">IF(L291="",SearchHLookup(G291&amp;" "&amp;H291&amp;" "&amp;I291,Categorieën!$B$1:$P$30),L291)</f>
        <v/>
      </c>
    </row>
    <row r="292" spans="1:11">
      <c r="A292" s="1"/>
      <c r="D292" s="7"/>
      <c r="F292" s="1"/>
      <c r="K292" s="17" t="str">
        <f ca="1">IF(L292="",SearchHLookup(G292&amp;" "&amp;H292&amp;" "&amp;I292,Categorieën!$B$1:$P$30),L292)</f>
        <v/>
      </c>
    </row>
    <row r="293" spans="1:11">
      <c r="A293" s="1"/>
      <c r="F293" s="1"/>
      <c r="K293" s="17" t="str">
        <f ca="1">IF(L293="",SearchHLookup(G293&amp;" "&amp;H293&amp;" "&amp;I293,Categorieën!$B$1:$P$30),L293)</f>
        <v/>
      </c>
    </row>
    <row r="294" spans="1:11">
      <c r="A294" s="1"/>
      <c r="F294" s="1"/>
      <c r="K294" s="17" t="str">
        <f ca="1">IF(L294="",SearchHLookup(G294&amp;" "&amp;H294&amp;" "&amp;I294,Categorieën!$B$1:$P$30),L294)</f>
        <v/>
      </c>
    </row>
    <row r="295" spans="1:11">
      <c r="A295" s="1"/>
      <c r="D295" s="7"/>
      <c r="F295" s="1"/>
      <c r="K295" s="17" t="str">
        <f ca="1">IF(L295="",SearchHLookup(G295&amp;" "&amp;H295&amp;" "&amp;I295,Categorieën!$B$1:$P$30),L295)</f>
        <v/>
      </c>
    </row>
    <row r="296" spans="1:11">
      <c r="A296" s="1"/>
      <c r="F296" s="1"/>
      <c r="K296" s="17" t="str">
        <f ca="1">IF(L296="",SearchHLookup(G296&amp;" "&amp;H296&amp;" "&amp;I296,Categorieën!$B$1:$P$30),L296)</f>
        <v/>
      </c>
    </row>
    <row r="297" spans="1:11" collapsed="1">
      <c r="A297" s="1"/>
      <c r="F297" s="1"/>
      <c r="K297" s="17" t="str">
        <f ca="1">IF(L297="",SearchHLookup(G297&amp;" "&amp;H297&amp;" "&amp;I297,Categorieën!$B$1:$P$30),L297)</f>
        <v/>
      </c>
    </row>
    <row r="298" spans="1:11">
      <c r="A298" s="1"/>
      <c r="D298" s="7"/>
      <c r="F298" s="1"/>
      <c r="K298" s="17" t="str">
        <f ca="1">IF(L298="",SearchHLookup(G298&amp;" "&amp;H298&amp;" "&amp;I298,Categorieën!$B$1:$P$30),L298)</f>
        <v/>
      </c>
    </row>
    <row r="299" spans="1:11">
      <c r="A299" s="1"/>
      <c r="F299" s="1"/>
      <c r="K299" s="17" t="str">
        <f ca="1">IF(L299="",SearchHLookup(G299&amp;" "&amp;H299&amp;" "&amp;I299,Categorieën!$B$1:$P$30),L299)</f>
        <v/>
      </c>
    </row>
    <row r="300" spans="1:11">
      <c r="A300" s="1"/>
      <c r="F300" s="1"/>
      <c r="K300" s="17" t="str">
        <f ca="1">IF(L300="",SearchHLookup(G300&amp;" "&amp;H300&amp;" "&amp;I300,Categorieën!$B$1:$P$30),L300)</f>
        <v/>
      </c>
    </row>
    <row r="301" spans="1:11">
      <c r="A301" s="1"/>
      <c r="F301" s="1"/>
    </row>
    <row r="302" spans="1:11">
      <c r="A302" s="1"/>
      <c r="F302" s="1"/>
    </row>
    <row r="303" spans="1:11">
      <c r="A303" s="1"/>
      <c r="F303" s="1"/>
    </row>
    <row r="304" spans="1:11">
      <c r="A304" s="1"/>
      <c r="F304" s="1"/>
    </row>
    <row r="305" spans="1:6">
      <c r="A305" s="1"/>
      <c r="F305" s="1"/>
    </row>
    <row r="306" spans="1:6">
      <c r="A306" s="1"/>
      <c r="F306" s="1"/>
    </row>
    <row r="307" spans="1:6">
      <c r="A307" s="1"/>
      <c r="F307" s="1"/>
    </row>
    <row r="308" spans="1:6">
      <c r="A308" s="1"/>
      <c r="F308" s="1"/>
    </row>
    <row r="309" spans="1:6">
      <c r="A309" s="1"/>
      <c r="D309" s="7"/>
      <c r="F309" s="1"/>
    </row>
    <row r="310" spans="1:6">
      <c r="A310" s="1"/>
      <c r="F310" s="1"/>
    </row>
    <row r="311" spans="1:6">
      <c r="A311" s="1"/>
      <c r="F311" s="1"/>
    </row>
    <row r="312" spans="1:6">
      <c r="A312" s="1"/>
      <c r="F312" s="1"/>
    </row>
    <row r="313" spans="1:6">
      <c r="A313" s="1"/>
      <c r="F313" s="1"/>
    </row>
    <row r="314" spans="1:6">
      <c r="A314" s="1"/>
      <c r="F314" s="1"/>
    </row>
    <row r="315" spans="1:6">
      <c r="A315" s="1"/>
      <c r="F315" s="1"/>
    </row>
    <row r="316" spans="1:6">
      <c r="A316" s="1"/>
      <c r="F316" s="1"/>
    </row>
    <row r="317" spans="1:6">
      <c r="A317" s="1"/>
      <c r="D317" s="7"/>
      <c r="F317" s="1"/>
    </row>
    <row r="318" spans="1:6">
      <c r="A318" s="1"/>
      <c r="F318" s="1"/>
    </row>
    <row r="319" spans="1:6">
      <c r="A319" s="1"/>
      <c r="F319" s="1"/>
    </row>
    <row r="320" spans="1:6">
      <c r="A320" s="1"/>
      <c r="D320" s="7"/>
      <c r="F320" s="1"/>
    </row>
    <row r="321" spans="1:6">
      <c r="A321" s="1"/>
      <c r="F321" s="1"/>
    </row>
    <row r="322" spans="1:6">
      <c r="A322" s="1"/>
      <c r="F322" s="1"/>
    </row>
    <row r="323" spans="1:6">
      <c r="A323" s="1"/>
      <c r="F323" s="1"/>
    </row>
    <row r="324" spans="1:6">
      <c r="A324" s="1"/>
      <c r="F324" s="1"/>
    </row>
    <row r="325" spans="1:6">
      <c r="A325" s="1"/>
      <c r="F325" s="1"/>
    </row>
    <row r="326" spans="1:6">
      <c r="A326" s="1"/>
      <c r="F326" s="1"/>
    </row>
    <row r="327" spans="1:6">
      <c r="A327" s="1"/>
      <c r="F327" s="1"/>
    </row>
    <row r="328" spans="1:6">
      <c r="A328" s="1"/>
      <c r="F328" s="1"/>
    </row>
    <row r="329" spans="1:6">
      <c r="A329" s="1"/>
      <c r="D329" s="7"/>
      <c r="F329" s="1"/>
    </row>
    <row r="330" spans="1:6">
      <c r="A330" s="1"/>
      <c r="F330" s="1"/>
    </row>
    <row r="331" spans="1:6">
      <c r="A331" s="1"/>
      <c r="F331" s="1"/>
    </row>
    <row r="332" spans="1:6">
      <c r="A332" s="1"/>
      <c r="F332" s="1"/>
    </row>
    <row r="333" spans="1:6">
      <c r="A333" s="1"/>
      <c r="F333" s="1"/>
    </row>
    <row r="334" spans="1:6">
      <c r="A334" s="1"/>
      <c r="F334" s="1"/>
    </row>
    <row r="335" spans="1:6">
      <c r="A335" s="1"/>
      <c r="F335" s="1"/>
    </row>
    <row r="336" spans="1:6">
      <c r="A336" s="1"/>
      <c r="F336" s="1"/>
    </row>
    <row r="337" spans="1:6">
      <c r="A337" s="1"/>
      <c r="F337" s="1"/>
    </row>
    <row r="338" spans="1:6">
      <c r="A338" s="1"/>
      <c r="F338" s="1"/>
    </row>
    <row r="339" spans="1:6">
      <c r="A339" s="1"/>
      <c r="D339" s="7"/>
      <c r="F339" s="1"/>
    </row>
    <row r="340" spans="1:6">
      <c r="A340" s="1"/>
      <c r="F340" s="1"/>
    </row>
    <row r="341" spans="1:6">
      <c r="A341" s="1"/>
      <c r="F341" s="1"/>
    </row>
    <row r="342" spans="1:6">
      <c r="A342" s="1"/>
      <c r="F342" s="1"/>
    </row>
    <row r="343" spans="1:6">
      <c r="A343" s="1"/>
      <c r="F343" s="1"/>
    </row>
    <row r="344" spans="1:6">
      <c r="A344" s="1"/>
      <c r="F344" s="1"/>
    </row>
    <row r="345" spans="1:6">
      <c r="A345" s="1"/>
      <c r="F345" s="1"/>
    </row>
    <row r="346" spans="1:6">
      <c r="A346" s="1"/>
      <c r="F346" s="1"/>
    </row>
    <row r="347" spans="1:6">
      <c r="A347" s="1"/>
      <c r="F347" s="1"/>
    </row>
    <row r="348" spans="1:6">
      <c r="A348" s="1"/>
      <c r="F348" s="1"/>
    </row>
    <row r="349" spans="1:6">
      <c r="A349" s="1"/>
      <c r="F349" s="1"/>
    </row>
    <row r="350" spans="1:6">
      <c r="A350" s="1"/>
      <c r="F350" s="1"/>
    </row>
    <row r="351" spans="1:6">
      <c r="A351" s="1"/>
      <c r="F351" s="1"/>
    </row>
    <row r="352" spans="1:6">
      <c r="A352" s="1"/>
      <c r="F352" s="1"/>
    </row>
    <row r="353" spans="1:6">
      <c r="A353" s="1"/>
      <c r="D353" s="7"/>
      <c r="F353" s="1"/>
    </row>
    <row r="354" spans="1:6">
      <c r="A354" s="1"/>
      <c r="F354" s="1"/>
    </row>
    <row r="355" spans="1:6">
      <c r="A355" s="1"/>
      <c r="D355" s="7"/>
      <c r="F355" s="1"/>
    </row>
    <row r="356" spans="1:6">
      <c r="A356" s="1"/>
      <c r="D356" s="7"/>
      <c r="F356" s="1"/>
    </row>
    <row r="357" spans="1:6">
      <c r="A357" s="1"/>
      <c r="F357" s="1"/>
    </row>
    <row r="358" spans="1:6">
      <c r="A358" s="1"/>
      <c r="D358" s="7"/>
      <c r="F358" s="1"/>
    </row>
    <row r="359" spans="1:6">
      <c r="A359" s="1"/>
      <c r="F359" s="1"/>
    </row>
    <row r="360" spans="1:6">
      <c r="A360" s="1"/>
      <c r="F360" s="1"/>
    </row>
    <row r="361" spans="1:6">
      <c r="A361" s="1"/>
      <c r="F361" s="1"/>
    </row>
    <row r="362" spans="1:6">
      <c r="A362" s="1"/>
      <c r="F362" s="1"/>
    </row>
    <row r="363" spans="1:6">
      <c r="A363" s="1"/>
      <c r="F363" s="1"/>
    </row>
    <row r="364" spans="1:6">
      <c r="A364" s="1"/>
      <c r="F364" s="1"/>
    </row>
    <row r="365" spans="1:6">
      <c r="A365" s="1"/>
      <c r="F365" s="1"/>
    </row>
    <row r="366" spans="1:6">
      <c r="A366" s="1"/>
      <c r="D366" s="7"/>
      <c r="F366" s="1"/>
    </row>
    <row r="367" spans="1:6">
      <c r="A367" s="1"/>
      <c r="F367" s="1"/>
    </row>
    <row r="368" spans="1:6">
      <c r="A368" s="1"/>
      <c r="D368" s="7"/>
      <c r="F368" s="1"/>
    </row>
    <row r="369" spans="1:6">
      <c r="A369" s="1"/>
      <c r="F369" s="1"/>
    </row>
    <row r="370" spans="1:6">
      <c r="A370" s="1"/>
      <c r="F370" s="1"/>
    </row>
    <row r="371" spans="1:6">
      <c r="A371" s="1"/>
      <c r="F371" s="1"/>
    </row>
    <row r="372" spans="1:6">
      <c r="A372" s="1"/>
      <c r="F372" s="1"/>
    </row>
    <row r="373" spans="1:6">
      <c r="A373" s="1"/>
      <c r="F373" s="1"/>
    </row>
    <row r="374" spans="1:6">
      <c r="A374" s="1"/>
      <c r="F374" s="1"/>
    </row>
    <row r="375" spans="1:6">
      <c r="A375" s="1"/>
      <c r="F375" s="1"/>
    </row>
    <row r="376" spans="1:6">
      <c r="A376" s="1"/>
      <c r="F376" s="1"/>
    </row>
    <row r="377" spans="1:6">
      <c r="A377" s="1"/>
      <c r="F377" s="1"/>
    </row>
    <row r="378" spans="1:6">
      <c r="A378" s="1"/>
      <c r="F378" s="1"/>
    </row>
    <row r="379" spans="1:6">
      <c r="A379" s="1"/>
      <c r="F379" s="1"/>
    </row>
    <row r="380" spans="1:6">
      <c r="A380" s="1"/>
      <c r="F380" s="1"/>
    </row>
    <row r="381" spans="1:6">
      <c r="A381" s="1"/>
      <c r="D381" s="7"/>
      <c r="F381" s="1"/>
    </row>
    <row r="382" spans="1:6">
      <c r="A382" s="1"/>
      <c r="F382" s="1"/>
    </row>
    <row r="383" spans="1:6">
      <c r="A383" s="1"/>
      <c r="D383" s="7"/>
      <c r="F383" s="1"/>
    </row>
    <row r="384" spans="1:6">
      <c r="A384" s="1"/>
      <c r="F384" s="1"/>
    </row>
    <row r="385" spans="1:6">
      <c r="A385" s="1"/>
      <c r="F385" s="1"/>
    </row>
    <row r="386" spans="1:6">
      <c r="A386" s="1"/>
      <c r="F386" s="1"/>
    </row>
    <row r="387" spans="1:6">
      <c r="A387" s="1"/>
      <c r="F387" s="1"/>
    </row>
    <row r="388" spans="1:6">
      <c r="A388" s="1"/>
      <c r="F388" s="1"/>
    </row>
    <row r="389" spans="1:6">
      <c r="A389" s="1"/>
      <c r="D389" s="7"/>
      <c r="F389" s="1"/>
    </row>
    <row r="390" spans="1:6">
      <c r="A390" s="1"/>
      <c r="F390" s="1"/>
    </row>
    <row r="391" spans="1:6">
      <c r="A391" s="1"/>
      <c r="D391" s="7"/>
      <c r="F391" s="1"/>
    </row>
    <row r="392" spans="1:6">
      <c r="A392" s="1"/>
      <c r="D392" s="7"/>
      <c r="F392" s="1"/>
    </row>
    <row r="393" spans="1:6">
      <c r="A393" s="1"/>
      <c r="F393" s="1"/>
    </row>
    <row r="394" spans="1:6">
      <c r="A394" s="1"/>
      <c r="F394" s="1"/>
    </row>
    <row r="395" spans="1:6">
      <c r="A395" s="1"/>
      <c r="D395" s="7"/>
      <c r="F395" s="1"/>
    </row>
    <row r="396" spans="1:6">
      <c r="A396" s="1"/>
      <c r="F396" s="1"/>
    </row>
    <row r="397" spans="1:6">
      <c r="A397" s="1"/>
      <c r="F397" s="1"/>
    </row>
    <row r="398" spans="1:6">
      <c r="A398" s="1"/>
      <c r="F398" s="1"/>
    </row>
    <row r="399" spans="1:6">
      <c r="A399" s="1"/>
      <c r="F399" s="1"/>
    </row>
    <row r="400" spans="1:6">
      <c r="A400" s="1"/>
      <c r="F400" s="1"/>
    </row>
    <row r="401" spans="1:6">
      <c r="A401" s="1"/>
      <c r="D401" s="7"/>
      <c r="F401" s="1"/>
    </row>
    <row r="402" spans="1:6">
      <c r="A402" s="1"/>
      <c r="F402" s="1"/>
    </row>
    <row r="403" spans="1:6">
      <c r="A403" s="1"/>
      <c r="F403" s="1"/>
    </row>
    <row r="404" spans="1:6">
      <c r="A404" s="1"/>
      <c r="F404" s="1"/>
    </row>
    <row r="405" spans="1:6">
      <c r="A405" s="1"/>
      <c r="F405" s="1"/>
    </row>
    <row r="406" spans="1:6">
      <c r="A406" s="1"/>
      <c r="F406" s="1"/>
    </row>
    <row r="407" spans="1:6">
      <c r="A407" s="1"/>
      <c r="D407" s="7"/>
      <c r="F407" s="1"/>
    </row>
    <row r="408" spans="1:6">
      <c r="A408" s="1"/>
      <c r="F408" s="1"/>
    </row>
    <row r="409" spans="1:6">
      <c r="A409" s="1"/>
      <c r="F409" s="1"/>
    </row>
    <row r="410" spans="1:6">
      <c r="A410" s="1"/>
      <c r="F410" s="1"/>
    </row>
    <row r="411" spans="1:6">
      <c r="A411" s="1"/>
      <c r="F411" s="1"/>
    </row>
    <row r="412" spans="1:6">
      <c r="A412" s="1"/>
      <c r="F412" s="1"/>
    </row>
    <row r="413" spans="1:6">
      <c r="A413" s="1"/>
      <c r="F413" s="1"/>
    </row>
    <row r="414" spans="1:6">
      <c r="A414" s="1"/>
      <c r="F414" s="1"/>
    </row>
    <row r="415" spans="1:6">
      <c r="A415" s="1"/>
      <c r="F415" s="1"/>
    </row>
    <row r="416" spans="1:6">
      <c r="A416" s="1"/>
      <c r="F416" s="1"/>
    </row>
    <row r="417" spans="1:6">
      <c r="A417" s="1"/>
      <c r="F417" s="1"/>
    </row>
    <row r="418" spans="1:6">
      <c r="A418" s="1"/>
      <c r="D418" s="7"/>
      <c r="F418" s="1"/>
    </row>
    <row r="419" spans="1:6">
      <c r="A419" s="1"/>
      <c r="F419" s="1"/>
    </row>
    <row r="420" spans="1:6">
      <c r="A420" s="1"/>
      <c r="F420" s="1"/>
    </row>
    <row r="421" spans="1:6">
      <c r="A421" s="1"/>
      <c r="D421" s="7"/>
      <c r="F421" s="1"/>
    </row>
    <row r="422" spans="1:6">
      <c r="A422" s="1"/>
      <c r="F422" s="1"/>
    </row>
    <row r="423" spans="1:6">
      <c r="A423" s="1"/>
      <c r="F423" s="1"/>
    </row>
    <row r="424" spans="1:6">
      <c r="A424" s="1"/>
      <c r="F424" s="1"/>
    </row>
    <row r="425" spans="1:6">
      <c r="A425" s="1"/>
      <c r="F425" s="1"/>
    </row>
    <row r="426" spans="1:6">
      <c r="A426" s="1"/>
      <c r="F426" s="1"/>
    </row>
    <row r="427" spans="1:6">
      <c r="A427" s="1"/>
      <c r="F427" s="1"/>
    </row>
    <row r="428" spans="1:6">
      <c r="A428" s="1"/>
      <c r="D428" s="7"/>
      <c r="F428" s="1"/>
    </row>
    <row r="429" spans="1:6">
      <c r="A429" s="1"/>
      <c r="F429" s="1"/>
    </row>
    <row r="430" spans="1:6">
      <c r="A430" s="1"/>
      <c r="D430" s="7"/>
      <c r="F430" s="1"/>
    </row>
    <row r="431" spans="1:6">
      <c r="A431" s="1"/>
      <c r="F431" s="1"/>
    </row>
    <row r="432" spans="1:6">
      <c r="A432" s="1"/>
      <c r="F432" s="1"/>
    </row>
    <row r="433" spans="1:6">
      <c r="A433" s="1"/>
      <c r="F433" s="1"/>
    </row>
    <row r="434" spans="1:6">
      <c r="A434" s="1"/>
      <c r="F434" s="1"/>
    </row>
    <row r="435" spans="1:6">
      <c r="A435" s="1"/>
      <c r="F435" s="1"/>
    </row>
    <row r="436" spans="1:6">
      <c r="A436" s="1"/>
      <c r="F436" s="1"/>
    </row>
    <row r="437" spans="1:6">
      <c r="A437" s="1"/>
      <c r="D437" s="7"/>
      <c r="F437" s="1"/>
    </row>
    <row r="438" spans="1:6">
      <c r="A438" s="1"/>
      <c r="F438" s="1"/>
    </row>
    <row r="439" spans="1:6">
      <c r="A439" s="1"/>
      <c r="F439" s="1"/>
    </row>
    <row r="440" spans="1:6">
      <c r="A440" s="1"/>
      <c r="F440" s="1"/>
    </row>
    <row r="441" spans="1:6">
      <c r="A441" s="1"/>
      <c r="D441" s="7"/>
      <c r="F441" s="1"/>
    </row>
    <row r="442" spans="1:6" collapsed="1">
      <c r="A442" s="1"/>
      <c r="F442" s="1"/>
    </row>
    <row r="443" spans="1:6">
      <c r="A443" s="1"/>
      <c r="F443" s="1"/>
    </row>
    <row r="444" spans="1:6">
      <c r="A444" s="1"/>
      <c r="F444" s="1"/>
    </row>
    <row r="445" spans="1:6">
      <c r="A445" s="1"/>
      <c r="D445" s="7"/>
      <c r="F445" s="1"/>
    </row>
    <row r="446" spans="1:6">
      <c r="A446" s="1"/>
      <c r="F446" s="1"/>
    </row>
    <row r="447" spans="1:6">
      <c r="A447" s="1"/>
      <c r="F447" s="1"/>
    </row>
    <row r="448" spans="1:6">
      <c r="A448" s="1"/>
      <c r="F448" s="1"/>
    </row>
    <row r="449" spans="1:6">
      <c r="A449" s="1"/>
      <c r="F449" s="1"/>
    </row>
    <row r="450" spans="1:6">
      <c r="A450" s="1"/>
      <c r="F450" s="1"/>
    </row>
    <row r="451" spans="1:6">
      <c r="A451" s="1"/>
      <c r="F451" s="1"/>
    </row>
    <row r="452" spans="1:6">
      <c r="A452" s="1"/>
      <c r="F452" s="1"/>
    </row>
    <row r="453" spans="1:6">
      <c r="A453" s="1"/>
      <c r="F453" s="1"/>
    </row>
    <row r="454" spans="1:6">
      <c r="A454" s="1"/>
      <c r="F454" s="1"/>
    </row>
    <row r="455" spans="1:6">
      <c r="A455" s="1"/>
      <c r="F455" s="1"/>
    </row>
    <row r="456" spans="1:6">
      <c r="A456" s="1"/>
      <c r="D456" s="7"/>
      <c r="F456" s="1"/>
    </row>
    <row r="457" spans="1:6">
      <c r="A457" s="1"/>
      <c r="F457" s="1"/>
    </row>
    <row r="458" spans="1:6">
      <c r="A458" s="1"/>
      <c r="F458" s="1"/>
    </row>
    <row r="459" spans="1:6">
      <c r="A459" s="1"/>
      <c r="D459" s="7"/>
      <c r="F459" s="1"/>
    </row>
    <row r="460" spans="1:6">
      <c r="A460" s="1"/>
      <c r="F460" s="1"/>
    </row>
    <row r="461" spans="1:6">
      <c r="A461" s="1"/>
      <c r="F461" s="1"/>
    </row>
    <row r="462" spans="1:6">
      <c r="A462" s="1"/>
      <c r="F462" s="1"/>
    </row>
    <row r="463" spans="1:6">
      <c r="A463" s="1"/>
      <c r="F463" s="1"/>
    </row>
    <row r="464" spans="1:6">
      <c r="A464" s="1"/>
      <c r="F464" s="1"/>
    </row>
    <row r="465" spans="1:6">
      <c r="A465" s="1"/>
      <c r="F465" s="1"/>
    </row>
    <row r="466" spans="1:6">
      <c r="A466" s="1"/>
      <c r="D466" s="7"/>
      <c r="F466" s="1"/>
    </row>
    <row r="467" spans="1:6">
      <c r="A467" s="1"/>
      <c r="F467" s="1"/>
    </row>
    <row r="468" spans="1:6">
      <c r="A468" s="1"/>
      <c r="F468" s="1"/>
    </row>
    <row r="469" spans="1:6">
      <c r="A469" s="1"/>
      <c r="D469" s="7"/>
      <c r="F469" s="1"/>
    </row>
    <row r="470" spans="1:6">
      <c r="A470" s="1"/>
      <c r="F470" s="1"/>
    </row>
    <row r="471" spans="1:6">
      <c r="A471" s="1"/>
      <c r="F471" s="1"/>
    </row>
    <row r="472" spans="1:6">
      <c r="A472" s="1"/>
      <c r="D472" s="7"/>
      <c r="F472" s="1"/>
    </row>
    <row r="473" spans="1:6">
      <c r="A473" s="1"/>
      <c r="D473" s="7"/>
      <c r="F473" s="1"/>
    </row>
    <row r="474" spans="1:6">
      <c r="A474" s="1"/>
      <c r="F474" s="1"/>
    </row>
    <row r="475" spans="1:6">
      <c r="A475" s="1"/>
      <c r="F475" s="1"/>
    </row>
    <row r="476" spans="1:6">
      <c r="A476" s="1"/>
      <c r="D476" s="7"/>
      <c r="F476" s="1"/>
    </row>
    <row r="477" spans="1:6">
      <c r="A477" s="1"/>
      <c r="F477" s="1"/>
    </row>
    <row r="478" spans="1:6">
      <c r="A478" s="1"/>
      <c r="F478" s="1"/>
    </row>
    <row r="479" spans="1:6">
      <c r="A479" s="1"/>
      <c r="F479" s="1"/>
    </row>
    <row r="480" spans="1:6">
      <c r="A480" s="1"/>
      <c r="D480" s="7"/>
      <c r="F480" s="1"/>
    </row>
    <row r="481" spans="1:6">
      <c r="A481" s="1"/>
      <c r="F481" s="1"/>
    </row>
    <row r="482" spans="1:6">
      <c r="A482" s="1"/>
      <c r="D482" s="7"/>
      <c r="F482" s="1"/>
    </row>
    <row r="483" spans="1:6">
      <c r="A483" s="1"/>
      <c r="F483" s="1"/>
    </row>
    <row r="484" spans="1:6">
      <c r="A484" s="1"/>
      <c r="D484" s="7"/>
      <c r="F484" s="1"/>
    </row>
    <row r="485" spans="1:6">
      <c r="A485" s="1"/>
      <c r="F485" s="1"/>
    </row>
    <row r="486" spans="1:6">
      <c r="A486" s="1"/>
      <c r="D486" s="7"/>
      <c r="F486" s="1"/>
    </row>
    <row r="487" spans="1:6">
      <c r="A487" s="1"/>
      <c r="F487" s="1"/>
    </row>
    <row r="488" spans="1:6">
      <c r="A488" s="1"/>
      <c r="F488" s="1"/>
    </row>
    <row r="489" spans="1:6">
      <c r="A489" s="1"/>
      <c r="F489" s="1"/>
    </row>
    <row r="490" spans="1:6">
      <c r="A490" s="1"/>
      <c r="F490" s="1"/>
    </row>
    <row r="491" spans="1:6">
      <c r="A491" s="1"/>
      <c r="F491" s="1"/>
    </row>
    <row r="492" spans="1:6">
      <c r="A492" s="1"/>
      <c r="F492" s="1"/>
    </row>
    <row r="493" spans="1:6">
      <c r="A493" s="1"/>
      <c r="F493" s="1"/>
    </row>
    <row r="494" spans="1:6">
      <c r="A494" s="1"/>
      <c r="F494" s="1"/>
    </row>
    <row r="495" spans="1:6">
      <c r="A495" s="1"/>
      <c r="F495" s="1"/>
    </row>
    <row r="496" spans="1:6">
      <c r="A496" s="1"/>
      <c r="F496" s="1"/>
    </row>
    <row r="497" spans="1:6">
      <c r="A497" s="1"/>
      <c r="D497" s="7"/>
      <c r="F497" s="1"/>
    </row>
    <row r="498" spans="1:6">
      <c r="A498" s="1"/>
      <c r="F498" s="1"/>
    </row>
    <row r="499" spans="1:6">
      <c r="A499" s="1"/>
      <c r="F499" s="1"/>
    </row>
    <row r="500" spans="1:6">
      <c r="A500" s="1"/>
      <c r="F500" s="1"/>
    </row>
    <row r="501" spans="1:6">
      <c r="A501" s="1"/>
      <c r="F501" s="1"/>
    </row>
    <row r="502" spans="1:6">
      <c r="A502" s="1"/>
      <c r="D502" s="7"/>
      <c r="F502" s="1"/>
    </row>
    <row r="503" spans="1:6">
      <c r="A503" s="1"/>
      <c r="F503" s="1"/>
    </row>
    <row r="504" spans="1:6">
      <c r="A504" s="1"/>
      <c r="F504" s="1"/>
    </row>
    <row r="505" spans="1:6">
      <c r="A505" s="1"/>
      <c r="F505" s="1"/>
    </row>
    <row r="506" spans="1:6">
      <c r="A506" s="1"/>
      <c r="F506" s="1"/>
    </row>
    <row r="507" spans="1:6">
      <c r="A507" s="1"/>
      <c r="F507" s="1"/>
    </row>
    <row r="508" spans="1:6">
      <c r="A508" s="1"/>
      <c r="F508" s="1"/>
    </row>
    <row r="509" spans="1:6">
      <c r="A509" s="1"/>
      <c r="F509" s="1"/>
    </row>
    <row r="510" spans="1:6">
      <c r="A510" s="1"/>
      <c r="F510" s="1"/>
    </row>
    <row r="511" spans="1:6">
      <c r="A511" s="1"/>
      <c r="F511" s="1"/>
    </row>
    <row r="512" spans="1:6">
      <c r="A512" s="1"/>
      <c r="F512" s="1"/>
    </row>
    <row r="513" spans="1:6">
      <c r="A513" s="1"/>
      <c r="F513" s="1"/>
    </row>
    <row r="514" spans="1:6">
      <c r="A514" s="1"/>
      <c r="D514" s="7"/>
      <c r="F514" s="1"/>
    </row>
    <row r="515" spans="1:6">
      <c r="A515" s="1"/>
      <c r="F515" s="1"/>
    </row>
    <row r="516" spans="1:6">
      <c r="A516" s="1"/>
      <c r="F516" s="1"/>
    </row>
    <row r="517" spans="1:6">
      <c r="A517" s="1"/>
      <c r="D517" s="7"/>
      <c r="F517" s="1"/>
    </row>
    <row r="518" spans="1:6">
      <c r="A518" s="1"/>
      <c r="D518" s="7"/>
      <c r="F518" s="1"/>
    </row>
    <row r="519" spans="1:6">
      <c r="A519" s="1"/>
      <c r="D519" s="7"/>
      <c r="F519" s="1"/>
    </row>
    <row r="520" spans="1:6">
      <c r="A520" s="1"/>
      <c r="F520" s="1"/>
    </row>
    <row r="521" spans="1:6">
      <c r="A521" s="1"/>
      <c r="F521" s="1"/>
    </row>
    <row r="522" spans="1:6">
      <c r="A522" s="1"/>
      <c r="D522" s="7"/>
      <c r="F522" s="1"/>
    </row>
    <row r="523" spans="1:6">
      <c r="A523" s="1"/>
      <c r="F523" s="1"/>
    </row>
    <row r="524" spans="1:6">
      <c r="A524" s="1"/>
      <c r="F524" s="1"/>
    </row>
    <row r="525" spans="1:6">
      <c r="A525" s="1"/>
      <c r="F525" s="1"/>
    </row>
    <row r="526" spans="1:6">
      <c r="A526" s="1"/>
      <c r="F526" s="1"/>
    </row>
    <row r="527" spans="1:6">
      <c r="A527" s="1"/>
      <c r="F527" s="1"/>
    </row>
    <row r="528" spans="1:6">
      <c r="A528" s="1"/>
      <c r="F528" s="1"/>
    </row>
    <row r="529" spans="1:6">
      <c r="A529" s="1"/>
      <c r="F529" s="1"/>
    </row>
    <row r="530" spans="1:6">
      <c r="A530" s="1"/>
      <c r="D530" s="7"/>
      <c r="F530" s="1"/>
    </row>
    <row r="531" spans="1:6">
      <c r="A531" s="1"/>
      <c r="F531" s="1"/>
    </row>
    <row r="532" spans="1:6">
      <c r="A532" s="1"/>
      <c r="D532" s="7"/>
      <c r="F532" s="1"/>
    </row>
    <row r="533" spans="1:6">
      <c r="A533" s="1"/>
      <c r="F533" s="1"/>
    </row>
    <row r="534" spans="1:6">
      <c r="A534" s="1"/>
      <c r="F534" s="1"/>
    </row>
    <row r="535" spans="1:6">
      <c r="A535" s="1"/>
      <c r="F535" s="1"/>
    </row>
    <row r="536" spans="1:6">
      <c r="A536" s="1"/>
      <c r="F536" s="1"/>
    </row>
    <row r="537" spans="1:6">
      <c r="A537" s="1"/>
      <c r="F537" s="1"/>
    </row>
    <row r="538" spans="1:6">
      <c r="A538" s="1"/>
      <c r="F538" s="1"/>
    </row>
    <row r="539" spans="1:6">
      <c r="A539" s="1"/>
      <c r="F539" s="1"/>
    </row>
    <row r="540" spans="1:6">
      <c r="A540" s="1"/>
      <c r="F540" s="1"/>
    </row>
    <row r="541" spans="1:6">
      <c r="A541" s="1"/>
      <c r="F541" s="1"/>
    </row>
    <row r="542" spans="1:6">
      <c r="A542" s="1"/>
      <c r="F542" s="1"/>
    </row>
    <row r="543" spans="1:6">
      <c r="A543" s="1"/>
      <c r="F543" s="1"/>
    </row>
    <row r="544" spans="1:6">
      <c r="A544" s="1"/>
      <c r="F544" s="1"/>
    </row>
    <row r="545" spans="1:6">
      <c r="A545" s="1"/>
      <c r="F545" s="1"/>
    </row>
    <row r="546" spans="1:6">
      <c r="A546" s="1"/>
      <c r="F546" s="1"/>
    </row>
    <row r="547" spans="1:6">
      <c r="A547" s="1"/>
      <c r="F547" s="1"/>
    </row>
    <row r="548" spans="1:6">
      <c r="A548" s="1"/>
      <c r="F548" s="1"/>
    </row>
    <row r="549" spans="1:6">
      <c r="A549" s="1"/>
      <c r="F549" s="1"/>
    </row>
    <row r="550" spans="1:6">
      <c r="A550" s="1"/>
      <c r="F550" s="1"/>
    </row>
    <row r="551" spans="1:6">
      <c r="A551" s="1"/>
      <c r="F551" s="1"/>
    </row>
    <row r="552" spans="1:6">
      <c r="A552" s="1"/>
      <c r="F552" s="1"/>
    </row>
    <row r="553" spans="1:6">
      <c r="A553" s="1"/>
      <c r="F553" s="1"/>
    </row>
    <row r="554" spans="1:6">
      <c r="A554" s="1"/>
      <c r="F554" s="1"/>
    </row>
    <row r="555" spans="1:6">
      <c r="A555" s="1"/>
      <c r="F555" s="1"/>
    </row>
    <row r="556" spans="1:6">
      <c r="A556" s="1"/>
      <c r="F556" s="1"/>
    </row>
    <row r="557" spans="1:6">
      <c r="A557" s="1"/>
      <c r="F557" s="1"/>
    </row>
    <row r="558" spans="1:6">
      <c r="A558" s="1"/>
      <c r="F558" s="1"/>
    </row>
    <row r="559" spans="1:6">
      <c r="A559" s="1"/>
      <c r="F559" s="1"/>
    </row>
    <row r="560" spans="1:6">
      <c r="A560" s="1"/>
      <c r="F560" s="1"/>
    </row>
    <row r="561" spans="1:6">
      <c r="A561" s="1"/>
      <c r="F561" s="1"/>
    </row>
    <row r="562" spans="1:6">
      <c r="A562" s="1"/>
      <c r="F562" s="1"/>
    </row>
    <row r="563" spans="1:6">
      <c r="A563" s="1"/>
      <c r="F563" s="1"/>
    </row>
    <row r="564" spans="1:6">
      <c r="A564" s="1"/>
      <c r="D564" s="7"/>
      <c r="F564" s="1"/>
    </row>
    <row r="565" spans="1:6">
      <c r="A565" s="1"/>
      <c r="F565" s="1"/>
    </row>
    <row r="566" spans="1:6">
      <c r="A566" s="1"/>
      <c r="F566" s="1"/>
    </row>
    <row r="567" spans="1:6">
      <c r="A567" s="1"/>
      <c r="F567" s="1"/>
    </row>
    <row r="568" spans="1:6">
      <c r="A568" s="1"/>
      <c r="F568" s="1"/>
    </row>
    <row r="569" spans="1:6">
      <c r="A569" s="1"/>
      <c r="F569" s="1"/>
    </row>
    <row r="570" spans="1:6">
      <c r="A570" s="1"/>
      <c r="F570" s="1"/>
    </row>
    <row r="571" spans="1:6">
      <c r="A571" s="1"/>
      <c r="F571" s="1"/>
    </row>
    <row r="572" spans="1:6">
      <c r="A572" s="1"/>
      <c r="F572" s="1"/>
    </row>
    <row r="573" spans="1:6">
      <c r="A573" s="1"/>
      <c r="F573" s="1"/>
    </row>
    <row r="574" spans="1:6">
      <c r="A574" s="1"/>
      <c r="F574" s="1"/>
    </row>
    <row r="575" spans="1:6">
      <c r="A575" s="1"/>
      <c r="F575" s="1"/>
    </row>
    <row r="576" spans="1:6">
      <c r="A576" s="1"/>
      <c r="F576" s="1"/>
    </row>
    <row r="577" spans="1:6">
      <c r="A577" s="1"/>
      <c r="F577" s="1"/>
    </row>
    <row r="578" spans="1:6">
      <c r="A578" s="1"/>
      <c r="D578" s="7"/>
      <c r="F578" s="1"/>
    </row>
    <row r="579" spans="1:6">
      <c r="A579" s="1"/>
      <c r="F579" s="1"/>
    </row>
    <row r="580" spans="1:6">
      <c r="A580" s="1"/>
      <c r="F580" s="1"/>
    </row>
    <row r="581" spans="1:6">
      <c r="A581" s="1"/>
      <c r="F581" s="1"/>
    </row>
    <row r="582" spans="1:6">
      <c r="A582" s="1"/>
      <c r="F582" s="1"/>
    </row>
    <row r="583" spans="1:6">
      <c r="A583" s="1"/>
      <c r="F583" s="1"/>
    </row>
    <row r="584" spans="1:6">
      <c r="A584" s="1"/>
      <c r="F584" s="1"/>
    </row>
    <row r="585" spans="1:6">
      <c r="A585" s="1"/>
      <c r="D585" s="7"/>
      <c r="F585" s="1"/>
    </row>
    <row r="586" spans="1:6">
      <c r="A586" s="1"/>
      <c r="F586" s="1"/>
    </row>
    <row r="587" spans="1:6">
      <c r="A587" s="1"/>
      <c r="F587" s="1"/>
    </row>
    <row r="588" spans="1:6">
      <c r="A588" s="1"/>
      <c r="F588" s="1"/>
    </row>
    <row r="589" spans="1:6">
      <c r="A589" s="1"/>
      <c r="F589" s="1"/>
    </row>
    <row r="590" spans="1:6">
      <c r="A590" s="1"/>
      <c r="D590" s="7"/>
      <c r="F590" s="1"/>
    </row>
    <row r="591" spans="1:6">
      <c r="A591" s="1"/>
      <c r="D591" s="7"/>
      <c r="F591" s="1"/>
    </row>
    <row r="592" spans="1:6">
      <c r="A592" s="1"/>
      <c r="D592" s="7"/>
      <c r="F592" s="1"/>
    </row>
    <row r="593" spans="1:6">
      <c r="A593" s="1"/>
      <c r="F593" s="1"/>
    </row>
    <row r="594" spans="1:6">
      <c r="A594" s="1"/>
      <c r="F594" s="1"/>
    </row>
    <row r="595" spans="1:6">
      <c r="A595" s="1"/>
      <c r="F595" s="1"/>
    </row>
    <row r="596" spans="1:6">
      <c r="A596" s="1"/>
      <c r="F596" s="1"/>
    </row>
    <row r="597" spans="1:6">
      <c r="A597" s="1"/>
      <c r="F597" s="1"/>
    </row>
    <row r="598" spans="1:6" collapsed="1">
      <c r="A598" s="1"/>
      <c r="F598" s="1"/>
    </row>
    <row r="599" spans="1:6">
      <c r="A599" s="1"/>
      <c r="F599" s="1"/>
    </row>
    <row r="600" spans="1:6">
      <c r="A600" s="1"/>
      <c r="F600" s="1"/>
    </row>
    <row r="601" spans="1:6">
      <c r="A601" s="1"/>
      <c r="F601" s="1"/>
    </row>
    <row r="602" spans="1:6">
      <c r="A602" s="1"/>
      <c r="F602" s="1"/>
    </row>
    <row r="603" spans="1:6">
      <c r="A603" s="1"/>
      <c r="F603" s="1"/>
    </row>
    <row r="604" spans="1:6">
      <c r="A604" s="1"/>
      <c r="F604" s="1"/>
    </row>
    <row r="605" spans="1:6">
      <c r="A605" s="1"/>
      <c r="D605" s="7"/>
      <c r="F605" s="1"/>
    </row>
    <row r="606" spans="1:6">
      <c r="A606" s="1"/>
      <c r="F606" s="1"/>
    </row>
    <row r="607" spans="1:6">
      <c r="A607" s="1"/>
      <c r="F607" s="1"/>
    </row>
    <row r="608" spans="1:6">
      <c r="A608" s="1"/>
      <c r="F608" s="1"/>
    </row>
    <row r="609" spans="1:6">
      <c r="A609" s="1"/>
      <c r="F609" s="1"/>
    </row>
    <row r="610" spans="1:6">
      <c r="A610" s="1"/>
      <c r="F610" s="1"/>
    </row>
    <row r="611" spans="1:6">
      <c r="A611" s="1"/>
      <c r="F611" s="1"/>
    </row>
    <row r="612" spans="1:6">
      <c r="A612" s="1"/>
      <c r="F612" s="1"/>
    </row>
    <row r="613" spans="1:6">
      <c r="A613" s="1"/>
      <c r="F613" s="1"/>
    </row>
    <row r="614" spans="1:6">
      <c r="A614" s="1"/>
      <c r="F614" s="1"/>
    </row>
    <row r="615" spans="1:6">
      <c r="A615" s="1"/>
      <c r="F615" s="1"/>
    </row>
    <row r="616" spans="1:6" collapsed="1">
      <c r="A616" s="1"/>
      <c r="F616" s="1"/>
    </row>
    <row r="617" spans="1:6">
      <c r="A617" s="1"/>
      <c r="D617" s="7"/>
      <c r="F617" s="1"/>
    </row>
    <row r="618" spans="1:6">
      <c r="A618" s="1"/>
      <c r="D618" s="7"/>
      <c r="F618" s="1"/>
    </row>
    <row r="619" spans="1:6">
      <c r="A619" s="1"/>
      <c r="F619" s="1"/>
    </row>
    <row r="620" spans="1:6">
      <c r="A620" s="1"/>
      <c r="F620" s="1"/>
    </row>
    <row r="621" spans="1:6">
      <c r="A621" s="1"/>
      <c r="F621" s="1"/>
    </row>
    <row r="622" spans="1:6" collapsed="1">
      <c r="A622" s="1"/>
      <c r="F622" s="1"/>
    </row>
    <row r="623" spans="1:6">
      <c r="A623" s="1"/>
      <c r="F623" s="1"/>
    </row>
    <row r="624" spans="1:6">
      <c r="A624" s="1"/>
      <c r="F624" s="1"/>
    </row>
    <row r="625" spans="1:6">
      <c r="A625" s="1"/>
      <c r="F625" s="1"/>
    </row>
    <row r="626" spans="1:6">
      <c r="A626" s="1"/>
      <c r="F626" s="1"/>
    </row>
    <row r="627" spans="1:6">
      <c r="A627" s="1"/>
      <c r="D627" s="7"/>
      <c r="F627" s="1"/>
    </row>
    <row r="628" spans="1:6">
      <c r="A628" s="1"/>
      <c r="F628" s="1"/>
    </row>
    <row r="629" spans="1:6">
      <c r="A629" s="1"/>
      <c r="F629" s="1"/>
    </row>
    <row r="630" spans="1:6">
      <c r="A630" s="1"/>
      <c r="F630" s="1"/>
    </row>
    <row r="631" spans="1:6">
      <c r="A631" s="1"/>
      <c r="F631" s="1"/>
    </row>
    <row r="632" spans="1:6">
      <c r="A632" s="1"/>
      <c r="F632" s="1"/>
    </row>
    <row r="633" spans="1:6">
      <c r="A633" s="1"/>
      <c r="F633" s="1"/>
    </row>
    <row r="634" spans="1:6">
      <c r="A634" s="1"/>
      <c r="F634" s="1"/>
    </row>
    <row r="635" spans="1:6" collapsed="1">
      <c r="A635" s="1"/>
      <c r="F635" s="1"/>
    </row>
    <row r="636" spans="1:6">
      <c r="A636" s="1"/>
      <c r="D636" s="7"/>
      <c r="F636" s="1"/>
    </row>
    <row r="637" spans="1:6">
      <c r="A637" s="1"/>
      <c r="F637" s="1"/>
    </row>
    <row r="638" spans="1:6">
      <c r="A638" s="1"/>
      <c r="F638" s="1"/>
    </row>
    <row r="639" spans="1:6">
      <c r="A639" s="1"/>
      <c r="F639" s="1"/>
    </row>
    <row r="640" spans="1:6">
      <c r="A640" s="1"/>
      <c r="F640" s="1"/>
    </row>
    <row r="641" spans="1:6">
      <c r="A641" s="1"/>
      <c r="F641" s="1"/>
    </row>
    <row r="642" spans="1:6">
      <c r="A642" s="1"/>
      <c r="F642" s="1"/>
    </row>
    <row r="643" spans="1:6">
      <c r="A643" s="1"/>
      <c r="F643" s="1"/>
    </row>
    <row r="644" spans="1:6">
      <c r="A644" s="1"/>
      <c r="F644" s="1"/>
    </row>
    <row r="645" spans="1:6" collapsed="1">
      <c r="A645" s="1"/>
      <c r="F645" s="1"/>
    </row>
    <row r="646" spans="1:6">
      <c r="A646" s="1"/>
      <c r="D646" s="7"/>
      <c r="F646" s="1"/>
    </row>
    <row r="647" spans="1:6">
      <c r="A647" s="1"/>
      <c r="F647" s="1"/>
    </row>
    <row r="648" spans="1:6">
      <c r="A648" s="1"/>
      <c r="F648" s="1"/>
    </row>
    <row r="649" spans="1:6">
      <c r="A649" s="1"/>
      <c r="D649" s="7"/>
      <c r="F649" s="1"/>
    </row>
    <row r="650" spans="1:6">
      <c r="A650" s="1"/>
      <c r="F650" s="1"/>
    </row>
    <row r="651" spans="1:6">
      <c r="A651" s="1"/>
      <c r="F651" s="1"/>
    </row>
    <row r="652" spans="1:6" collapsed="1">
      <c r="A652" s="1"/>
      <c r="F652" s="1"/>
    </row>
    <row r="653" spans="1:6">
      <c r="A653" s="1"/>
      <c r="F653" s="1"/>
    </row>
    <row r="654" spans="1:6">
      <c r="A654" s="1"/>
      <c r="D654" s="7"/>
      <c r="F654" s="1"/>
    </row>
    <row r="655" spans="1:6">
      <c r="A655" s="1"/>
      <c r="F655" s="1"/>
    </row>
    <row r="656" spans="1:6">
      <c r="A656" s="1"/>
      <c r="F656" s="1"/>
    </row>
    <row r="657" spans="1:6">
      <c r="A657" s="1"/>
      <c r="F657" s="1"/>
    </row>
    <row r="658" spans="1:6">
      <c r="A658" s="1"/>
      <c r="F658" s="1"/>
    </row>
    <row r="659" spans="1:6">
      <c r="A659" s="1"/>
      <c r="F659" s="1"/>
    </row>
    <row r="660" spans="1:6">
      <c r="A660" s="1"/>
      <c r="F660" s="1"/>
    </row>
    <row r="661" spans="1:6" collapsed="1">
      <c r="A661" s="1"/>
      <c r="D661" s="7"/>
      <c r="F661" s="1"/>
    </row>
    <row r="662" spans="1:6">
      <c r="A662" s="1"/>
      <c r="F662" s="1"/>
    </row>
    <row r="663" spans="1:6">
      <c r="A663" s="1"/>
      <c r="F663" s="1"/>
    </row>
    <row r="664" spans="1:6">
      <c r="A664" s="1"/>
      <c r="F664" s="1"/>
    </row>
    <row r="665" spans="1:6">
      <c r="A665" s="1"/>
      <c r="F665" s="1"/>
    </row>
    <row r="666" spans="1:6">
      <c r="A666" s="1"/>
      <c r="F666" s="1"/>
    </row>
    <row r="667" spans="1:6">
      <c r="A667" s="1"/>
      <c r="D667" s="7"/>
      <c r="F667" s="1"/>
    </row>
    <row r="668" spans="1:6">
      <c r="A668" s="1"/>
      <c r="D668" s="7"/>
      <c r="F668" s="1"/>
    </row>
    <row r="669" spans="1:6">
      <c r="A669" s="1"/>
      <c r="F669" s="1"/>
    </row>
    <row r="670" spans="1:6" collapsed="1">
      <c r="A670" s="1"/>
      <c r="F670" s="1"/>
    </row>
    <row r="671" spans="1:6">
      <c r="A671" s="1"/>
      <c r="D671" s="7"/>
      <c r="F671" s="1"/>
    </row>
    <row r="672" spans="1:6">
      <c r="A672" s="1"/>
      <c r="D672" s="7"/>
      <c r="F672" s="1"/>
    </row>
    <row r="673" spans="1:6">
      <c r="A673" s="1"/>
      <c r="F673" s="1"/>
    </row>
    <row r="674" spans="1:6">
      <c r="A674" s="1"/>
      <c r="F674" s="1"/>
    </row>
    <row r="675" spans="1:6">
      <c r="A675" s="1"/>
      <c r="F675" s="1"/>
    </row>
    <row r="676" spans="1:6">
      <c r="A676" s="1"/>
      <c r="F676" s="1"/>
    </row>
    <row r="677" spans="1:6" collapsed="1">
      <c r="A677" s="1"/>
      <c r="F677" s="1"/>
    </row>
    <row r="678" spans="1:6">
      <c r="A678" s="1"/>
      <c r="D678" s="7"/>
      <c r="F678" s="1"/>
    </row>
    <row r="679" spans="1:6">
      <c r="A679" s="1"/>
      <c r="F679" s="1"/>
    </row>
    <row r="680" spans="1:6">
      <c r="A680" s="1"/>
      <c r="D680" s="7"/>
      <c r="F680" s="1"/>
    </row>
    <row r="681" spans="1:6">
      <c r="A681" s="1"/>
      <c r="F681" s="1"/>
    </row>
    <row r="682" spans="1:6">
      <c r="A682" s="1"/>
      <c r="F682" s="1"/>
    </row>
    <row r="683" spans="1:6">
      <c r="A683" s="1"/>
      <c r="F683" s="1"/>
    </row>
    <row r="684" spans="1:6">
      <c r="A684" s="1"/>
      <c r="F684" s="1"/>
    </row>
    <row r="685" spans="1:6" collapsed="1">
      <c r="A685" s="1"/>
      <c r="F685" s="1"/>
    </row>
    <row r="686" spans="1:6">
      <c r="A686" s="1"/>
      <c r="F686" s="1"/>
    </row>
    <row r="687" spans="1:6">
      <c r="A687" s="1"/>
      <c r="F687" s="1"/>
    </row>
    <row r="688" spans="1:6">
      <c r="A688" s="1"/>
      <c r="F688" s="1"/>
    </row>
    <row r="689" spans="1:6">
      <c r="A689" s="1"/>
      <c r="F689" s="1"/>
    </row>
    <row r="690" spans="1:6">
      <c r="A690" s="1"/>
      <c r="F690" s="1"/>
    </row>
    <row r="691" spans="1:6">
      <c r="A691" s="1"/>
      <c r="F691" s="1"/>
    </row>
    <row r="692" spans="1:6">
      <c r="A692" s="1"/>
      <c r="F692" s="1"/>
    </row>
    <row r="693" spans="1:6" collapsed="1">
      <c r="A693" s="1"/>
      <c r="F693" s="1"/>
    </row>
  </sheetData>
  <autoFilter ref="A1:L693"/>
  <phoneticPr fontId="8" type="noConversion"/>
  <conditionalFormatting sqref="D1:E1048576">
    <cfRule type="cellIs" dxfId="24" priority="7" operator="lessThan">
      <formula>0</formula>
    </cfRule>
  </conditionalFormatting>
  <conditionalFormatting sqref="A1:L1048576">
    <cfRule type="expression" dxfId="23" priority="1">
      <formula>IFERROR(IF(YEAR($A1)=YEAR($A2),0,1),0)</formula>
    </cfRule>
    <cfRule type="expression" dxfId="22" priority="8">
      <formula>IF(OR($D1&lt;-100,$D1&gt;405),1,0)</formula>
    </cfRule>
  </conditionalFormatting>
  <dataValidations count="1">
    <dataValidation type="list" allowBlank="1" showInputMessage="1" sqref="L1:L1048576">
      <formula1>ManualTypes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theme="8" tint="-0.249977111117893"/>
  </sheetPr>
  <dimension ref="A1:I78"/>
  <sheetViews>
    <sheetView workbookViewId="0">
      <pane xSplit="1" ySplit="16" topLeftCell="B17" activePane="bottomRight" state="frozenSplit"/>
      <selection pane="topRight" activeCell="B1" sqref="B1"/>
      <selection pane="bottomLeft"/>
      <selection pane="bottomRight" activeCell="C1" sqref="C1"/>
    </sheetView>
  </sheetViews>
  <sheetFormatPr defaultRowHeight="15" outlineLevelRow="1"/>
  <cols>
    <col min="1" max="1" width="19.28515625" style="9" customWidth="1"/>
    <col min="2" max="2" width="15.28515625" customWidth="1"/>
    <col min="3" max="3" width="25.140625" style="9" customWidth="1"/>
    <col min="4" max="4" width="20.7109375" style="9" customWidth="1"/>
    <col min="5" max="5" width="19.42578125" style="9" customWidth="1"/>
    <col min="6" max="6" width="18.42578125" customWidth="1"/>
    <col min="7" max="7" width="20.5703125" style="9" customWidth="1"/>
    <col min="8" max="8" width="18.140625" customWidth="1"/>
    <col min="9" max="9" width="12.28515625" customWidth="1"/>
    <col min="10" max="10" width="17.7109375" customWidth="1"/>
    <col min="11" max="11" width="12" bestFit="1" customWidth="1"/>
  </cols>
  <sheetData>
    <row r="1" spans="1:9" s="115" customFormat="1" ht="30">
      <c r="A1" s="84">
        <v>2006</v>
      </c>
      <c r="B1" s="23" t="s">
        <v>17</v>
      </c>
      <c r="C1" s="40" t="s">
        <v>59</v>
      </c>
      <c r="D1" s="40" t="s">
        <v>37</v>
      </c>
      <c r="E1" s="40" t="s">
        <v>42</v>
      </c>
      <c r="F1" s="23" t="s">
        <v>18</v>
      </c>
      <c r="G1" s="40" t="s">
        <v>1</v>
      </c>
    </row>
    <row r="2" spans="1:9">
      <c r="A2" s="71" t="s">
        <v>31</v>
      </c>
      <c r="B2" s="25">
        <f t="array" ref="B2">IF(SUM((IF(YEAR($A$27:$A$300)&gt;=$A$1,1,0))*B$27:B$300)=0,0,SUM((IF(YEAR($A$27:$A$300)&gt;=$A$1,1,0))*B$27:B$300)/SUM((IF(YEAR($A$27:$A$300)&gt;=$A$1,1,0))*1))</f>
        <v>0</v>
      </c>
      <c r="C2" s="25">
        <f t="array" ref="C2">IF(SUM((IF(YEAR($A$27:$A$300)&gt;=$A$1,1,0))*C$27:C$300)=0,0,SUM((IF(YEAR($A$27:$A$300)&gt;=$A$1,1,0))*C$27:C$300)/SUM((IF(YEAR($A$27:$A$300)&gt;=$A$1,1,0))*1))</f>
        <v>0</v>
      </c>
      <c r="D2" s="25">
        <f t="array" ref="D2">IF(SUM((IF(YEAR($A$27:$A$300)&gt;=$A$1,1,0))*D$27:D$300)=0,0,SUM((IF(YEAR($A$27:$A$300)&gt;=$A$1,1,0))*D$27:D$300)/SUM((IF(YEAR($A$27:$A$300)&gt;=$A$1,1,0))*1))</f>
        <v>0</v>
      </c>
      <c r="E2" s="25">
        <f t="array" ref="E2">IF(SUM((IF(YEAR($A$27:$A$300)&gt;=$A$1,1,0))*E$27:E$300)=0,0,SUM((IF(YEAR($A$27:$A$300)&gt;=$A$1,1,0))*E$27:E$300)/SUM((IF(YEAR($A$27:$A$300)&gt;=$A$1,1,0))*1))</f>
        <v>0</v>
      </c>
      <c r="F2" s="25">
        <f t="array" ref="F2">IF(SUM((IF(YEAR($A$27:$A$300)&gt;=$A$1,1,0))*F$27:F$300)=0,0,SUM((IF(YEAR($A$27:$A$300)&gt;=$A$1,1,0))*F$27:F$300)/SUM((IF(YEAR($A$27:$A$300)&gt;=$A$1,1,0))*1))</f>
        <v>0</v>
      </c>
      <c r="G2" s="25">
        <f t="array" ref="G2">IF(SUM((IF(YEAR($A$27:$A$300)&gt;=$A$1,1,0))*G$27:G$300)=0,0,SUM((IF(YEAR($A$27:$A$300)&gt;=$A$1,1,0))*G$27:G$300)/SUM((IF(YEAR($A$27:$A$300)&gt;=$A$1,1,0))*1))</f>
        <v>0</v>
      </c>
    </row>
    <row r="3" spans="1:9">
      <c r="A3" s="71" t="s">
        <v>30</v>
      </c>
      <c r="B3" s="25">
        <f t="array" aca="1" ref="B3" ca="1">SUM((IF(YEAR($A$27:$A$300)&gt;=$A$1,1,0))*B$27:B$300)/(YEAR(TODAY())-$A$1+1)</f>
        <v>0</v>
      </c>
      <c r="C3" s="25">
        <f t="array" aca="1" ref="C3" ca="1">SUM((IF(YEAR($A$27:$A$300)&gt;=$A$1,1,0))*C$27:C$300)/(YEAR(TODAY())-$A$1+1)</f>
        <v>0</v>
      </c>
      <c r="D3" s="25">
        <f t="array" aca="1" ref="D3" ca="1">SUM((IF(YEAR($A$27:$A$300)&gt;=$A$1,1,0))*D$27:D$300)/(YEAR(TODAY())-$A$1+1)</f>
        <v>0</v>
      </c>
      <c r="E3" s="25">
        <f t="array" aca="1" ref="E3" ca="1">SUM((IF(YEAR($A$27:$A$300)&gt;=$A$1,1,0))*E$27:E$300)/(YEAR(TODAY())-$A$1+1)</f>
        <v>0</v>
      </c>
      <c r="F3" s="25">
        <f t="array" aca="1" ref="F3" ca="1">SUM((IF(YEAR($A$27:$A$300)&gt;=$A$1,1,0))*F$27:F$300)/(YEAR(TODAY())-$A$1+1)</f>
        <v>0</v>
      </c>
      <c r="G3" s="25">
        <f t="array" aca="1" ref="G3" ca="1">SUM((IF(YEAR($A$27:$A$300)&gt;=$A$1,1,0))*G$27:G$300)/(YEAR(TODAY())-$A$1+1)</f>
        <v>0</v>
      </c>
    </row>
    <row r="4" spans="1:9" s="9" customFormat="1">
      <c r="A4" s="88" t="s">
        <v>29</v>
      </c>
      <c r="B4" s="21">
        <f t="array" ref="B4">IF(SUM((IF(YEAR($A$27:$A$300)&gt;=$A$1,1,0))*B$27:B$300)=0,0,SUM((IF(YEAR($A$27:$A$300)&gt;=$A$1,1,0))*B$27:B$300))</f>
        <v>0</v>
      </c>
      <c r="C4" s="21">
        <f t="array" ref="C4">IF(SUM((IF(YEAR($A$27:$A$300)&gt;=$A$1,1,0))*C$27:C$300)=0,0,SUM((IF(YEAR($A$27:$A$300)&gt;=$A$1,1,0))*C$27:C$300))</f>
        <v>0</v>
      </c>
      <c r="D4" s="21">
        <f t="array" ref="D4">IF(SUM((IF(YEAR($A$27:$A$300)&gt;=$A$1,1,0))*D$27:D$300)=0,0,SUM((IF(YEAR($A$27:$A$300)&gt;=$A$1,1,0))*D$27:D$300))</f>
        <v>0</v>
      </c>
      <c r="E4" s="21">
        <f t="array" ref="E4">IF(SUM((IF(YEAR($A$27:$A$300)&gt;=$A$1,1,0))*E$27:E$300)=0,0,SUM((IF(YEAR($A$27:$A$300)&gt;=$A$1,1,0))*E$27:E$300))</f>
        <v>0</v>
      </c>
      <c r="F4" s="21">
        <f t="array" ref="F4">IF(SUM((IF(YEAR($A$27:$A$300)&gt;=$A$1,1,0))*F$27:F$300)=0,0,SUM((IF(YEAR($A$27:$A$300)&gt;=$A$1,1,0))*F$27:F$300))</f>
        <v>0</v>
      </c>
      <c r="G4" s="21">
        <f t="array" ref="G4">IF(SUM((IF(YEAR($A$27:$A$300)&gt;=$A$1,1,0))*G$27:G$300)=0,0,SUM((IF(YEAR($A$27:$A$300)&gt;=$A$1,1,0))*G$27:G$300))</f>
        <v>0</v>
      </c>
    </row>
    <row r="5" spans="1:9" outlineLevel="1">
      <c r="A5" s="37">
        <v>38718</v>
      </c>
      <c r="B5" s="25">
        <f t="array" ref="B5">SUM((IF(YEAR($A$17:$A$300)=YEAR($A5),1,0))*B$17:B$300)</f>
        <v>0</v>
      </c>
      <c r="C5" s="25">
        <f t="array" ref="C5">SUM((IF(YEAR($A$17:$A$300)=YEAR($A5),1,0))*C$17:C$300)</f>
        <v>0</v>
      </c>
      <c r="D5" s="25">
        <f t="array" ref="D5">SUM((IF(YEAR($A$17:$A$300)=YEAR($A5),1,0))*D$17:D$300)</f>
        <v>0</v>
      </c>
      <c r="E5" s="25">
        <f t="array" ref="E5">SUM((IF(YEAR($A$17:$A$300)=YEAR($A5),1,0))*E$17:E$300)</f>
        <v>0</v>
      </c>
      <c r="F5" s="25">
        <f t="array" ref="F5">SUM((IF(YEAR($A$17:$A$300)=YEAR($A5),1,0))*F$17:F$300)</f>
        <v>0</v>
      </c>
      <c r="G5" s="25">
        <f t="array" ref="G5">SUM((IF(YEAR($A$17:$A$300)=YEAR($A5),1,0))*G$17:G$300)</f>
        <v>0</v>
      </c>
    </row>
    <row r="6" spans="1:9" outlineLevel="1">
      <c r="A6" s="37" t="s">
        <v>48</v>
      </c>
      <c r="B6" s="25">
        <f t="array" ref="B6">(SUM((IF(YEAR($A$17:$A$300)=YEAR($A5),1,0))*B$17:B$300))/(SUM((IF(YEAR($A$17:$A$300)=YEAR($A5),1,0))*1))</f>
        <v>0</v>
      </c>
      <c r="C6" s="25">
        <f t="array" ref="C6">(SUM((IF(YEAR($A$17:$A$300)=YEAR($A5),1,0))*C$17:C$300))/(SUM((IF(YEAR($A$17:$A$300)=YEAR($A5),1,0))*1))</f>
        <v>0</v>
      </c>
      <c r="D6" s="25">
        <f t="array" ref="D6">(SUM((IF(YEAR($A$17:$A$300)=YEAR($A5),1,0))*D$17:D$300))/(SUM((IF(YEAR($A$17:$A$300)=YEAR($A5),1,0))*1))</f>
        <v>0</v>
      </c>
      <c r="E6" s="25">
        <f t="array" ref="E6">(SUM((IF(YEAR($A$17:$A$300)=YEAR($A5),1,0))*E$17:E$300))/(SUM((IF(YEAR($A$17:$A$300)=YEAR($A5),1,0))*1))</f>
        <v>0</v>
      </c>
      <c r="F6" s="25">
        <f t="array" ref="F6">(SUM((IF(YEAR($A$17:$A$300)=YEAR($A5),1,0))*F$17:F$300))/(SUM((IF(YEAR($A$17:$A$300)=YEAR($A5),1,0))*1))</f>
        <v>0</v>
      </c>
      <c r="G6" s="25">
        <f t="array" ref="G6">(SUM((IF(YEAR($A$17:$A$300)=YEAR($A5),1,0))*G$17:G$300))/(SUM((IF(YEAR($A$17:$A$300)=YEAR($A5),1,0))*1))</f>
        <v>0</v>
      </c>
    </row>
    <row r="7" spans="1:9" outlineLevel="1">
      <c r="A7" s="37">
        <v>39083</v>
      </c>
      <c r="B7" s="25">
        <f t="array" ref="B7">SUM((IF(YEAR($A$17:$A$300)=YEAR($A7),1,0))*B$17:B$300)</f>
        <v>0</v>
      </c>
      <c r="C7" s="25">
        <f t="array" ref="C7">SUM((IF(YEAR($A$17:$A$300)=YEAR($A7),1,0))*C$17:C$300)</f>
        <v>0</v>
      </c>
      <c r="D7" s="25">
        <f t="array" ref="D7">SUM((IF(YEAR($A$17:$A$300)=YEAR($A7),1,0))*D$17:D$300)</f>
        <v>0</v>
      </c>
      <c r="E7" s="25">
        <f t="array" ref="E7">SUM((IF(YEAR($A$17:$A$300)=YEAR($A7),1,0))*E$17:E$300)</f>
        <v>0</v>
      </c>
      <c r="F7" s="25">
        <f t="array" ref="F7">SUM((IF(YEAR($A$17:$A$300)=YEAR($A7),1,0))*F$17:F$300)</f>
        <v>0</v>
      </c>
      <c r="G7" s="25">
        <f t="array" ref="G7">SUM((IF(YEAR($A$17:$A$300)=YEAR($A7),1,0))*G$17:G$300)</f>
        <v>0</v>
      </c>
    </row>
    <row r="8" spans="1:9" outlineLevel="1">
      <c r="A8" s="37" t="s">
        <v>49</v>
      </c>
      <c r="B8" s="25">
        <f t="array" ref="B8">(SUM((IF(YEAR($A$17:$A$300)=YEAR($A7),1,0))*B$17:B$300))/(SUM((IF(YEAR($A$17:$A$300)=YEAR($A7),1,0))*1))</f>
        <v>0</v>
      </c>
      <c r="C8" s="25">
        <f t="array" ref="C8">(SUM((IF(YEAR($A$17:$A$300)=YEAR($A7),1,0))*C$17:C$300))/(SUM((IF(YEAR($A$17:$A$300)=YEAR($A7),1,0))*1))</f>
        <v>0</v>
      </c>
      <c r="D8" s="25">
        <f t="array" ref="D8">(SUM((IF(YEAR($A$17:$A$300)=YEAR($A7),1,0))*D$17:D$300))/(SUM((IF(YEAR($A$17:$A$300)=YEAR($A7),1,0))*1))</f>
        <v>0</v>
      </c>
      <c r="E8" s="25">
        <f t="array" ref="E8">(SUM((IF(YEAR($A$17:$A$300)=YEAR($A7),1,0))*E$17:E$300))/(SUM((IF(YEAR($A$17:$A$300)=YEAR($A7),1,0))*1))</f>
        <v>0</v>
      </c>
      <c r="F8" s="25">
        <f t="array" ref="F8">(SUM((IF(YEAR($A$17:$A$300)=YEAR($A7),1,0))*F$17:F$300))/(SUM((IF(YEAR($A$17:$A$300)=YEAR($A7),1,0))*1))</f>
        <v>0</v>
      </c>
      <c r="G8" s="25">
        <f t="array" ref="G8">(SUM((IF(YEAR($A$17:$A$300)=YEAR($A7),1,0))*G$17:G$300))/(SUM((IF(YEAR($A$17:$A$300)=YEAR($A7),1,0))*1))</f>
        <v>0</v>
      </c>
    </row>
    <row r="9" spans="1:9" s="9" customFormat="1" outlineLevel="1">
      <c r="A9" s="37">
        <v>39448</v>
      </c>
      <c r="B9" s="25">
        <f t="array" ref="B9">SUM((IF(YEAR($A$17:$A$300)=YEAR($A9),1,0))*B$17:B$300)</f>
        <v>0</v>
      </c>
      <c r="C9" s="25">
        <f t="array" ref="C9">SUM((IF(YEAR($A$17:$A$300)=YEAR($A9),1,0))*C$17:C$300)</f>
        <v>0</v>
      </c>
      <c r="D9" s="25">
        <f t="array" ref="D9">SUM((IF(YEAR($A$17:$A$300)=YEAR($A9),1,0))*D$17:D$300)</f>
        <v>0</v>
      </c>
      <c r="E9" s="25">
        <f t="array" ref="E9">SUM((IF(YEAR($A$17:$A$300)=YEAR($A9),1,0))*E$17:E$300)</f>
        <v>0</v>
      </c>
      <c r="F9" s="25">
        <f t="array" ref="F9">SUM((IF(YEAR($A$17:$A$300)=YEAR($A9),1,0))*F$17:F$300)</f>
        <v>0</v>
      </c>
      <c r="G9" s="25">
        <f t="array" ref="G9">SUM((IF(YEAR($A$17:$A$300)=YEAR($A9),1,0))*G$17:G$300)</f>
        <v>0</v>
      </c>
    </row>
    <row r="10" spans="1:9" outlineLevel="1">
      <c r="A10" s="37" t="s">
        <v>50</v>
      </c>
      <c r="B10" s="25">
        <f t="array" ref="B10">(SUM((IF(YEAR($A$17:$A$300)=YEAR($A9),1,0))*B$17:B$300))/(SUM((IF(YEAR($A$17:$A$300)=YEAR($A9),1,0))*1))</f>
        <v>0</v>
      </c>
      <c r="C10" s="25">
        <f t="array" ref="C10">(SUM((IF(YEAR($A$17:$A$300)=YEAR($A9),1,0))*C$17:C$300))/(SUM((IF(YEAR($A$17:$A$300)=YEAR($A9),1,0))*1))</f>
        <v>0</v>
      </c>
      <c r="D10" s="25">
        <f t="array" ref="D10">(SUM((IF(YEAR($A$17:$A$300)=YEAR($A9),1,0))*D$17:D$300))/(SUM((IF(YEAR($A$17:$A$300)=YEAR($A9),1,0))*1))</f>
        <v>0</v>
      </c>
      <c r="E10" s="25">
        <f t="array" ref="E10">(SUM((IF(YEAR($A$17:$A$300)=YEAR($A9),1,0))*E$17:E$300))/(SUM((IF(YEAR($A$17:$A$300)=YEAR($A9),1,0))*1))</f>
        <v>0</v>
      </c>
      <c r="F10" s="25">
        <f t="array" ref="F10">(SUM((IF(YEAR($A$17:$A$300)=YEAR($A9),1,0))*F$17:F$300))/(SUM((IF(YEAR($A$17:$A$300)=YEAR($A9),1,0))*1))</f>
        <v>0</v>
      </c>
      <c r="G10" s="25">
        <f t="array" ref="G10">(SUM((IF(YEAR($A$17:$A$300)=YEAR($A9),1,0))*G$17:G$300))/(SUM((IF(YEAR($A$17:$A$300)=YEAR($A9),1,0))*1))</f>
        <v>0</v>
      </c>
    </row>
    <row r="11" spans="1:9" s="9" customFormat="1" outlineLevel="1">
      <c r="A11" s="37">
        <v>39814</v>
      </c>
      <c r="B11" s="25">
        <f t="array" ref="B11">SUM((IF(YEAR($A$17:$A$300)=YEAR($A11),1,0))*B$17:B$300)</f>
        <v>0</v>
      </c>
      <c r="C11" s="25">
        <f t="array" ref="C11">SUM((IF(YEAR($A$17:$A$300)=YEAR($A11),1,0))*C$17:C$300)</f>
        <v>0</v>
      </c>
      <c r="D11" s="25">
        <f t="array" ref="D11">SUM((IF(YEAR($A$17:$A$300)=YEAR($A11),1,0))*D$17:D$300)</f>
        <v>0</v>
      </c>
      <c r="E11" s="25">
        <f t="array" ref="E11">SUM((IF(YEAR($A$17:$A$300)=YEAR($A11),1,0))*E$17:E$300)</f>
        <v>0</v>
      </c>
      <c r="F11" s="25">
        <f t="array" ref="F11">SUM((IF(YEAR($A$17:$A$300)=YEAR($A11),1,0))*F$17:F$300)</f>
        <v>0</v>
      </c>
      <c r="G11" s="25">
        <f t="array" ref="G11">SUM((IF(YEAR($A$17:$A$300)=YEAR($A11),1,0))*G$17:G$300)</f>
        <v>0</v>
      </c>
    </row>
    <row r="12" spans="1:9" s="9" customFormat="1" outlineLevel="1">
      <c r="A12" s="37" t="s">
        <v>51</v>
      </c>
      <c r="B12" s="25">
        <f t="array" ref="B12">(SUM((IF(YEAR($A$17:$A$300)=YEAR($A11),1,0))*B$17:B$300))/(SUM((IF(YEAR($A$17:$A$300)=YEAR($A11),1,0))*1))</f>
        <v>0</v>
      </c>
      <c r="C12" s="25">
        <f t="array" ref="C12">(SUM((IF(YEAR($A$17:$A$300)=YEAR($A11),1,0))*C$17:C$300))/(SUM((IF(YEAR($A$17:$A$300)=YEAR($A11),1,0))*1))</f>
        <v>0</v>
      </c>
      <c r="D12" s="25">
        <f t="array" ref="D12">(SUM((IF(YEAR($A$17:$A$300)=YEAR($A11),1,0))*D$17:D$300))/(SUM((IF(YEAR($A$17:$A$300)=YEAR($A11),1,0))*1))</f>
        <v>0</v>
      </c>
      <c r="E12" s="25">
        <f t="array" ref="E12">(SUM((IF(YEAR($A$17:$A$300)=YEAR($A11),1,0))*E$17:E$300))/(SUM((IF(YEAR($A$17:$A$300)=YEAR($A11),1,0))*1))</f>
        <v>0</v>
      </c>
      <c r="F12" s="25">
        <f t="array" ref="F12">(SUM((IF(YEAR($A$17:$A$300)=YEAR($A11),1,0))*F$17:F$300))/(SUM((IF(YEAR($A$17:$A$300)=YEAR($A11),1,0))*1))</f>
        <v>0</v>
      </c>
      <c r="G12" s="25">
        <f t="array" ref="G12">(SUM((IF(YEAR($A$17:$A$300)=YEAR($A11),1,0))*G$17:G$300))/(SUM((IF(YEAR($A$17:$A$300)=YEAR($A11),1,0))*1))</f>
        <v>0</v>
      </c>
    </row>
    <row r="13" spans="1:9" s="9" customFormat="1" outlineLevel="1">
      <c r="A13" s="37">
        <v>40179</v>
      </c>
      <c r="B13" s="25">
        <f t="array" ref="B13">SUM((IF(YEAR($A$17:$A$300)=YEAR($A13),1,0))*B$17:B$300)</f>
        <v>0</v>
      </c>
      <c r="C13" s="25">
        <f t="array" ref="C13">SUM((IF(YEAR($A$17:$A$300)=YEAR($A13),1,0))*C$17:C$300)</f>
        <v>0</v>
      </c>
      <c r="D13" s="25">
        <f t="array" ref="D13">SUM((IF(YEAR($A$17:$A$300)=YEAR($A13),1,0))*D$17:D$300)</f>
        <v>0</v>
      </c>
      <c r="E13" s="25">
        <f t="array" ref="E13">SUM((IF(YEAR($A$17:$A$300)=YEAR($A13),1,0))*E$17:E$300)</f>
        <v>0</v>
      </c>
      <c r="F13" s="25">
        <f t="array" ref="F13">SUM((IF(YEAR($A$17:$A$300)=YEAR($A13),1,0))*F$17:F$300)</f>
        <v>0</v>
      </c>
      <c r="G13" s="25">
        <f t="array" ref="G13">SUM((IF(YEAR($A$17:$A$300)=YEAR($A13),1,0))*G$17:G$300)</f>
        <v>0</v>
      </c>
    </row>
    <row r="14" spans="1:9" s="4" customFormat="1" outlineLevel="1">
      <c r="A14" s="27" t="s">
        <v>52</v>
      </c>
      <c r="B14" s="21">
        <f t="array" ref="B14">(SUM((IF(YEAR($A$17:$A$300)=YEAR($A13),1,0))*B$17:B$300))/(SUM((IF(YEAR($A$17:$A$300)=YEAR($A13),1,0))*1))</f>
        <v>0</v>
      </c>
      <c r="C14" s="21">
        <f t="array" ref="C14">(SUM((IF(YEAR($A$17:$A$300)=YEAR($A13),1,0))*C$17:C$300))/(SUM((IF(YEAR($A$17:$A$300)=YEAR($A13),1,0))*1))</f>
        <v>0</v>
      </c>
      <c r="D14" s="21">
        <f t="array" ref="D14">(SUM((IF(YEAR($A$17:$A$300)=YEAR($A13),1,0))*D$17:D$300))/(SUM((IF(YEAR($A$17:$A$300)=YEAR($A13),1,0))*1))</f>
        <v>0</v>
      </c>
      <c r="E14" s="21">
        <f t="array" ref="E14">(SUM((IF(YEAR($A$17:$A$300)=YEAR($A13),1,0))*E$17:E$300))/(SUM((IF(YEAR($A$17:$A$300)=YEAR($A13),1,0))*1))</f>
        <v>0</v>
      </c>
      <c r="F14" s="21">
        <f t="array" ref="F14">(SUM((IF(YEAR($A$17:$A$300)=YEAR($A13),1,0))*F$17:F$300))/(SUM((IF(YEAR($A$17:$A$300)=YEAR($A13),1,0))*1))</f>
        <v>0</v>
      </c>
      <c r="G14" s="21">
        <f t="array" ref="G14">(SUM((IF(YEAR($A$17:$A$300)=YEAR($A13),1,0))*G$17:G$300))/(SUM((IF(YEAR($A$17:$A$300)=YEAR($A13),1,0))*1))</f>
        <v>0</v>
      </c>
    </row>
    <row r="15" spans="1:9" s="43" customFormat="1">
      <c r="A15" s="42"/>
      <c r="B15" s="74"/>
      <c r="C15" s="74"/>
      <c r="D15" s="74"/>
      <c r="E15" s="74"/>
      <c r="F15" s="75"/>
      <c r="G15" s="74"/>
      <c r="H15" s="74"/>
      <c r="I15" s="75"/>
    </row>
    <row r="16" spans="1:9" s="30" customFormat="1" ht="30.75" thickBot="1">
      <c r="A16" s="101" t="s">
        <v>19</v>
      </c>
      <c r="B16" s="31" t="str">
        <f t="shared" ref="B16:G16" si="0">B1</f>
        <v>Afhalingen</v>
      </c>
      <c r="C16" s="38" t="str">
        <f t="shared" si="0"/>
        <v>Afhaling niet naar spaar rek of gem rek of visa</v>
      </c>
      <c r="D16" s="38" t="str">
        <f t="shared" si="0"/>
        <v>Voeding</v>
      </c>
      <c r="E16" s="38" t="str">
        <f t="shared" si="0"/>
        <v>VISA</v>
      </c>
      <c r="F16" s="31" t="str">
        <f t="shared" si="0"/>
        <v>Stortingen</v>
      </c>
      <c r="G16" s="38" t="str">
        <f t="shared" si="0"/>
        <v>Loon B</v>
      </c>
    </row>
    <row r="17" spans="1:7" s="106" customFormat="1" outlineLevel="1">
      <c r="A17" s="104">
        <v>38718</v>
      </c>
      <c r="B17" s="105">
        <f t="array" aca="1" ref="B17" ca="1">SUM((IF(MONTH(ArgentaGiroData!$A$2:$A$2000)=MONTH(ArgentaGiroSamenv!$A17),1,0))*(IF(YEAR(ArgentaGiroData!$A$2:$A$2000)=YEAR(ArgentaGiroSamenv!$A17),1,0))*(IF(ArgentaGiroData!$D$2:$D$2000&lt;0,1,0))*ArgentaGiroData!$D$2:$D$2000)</f>
        <v>0</v>
      </c>
      <c r="C17" s="105">
        <f t="array" aca="1" ref="C17" ca="1">SUM(IF(MONTH(ArgentaGiroData!$A$2:$A$2000)=MONTH(ArgentaGiroSamenv!$A17),1,0)*IF(YEAR(ArgentaGiroData!$A$2:$A$2000)=YEAR(ArgentaGiroSamenv!$A17)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17" s="105">
        <f ca="1">SUM(IF(MONTH(ArgentaGiroData!$A$2:$A$2000)=MONTH(ArgentaGiroSamenv!$A17),1,0)*IF(YEAR(ArgentaGiroData!$A$2:$A$2000)=YEAR(ArgentaGiroSamenv!$A17),1,0)*IF(ArgentaGiroData!$D$2:$D$2000&lt;0,1,0)*IF(ArgentaGiroData!$K$2:$K$2000=D$1,1,0)*ArgentaGiroData!$D$2:$D$2000)</f>
        <v>0</v>
      </c>
      <c r="E17" s="105">
        <f ca="1">SUM(IF(MONTH(ArgentaGiroData!$A$2:$A$2000)=MONTH(ArgentaGiroSamenv!$A17),1,0)*IF(YEAR(ArgentaGiroData!$A$2:$A$2000)=YEAR(ArgentaGiroSamenv!$A17),1,0)*IF(ArgentaGiroData!$D$2:$D$2000&lt;0,1,0)*IF(ArgentaGiroData!$K$2:$K$2000=E$1,1,0)*ArgentaGiroData!$D$2:$D$2000)</f>
        <v>0</v>
      </c>
      <c r="F17" s="105">
        <f t="array" aca="1" ref="F17" ca="1">SUM((IF(MONTH(ArgentaGiroData!$A$2:$A$2000)=MONTH(ArgentaGiroSamenv!$A17),1,0))*(IF(YEAR(ArgentaGiroData!$A$2:$A$2000)=YEAR(ArgentaGiroSamenv!$A17),1,0))*(IF(ArgentaGiroData!$D$2:$D$2000&gt;0,1,0))*ArgentaGiroData!$D$2:$D$2000)</f>
        <v>0</v>
      </c>
      <c r="G17" s="105">
        <f ca="1">SUM(IF(MONTH(ArgentaGiroData!$A$2:$A$2000)=MONTH(ArgentaGiroSamenv!$A17),1,0)*IF(YEAR(ArgentaGiroData!$A$2:$A$2000)=YEAR(ArgentaGiroSamenv!$A17),1,0)*IF(ArgentaGiroData!$D$2:$D$2000&lt;0,1,0)*IF(ArgentaGiroData!$K$2:$K$2000=G$1,1,0)*ArgentaGiroData!$D$2:$D$2000)</f>
        <v>0</v>
      </c>
    </row>
    <row r="18" spans="1:7" s="9" customFormat="1" outlineLevel="1">
      <c r="A18" s="10">
        <v>38749</v>
      </c>
      <c r="B18" s="11">
        <f t="array" aca="1" ref="B18" ca="1">SUM((IF(MONTH(ArgentaGiroData!$A$2:$A$2000)=MONTH(ArgentaGiroSamenv!$A18),1,0))*(IF(YEAR(ArgentaGiroData!$A$2:$A$2000)=YEAR(ArgentaGiroSamenv!$A18),1,0))*(IF(ArgentaGiroData!$D$2:$D$2000&lt;0,1,0))*ArgentaGiroData!$D$2:$D$2000)</f>
        <v>0</v>
      </c>
      <c r="C18" s="11">
        <f t="array" aca="1" ref="C18" ca="1">SUM(IF(MONTH(ArgentaGiroData!$A$2:$A$2000)=MONTH(ArgentaGiroSamenv!$A18),1,0)*IF(YEAR(ArgentaGiroData!$A$2:$A$2000)=YEAR(ArgentaGiroSamenv!$A18)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18" s="11">
        <f ca="1">SUM(IF(MONTH(ArgentaGiroData!$A$2:$A$2000)=MONTH(ArgentaGiroSamenv!$A18),1,0)*IF(YEAR(ArgentaGiroData!$A$2:$A$2000)=YEAR(ArgentaGiroSamenv!$A18),1,0)*IF(ArgentaGiroData!$D$2:$D$2000&lt;0,1,0)*IF(ArgentaGiroData!$K$2:$K$2000=D$1,1,0)*ArgentaGiroData!$D$2:$D$2000)</f>
        <v>0</v>
      </c>
      <c r="E18" s="11">
        <f ca="1">SUM(IF(MONTH(ArgentaGiroData!$A$2:$A$2000)=MONTH(ArgentaGiroSamenv!$A18),1,0)*IF(YEAR(ArgentaGiroData!$A$2:$A$2000)=YEAR(ArgentaGiroSamenv!$A18),1,0)*IF(ArgentaGiroData!$D$2:$D$2000&lt;0,1,0)*IF(ArgentaGiroData!$K$2:$K$2000=E$1,1,0)*ArgentaGiroData!$D$2:$D$2000)</f>
        <v>0</v>
      </c>
      <c r="F18" s="11">
        <f t="array" aca="1" ref="F18" ca="1">SUM((IF(MONTH(ArgentaGiroData!$A$2:$A$2000)=MONTH(ArgentaGiroSamenv!$A18),1,0))*(IF(YEAR(ArgentaGiroData!$A$2:$A$2000)=YEAR(ArgentaGiroSamenv!$A18),1,0))*(IF(ArgentaGiroData!$D$2:$D$2000&gt;0,1,0))*ArgentaGiroData!$D$2:$D$2000)</f>
        <v>0</v>
      </c>
      <c r="G18" s="11">
        <f ca="1">SUM(IF(MONTH(ArgentaGiroData!$A$2:$A$2000)=MONTH(ArgentaGiroSamenv!$A18),1,0)*IF(YEAR(ArgentaGiroData!$A$2:$A$2000)=YEAR(ArgentaGiroSamenv!$A18),1,0)*IF(ArgentaGiroData!$D$2:$D$2000&lt;0,1,0)*IF(ArgentaGiroData!$K$2:$K$2000=G$1,1,0)*ArgentaGiroData!$D$2:$D$2000)</f>
        <v>0</v>
      </c>
    </row>
    <row r="19" spans="1:7" s="9" customFormat="1" outlineLevel="1">
      <c r="A19" s="10">
        <v>38777</v>
      </c>
      <c r="B19" s="11">
        <f t="array" aca="1" ref="B19" ca="1">SUM((IF(MONTH(ArgentaGiroData!$A$2:$A$2000)=MONTH(ArgentaGiroSamenv!$A19),1,0))*(IF(YEAR(ArgentaGiroData!$A$2:$A$2000)=YEAR(ArgentaGiroSamenv!$A19),1,0))*(IF(ArgentaGiroData!$D$2:$D$2000&lt;0,1,0))*ArgentaGiroData!$D$2:$D$2000)</f>
        <v>0</v>
      </c>
      <c r="C19" s="11">
        <f t="array" aca="1" ref="C19" ca="1">SUM(IF(MONTH(ArgentaGiroData!$A$2:$A$2000)=MONTH(ArgentaGiroSamenv!$A19),1,0)*IF(YEAR(ArgentaGiroData!$A$2:$A$2000)=YEAR(ArgentaGiroSamenv!$A19)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19" s="11">
        <f ca="1">SUM(IF(MONTH(ArgentaGiroData!$A$2:$A$2000)=MONTH(ArgentaGiroSamenv!$A19),1,0)*IF(YEAR(ArgentaGiroData!$A$2:$A$2000)=YEAR(ArgentaGiroSamenv!$A19),1,0)*IF(ArgentaGiroData!$D$2:$D$2000&lt;0,1,0)*IF(ArgentaGiroData!$K$2:$K$2000=D$1,1,0)*ArgentaGiroData!$D$2:$D$2000)</f>
        <v>0</v>
      </c>
      <c r="E19" s="11">
        <f ca="1">SUM(IF(MONTH(ArgentaGiroData!$A$2:$A$2000)=MONTH(ArgentaGiroSamenv!$A19),1,0)*IF(YEAR(ArgentaGiroData!$A$2:$A$2000)=YEAR(ArgentaGiroSamenv!$A19),1,0)*IF(ArgentaGiroData!$D$2:$D$2000&lt;0,1,0)*IF(ArgentaGiroData!$K$2:$K$2000=E$1,1,0)*ArgentaGiroData!$D$2:$D$2000)</f>
        <v>0</v>
      </c>
      <c r="F19" s="11">
        <f t="array" aca="1" ref="F19" ca="1">SUM((IF(MONTH(ArgentaGiroData!$A$2:$A$2000)=MONTH(ArgentaGiroSamenv!$A19),1,0))*(IF(YEAR(ArgentaGiroData!$A$2:$A$2000)=YEAR(ArgentaGiroSamenv!$A19),1,0))*(IF(ArgentaGiroData!$D$2:$D$2000&gt;0,1,0))*ArgentaGiroData!$D$2:$D$2000)</f>
        <v>0</v>
      </c>
      <c r="G19" s="11">
        <f ca="1">SUM(IF(MONTH(ArgentaGiroData!$A$2:$A$2000)=MONTH(ArgentaGiroSamenv!$A19),1,0)*IF(YEAR(ArgentaGiroData!$A$2:$A$2000)=YEAR(ArgentaGiroSamenv!$A19),1,0)*IF(ArgentaGiroData!$D$2:$D$2000&lt;0,1,0)*IF(ArgentaGiroData!$K$2:$K$2000=G$1,1,0)*ArgentaGiroData!$D$2:$D$2000)</f>
        <v>0</v>
      </c>
    </row>
    <row r="20" spans="1:7" s="9" customFormat="1" outlineLevel="1">
      <c r="A20" s="10">
        <v>38808</v>
      </c>
      <c r="B20" s="11">
        <f t="array" aca="1" ref="B20" ca="1">SUM((IF(MONTH(ArgentaGiroData!$A$2:$A$2000)=MONTH(ArgentaGiroSamenv!$A20),1,0))*(IF(YEAR(ArgentaGiroData!$A$2:$A$2000)=YEAR(ArgentaGiroSamenv!$A20),1,0))*(IF(ArgentaGiroData!$D$2:$D$2000&lt;0,1,0))*ArgentaGiroData!$D$2:$D$2000)</f>
        <v>0</v>
      </c>
      <c r="C20" s="11">
        <f t="array" aca="1" ref="C20" ca="1">SUM(IF(MONTH(ArgentaGiroData!$A$2:$A$2000)=MONTH(ArgentaGiroSamenv!$A20),1,0)*IF(YEAR(ArgentaGiroData!$A$2:$A$2000)=YEAR(ArgentaGiroSamenv!$A20)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20" s="11">
        <f ca="1">SUM(IF(MONTH(ArgentaGiroData!$A$2:$A$2000)=MONTH(ArgentaGiroSamenv!$A20),1,0)*IF(YEAR(ArgentaGiroData!$A$2:$A$2000)=YEAR(ArgentaGiroSamenv!$A20),1,0)*IF(ArgentaGiroData!$D$2:$D$2000&lt;0,1,0)*IF(ArgentaGiroData!$K$2:$K$2000=D$1,1,0)*ArgentaGiroData!$D$2:$D$2000)</f>
        <v>0</v>
      </c>
      <c r="E20" s="11">
        <f ca="1">SUM(IF(MONTH(ArgentaGiroData!$A$2:$A$2000)=MONTH(ArgentaGiroSamenv!$A20),1,0)*IF(YEAR(ArgentaGiroData!$A$2:$A$2000)=YEAR(ArgentaGiroSamenv!$A20),1,0)*IF(ArgentaGiroData!$D$2:$D$2000&lt;0,1,0)*IF(ArgentaGiroData!$K$2:$K$2000=E$1,1,0)*ArgentaGiroData!$D$2:$D$2000)</f>
        <v>0</v>
      </c>
      <c r="F20" s="11">
        <f t="array" aca="1" ref="F20" ca="1">SUM((IF(MONTH(ArgentaGiroData!$A$2:$A$2000)=MONTH(ArgentaGiroSamenv!$A20),1,0))*(IF(YEAR(ArgentaGiroData!$A$2:$A$2000)=YEAR(ArgentaGiroSamenv!$A20),1,0))*(IF(ArgentaGiroData!$D$2:$D$2000&gt;0,1,0))*ArgentaGiroData!$D$2:$D$2000)</f>
        <v>0</v>
      </c>
      <c r="G20" s="11">
        <f ca="1">SUM(IF(MONTH(ArgentaGiroData!$A$2:$A$2000)=MONTH(ArgentaGiroSamenv!$A20),1,0)*IF(YEAR(ArgentaGiroData!$A$2:$A$2000)=YEAR(ArgentaGiroSamenv!$A20),1,0)*IF(ArgentaGiroData!$D$2:$D$2000&lt;0,1,0)*IF(ArgentaGiroData!$K$2:$K$2000=G$1,1,0)*ArgentaGiroData!$D$2:$D$2000)</f>
        <v>0</v>
      </c>
    </row>
    <row r="21" spans="1:7" s="9" customFormat="1" outlineLevel="1">
      <c r="A21" s="10">
        <v>38838</v>
      </c>
      <c r="B21" s="11">
        <f t="array" aca="1" ref="B21" ca="1">SUM((IF(MONTH(ArgentaGiroData!$A$2:$A$2000)=MONTH(ArgentaGiroSamenv!$A21),1,0))*(IF(YEAR(ArgentaGiroData!$A$2:$A$2000)=YEAR(ArgentaGiroSamenv!$A21),1,0))*(IF(ArgentaGiroData!$D$2:$D$2000&lt;0,1,0))*ArgentaGiroData!$D$2:$D$2000)</f>
        <v>0</v>
      </c>
      <c r="C21" s="11">
        <f t="array" aca="1" ref="C21" ca="1">SUM(IF(MONTH(ArgentaGiroData!$A$2:$A$2000)=MONTH(ArgentaGiroSamenv!$A21),1,0)*IF(YEAR(ArgentaGiroData!$A$2:$A$2000)=YEAR(ArgentaGiroSamenv!$A21)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21" s="11">
        <f ca="1">SUM(IF(MONTH(ArgentaGiroData!$A$2:$A$2000)=MONTH(ArgentaGiroSamenv!$A21),1,0)*IF(YEAR(ArgentaGiroData!$A$2:$A$2000)=YEAR(ArgentaGiroSamenv!$A21),1,0)*IF(ArgentaGiroData!$D$2:$D$2000&lt;0,1,0)*IF(ArgentaGiroData!$K$2:$K$2000=D$1,1,0)*ArgentaGiroData!$D$2:$D$2000)</f>
        <v>0</v>
      </c>
      <c r="E21" s="11">
        <f ca="1">SUM(IF(MONTH(ArgentaGiroData!$A$2:$A$2000)=MONTH(ArgentaGiroSamenv!$A21),1,0)*IF(YEAR(ArgentaGiroData!$A$2:$A$2000)=YEAR(ArgentaGiroSamenv!$A21),1,0)*IF(ArgentaGiroData!$D$2:$D$2000&lt;0,1,0)*IF(ArgentaGiroData!$K$2:$K$2000=E$1,1,0)*ArgentaGiroData!$D$2:$D$2000)</f>
        <v>0</v>
      </c>
      <c r="F21" s="11">
        <f t="array" aca="1" ref="F21" ca="1">SUM((IF(MONTH(ArgentaGiroData!$A$2:$A$2000)=MONTH(ArgentaGiroSamenv!$A21),1,0))*(IF(YEAR(ArgentaGiroData!$A$2:$A$2000)=YEAR(ArgentaGiroSamenv!$A21),1,0))*(IF(ArgentaGiroData!$D$2:$D$2000&gt;0,1,0))*ArgentaGiroData!$D$2:$D$2000)</f>
        <v>0</v>
      </c>
      <c r="G21" s="11">
        <f ca="1">SUM(IF(MONTH(ArgentaGiroData!$A$2:$A$2000)=MONTH(ArgentaGiroSamenv!$A21),1,0)*IF(YEAR(ArgentaGiroData!$A$2:$A$2000)=YEAR(ArgentaGiroSamenv!$A21),1,0)*IF(ArgentaGiroData!$D$2:$D$2000&lt;0,1,0)*IF(ArgentaGiroData!$K$2:$K$2000=G$1,1,0)*ArgentaGiroData!$D$2:$D$2000)</f>
        <v>0</v>
      </c>
    </row>
    <row r="22" spans="1:7" s="9" customFormat="1" outlineLevel="1">
      <c r="A22" s="10">
        <v>38869</v>
      </c>
      <c r="B22" s="11">
        <f t="array" aca="1" ref="B22" ca="1">SUM((IF(MONTH(ArgentaGiroData!$A$2:$A$2000)=MONTH(ArgentaGiroSamenv!$A22),1,0))*(IF(YEAR(ArgentaGiroData!$A$2:$A$2000)=YEAR(ArgentaGiroSamenv!$A22),1,0))*(IF(ArgentaGiroData!$D$2:$D$2000&lt;0,1,0))*ArgentaGiroData!$D$2:$D$2000)</f>
        <v>0</v>
      </c>
      <c r="C22" s="11">
        <f t="array" aca="1" ref="C22" ca="1">SUM(IF(MONTH(ArgentaGiroData!$A$2:$A$2000)=MONTH(ArgentaGiroSamenv!$A22),1,0)*IF(YEAR(ArgentaGiroData!$A$2:$A$2000)=YEAR(ArgentaGiroSamenv!$A22)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22" s="11">
        <f ca="1">SUM(IF(MONTH(ArgentaGiroData!$A$2:$A$2000)=MONTH(ArgentaGiroSamenv!$A22),1,0)*IF(YEAR(ArgentaGiroData!$A$2:$A$2000)=YEAR(ArgentaGiroSamenv!$A22),1,0)*IF(ArgentaGiroData!$D$2:$D$2000&lt;0,1,0)*IF(ArgentaGiroData!$K$2:$K$2000=D$1,1,0)*ArgentaGiroData!$D$2:$D$2000)</f>
        <v>0</v>
      </c>
      <c r="E22" s="11">
        <f ca="1">SUM(IF(MONTH(ArgentaGiroData!$A$2:$A$2000)=MONTH(ArgentaGiroSamenv!$A22),1,0)*IF(YEAR(ArgentaGiroData!$A$2:$A$2000)=YEAR(ArgentaGiroSamenv!$A22),1,0)*IF(ArgentaGiroData!$D$2:$D$2000&lt;0,1,0)*IF(ArgentaGiroData!$K$2:$K$2000=E$1,1,0)*ArgentaGiroData!$D$2:$D$2000)</f>
        <v>0</v>
      </c>
      <c r="F22" s="11">
        <f t="array" aca="1" ref="F22" ca="1">SUM((IF(MONTH(ArgentaGiroData!$A$2:$A$2000)=MONTH(ArgentaGiroSamenv!$A22),1,0))*(IF(YEAR(ArgentaGiroData!$A$2:$A$2000)=YEAR(ArgentaGiroSamenv!$A22),1,0))*(IF(ArgentaGiroData!$D$2:$D$2000&gt;0,1,0))*ArgentaGiroData!$D$2:$D$2000)</f>
        <v>0</v>
      </c>
      <c r="G22" s="11">
        <f ca="1">SUM(IF(MONTH(ArgentaGiroData!$A$2:$A$2000)=MONTH(ArgentaGiroSamenv!$A22),1,0)*IF(YEAR(ArgentaGiroData!$A$2:$A$2000)=YEAR(ArgentaGiroSamenv!$A22),1,0)*IF(ArgentaGiroData!$D$2:$D$2000&lt;0,1,0)*IF(ArgentaGiroData!$K$2:$K$2000=G$1,1,0)*ArgentaGiroData!$D$2:$D$2000)</f>
        <v>0</v>
      </c>
    </row>
    <row r="23" spans="1:7" s="9" customFormat="1" outlineLevel="1">
      <c r="A23" s="10">
        <v>38899</v>
      </c>
      <c r="B23" s="11">
        <f t="array" aca="1" ref="B23" ca="1">SUM((IF(MONTH(ArgentaGiroData!$A$2:$A$2000)=MONTH(ArgentaGiroSamenv!$A23),1,0))*(IF(YEAR(ArgentaGiroData!$A$2:$A$2000)=YEAR(ArgentaGiroSamenv!$A23),1,0))*(IF(ArgentaGiroData!$D$2:$D$2000&lt;0,1,0))*ArgentaGiroData!$D$2:$D$2000)</f>
        <v>0</v>
      </c>
      <c r="C23" s="11">
        <f t="array" aca="1" ref="C23" ca="1">SUM(IF(MONTH(ArgentaGiroData!$A$2:$A$2000)=MONTH(ArgentaGiroSamenv!$A23),1,0)*IF(YEAR(ArgentaGiroData!$A$2:$A$2000)=YEAR(ArgentaGiroSamenv!$A23)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23" s="11">
        <f ca="1">SUM(IF(MONTH(ArgentaGiroData!$A$2:$A$2000)=MONTH(ArgentaGiroSamenv!$A23),1,0)*IF(YEAR(ArgentaGiroData!$A$2:$A$2000)=YEAR(ArgentaGiroSamenv!$A23),1,0)*IF(ArgentaGiroData!$D$2:$D$2000&lt;0,1,0)*IF(ArgentaGiroData!$K$2:$K$2000=D$1,1,0)*ArgentaGiroData!$D$2:$D$2000)</f>
        <v>0</v>
      </c>
      <c r="E23" s="11">
        <f ca="1">SUM(IF(MONTH(ArgentaGiroData!$A$2:$A$2000)=MONTH(ArgentaGiroSamenv!$A23),1,0)*IF(YEAR(ArgentaGiroData!$A$2:$A$2000)=YEAR(ArgentaGiroSamenv!$A23),1,0)*IF(ArgentaGiroData!$D$2:$D$2000&lt;0,1,0)*IF(ArgentaGiroData!$K$2:$K$2000=E$1,1,0)*ArgentaGiroData!$D$2:$D$2000)</f>
        <v>0</v>
      </c>
      <c r="F23" s="11">
        <f t="array" aca="1" ref="F23" ca="1">SUM((IF(MONTH(ArgentaGiroData!$A$2:$A$2000)=MONTH(ArgentaGiroSamenv!$A23),1,0))*(IF(YEAR(ArgentaGiroData!$A$2:$A$2000)=YEAR(ArgentaGiroSamenv!$A23),1,0))*(IF(ArgentaGiroData!$D$2:$D$2000&gt;0,1,0))*ArgentaGiroData!$D$2:$D$2000)</f>
        <v>0</v>
      </c>
      <c r="G23" s="11">
        <f ca="1">SUM(IF(MONTH(ArgentaGiroData!$A$2:$A$2000)=MONTH(ArgentaGiroSamenv!$A23),1,0)*IF(YEAR(ArgentaGiroData!$A$2:$A$2000)=YEAR(ArgentaGiroSamenv!$A23),1,0)*IF(ArgentaGiroData!$D$2:$D$2000&lt;0,1,0)*IF(ArgentaGiroData!$K$2:$K$2000=G$1,1,0)*ArgentaGiroData!$D$2:$D$2000)</f>
        <v>0</v>
      </c>
    </row>
    <row r="24" spans="1:7" s="9" customFormat="1" outlineLevel="1">
      <c r="A24" s="10">
        <v>38930</v>
      </c>
      <c r="B24" s="11">
        <f t="array" aca="1" ref="B24" ca="1">SUM((IF(MONTH(ArgentaGiroData!$A$2:$A$2000)=MONTH(ArgentaGiroSamenv!$A24),1,0))*(IF(YEAR(ArgentaGiroData!$A$2:$A$2000)=YEAR(ArgentaGiroSamenv!$A24),1,0))*(IF(ArgentaGiroData!$D$2:$D$2000&lt;0,1,0))*ArgentaGiroData!$D$2:$D$2000)</f>
        <v>0</v>
      </c>
      <c r="C24" s="11">
        <f t="array" aca="1" ref="C24" ca="1">SUM(IF(MONTH(ArgentaGiroData!$A$2:$A$2000)=MONTH(ArgentaGiroSamenv!$A24),1,0)*IF(YEAR(ArgentaGiroData!$A$2:$A$2000)=YEAR(ArgentaGiroSamenv!$A24)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24" s="11">
        <f ca="1">SUM(IF(MONTH(ArgentaGiroData!$A$2:$A$2000)=MONTH(ArgentaGiroSamenv!$A24),1,0)*IF(YEAR(ArgentaGiroData!$A$2:$A$2000)=YEAR(ArgentaGiroSamenv!$A24),1,0)*IF(ArgentaGiroData!$D$2:$D$2000&lt;0,1,0)*IF(ArgentaGiroData!$K$2:$K$2000=D$1,1,0)*ArgentaGiroData!$D$2:$D$2000)</f>
        <v>0</v>
      </c>
      <c r="E24" s="11">
        <f ca="1">SUM(IF(MONTH(ArgentaGiroData!$A$2:$A$2000)=MONTH(ArgentaGiroSamenv!$A24),1,0)*IF(YEAR(ArgentaGiroData!$A$2:$A$2000)=YEAR(ArgentaGiroSamenv!$A24),1,0)*IF(ArgentaGiroData!$D$2:$D$2000&lt;0,1,0)*IF(ArgentaGiroData!$K$2:$K$2000=E$1,1,0)*ArgentaGiroData!$D$2:$D$2000)</f>
        <v>0</v>
      </c>
      <c r="F24" s="11">
        <f t="array" aca="1" ref="F24" ca="1">SUM((IF(MONTH(ArgentaGiroData!$A$2:$A$2000)=MONTH(ArgentaGiroSamenv!$A24),1,0))*(IF(YEAR(ArgentaGiroData!$A$2:$A$2000)=YEAR(ArgentaGiroSamenv!$A24),1,0))*(IF(ArgentaGiroData!$D$2:$D$2000&gt;0,1,0))*ArgentaGiroData!$D$2:$D$2000)</f>
        <v>0</v>
      </c>
      <c r="G24" s="11">
        <f ca="1">SUM(IF(MONTH(ArgentaGiroData!$A$2:$A$2000)=MONTH(ArgentaGiroSamenv!$A24),1,0)*IF(YEAR(ArgentaGiroData!$A$2:$A$2000)=YEAR(ArgentaGiroSamenv!$A24),1,0)*IF(ArgentaGiroData!$D$2:$D$2000&lt;0,1,0)*IF(ArgentaGiroData!$K$2:$K$2000=G$1,1,0)*ArgentaGiroData!$D$2:$D$2000)</f>
        <v>0</v>
      </c>
    </row>
    <row r="25" spans="1:7" s="9" customFormat="1" outlineLevel="1">
      <c r="A25" s="10">
        <v>38961</v>
      </c>
      <c r="B25" s="11">
        <f t="array" aca="1" ref="B25" ca="1">SUM((IF(MONTH(ArgentaGiroData!$A$2:$A$2000)=MONTH(ArgentaGiroSamenv!$A25),1,0))*(IF(YEAR(ArgentaGiroData!$A$2:$A$2000)=YEAR(ArgentaGiroSamenv!$A25),1,0))*(IF(ArgentaGiroData!$D$2:$D$2000&lt;0,1,0))*ArgentaGiroData!$D$2:$D$2000)</f>
        <v>0</v>
      </c>
      <c r="C25" s="11">
        <f t="array" aca="1" ref="C25" ca="1">SUM(IF(MONTH(ArgentaGiroData!$A$2:$A$2000)=MONTH(ArgentaGiroSamenv!$A25),1,0)*IF(YEAR(ArgentaGiroData!$A$2:$A$2000)=YEAR(ArgentaGiroSamenv!$A25)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25" s="11">
        <f ca="1">SUM(IF(MONTH(ArgentaGiroData!$A$2:$A$2000)=MONTH(ArgentaGiroSamenv!$A25),1,0)*IF(YEAR(ArgentaGiroData!$A$2:$A$2000)=YEAR(ArgentaGiroSamenv!$A25),1,0)*IF(ArgentaGiroData!$D$2:$D$2000&lt;0,1,0)*IF(ArgentaGiroData!$K$2:$K$2000=D$1,1,0)*ArgentaGiroData!$D$2:$D$2000)</f>
        <v>0</v>
      </c>
      <c r="E25" s="11">
        <f ca="1">SUM(IF(MONTH(ArgentaGiroData!$A$2:$A$2000)=MONTH(ArgentaGiroSamenv!$A25),1,0)*IF(YEAR(ArgentaGiroData!$A$2:$A$2000)=YEAR(ArgentaGiroSamenv!$A25),1,0)*IF(ArgentaGiroData!$D$2:$D$2000&lt;0,1,0)*IF(ArgentaGiroData!$K$2:$K$2000=E$1,1,0)*ArgentaGiroData!$D$2:$D$2000)</f>
        <v>0</v>
      </c>
      <c r="F25" s="11">
        <f t="array" aca="1" ref="F25" ca="1">SUM((IF(MONTH(ArgentaGiroData!$A$2:$A$2000)=MONTH(ArgentaGiroSamenv!$A25),1,0))*(IF(YEAR(ArgentaGiroData!$A$2:$A$2000)=YEAR(ArgentaGiroSamenv!$A25),1,0))*(IF(ArgentaGiroData!$D$2:$D$2000&gt;0,1,0))*ArgentaGiroData!$D$2:$D$2000)</f>
        <v>0</v>
      </c>
      <c r="G25" s="11">
        <f ca="1">SUM(IF(MONTH(ArgentaGiroData!$A$2:$A$2000)=MONTH(ArgentaGiroSamenv!$A25),1,0)*IF(YEAR(ArgentaGiroData!$A$2:$A$2000)=YEAR(ArgentaGiroSamenv!$A25),1,0)*IF(ArgentaGiroData!$D$2:$D$2000&lt;0,1,0)*IF(ArgentaGiroData!$K$2:$K$2000=G$1,1,0)*ArgentaGiroData!$D$2:$D$2000)</f>
        <v>0</v>
      </c>
    </row>
    <row r="26" spans="1:7" s="9" customFormat="1" outlineLevel="1">
      <c r="A26" s="10">
        <v>38991</v>
      </c>
      <c r="B26" s="11">
        <f t="array" aca="1" ref="B26" ca="1">SUM((IF(MONTH(ArgentaGiroData!$A$2:$A$2000)=MONTH(ArgentaGiroSamenv!$A26),1,0))*(IF(YEAR(ArgentaGiroData!$A$2:$A$2000)=YEAR(ArgentaGiroSamenv!$A26),1,0))*(IF(ArgentaGiroData!$D$2:$D$2000&lt;0,1,0))*ArgentaGiroData!$D$2:$D$2000)</f>
        <v>0</v>
      </c>
      <c r="C26" s="11">
        <f t="array" aca="1" ref="C26" ca="1">SUM(IF(MONTH(ArgentaGiroData!$A$2:$A$2000)=MONTH(ArgentaGiroSamenv!$A26),1,0)*IF(YEAR(ArgentaGiroData!$A$2:$A$2000)=YEAR(ArgentaGiroSamenv!$A26)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26" s="11">
        <f ca="1">SUM(IF(MONTH(ArgentaGiroData!$A$2:$A$2000)=MONTH(ArgentaGiroSamenv!$A26),1,0)*IF(YEAR(ArgentaGiroData!$A$2:$A$2000)=YEAR(ArgentaGiroSamenv!$A26),1,0)*IF(ArgentaGiroData!$D$2:$D$2000&lt;0,1,0)*IF(ArgentaGiroData!$K$2:$K$2000=D$1,1,0)*ArgentaGiroData!$D$2:$D$2000)</f>
        <v>0</v>
      </c>
      <c r="E26" s="11">
        <f ca="1">SUM(IF(MONTH(ArgentaGiroData!$A$2:$A$2000)=MONTH(ArgentaGiroSamenv!$A26),1,0)*IF(YEAR(ArgentaGiroData!$A$2:$A$2000)=YEAR(ArgentaGiroSamenv!$A26),1,0)*IF(ArgentaGiroData!$D$2:$D$2000&lt;0,1,0)*IF(ArgentaGiroData!$K$2:$K$2000=E$1,1,0)*ArgentaGiroData!$D$2:$D$2000)</f>
        <v>0</v>
      </c>
      <c r="F26" s="11">
        <f t="array" aca="1" ref="F26" ca="1">SUM((IF(MONTH(ArgentaGiroData!$A$2:$A$2000)=MONTH(ArgentaGiroSamenv!$A26),1,0))*(IF(YEAR(ArgentaGiroData!$A$2:$A$2000)=YEAR(ArgentaGiroSamenv!$A26),1,0))*(IF(ArgentaGiroData!$D$2:$D$2000&gt;0,1,0))*ArgentaGiroData!$D$2:$D$2000)</f>
        <v>0</v>
      </c>
      <c r="G26" s="11">
        <f ca="1">SUM(IF(MONTH(ArgentaGiroData!$A$2:$A$2000)=MONTH(ArgentaGiroSamenv!$A26),1,0)*IF(YEAR(ArgentaGiroData!$A$2:$A$2000)=YEAR(ArgentaGiroSamenv!$A26),1,0)*IF(ArgentaGiroData!$D$2:$D$2000&lt;0,1,0)*IF(ArgentaGiroData!$K$2:$K$2000=G$1,1,0)*ArgentaGiroData!$D$2:$D$2000)</f>
        <v>0</v>
      </c>
    </row>
    <row r="27" spans="1:7" s="9" customFormat="1" outlineLevel="1">
      <c r="A27" s="10">
        <v>39022</v>
      </c>
      <c r="B27" s="11">
        <f t="array" aca="1" ref="B27" ca="1">SUM((IF(MONTH(ArgentaGiroData!$A$2:$A$2000)=MONTH(ArgentaGiroSamenv!$A27),1,0))*(IF(YEAR(ArgentaGiroData!$A$2:$A$2000)=YEAR(ArgentaGiroSamenv!$A27),1,0))*(IF(ArgentaGiroData!$D$2:$D$2000&lt;0,1,0))*ArgentaGiroData!$D$2:$D$2000)</f>
        <v>0</v>
      </c>
      <c r="C27" s="11">
        <f t="array" aca="1" ref="C27" ca="1">SUM(IF(MONTH(ArgentaGiroData!$A$2:$A$2000)=MONTH(ArgentaGiroSamenv!$A27),1,0)*IF(YEAR(ArgentaGiroData!$A$2:$A$2000)=YEAR(ArgentaGiroSamenv!$A27)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27" s="11">
        <f ca="1">SUM(IF(MONTH(ArgentaGiroData!$A$2:$A$2000)=MONTH(ArgentaGiroSamenv!$A27),1,0)*IF(YEAR(ArgentaGiroData!$A$2:$A$2000)=YEAR(ArgentaGiroSamenv!$A27),1,0)*IF(ArgentaGiroData!$D$2:$D$2000&lt;0,1,0)*IF(ArgentaGiroData!$K$2:$K$2000=D$1,1,0)*ArgentaGiroData!$D$2:$D$2000)</f>
        <v>0</v>
      </c>
      <c r="E27" s="11">
        <f ca="1">SUM(IF(MONTH(ArgentaGiroData!$A$2:$A$2000)=MONTH(ArgentaGiroSamenv!$A27),1,0)*IF(YEAR(ArgentaGiroData!$A$2:$A$2000)=YEAR(ArgentaGiroSamenv!$A27),1,0)*IF(ArgentaGiroData!$D$2:$D$2000&lt;0,1,0)*IF(ArgentaGiroData!$K$2:$K$2000=E$1,1,0)*ArgentaGiroData!$D$2:$D$2000)</f>
        <v>0</v>
      </c>
      <c r="F27" s="11">
        <f t="array" aca="1" ref="F27" ca="1">SUM((IF(MONTH(ArgentaGiroData!$A$2:$A$2000)=MONTH(ArgentaGiroSamenv!$A27),1,0))*(IF(YEAR(ArgentaGiroData!$A$2:$A$2000)=YEAR(ArgentaGiroSamenv!$A27),1,0))*(IF(ArgentaGiroData!$D$2:$D$2000&gt;0,1,0))*ArgentaGiroData!$D$2:$D$2000)</f>
        <v>0</v>
      </c>
      <c r="G27" s="11">
        <f ca="1">SUM(IF(MONTH(ArgentaGiroData!$A$2:$A$2000)=MONTH(ArgentaGiroSamenv!$A27),1,0)*IF(YEAR(ArgentaGiroData!$A$2:$A$2000)=YEAR(ArgentaGiroSamenv!$A27),1,0)*IF(ArgentaGiroData!$D$2:$D$2000&lt;0,1,0)*IF(ArgentaGiroData!$K$2:$K$2000=G$1,1,0)*ArgentaGiroData!$D$2:$D$2000)</f>
        <v>0</v>
      </c>
    </row>
    <row r="28" spans="1:7" s="9" customFormat="1">
      <c r="A28" s="10">
        <v>39052</v>
      </c>
      <c r="B28" s="11">
        <f t="array" aca="1" ref="B28" ca="1">SUM((IF(MONTH(ArgentaGiroData!$A$2:$A$2000)=MONTH(ArgentaGiroSamenv!$A28),1,0))*(IF(YEAR(ArgentaGiroData!$A$2:$A$2000)=YEAR(ArgentaGiroSamenv!$A28),1,0))*(IF(ArgentaGiroData!$D$2:$D$2000&lt;0,1,0))*ArgentaGiroData!$D$2:$D$2000)</f>
        <v>0</v>
      </c>
      <c r="C28" s="11">
        <f t="array" aca="1" ref="C28" ca="1">SUM(IF(MONTH(ArgentaGiroData!$A$2:$A$2000)=MONTH(ArgentaGiroSamenv!$A28),1,0)*IF(YEAR(ArgentaGiroData!$A$2:$A$2000)=YEAR(ArgentaGiroSamenv!$A28)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28" s="11">
        <f ca="1">SUM(IF(MONTH(ArgentaGiroData!$A$2:$A$2000)=MONTH(ArgentaGiroSamenv!$A28),1,0)*IF(YEAR(ArgentaGiroData!$A$2:$A$2000)=YEAR(ArgentaGiroSamenv!$A28),1,0)*IF(ArgentaGiroData!$D$2:$D$2000&lt;0,1,0)*IF(ArgentaGiroData!$K$2:$K$2000=D$1,1,0)*ArgentaGiroData!$D$2:$D$2000)</f>
        <v>0</v>
      </c>
      <c r="E28" s="11">
        <f ca="1">SUM(IF(MONTH(ArgentaGiroData!$A$2:$A$2000)=MONTH(ArgentaGiroSamenv!$A28),1,0)*IF(YEAR(ArgentaGiroData!$A$2:$A$2000)=YEAR(ArgentaGiroSamenv!$A28),1,0)*IF(ArgentaGiroData!$D$2:$D$2000&lt;0,1,0)*IF(ArgentaGiroData!$K$2:$K$2000=E$1,1,0)*ArgentaGiroData!$D$2:$D$2000)</f>
        <v>0</v>
      </c>
      <c r="F28" s="11">
        <f t="array" aca="1" ref="F28" ca="1">SUM((IF(MONTH(ArgentaGiroData!$A$2:$A$2000)=MONTH(ArgentaGiroSamenv!$A28),1,0))*(IF(YEAR(ArgentaGiroData!$A$2:$A$2000)=YEAR(ArgentaGiroSamenv!$A28),1,0))*(IF(ArgentaGiroData!$D$2:$D$2000&gt;0,1,0))*ArgentaGiroData!$D$2:$D$2000)</f>
        <v>0</v>
      </c>
      <c r="G28" s="11">
        <f ca="1">SUM(IF(MONTH(ArgentaGiroData!$A$2:$A$2000)=MONTH(ArgentaGiroSamenv!$A28),1,0)*IF(YEAR(ArgentaGiroData!$A$2:$A$2000)=YEAR(ArgentaGiroSamenv!$A28),1,0)*IF(ArgentaGiroData!$D$2:$D$2000&lt;0,1,0)*IF(ArgentaGiroData!$K$2:$K$2000=G$1,1,0)*ArgentaGiroData!$D$2:$D$2000)</f>
        <v>0</v>
      </c>
    </row>
    <row r="29" spans="1:7" s="9" customFormat="1" outlineLevel="1">
      <c r="A29" s="10">
        <v>39083</v>
      </c>
      <c r="B29" s="11">
        <f t="array" aca="1" ref="B29" ca="1">SUM((IF(MONTH(ArgentaGiroData!$A$2:$A$2000)=MONTH(ArgentaGiroSamenv!$A29),1,0))*(IF(YEAR(ArgentaGiroData!$A$2:$A$2000)=YEAR(ArgentaGiroSamenv!$A29),1,0))*(IF(ArgentaGiroData!$D$2:$D$2000&lt;0,1,0))*ArgentaGiroData!$D$2:$D$2000)</f>
        <v>0</v>
      </c>
      <c r="C29" s="11">
        <f t="array" aca="1" ref="C29" ca="1">SUM(IF(MONTH(ArgentaGiroData!$A$2:$A$2000)=MONTH(ArgentaGiroSamenv!$A29),1,0)*IF(YEAR(ArgentaGiroData!$A$2:$A$2000)=YEAR(ArgentaGiroSamenv!$A29)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29" s="11">
        <f ca="1">SUM(IF(MONTH(ArgentaGiroData!$A$2:$A$2000)=MONTH(ArgentaGiroSamenv!$A29),1,0)*IF(YEAR(ArgentaGiroData!$A$2:$A$2000)=YEAR(ArgentaGiroSamenv!$A29),1,0)*IF(ArgentaGiroData!$D$2:$D$2000&lt;0,1,0)*IF(ArgentaGiroData!$K$2:$K$2000=D$1,1,0)*ArgentaGiroData!$D$2:$D$2000)</f>
        <v>0</v>
      </c>
      <c r="E29" s="11">
        <f ca="1">SUM(IF(MONTH(ArgentaGiroData!$A$2:$A$2000)=MONTH(ArgentaGiroSamenv!$A29),1,0)*IF(YEAR(ArgentaGiroData!$A$2:$A$2000)=YEAR(ArgentaGiroSamenv!$A29),1,0)*IF(ArgentaGiroData!$D$2:$D$2000&lt;0,1,0)*IF(ArgentaGiroData!$K$2:$K$2000=E$1,1,0)*ArgentaGiroData!$D$2:$D$2000)</f>
        <v>0</v>
      </c>
      <c r="F29" s="11">
        <f t="array" aca="1" ref="F29" ca="1">SUM((IF(MONTH(ArgentaGiroData!$A$2:$A$2000)=MONTH(ArgentaGiroSamenv!$A29),1,0))*(IF(YEAR(ArgentaGiroData!$A$2:$A$2000)=YEAR(ArgentaGiroSamenv!$A29),1,0))*(IF(ArgentaGiroData!$D$2:$D$2000&gt;0,1,0))*ArgentaGiroData!$D$2:$D$2000)</f>
        <v>0</v>
      </c>
      <c r="G29" s="11">
        <f ca="1">SUM(IF(MONTH(ArgentaGiroData!$A$2:$A$2000)=MONTH(ArgentaGiroSamenv!$A29),1,0)*IF(YEAR(ArgentaGiroData!$A$2:$A$2000)=YEAR(ArgentaGiroSamenv!$A29),1,0)*IF(ArgentaGiroData!$D$2:$D$2000&lt;0,1,0)*IF(ArgentaGiroData!$K$2:$K$2000=G$1,1,0)*ArgentaGiroData!$D$2:$D$2000)</f>
        <v>0</v>
      </c>
    </row>
    <row r="30" spans="1:7" s="9" customFormat="1" outlineLevel="1">
      <c r="A30" s="10">
        <v>39114</v>
      </c>
      <c r="B30" s="11">
        <f t="array" aca="1" ref="B30" ca="1">SUM((IF(MONTH(ArgentaGiroData!$A$2:$A$2000)=MONTH(ArgentaGiroSamenv!$A30),1,0))*(IF(YEAR(ArgentaGiroData!$A$2:$A$2000)=YEAR(ArgentaGiroSamenv!$A30),1,0))*(IF(ArgentaGiroData!$D$2:$D$2000&lt;0,1,0))*ArgentaGiroData!$D$2:$D$2000)</f>
        <v>0</v>
      </c>
      <c r="C30" s="11">
        <f t="array" aca="1" ref="C30" ca="1">SUM(IF(MONTH(ArgentaGiroData!$A$2:$A$2000)=MONTH(ArgentaGiroSamenv!$A30),1,0)*IF(YEAR(ArgentaGiroData!$A$2:$A$2000)=YEAR(ArgentaGiroSamenv!$A30)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30" s="11">
        <f ca="1">SUM(IF(MONTH(ArgentaGiroData!$A$2:$A$2000)=MONTH(ArgentaGiroSamenv!$A30),1,0)*IF(YEAR(ArgentaGiroData!$A$2:$A$2000)=YEAR(ArgentaGiroSamenv!$A30),1,0)*IF(ArgentaGiroData!$D$2:$D$2000&lt;0,1,0)*IF(ArgentaGiroData!$K$2:$K$2000=D$1,1,0)*ArgentaGiroData!$D$2:$D$2000)</f>
        <v>0</v>
      </c>
      <c r="E30" s="11">
        <f ca="1">SUM(IF(MONTH(ArgentaGiroData!$A$2:$A$2000)=MONTH(ArgentaGiroSamenv!$A30),1,0)*IF(YEAR(ArgentaGiroData!$A$2:$A$2000)=YEAR(ArgentaGiroSamenv!$A30),1,0)*IF(ArgentaGiroData!$D$2:$D$2000&lt;0,1,0)*IF(ArgentaGiroData!$K$2:$K$2000=E$1,1,0)*ArgentaGiroData!$D$2:$D$2000)</f>
        <v>0</v>
      </c>
      <c r="F30" s="11">
        <f t="array" aca="1" ref="F30" ca="1">SUM((IF(MONTH(ArgentaGiroData!$A$2:$A$2000)=MONTH(ArgentaGiroSamenv!$A30),1,0))*(IF(YEAR(ArgentaGiroData!$A$2:$A$2000)=YEAR(ArgentaGiroSamenv!$A30),1,0))*(IF(ArgentaGiroData!$D$2:$D$2000&gt;0,1,0))*ArgentaGiroData!$D$2:$D$2000)</f>
        <v>0</v>
      </c>
      <c r="G30" s="11">
        <f ca="1">SUM(IF(MONTH(ArgentaGiroData!$A$2:$A$2000)=MONTH(ArgentaGiroSamenv!$A30),1,0)*IF(YEAR(ArgentaGiroData!$A$2:$A$2000)=YEAR(ArgentaGiroSamenv!$A30),1,0)*IF(ArgentaGiroData!$D$2:$D$2000&lt;0,1,0)*IF(ArgentaGiroData!$K$2:$K$2000=G$1,1,0)*ArgentaGiroData!$D$2:$D$2000)</f>
        <v>0</v>
      </c>
    </row>
    <row r="31" spans="1:7" s="9" customFormat="1" outlineLevel="1">
      <c r="A31" s="10">
        <v>39142</v>
      </c>
      <c r="B31" s="11">
        <f t="array" aca="1" ref="B31" ca="1">SUM((IF(MONTH(ArgentaGiroData!$A$2:$A$2000)=MONTH(ArgentaGiroSamenv!$A31),1,0))*(IF(YEAR(ArgentaGiroData!$A$2:$A$2000)=YEAR(ArgentaGiroSamenv!$A31),1,0))*(IF(ArgentaGiroData!$D$2:$D$2000&lt;0,1,0))*ArgentaGiroData!$D$2:$D$2000)</f>
        <v>0</v>
      </c>
      <c r="C31" s="11">
        <f t="array" aca="1" ref="C31" ca="1">SUM(IF(MONTH(ArgentaGiroData!$A$2:$A$2000)=MONTH(ArgentaGiroSamenv!$A31),1,0)*IF(YEAR(ArgentaGiroData!$A$2:$A$2000)=YEAR(ArgentaGiroSamenv!$A31)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31" s="11">
        <f ca="1">SUM(IF(MONTH(ArgentaGiroData!$A$2:$A$2000)=MONTH(ArgentaGiroSamenv!$A31),1,0)*IF(YEAR(ArgentaGiroData!$A$2:$A$2000)=YEAR(ArgentaGiroSamenv!$A31),1,0)*IF(ArgentaGiroData!$D$2:$D$2000&lt;0,1,0)*IF(ArgentaGiroData!$K$2:$K$2000=D$1,1,0)*ArgentaGiroData!$D$2:$D$2000)</f>
        <v>0</v>
      </c>
      <c r="E31" s="11">
        <f ca="1">SUM(IF(MONTH(ArgentaGiroData!$A$2:$A$2000)=MONTH(ArgentaGiroSamenv!$A31),1,0)*IF(YEAR(ArgentaGiroData!$A$2:$A$2000)=YEAR(ArgentaGiroSamenv!$A31),1,0)*IF(ArgentaGiroData!$D$2:$D$2000&lt;0,1,0)*IF(ArgentaGiroData!$K$2:$K$2000=E$1,1,0)*ArgentaGiroData!$D$2:$D$2000)</f>
        <v>0</v>
      </c>
      <c r="F31" s="11">
        <f t="array" aca="1" ref="F31" ca="1">SUM((IF(MONTH(ArgentaGiroData!$A$2:$A$2000)=MONTH(ArgentaGiroSamenv!$A31),1,0))*(IF(YEAR(ArgentaGiroData!$A$2:$A$2000)=YEAR(ArgentaGiroSamenv!$A31),1,0))*(IF(ArgentaGiroData!$D$2:$D$2000&gt;0,1,0))*ArgentaGiroData!$D$2:$D$2000)</f>
        <v>0</v>
      </c>
      <c r="G31" s="11">
        <f ca="1">SUM(IF(MONTH(ArgentaGiroData!$A$2:$A$2000)=MONTH(ArgentaGiroSamenv!$A31),1,0)*IF(YEAR(ArgentaGiroData!$A$2:$A$2000)=YEAR(ArgentaGiroSamenv!$A31),1,0)*IF(ArgentaGiroData!$D$2:$D$2000&lt;0,1,0)*IF(ArgentaGiroData!$K$2:$K$2000=G$1,1,0)*ArgentaGiroData!$D$2:$D$2000)</f>
        <v>0</v>
      </c>
    </row>
    <row r="32" spans="1:7" s="9" customFormat="1" outlineLevel="1">
      <c r="A32" s="10">
        <v>39173</v>
      </c>
      <c r="B32" s="11">
        <f t="array" aca="1" ref="B32" ca="1">SUM((IF(MONTH(ArgentaGiroData!$A$2:$A$2000)=MONTH(ArgentaGiroSamenv!$A32),1,0))*(IF(YEAR(ArgentaGiroData!$A$2:$A$2000)=YEAR(ArgentaGiroSamenv!$A32),1,0))*(IF(ArgentaGiroData!$D$2:$D$2000&lt;0,1,0))*ArgentaGiroData!$D$2:$D$2000)</f>
        <v>0</v>
      </c>
      <c r="C32" s="11">
        <f t="array" aca="1" ref="C32" ca="1">SUM(IF(MONTH(ArgentaGiroData!$A$2:$A$2000)=MONTH(ArgentaGiroSamenv!$A32),1,0)*IF(YEAR(ArgentaGiroData!$A$2:$A$2000)=YEAR(ArgentaGiroSamenv!$A32)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32" s="11">
        <f ca="1">SUM(IF(MONTH(ArgentaGiroData!$A$2:$A$2000)=MONTH(ArgentaGiroSamenv!$A32),1,0)*IF(YEAR(ArgentaGiroData!$A$2:$A$2000)=YEAR(ArgentaGiroSamenv!$A32),1,0)*IF(ArgentaGiroData!$D$2:$D$2000&lt;0,1,0)*IF(ArgentaGiroData!$K$2:$K$2000=D$1,1,0)*ArgentaGiroData!$D$2:$D$2000)</f>
        <v>0</v>
      </c>
      <c r="E32" s="11">
        <f ca="1">SUM(IF(MONTH(ArgentaGiroData!$A$2:$A$2000)=MONTH(ArgentaGiroSamenv!$A32),1,0)*IF(YEAR(ArgentaGiroData!$A$2:$A$2000)=YEAR(ArgentaGiroSamenv!$A32),1,0)*IF(ArgentaGiroData!$D$2:$D$2000&lt;0,1,0)*IF(ArgentaGiroData!$K$2:$K$2000=E$1,1,0)*ArgentaGiroData!$D$2:$D$2000)</f>
        <v>0</v>
      </c>
      <c r="F32" s="11">
        <f t="array" aca="1" ref="F32" ca="1">SUM((IF(MONTH(ArgentaGiroData!$A$2:$A$2000)=MONTH(ArgentaGiroSamenv!$A32),1,0))*(IF(YEAR(ArgentaGiroData!$A$2:$A$2000)=YEAR(ArgentaGiroSamenv!$A32),1,0))*(IF(ArgentaGiroData!$D$2:$D$2000&gt;0,1,0))*ArgentaGiroData!$D$2:$D$2000)</f>
        <v>0</v>
      </c>
      <c r="G32" s="11">
        <f ca="1">SUM(IF(MONTH(ArgentaGiroData!$A$2:$A$2000)=MONTH(ArgentaGiroSamenv!$A32),1,0)*IF(YEAR(ArgentaGiroData!$A$2:$A$2000)=YEAR(ArgentaGiroSamenv!$A32),1,0)*IF(ArgentaGiroData!$D$2:$D$2000&lt;0,1,0)*IF(ArgentaGiroData!$K$2:$K$2000=G$1,1,0)*ArgentaGiroData!$D$2:$D$2000)</f>
        <v>0</v>
      </c>
    </row>
    <row r="33" spans="1:7" s="9" customFormat="1" outlineLevel="1">
      <c r="A33" s="10">
        <v>39203</v>
      </c>
      <c r="B33" s="11">
        <f t="array" aca="1" ref="B33" ca="1">SUM((IF(MONTH(ArgentaGiroData!$A$2:$A$2000)=MONTH(ArgentaGiroSamenv!$A33),1,0))*(IF(YEAR(ArgentaGiroData!$A$2:$A$2000)=YEAR(ArgentaGiroSamenv!$A33),1,0))*(IF(ArgentaGiroData!$D$2:$D$2000&lt;0,1,0))*ArgentaGiroData!$D$2:$D$2000)</f>
        <v>0</v>
      </c>
      <c r="C33" s="11">
        <f t="array" aca="1" ref="C33" ca="1">SUM(IF(MONTH(ArgentaGiroData!$A$2:$A$2000)=MONTH(ArgentaGiroSamenv!$A33),1,0)*IF(YEAR(ArgentaGiroData!$A$2:$A$2000)=YEAR(ArgentaGiroSamenv!$A33)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33" s="11">
        <f ca="1">SUM(IF(MONTH(ArgentaGiroData!$A$2:$A$2000)=MONTH(ArgentaGiroSamenv!$A33),1,0)*IF(YEAR(ArgentaGiroData!$A$2:$A$2000)=YEAR(ArgentaGiroSamenv!$A33),1,0)*IF(ArgentaGiroData!$D$2:$D$2000&lt;0,1,0)*IF(ArgentaGiroData!$K$2:$K$2000=D$1,1,0)*ArgentaGiroData!$D$2:$D$2000)</f>
        <v>0</v>
      </c>
      <c r="E33" s="11">
        <f ca="1">SUM(IF(MONTH(ArgentaGiroData!$A$2:$A$2000)=MONTH(ArgentaGiroSamenv!$A33),1,0)*IF(YEAR(ArgentaGiroData!$A$2:$A$2000)=YEAR(ArgentaGiroSamenv!$A33),1,0)*IF(ArgentaGiroData!$D$2:$D$2000&lt;0,1,0)*IF(ArgentaGiroData!$K$2:$K$2000=E$1,1,0)*ArgentaGiroData!$D$2:$D$2000)</f>
        <v>0</v>
      </c>
      <c r="F33" s="11">
        <f t="array" aca="1" ref="F33" ca="1">SUM((IF(MONTH(ArgentaGiroData!$A$2:$A$2000)=MONTH(ArgentaGiroSamenv!$A33),1,0))*(IF(YEAR(ArgentaGiroData!$A$2:$A$2000)=YEAR(ArgentaGiroSamenv!$A33),1,0))*(IF(ArgentaGiroData!$D$2:$D$2000&gt;0,1,0))*ArgentaGiroData!$D$2:$D$2000)</f>
        <v>0</v>
      </c>
      <c r="G33" s="11">
        <f ca="1">SUM(IF(MONTH(ArgentaGiroData!$A$2:$A$2000)=MONTH(ArgentaGiroSamenv!$A33),1,0)*IF(YEAR(ArgentaGiroData!$A$2:$A$2000)=YEAR(ArgentaGiroSamenv!$A33),1,0)*IF(ArgentaGiroData!$D$2:$D$2000&lt;0,1,0)*IF(ArgentaGiroData!$K$2:$K$2000=G$1,1,0)*ArgentaGiroData!$D$2:$D$2000)</f>
        <v>0</v>
      </c>
    </row>
    <row r="34" spans="1:7" s="9" customFormat="1" outlineLevel="1">
      <c r="A34" s="10">
        <v>39234</v>
      </c>
      <c r="B34" s="11">
        <f t="array" aca="1" ref="B34" ca="1">SUM((IF(MONTH(ArgentaGiroData!$A$2:$A$2000)=MONTH(ArgentaGiroSamenv!$A34),1,0))*(IF(YEAR(ArgentaGiroData!$A$2:$A$2000)=YEAR(ArgentaGiroSamenv!$A34),1,0))*(IF(ArgentaGiroData!$D$2:$D$2000&lt;0,1,0))*ArgentaGiroData!$D$2:$D$2000)</f>
        <v>0</v>
      </c>
      <c r="C34" s="11">
        <f t="array" aca="1" ref="C34" ca="1">SUM(IF(MONTH(ArgentaGiroData!$A$2:$A$2000)=MONTH(ArgentaGiroSamenv!$A34),1,0)*IF(YEAR(ArgentaGiroData!$A$2:$A$2000)=YEAR(ArgentaGiroSamenv!$A34)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34" s="11">
        <f ca="1">SUM(IF(MONTH(ArgentaGiroData!$A$2:$A$2000)=MONTH(ArgentaGiroSamenv!$A34),1,0)*IF(YEAR(ArgentaGiroData!$A$2:$A$2000)=YEAR(ArgentaGiroSamenv!$A34),1,0)*IF(ArgentaGiroData!$D$2:$D$2000&lt;0,1,0)*IF(ArgentaGiroData!$K$2:$K$2000=D$1,1,0)*ArgentaGiroData!$D$2:$D$2000)</f>
        <v>0</v>
      </c>
      <c r="E34" s="11">
        <f ca="1">SUM(IF(MONTH(ArgentaGiroData!$A$2:$A$2000)=MONTH(ArgentaGiroSamenv!$A34),1,0)*IF(YEAR(ArgentaGiroData!$A$2:$A$2000)=YEAR(ArgentaGiroSamenv!$A34),1,0)*IF(ArgentaGiroData!$D$2:$D$2000&lt;0,1,0)*IF(ArgentaGiroData!$K$2:$K$2000=E$1,1,0)*ArgentaGiroData!$D$2:$D$2000)</f>
        <v>0</v>
      </c>
      <c r="F34" s="11">
        <f t="array" aca="1" ref="F34" ca="1">SUM((IF(MONTH(ArgentaGiroData!$A$2:$A$2000)=MONTH(ArgentaGiroSamenv!$A34),1,0))*(IF(YEAR(ArgentaGiroData!$A$2:$A$2000)=YEAR(ArgentaGiroSamenv!$A34),1,0))*(IF(ArgentaGiroData!$D$2:$D$2000&gt;0,1,0))*ArgentaGiroData!$D$2:$D$2000)</f>
        <v>0</v>
      </c>
      <c r="G34" s="11">
        <f ca="1">SUM(IF(MONTH(ArgentaGiroData!$A$2:$A$2000)=MONTH(ArgentaGiroSamenv!$A34),1,0)*IF(YEAR(ArgentaGiroData!$A$2:$A$2000)=YEAR(ArgentaGiroSamenv!$A34),1,0)*IF(ArgentaGiroData!$D$2:$D$2000&lt;0,1,0)*IF(ArgentaGiroData!$K$2:$K$2000=G$1,1,0)*ArgentaGiroData!$D$2:$D$2000)</f>
        <v>0</v>
      </c>
    </row>
    <row r="35" spans="1:7" s="9" customFormat="1" outlineLevel="1">
      <c r="A35" s="10">
        <v>39264</v>
      </c>
      <c r="B35" s="11">
        <f t="array" aca="1" ref="B35" ca="1">SUM((IF(MONTH(ArgentaGiroData!$A$2:$A$2000)=MONTH(ArgentaGiroSamenv!$A35),1,0))*(IF(YEAR(ArgentaGiroData!$A$2:$A$2000)=YEAR(ArgentaGiroSamenv!$A35),1,0))*(IF(ArgentaGiroData!$D$2:$D$2000&lt;0,1,0))*ArgentaGiroData!$D$2:$D$2000)</f>
        <v>0</v>
      </c>
      <c r="C35" s="11">
        <f t="array" aca="1" ref="C35" ca="1">SUM(IF(MONTH(ArgentaGiroData!$A$2:$A$2000)=MONTH(ArgentaGiroSamenv!$A35),1,0)*IF(YEAR(ArgentaGiroData!$A$2:$A$2000)=YEAR(ArgentaGiroSamenv!$A35)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35" s="11">
        <f ca="1">SUM(IF(MONTH(ArgentaGiroData!$A$2:$A$2000)=MONTH(ArgentaGiroSamenv!$A35),1,0)*IF(YEAR(ArgentaGiroData!$A$2:$A$2000)=YEAR(ArgentaGiroSamenv!$A35),1,0)*IF(ArgentaGiroData!$D$2:$D$2000&lt;0,1,0)*IF(ArgentaGiroData!$K$2:$K$2000=D$1,1,0)*ArgentaGiroData!$D$2:$D$2000)</f>
        <v>0</v>
      </c>
      <c r="E35" s="11">
        <f ca="1">SUM(IF(MONTH(ArgentaGiroData!$A$2:$A$2000)=MONTH(ArgentaGiroSamenv!$A35),1,0)*IF(YEAR(ArgentaGiroData!$A$2:$A$2000)=YEAR(ArgentaGiroSamenv!$A35),1,0)*IF(ArgentaGiroData!$D$2:$D$2000&lt;0,1,0)*IF(ArgentaGiroData!$K$2:$K$2000=E$1,1,0)*ArgentaGiroData!$D$2:$D$2000)</f>
        <v>0</v>
      </c>
      <c r="F35" s="11">
        <f t="array" aca="1" ref="F35" ca="1">SUM((IF(MONTH(ArgentaGiroData!$A$2:$A$2000)=MONTH(ArgentaGiroSamenv!$A35),1,0))*(IF(YEAR(ArgentaGiroData!$A$2:$A$2000)=YEAR(ArgentaGiroSamenv!$A35),1,0))*(IF(ArgentaGiroData!$D$2:$D$2000&gt;0,1,0))*ArgentaGiroData!$D$2:$D$2000)</f>
        <v>0</v>
      </c>
      <c r="G35" s="11">
        <f ca="1">SUM(IF(MONTH(ArgentaGiroData!$A$2:$A$2000)=MONTH(ArgentaGiroSamenv!$A35),1,0)*IF(YEAR(ArgentaGiroData!$A$2:$A$2000)=YEAR(ArgentaGiroSamenv!$A35),1,0)*IF(ArgentaGiroData!$D$2:$D$2000&lt;0,1,0)*IF(ArgentaGiroData!$K$2:$K$2000=G$1,1,0)*ArgentaGiroData!$D$2:$D$2000)</f>
        <v>0</v>
      </c>
    </row>
    <row r="36" spans="1:7" s="9" customFormat="1" outlineLevel="1">
      <c r="A36" s="10">
        <v>39295</v>
      </c>
      <c r="B36" s="11">
        <f t="array" aca="1" ref="B36" ca="1">SUM((IF(MONTH(ArgentaGiroData!$A$2:$A$2000)=MONTH(ArgentaGiroSamenv!$A36),1,0))*(IF(YEAR(ArgentaGiroData!$A$2:$A$2000)=YEAR(ArgentaGiroSamenv!$A36),1,0))*(IF(ArgentaGiroData!$D$2:$D$2000&lt;0,1,0))*ArgentaGiroData!$D$2:$D$2000)</f>
        <v>0</v>
      </c>
      <c r="C36" s="11">
        <f t="array" aca="1" ref="C36" ca="1">SUM(IF(MONTH(ArgentaGiroData!$A$2:$A$2000)=MONTH(ArgentaGiroSamenv!$A36),1,0)*IF(YEAR(ArgentaGiroData!$A$2:$A$2000)=YEAR(ArgentaGiroSamenv!$A36)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36" s="11">
        <f ca="1">SUM(IF(MONTH(ArgentaGiroData!$A$2:$A$2000)=MONTH(ArgentaGiroSamenv!$A36),1,0)*IF(YEAR(ArgentaGiroData!$A$2:$A$2000)=YEAR(ArgentaGiroSamenv!$A36),1,0)*IF(ArgentaGiroData!$D$2:$D$2000&lt;0,1,0)*IF(ArgentaGiroData!$K$2:$K$2000=D$1,1,0)*ArgentaGiroData!$D$2:$D$2000)</f>
        <v>0</v>
      </c>
      <c r="E36" s="11">
        <f ca="1">SUM(IF(MONTH(ArgentaGiroData!$A$2:$A$2000)=MONTH(ArgentaGiroSamenv!$A36),1,0)*IF(YEAR(ArgentaGiroData!$A$2:$A$2000)=YEAR(ArgentaGiroSamenv!$A36),1,0)*IF(ArgentaGiroData!$D$2:$D$2000&lt;0,1,0)*IF(ArgentaGiroData!$K$2:$K$2000=E$1,1,0)*ArgentaGiroData!$D$2:$D$2000)</f>
        <v>0</v>
      </c>
      <c r="F36" s="11">
        <f t="array" aca="1" ref="F36" ca="1">SUM((IF(MONTH(ArgentaGiroData!$A$2:$A$2000)=MONTH(ArgentaGiroSamenv!$A36),1,0))*(IF(YEAR(ArgentaGiroData!$A$2:$A$2000)=YEAR(ArgentaGiroSamenv!$A36),1,0))*(IF(ArgentaGiroData!$D$2:$D$2000&gt;0,1,0))*ArgentaGiroData!$D$2:$D$2000)</f>
        <v>0</v>
      </c>
      <c r="G36" s="11">
        <f ca="1">SUM(IF(MONTH(ArgentaGiroData!$A$2:$A$2000)=MONTH(ArgentaGiroSamenv!$A36),1,0)*IF(YEAR(ArgentaGiroData!$A$2:$A$2000)=YEAR(ArgentaGiroSamenv!$A36),1,0)*IF(ArgentaGiroData!$D$2:$D$2000&lt;0,1,0)*IF(ArgentaGiroData!$K$2:$K$2000=G$1,1,0)*ArgentaGiroData!$D$2:$D$2000)</f>
        <v>0</v>
      </c>
    </row>
    <row r="37" spans="1:7" s="9" customFormat="1" outlineLevel="1">
      <c r="A37" s="10">
        <v>39326</v>
      </c>
      <c r="B37" s="11">
        <f t="array" aca="1" ref="B37" ca="1">SUM((IF(MONTH(ArgentaGiroData!$A$2:$A$2000)=MONTH(ArgentaGiroSamenv!$A37),1,0))*(IF(YEAR(ArgentaGiroData!$A$2:$A$2000)=YEAR(ArgentaGiroSamenv!$A37),1,0))*(IF(ArgentaGiroData!$D$2:$D$2000&lt;0,1,0))*ArgentaGiroData!$D$2:$D$2000)</f>
        <v>0</v>
      </c>
      <c r="C37" s="11">
        <f t="array" aca="1" ref="C37" ca="1">SUM(IF(MONTH(ArgentaGiroData!$A$2:$A$2000)=MONTH(ArgentaGiroSamenv!$A37),1,0)*IF(YEAR(ArgentaGiroData!$A$2:$A$2000)=YEAR(ArgentaGiroSamenv!$A37)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37" s="11">
        <f ca="1">SUM(IF(MONTH(ArgentaGiroData!$A$2:$A$2000)=MONTH(ArgentaGiroSamenv!$A37),1,0)*IF(YEAR(ArgentaGiroData!$A$2:$A$2000)=YEAR(ArgentaGiroSamenv!$A37),1,0)*IF(ArgentaGiroData!$D$2:$D$2000&lt;0,1,0)*IF(ArgentaGiroData!$K$2:$K$2000=D$1,1,0)*ArgentaGiroData!$D$2:$D$2000)</f>
        <v>0</v>
      </c>
      <c r="E37" s="11">
        <f ca="1">SUM(IF(MONTH(ArgentaGiroData!$A$2:$A$2000)=MONTH(ArgentaGiroSamenv!$A37),1,0)*IF(YEAR(ArgentaGiroData!$A$2:$A$2000)=YEAR(ArgentaGiroSamenv!$A37),1,0)*IF(ArgentaGiroData!$D$2:$D$2000&lt;0,1,0)*IF(ArgentaGiroData!$K$2:$K$2000=E$1,1,0)*ArgentaGiroData!$D$2:$D$2000)</f>
        <v>0</v>
      </c>
      <c r="F37" s="11">
        <f t="array" aca="1" ref="F37" ca="1">SUM((IF(MONTH(ArgentaGiroData!$A$2:$A$2000)=MONTH(ArgentaGiroSamenv!$A37),1,0))*(IF(YEAR(ArgentaGiroData!$A$2:$A$2000)=YEAR(ArgentaGiroSamenv!$A37),1,0))*(IF(ArgentaGiroData!$D$2:$D$2000&gt;0,1,0))*ArgentaGiroData!$D$2:$D$2000)</f>
        <v>0</v>
      </c>
      <c r="G37" s="11">
        <f ca="1">SUM(IF(MONTH(ArgentaGiroData!$A$2:$A$2000)=MONTH(ArgentaGiroSamenv!$A37),1,0)*IF(YEAR(ArgentaGiroData!$A$2:$A$2000)=YEAR(ArgentaGiroSamenv!$A37),1,0)*IF(ArgentaGiroData!$D$2:$D$2000&lt;0,1,0)*IF(ArgentaGiroData!$K$2:$K$2000=G$1,1,0)*ArgentaGiroData!$D$2:$D$2000)</f>
        <v>0</v>
      </c>
    </row>
    <row r="38" spans="1:7" s="9" customFormat="1" outlineLevel="1">
      <c r="A38" s="10">
        <v>39356</v>
      </c>
      <c r="B38" s="11">
        <f t="array" aca="1" ref="B38" ca="1">SUM((IF(MONTH(ArgentaGiroData!$A$2:$A$2000)=MONTH(ArgentaGiroSamenv!$A38),1,0))*(IF(YEAR(ArgentaGiroData!$A$2:$A$2000)=YEAR(ArgentaGiroSamenv!$A38),1,0))*(IF(ArgentaGiroData!$D$2:$D$2000&lt;0,1,0))*ArgentaGiroData!$D$2:$D$2000)</f>
        <v>0</v>
      </c>
      <c r="C38" s="11">
        <f t="array" aca="1" ref="C38" ca="1">SUM(IF(MONTH(ArgentaGiroData!$A$2:$A$2000)=MONTH(ArgentaGiroSamenv!$A38),1,0)*IF(YEAR(ArgentaGiroData!$A$2:$A$2000)=YEAR(ArgentaGiroSamenv!$A38)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38" s="11">
        <f ca="1">SUM(IF(MONTH(ArgentaGiroData!$A$2:$A$2000)=MONTH(ArgentaGiroSamenv!$A38),1,0)*IF(YEAR(ArgentaGiroData!$A$2:$A$2000)=YEAR(ArgentaGiroSamenv!$A38),1,0)*IF(ArgentaGiroData!$D$2:$D$2000&lt;0,1,0)*IF(ArgentaGiroData!$K$2:$K$2000=D$1,1,0)*ArgentaGiroData!$D$2:$D$2000)</f>
        <v>0</v>
      </c>
      <c r="E38" s="11">
        <f ca="1">SUM(IF(MONTH(ArgentaGiroData!$A$2:$A$2000)=MONTH(ArgentaGiroSamenv!$A38),1,0)*IF(YEAR(ArgentaGiroData!$A$2:$A$2000)=YEAR(ArgentaGiroSamenv!$A38),1,0)*IF(ArgentaGiroData!$D$2:$D$2000&lt;0,1,0)*IF(ArgentaGiroData!$K$2:$K$2000=E$1,1,0)*ArgentaGiroData!$D$2:$D$2000)</f>
        <v>0</v>
      </c>
      <c r="F38" s="11">
        <f t="array" aca="1" ref="F38" ca="1">SUM((IF(MONTH(ArgentaGiroData!$A$2:$A$2000)=MONTH(ArgentaGiroSamenv!$A38),1,0))*(IF(YEAR(ArgentaGiroData!$A$2:$A$2000)=YEAR(ArgentaGiroSamenv!$A38),1,0))*(IF(ArgentaGiroData!$D$2:$D$2000&gt;0,1,0))*ArgentaGiroData!$D$2:$D$2000)</f>
        <v>0</v>
      </c>
      <c r="G38" s="11">
        <f ca="1">SUM(IF(MONTH(ArgentaGiroData!$A$2:$A$2000)=MONTH(ArgentaGiroSamenv!$A38),1,0)*IF(YEAR(ArgentaGiroData!$A$2:$A$2000)=YEAR(ArgentaGiroSamenv!$A38),1,0)*IF(ArgentaGiroData!$D$2:$D$2000&lt;0,1,0)*IF(ArgentaGiroData!$K$2:$K$2000=G$1,1,0)*ArgentaGiroData!$D$2:$D$2000)</f>
        <v>0</v>
      </c>
    </row>
    <row r="39" spans="1:7" s="9" customFormat="1" outlineLevel="1">
      <c r="A39" s="10">
        <v>39387</v>
      </c>
      <c r="B39" s="11">
        <f t="array" aca="1" ref="B39" ca="1">SUM((IF(MONTH(ArgentaGiroData!$A$2:$A$2000)=MONTH(ArgentaGiroSamenv!$A39),1,0))*(IF(YEAR(ArgentaGiroData!$A$2:$A$2000)=YEAR(ArgentaGiroSamenv!$A39),1,0))*(IF(ArgentaGiroData!$D$2:$D$2000&lt;0,1,0))*ArgentaGiroData!$D$2:$D$2000)</f>
        <v>0</v>
      </c>
      <c r="C39" s="11">
        <f t="array" aca="1" ref="C39" ca="1">SUM(IF(MONTH(ArgentaGiroData!$A$2:$A$2000)=MONTH(ArgentaGiroSamenv!$A39),1,0)*IF(YEAR(ArgentaGiroData!$A$2:$A$2000)=YEAR(ArgentaGiroSamenv!$A39)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39" s="11">
        <f ca="1">SUM(IF(MONTH(ArgentaGiroData!$A$2:$A$2000)=MONTH(ArgentaGiroSamenv!$A39),1,0)*IF(YEAR(ArgentaGiroData!$A$2:$A$2000)=YEAR(ArgentaGiroSamenv!$A39),1,0)*IF(ArgentaGiroData!$D$2:$D$2000&lt;0,1,0)*IF(ArgentaGiroData!$K$2:$K$2000=D$1,1,0)*ArgentaGiroData!$D$2:$D$2000)</f>
        <v>0</v>
      </c>
      <c r="E39" s="11">
        <f ca="1">SUM(IF(MONTH(ArgentaGiroData!$A$2:$A$2000)=MONTH(ArgentaGiroSamenv!$A39),1,0)*IF(YEAR(ArgentaGiroData!$A$2:$A$2000)=YEAR(ArgentaGiroSamenv!$A39),1,0)*IF(ArgentaGiroData!$D$2:$D$2000&lt;0,1,0)*IF(ArgentaGiroData!$K$2:$K$2000=E$1,1,0)*ArgentaGiroData!$D$2:$D$2000)</f>
        <v>0</v>
      </c>
      <c r="F39" s="11">
        <f t="array" aca="1" ref="F39" ca="1">SUM((IF(MONTH(ArgentaGiroData!$A$2:$A$2000)=MONTH(ArgentaGiroSamenv!$A39),1,0))*(IF(YEAR(ArgentaGiroData!$A$2:$A$2000)=YEAR(ArgentaGiroSamenv!$A39),1,0))*(IF(ArgentaGiroData!$D$2:$D$2000&gt;0,1,0))*ArgentaGiroData!$D$2:$D$2000)</f>
        <v>0</v>
      </c>
      <c r="G39" s="11">
        <f ca="1">SUM(IF(MONTH(ArgentaGiroData!$A$2:$A$2000)=MONTH(ArgentaGiroSamenv!$A39),1,0)*IF(YEAR(ArgentaGiroData!$A$2:$A$2000)=YEAR(ArgentaGiroSamenv!$A39),1,0)*IF(ArgentaGiroData!$D$2:$D$2000&lt;0,1,0)*IF(ArgentaGiroData!$K$2:$K$2000=G$1,1,0)*ArgentaGiroData!$D$2:$D$2000)</f>
        <v>0</v>
      </c>
    </row>
    <row r="40" spans="1:7" s="9" customFormat="1">
      <c r="A40" s="10">
        <v>39417</v>
      </c>
      <c r="B40" s="11">
        <f t="array" aca="1" ref="B40" ca="1">SUM((IF(MONTH(ArgentaGiroData!$A$2:$A$2000)=MONTH(ArgentaGiroSamenv!$A40),1,0))*(IF(YEAR(ArgentaGiroData!$A$2:$A$2000)=YEAR(ArgentaGiroSamenv!$A40),1,0))*(IF(ArgentaGiroData!$D$2:$D$2000&lt;0,1,0))*ArgentaGiroData!$D$2:$D$2000)</f>
        <v>0</v>
      </c>
      <c r="C40" s="11">
        <f t="array" aca="1" ref="C40" ca="1">SUM(IF(MONTH(ArgentaGiroData!$A$2:$A$2000)=MONTH(ArgentaGiroSamenv!$A40),1,0)*IF(YEAR(ArgentaGiroData!$A$2:$A$2000)=YEAR(ArgentaGiroSamenv!$A40)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40" s="11">
        <f ca="1">SUM(IF(MONTH(ArgentaGiroData!$A$2:$A$2000)=MONTH(ArgentaGiroSamenv!$A40),1,0)*IF(YEAR(ArgentaGiroData!$A$2:$A$2000)=YEAR(ArgentaGiroSamenv!$A40),1,0)*IF(ArgentaGiroData!$D$2:$D$2000&lt;0,1,0)*IF(ArgentaGiroData!$K$2:$K$2000=D$1,1,0)*ArgentaGiroData!$D$2:$D$2000)</f>
        <v>0</v>
      </c>
      <c r="E40" s="11">
        <f ca="1">SUM(IF(MONTH(ArgentaGiroData!$A$2:$A$2000)=MONTH(ArgentaGiroSamenv!$A40),1,0)*IF(YEAR(ArgentaGiroData!$A$2:$A$2000)=YEAR(ArgentaGiroSamenv!$A40),1,0)*IF(ArgentaGiroData!$D$2:$D$2000&lt;0,1,0)*IF(ArgentaGiroData!$K$2:$K$2000=E$1,1,0)*ArgentaGiroData!$D$2:$D$2000)</f>
        <v>0</v>
      </c>
      <c r="F40" s="11">
        <f t="array" aca="1" ref="F40" ca="1">SUM((IF(MONTH(ArgentaGiroData!$A$2:$A$2000)=MONTH(ArgentaGiroSamenv!$A40),1,0))*(IF(YEAR(ArgentaGiroData!$A$2:$A$2000)=YEAR(ArgentaGiroSamenv!$A40),1,0))*(IF(ArgentaGiroData!$D$2:$D$2000&gt;0,1,0))*ArgentaGiroData!$D$2:$D$2000)</f>
        <v>0</v>
      </c>
      <c r="G40" s="11">
        <f ca="1">SUM(IF(MONTH(ArgentaGiroData!$A$2:$A$2000)=MONTH(ArgentaGiroSamenv!$A40),1,0)*IF(YEAR(ArgentaGiroData!$A$2:$A$2000)=YEAR(ArgentaGiroSamenv!$A40),1,0)*IF(ArgentaGiroData!$D$2:$D$2000&lt;0,1,0)*IF(ArgentaGiroData!$K$2:$K$2000=G$1,1,0)*ArgentaGiroData!$D$2:$D$2000)</f>
        <v>0</v>
      </c>
    </row>
    <row r="41" spans="1:7" s="13" customFormat="1" outlineLevel="1">
      <c r="A41" s="10">
        <v>39448</v>
      </c>
      <c r="B41" s="11">
        <f t="array" aca="1" ref="B41" ca="1">SUM((IF(MONTH(ArgentaGiroData!$A$2:$A$2000)=MONTH(ArgentaGiroSamenv!$A41),1,0))*(IF(YEAR(ArgentaGiroData!$A$2:$A$2000)=YEAR(ArgentaGiroSamenv!$A41),1,0))*(IF(ArgentaGiroData!$D$2:$D$2000&lt;0,1,0))*ArgentaGiroData!$D$2:$D$2000)</f>
        <v>0</v>
      </c>
      <c r="C41" s="11">
        <f t="array" aca="1" ref="C41" ca="1">SUM(IF(MONTH(ArgentaGiroData!$A$2:$A$2000)=MONTH(ArgentaGiroSamenv!$A41),1,0)*IF(YEAR(ArgentaGiroData!$A$2:$A$2000)=YEAR(ArgentaGiroSamenv!$A41)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41" s="11">
        <f ca="1">SUM(IF(MONTH(ArgentaGiroData!$A$2:$A$2000)=MONTH(ArgentaGiroSamenv!$A41),1,0)*IF(YEAR(ArgentaGiroData!$A$2:$A$2000)=YEAR(ArgentaGiroSamenv!$A41),1,0)*IF(ArgentaGiroData!$D$2:$D$2000&lt;0,1,0)*IF(ArgentaGiroData!$K$2:$K$2000=D$1,1,0)*ArgentaGiroData!$D$2:$D$2000)</f>
        <v>0</v>
      </c>
      <c r="E41" s="11">
        <f ca="1">SUM(IF(MONTH(ArgentaGiroData!$A$2:$A$2000)=MONTH(ArgentaGiroSamenv!$A41),1,0)*IF(YEAR(ArgentaGiroData!$A$2:$A$2000)=YEAR(ArgentaGiroSamenv!$A41),1,0)*IF(ArgentaGiroData!$D$2:$D$2000&lt;0,1,0)*IF(ArgentaGiroData!$K$2:$K$2000=E$1,1,0)*ArgentaGiroData!$D$2:$D$2000)</f>
        <v>0</v>
      </c>
      <c r="F41" s="11">
        <f t="array" aca="1" ref="F41" ca="1">SUM((IF(MONTH(ArgentaGiroData!$A$2:$A$2000)=MONTH(ArgentaGiroSamenv!$A41),1,0))*(IF(YEAR(ArgentaGiroData!$A$2:$A$2000)=YEAR(ArgentaGiroSamenv!$A41),1,0))*(IF(ArgentaGiroData!$D$2:$D$2000&gt;0,1,0))*ArgentaGiroData!$D$2:$D$2000)</f>
        <v>0</v>
      </c>
      <c r="G41" s="11">
        <f ca="1">SUM(IF(MONTH(ArgentaGiroData!$A$2:$A$2000)=MONTH(ArgentaGiroSamenv!$A41),1,0)*IF(YEAR(ArgentaGiroData!$A$2:$A$2000)=YEAR(ArgentaGiroSamenv!$A41),1,0)*IF(ArgentaGiroData!$D$2:$D$2000&lt;0,1,0)*IF(ArgentaGiroData!$K$2:$K$2000=G$1,1,0)*ArgentaGiroData!$D$2:$D$2000)</f>
        <v>0</v>
      </c>
    </row>
    <row r="42" spans="1:7" s="9" customFormat="1" outlineLevel="1">
      <c r="A42" s="10">
        <v>39479</v>
      </c>
      <c r="B42" s="11">
        <f t="array" aca="1" ref="B42" ca="1">SUM((IF(MONTH(ArgentaGiroData!$A$2:$A$2000)=MONTH(ArgentaGiroSamenv!$A42),1,0))*(IF(YEAR(ArgentaGiroData!$A$2:$A$2000)=YEAR(ArgentaGiroSamenv!$A42),1,0))*(IF(ArgentaGiroData!$D$2:$D$2000&lt;0,1,0))*ArgentaGiroData!$D$2:$D$2000)</f>
        <v>0</v>
      </c>
      <c r="C42" s="11">
        <f t="array" aca="1" ref="C42" ca="1">SUM(IF(MONTH(ArgentaGiroData!$A$2:$A$2000)=MONTH(ArgentaGiroSamenv!$A42),1,0)*IF(YEAR(ArgentaGiroData!$A$2:$A$2000)=YEAR(ArgentaGiroSamenv!$A42)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42" s="11">
        <f ca="1">SUM(IF(MONTH(ArgentaGiroData!$A$2:$A$2000)=MONTH(ArgentaGiroSamenv!$A42),1,0)*IF(YEAR(ArgentaGiroData!$A$2:$A$2000)=YEAR(ArgentaGiroSamenv!$A42),1,0)*IF(ArgentaGiroData!$D$2:$D$2000&lt;0,1,0)*IF(ArgentaGiroData!$K$2:$K$2000=D$1,1,0)*ArgentaGiroData!$D$2:$D$2000)</f>
        <v>0</v>
      </c>
      <c r="E42" s="11">
        <f ca="1">SUM(IF(MONTH(ArgentaGiroData!$A$2:$A$2000)=MONTH(ArgentaGiroSamenv!$A42),1,0)*IF(YEAR(ArgentaGiroData!$A$2:$A$2000)=YEAR(ArgentaGiroSamenv!$A42),1,0)*IF(ArgentaGiroData!$D$2:$D$2000&lt;0,1,0)*IF(ArgentaGiroData!$K$2:$K$2000=E$1,1,0)*ArgentaGiroData!$D$2:$D$2000)</f>
        <v>0</v>
      </c>
      <c r="F42" s="11">
        <f t="array" aca="1" ref="F42" ca="1">SUM((IF(MONTH(ArgentaGiroData!$A$2:$A$2000)=MONTH(ArgentaGiroSamenv!$A42),1,0))*(IF(YEAR(ArgentaGiroData!$A$2:$A$2000)=YEAR(ArgentaGiroSamenv!$A42),1,0))*(IF(ArgentaGiroData!$D$2:$D$2000&gt;0,1,0))*ArgentaGiroData!$D$2:$D$2000)</f>
        <v>0</v>
      </c>
      <c r="G42" s="11">
        <f ca="1">SUM(IF(MONTH(ArgentaGiroData!$A$2:$A$2000)=MONTH(ArgentaGiroSamenv!$A42),1,0)*IF(YEAR(ArgentaGiroData!$A$2:$A$2000)=YEAR(ArgentaGiroSamenv!$A42),1,0)*IF(ArgentaGiroData!$D$2:$D$2000&lt;0,1,0)*IF(ArgentaGiroData!$K$2:$K$2000=G$1,1,0)*ArgentaGiroData!$D$2:$D$2000)</f>
        <v>0</v>
      </c>
    </row>
    <row r="43" spans="1:7" s="9" customFormat="1" outlineLevel="1">
      <c r="A43" s="10">
        <v>39508</v>
      </c>
      <c r="B43" s="11">
        <f t="array" aca="1" ref="B43" ca="1">SUM((IF(MONTH(ArgentaGiroData!$A$2:$A$2000)=MONTH(ArgentaGiroSamenv!$A43),1,0))*(IF(YEAR(ArgentaGiroData!$A$2:$A$2000)=YEAR(ArgentaGiroSamenv!$A43),1,0))*(IF(ArgentaGiroData!$D$2:$D$2000&lt;0,1,0))*ArgentaGiroData!$D$2:$D$2000)</f>
        <v>0</v>
      </c>
      <c r="C43" s="11">
        <f t="array" aca="1" ref="C43" ca="1">SUM(IF(MONTH(ArgentaGiroData!$A$2:$A$2000)=MONTH(ArgentaGiroSamenv!$A43),1,0)*IF(YEAR(ArgentaGiroData!$A$2:$A$2000)=YEAR(ArgentaGiroSamenv!$A43)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43" s="11">
        <f ca="1">SUM(IF(MONTH(ArgentaGiroData!$A$2:$A$2000)=MONTH(ArgentaGiroSamenv!$A43),1,0)*IF(YEAR(ArgentaGiroData!$A$2:$A$2000)=YEAR(ArgentaGiroSamenv!$A43),1,0)*IF(ArgentaGiroData!$D$2:$D$2000&lt;0,1,0)*IF(ArgentaGiroData!$K$2:$K$2000=D$1,1,0)*ArgentaGiroData!$D$2:$D$2000)</f>
        <v>0</v>
      </c>
      <c r="E43" s="11">
        <f ca="1">SUM(IF(MONTH(ArgentaGiroData!$A$2:$A$2000)=MONTH(ArgentaGiroSamenv!$A43),1,0)*IF(YEAR(ArgentaGiroData!$A$2:$A$2000)=YEAR(ArgentaGiroSamenv!$A43),1,0)*IF(ArgentaGiroData!$D$2:$D$2000&lt;0,1,0)*IF(ArgentaGiroData!$K$2:$K$2000=E$1,1,0)*ArgentaGiroData!$D$2:$D$2000)</f>
        <v>0</v>
      </c>
      <c r="F43" s="11">
        <f t="array" aca="1" ref="F43" ca="1">SUM((IF(MONTH(ArgentaGiroData!$A$2:$A$2000)=MONTH(ArgentaGiroSamenv!$A43),1,0))*(IF(YEAR(ArgentaGiroData!$A$2:$A$2000)=YEAR(ArgentaGiroSamenv!$A43),1,0))*(IF(ArgentaGiroData!$D$2:$D$2000&gt;0,1,0))*ArgentaGiroData!$D$2:$D$2000)</f>
        <v>0</v>
      </c>
      <c r="G43" s="11">
        <f ca="1">SUM(IF(MONTH(ArgentaGiroData!$A$2:$A$2000)=MONTH(ArgentaGiroSamenv!$A43),1,0)*IF(YEAR(ArgentaGiroData!$A$2:$A$2000)=YEAR(ArgentaGiroSamenv!$A43),1,0)*IF(ArgentaGiroData!$D$2:$D$2000&lt;0,1,0)*IF(ArgentaGiroData!$K$2:$K$2000=G$1,1,0)*ArgentaGiroData!$D$2:$D$2000)</f>
        <v>0</v>
      </c>
    </row>
    <row r="44" spans="1:7" s="9" customFormat="1" outlineLevel="1">
      <c r="A44" s="10">
        <v>39539</v>
      </c>
      <c r="B44" s="11">
        <f t="array" aca="1" ref="B44" ca="1">SUM((IF(MONTH(ArgentaGiroData!$A$2:$A$2000)=MONTH(ArgentaGiroSamenv!$A44),1,0))*(IF(YEAR(ArgentaGiroData!$A$2:$A$2000)=YEAR(ArgentaGiroSamenv!$A44),1,0))*(IF(ArgentaGiroData!$D$2:$D$2000&lt;0,1,0))*ArgentaGiroData!$D$2:$D$2000)</f>
        <v>0</v>
      </c>
      <c r="C44" s="11">
        <f t="array" aca="1" ref="C44" ca="1">SUM(IF(MONTH(ArgentaGiroData!$A$2:$A$2000)=MONTH(ArgentaGiroSamenv!$A44),1,0)*IF(YEAR(ArgentaGiroData!$A$2:$A$2000)=YEAR(ArgentaGiroSamenv!$A44)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44" s="11">
        <f ca="1">SUM(IF(MONTH(ArgentaGiroData!$A$2:$A$2000)=MONTH(ArgentaGiroSamenv!$A44),1,0)*IF(YEAR(ArgentaGiroData!$A$2:$A$2000)=YEAR(ArgentaGiroSamenv!$A44),1,0)*IF(ArgentaGiroData!$D$2:$D$2000&lt;0,1,0)*IF(ArgentaGiroData!$K$2:$K$2000=D$1,1,0)*ArgentaGiroData!$D$2:$D$2000)</f>
        <v>0</v>
      </c>
      <c r="E44" s="11">
        <f ca="1">SUM(IF(MONTH(ArgentaGiroData!$A$2:$A$2000)=MONTH(ArgentaGiroSamenv!$A44),1,0)*IF(YEAR(ArgentaGiroData!$A$2:$A$2000)=YEAR(ArgentaGiroSamenv!$A44),1,0)*IF(ArgentaGiroData!$D$2:$D$2000&lt;0,1,0)*IF(ArgentaGiroData!$K$2:$K$2000=E$1,1,0)*ArgentaGiroData!$D$2:$D$2000)</f>
        <v>0</v>
      </c>
      <c r="F44" s="11">
        <f t="array" aca="1" ref="F44" ca="1">SUM((IF(MONTH(ArgentaGiroData!$A$2:$A$2000)=MONTH(ArgentaGiroSamenv!$A44),1,0))*(IF(YEAR(ArgentaGiroData!$A$2:$A$2000)=YEAR(ArgentaGiroSamenv!$A44),1,0))*(IF(ArgentaGiroData!$D$2:$D$2000&gt;0,1,0))*ArgentaGiroData!$D$2:$D$2000)</f>
        <v>0</v>
      </c>
      <c r="G44" s="11">
        <f ca="1">SUM(IF(MONTH(ArgentaGiroData!$A$2:$A$2000)=MONTH(ArgentaGiroSamenv!$A44),1,0)*IF(YEAR(ArgentaGiroData!$A$2:$A$2000)=YEAR(ArgentaGiroSamenv!$A44),1,0)*IF(ArgentaGiroData!$D$2:$D$2000&lt;0,1,0)*IF(ArgentaGiroData!$K$2:$K$2000=G$1,1,0)*ArgentaGiroData!$D$2:$D$2000)</f>
        <v>0</v>
      </c>
    </row>
    <row r="45" spans="1:7" s="9" customFormat="1" outlineLevel="1">
      <c r="A45" s="10">
        <v>39569</v>
      </c>
      <c r="B45" s="11">
        <f t="array" aca="1" ref="B45" ca="1">SUM((IF(MONTH(ArgentaGiroData!$A$2:$A$2000)=MONTH(ArgentaGiroSamenv!$A45),1,0))*(IF(YEAR(ArgentaGiroData!$A$2:$A$2000)=YEAR(ArgentaGiroSamenv!$A45),1,0))*(IF(ArgentaGiroData!$D$2:$D$2000&lt;0,1,0))*ArgentaGiroData!$D$2:$D$2000)</f>
        <v>0</v>
      </c>
      <c r="C45" s="11">
        <f t="array" aca="1" ref="C45" ca="1">SUM(IF(MONTH(ArgentaGiroData!$A$2:$A$2000)=MONTH(ArgentaGiroSamenv!$A45),1,0)*IF(YEAR(ArgentaGiroData!$A$2:$A$2000)=YEAR(ArgentaGiroSamenv!$A45)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45" s="11">
        <f ca="1">SUM(IF(MONTH(ArgentaGiroData!$A$2:$A$2000)=MONTH(ArgentaGiroSamenv!$A45),1,0)*IF(YEAR(ArgentaGiroData!$A$2:$A$2000)=YEAR(ArgentaGiroSamenv!$A45),1,0)*IF(ArgentaGiroData!$D$2:$D$2000&lt;0,1,0)*IF(ArgentaGiroData!$K$2:$K$2000=D$1,1,0)*ArgentaGiroData!$D$2:$D$2000)</f>
        <v>0</v>
      </c>
      <c r="E45" s="11">
        <f ca="1">SUM(IF(MONTH(ArgentaGiroData!$A$2:$A$2000)=MONTH(ArgentaGiroSamenv!$A45),1,0)*IF(YEAR(ArgentaGiroData!$A$2:$A$2000)=YEAR(ArgentaGiroSamenv!$A45),1,0)*IF(ArgentaGiroData!$D$2:$D$2000&lt;0,1,0)*IF(ArgentaGiroData!$K$2:$K$2000=E$1,1,0)*ArgentaGiroData!$D$2:$D$2000)</f>
        <v>0</v>
      </c>
      <c r="F45" s="11">
        <f t="array" aca="1" ref="F45" ca="1">SUM((IF(MONTH(ArgentaGiroData!$A$2:$A$2000)=MONTH(ArgentaGiroSamenv!$A45),1,0))*(IF(YEAR(ArgentaGiroData!$A$2:$A$2000)=YEAR(ArgentaGiroSamenv!$A45),1,0))*(IF(ArgentaGiroData!$D$2:$D$2000&gt;0,1,0))*ArgentaGiroData!$D$2:$D$2000)</f>
        <v>0</v>
      </c>
      <c r="G45" s="11">
        <f ca="1">SUM(IF(MONTH(ArgentaGiroData!$A$2:$A$2000)=MONTH(ArgentaGiroSamenv!$A45),1,0)*IF(YEAR(ArgentaGiroData!$A$2:$A$2000)=YEAR(ArgentaGiroSamenv!$A45),1,0)*IF(ArgentaGiroData!$D$2:$D$2000&lt;0,1,0)*IF(ArgentaGiroData!$K$2:$K$2000=G$1,1,0)*ArgentaGiroData!$D$2:$D$2000)</f>
        <v>0</v>
      </c>
    </row>
    <row r="46" spans="1:7" s="9" customFormat="1" outlineLevel="1">
      <c r="A46" s="10">
        <v>39600</v>
      </c>
      <c r="B46" s="11">
        <f t="array" aca="1" ref="B46" ca="1">SUM((IF(MONTH(ArgentaGiroData!$A$2:$A$2000)=MONTH(ArgentaGiroSamenv!$A46),1,0))*(IF(YEAR(ArgentaGiroData!$A$2:$A$2000)=YEAR(ArgentaGiroSamenv!$A46),1,0))*(IF(ArgentaGiroData!$D$2:$D$2000&lt;0,1,0))*ArgentaGiroData!$D$2:$D$2000)</f>
        <v>0</v>
      </c>
      <c r="C46" s="11">
        <f t="array" aca="1" ref="C46" ca="1">SUM(IF(MONTH(ArgentaGiroData!$A$2:$A$2000)=MONTH(ArgentaGiroSamenv!$A46),1,0)*IF(YEAR(ArgentaGiroData!$A$2:$A$2000)=YEAR(ArgentaGiroSamenv!$A46)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46" s="11">
        <f ca="1">SUM(IF(MONTH(ArgentaGiroData!$A$2:$A$2000)=MONTH(ArgentaGiroSamenv!$A46),1,0)*IF(YEAR(ArgentaGiroData!$A$2:$A$2000)=YEAR(ArgentaGiroSamenv!$A46),1,0)*IF(ArgentaGiroData!$D$2:$D$2000&lt;0,1,0)*IF(ArgentaGiroData!$K$2:$K$2000=D$1,1,0)*ArgentaGiroData!$D$2:$D$2000)</f>
        <v>0</v>
      </c>
      <c r="E46" s="11">
        <f ca="1">SUM(IF(MONTH(ArgentaGiroData!$A$2:$A$2000)=MONTH(ArgentaGiroSamenv!$A46),1,0)*IF(YEAR(ArgentaGiroData!$A$2:$A$2000)=YEAR(ArgentaGiroSamenv!$A46),1,0)*IF(ArgentaGiroData!$D$2:$D$2000&lt;0,1,0)*IF(ArgentaGiroData!$K$2:$K$2000=E$1,1,0)*ArgentaGiroData!$D$2:$D$2000)</f>
        <v>0</v>
      </c>
      <c r="F46" s="11">
        <f t="array" aca="1" ref="F46" ca="1">SUM((IF(MONTH(ArgentaGiroData!$A$2:$A$2000)=MONTH(ArgentaGiroSamenv!$A46),1,0))*(IF(YEAR(ArgentaGiroData!$A$2:$A$2000)=YEAR(ArgentaGiroSamenv!$A46),1,0))*(IF(ArgentaGiroData!$D$2:$D$2000&gt;0,1,0))*ArgentaGiroData!$D$2:$D$2000)</f>
        <v>0</v>
      </c>
      <c r="G46" s="11">
        <f ca="1">SUM(IF(MONTH(ArgentaGiroData!$A$2:$A$2000)=MONTH(ArgentaGiroSamenv!$A46),1,0)*IF(YEAR(ArgentaGiroData!$A$2:$A$2000)=YEAR(ArgentaGiroSamenv!$A46),1,0)*IF(ArgentaGiroData!$D$2:$D$2000&lt;0,1,0)*IF(ArgentaGiroData!$K$2:$K$2000=G$1,1,0)*ArgentaGiroData!$D$2:$D$2000)</f>
        <v>0</v>
      </c>
    </row>
    <row r="47" spans="1:7" s="9" customFormat="1" outlineLevel="1">
      <c r="A47" s="10">
        <v>39630</v>
      </c>
      <c r="B47" s="11">
        <f t="array" aca="1" ref="B47" ca="1">SUM((IF(MONTH(ArgentaGiroData!$A$2:$A$2000)=MONTH(ArgentaGiroSamenv!$A47),1,0))*(IF(YEAR(ArgentaGiroData!$A$2:$A$2000)=YEAR(ArgentaGiroSamenv!$A47),1,0))*(IF(ArgentaGiroData!$D$2:$D$2000&lt;0,1,0))*ArgentaGiroData!$D$2:$D$2000)</f>
        <v>0</v>
      </c>
      <c r="C47" s="11">
        <f t="array" aca="1" ref="C47" ca="1">SUM(IF(MONTH(ArgentaGiroData!$A$2:$A$2000)=MONTH(ArgentaGiroSamenv!$A47),1,0)*IF(YEAR(ArgentaGiroData!$A$2:$A$2000)=YEAR(ArgentaGiroSamenv!$A47)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47" s="11">
        <f ca="1">SUM(IF(MONTH(ArgentaGiroData!$A$2:$A$2000)=MONTH(ArgentaGiroSamenv!$A47),1,0)*IF(YEAR(ArgentaGiroData!$A$2:$A$2000)=YEAR(ArgentaGiroSamenv!$A47),1,0)*IF(ArgentaGiroData!$D$2:$D$2000&lt;0,1,0)*IF(ArgentaGiroData!$K$2:$K$2000=D$1,1,0)*ArgentaGiroData!$D$2:$D$2000)</f>
        <v>0</v>
      </c>
      <c r="E47" s="11">
        <f ca="1">SUM(IF(MONTH(ArgentaGiroData!$A$2:$A$2000)=MONTH(ArgentaGiroSamenv!$A47),1,0)*IF(YEAR(ArgentaGiroData!$A$2:$A$2000)=YEAR(ArgentaGiroSamenv!$A47),1,0)*IF(ArgentaGiroData!$D$2:$D$2000&lt;0,1,0)*IF(ArgentaGiroData!$K$2:$K$2000=E$1,1,0)*ArgentaGiroData!$D$2:$D$2000)</f>
        <v>0</v>
      </c>
      <c r="F47" s="11">
        <f t="array" aca="1" ref="F47" ca="1">SUM((IF(MONTH(ArgentaGiroData!$A$2:$A$2000)=MONTH(ArgentaGiroSamenv!$A47),1,0))*(IF(YEAR(ArgentaGiroData!$A$2:$A$2000)=YEAR(ArgentaGiroSamenv!$A47),1,0))*(IF(ArgentaGiroData!$D$2:$D$2000&gt;0,1,0))*ArgentaGiroData!$D$2:$D$2000)</f>
        <v>0</v>
      </c>
      <c r="G47" s="11">
        <f ca="1">SUM(IF(MONTH(ArgentaGiroData!$A$2:$A$2000)=MONTH(ArgentaGiroSamenv!$A47),1,0)*IF(YEAR(ArgentaGiroData!$A$2:$A$2000)=YEAR(ArgentaGiroSamenv!$A47),1,0)*IF(ArgentaGiroData!$D$2:$D$2000&lt;0,1,0)*IF(ArgentaGiroData!$K$2:$K$2000=G$1,1,0)*ArgentaGiroData!$D$2:$D$2000)</f>
        <v>0</v>
      </c>
    </row>
    <row r="48" spans="1:7" s="9" customFormat="1" outlineLevel="1">
      <c r="A48" s="10">
        <v>39661</v>
      </c>
      <c r="B48" s="11">
        <f t="array" aca="1" ref="B48" ca="1">SUM((IF(MONTH(ArgentaGiroData!$A$2:$A$2000)=MONTH(ArgentaGiroSamenv!$A48),1,0))*(IF(YEAR(ArgentaGiroData!$A$2:$A$2000)=YEAR(ArgentaGiroSamenv!$A48),1,0))*(IF(ArgentaGiroData!$D$2:$D$2000&lt;0,1,0))*ArgentaGiroData!$D$2:$D$2000)</f>
        <v>0</v>
      </c>
      <c r="C48" s="11">
        <f t="array" aca="1" ref="C48" ca="1">SUM(IF(MONTH(ArgentaGiroData!$A$2:$A$2000)=MONTH(ArgentaGiroSamenv!$A48),1,0)*IF(YEAR(ArgentaGiroData!$A$2:$A$2000)=YEAR(ArgentaGiroSamenv!$A48)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48" s="11">
        <f ca="1">SUM(IF(MONTH(ArgentaGiroData!$A$2:$A$2000)=MONTH(ArgentaGiroSamenv!$A48),1,0)*IF(YEAR(ArgentaGiroData!$A$2:$A$2000)=YEAR(ArgentaGiroSamenv!$A48),1,0)*IF(ArgentaGiroData!$D$2:$D$2000&lt;0,1,0)*IF(ArgentaGiroData!$K$2:$K$2000=D$1,1,0)*ArgentaGiroData!$D$2:$D$2000)</f>
        <v>0</v>
      </c>
      <c r="E48" s="11">
        <f ca="1">SUM(IF(MONTH(ArgentaGiroData!$A$2:$A$2000)=MONTH(ArgentaGiroSamenv!$A48),1,0)*IF(YEAR(ArgentaGiroData!$A$2:$A$2000)=YEAR(ArgentaGiroSamenv!$A48),1,0)*IF(ArgentaGiroData!$D$2:$D$2000&lt;0,1,0)*IF(ArgentaGiroData!$K$2:$K$2000=E$1,1,0)*ArgentaGiroData!$D$2:$D$2000)</f>
        <v>0</v>
      </c>
      <c r="F48" s="11">
        <f t="array" aca="1" ref="F48" ca="1">SUM((IF(MONTH(ArgentaGiroData!$A$2:$A$2000)=MONTH(ArgentaGiroSamenv!$A48),1,0))*(IF(YEAR(ArgentaGiroData!$A$2:$A$2000)=YEAR(ArgentaGiroSamenv!$A48),1,0))*(IF(ArgentaGiroData!$D$2:$D$2000&gt;0,1,0))*ArgentaGiroData!$D$2:$D$2000)</f>
        <v>0</v>
      </c>
      <c r="G48" s="11">
        <f ca="1">SUM(IF(MONTH(ArgentaGiroData!$A$2:$A$2000)=MONTH(ArgentaGiroSamenv!$A48),1,0)*IF(YEAR(ArgentaGiroData!$A$2:$A$2000)=YEAR(ArgentaGiroSamenv!$A48),1,0)*IF(ArgentaGiroData!$D$2:$D$2000&lt;0,1,0)*IF(ArgentaGiroData!$K$2:$K$2000=G$1,1,0)*ArgentaGiroData!$D$2:$D$2000)</f>
        <v>0</v>
      </c>
    </row>
    <row r="49" spans="1:7" s="9" customFormat="1" outlineLevel="1">
      <c r="A49" s="10">
        <v>39692</v>
      </c>
      <c r="B49" s="11">
        <f t="array" aca="1" ref="B49" ca="1">SUM((IF(MONTH(ArgentaGiroData!$A$2:$A$2000)=MONTH(ArgentaGiroSamenv!$A49),1,0))*(IF(YEAR(ArgentaGiroData!$A$2:$A$2000)=YEAR(ArgentaGiroSamenv!$A49),1,0))*(IF(ArgentaGiroData!$D$2:$D$2000&lt;0,1,0))*ArgentaGiroData!$D$2:$D$2000)</f>
        <v>0</v>
      </c>
      <c r="C49" s="11">
        <f t="array" aca="1" ref="C49" ca="1">SUM(IF(MONTH(ArgentaGiroData!$A$2:$A$2000)=MONTH(ArgentaGiroSamenv!$A49),1,0)*IF(YEAR(ArgentaGiroData!$A$2:$A$2000)=YEAR(ArgentaGiroSamenv!$A49)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49" s="11">
        <f ca="1">SUM(IF(MONTH(ArgentaGiroData!$A$2:$A$2000)=MONTH(ArgentaGiroSamenv!$A49),1,0)*IF(YEAR(ArgentaGiroData!$A$2:$A$2000)=YEAR(ArgentaGiroSamenv!$A49),1,0)*IF(ArgentaGiroData!$D$2:$D$2000&lt;0,1,0)*IF(ArgentaGiroData!$K$2:$K$2000=D$1,1,0)*ArgentaGiroData!$D$2:$D$2000)</f>
        <v>0</v>
      </c>
      <c r="E49" s="11">
        <f ca="1">SUM(IF(MONTH(ArgentaGiroData!$A$2:$A$2000)=MONTH(ArgentaGiroSamenv!$A49),1,0)*IF(YEAR(ArgentaGiroData!$A$2:$A$2000)=YEAR(ArgentaGiroSamenv!$A49),1,0)*IF(ArgentaGiroData!$D$2:$D$2000&lt;0,1,0)*IF(ArgentaGiroData!$K$2:$K$2000=E$1,1,0)*ArgentaGiroData!$D$2:$D$2000)</f>
        <v>0</v>
      </c>
      <c r="F49" s="11">
        <f t="array" aca="1" ref="F49" ca="1">SUM((IF(MONTH(ArgentaGiroData!$A$2:$A$2000)=MONTH(ArgentaGiroSamenv!$A49),1,0))*(IF(YEAR(ArgentaGiroData!$A$2:$A$2000)=YEAR(ArgentaGiroSamenv!$A49),1,0))*(IF(ArgentaGiroData!$D$2:$D$2000&gt;0,1,0))*ArgentaGiroData!$D$2:$D$2000)</f>
        <v>0</v>
      </c>
      <c r="G49" s="11">
        <f ca="1">SUM(IF(MONTH(ArgentaGiroData!$A$2:$A$2000)=MONTH(ArgentaGiroSamenv!$A49),1,0)*IF(YEAR(ArgentaGiroData!$A$2:$A$2000)=YEAR(ArgentaGiroSamenv!$A49),1,0)*IF(ArgentaGiroData!$D$2:$D$2000&lt;0,1,0)*IF(ArgentaGiroData!$K$2:$K$2000=G$1,1,0)*ArgentaGiroData!$D$2:$D$2000)</f>
        <v>0</v>
      </c>
    </row>
    <row r="50" spans="1:7" s="9" customFormat="1" outlineLevel="1">
      <c r="A50" s="10">
        <v>39722</v>
      </c>
      <c r="B50" s="11">
        <f t="array" aca="1" ref="B50" ca="1">SUM((IF(MONTH(ArgentaGiroData!$A$2:$A$2000)=MONTH(ArgentaGiroSamenv!$A50),1,0))*(IF(YEAR(ArgentaGiroData!$A$2:$A$2000)=YEAR(ArgentaGiroSamenv!$A50),1,0))*(IF(ArgentaGiroData!$D$2:$D$2000&lt;0,1,0))*ArgentaGiroData!$D$2:$D$2000)</f>
        <v>0</v>
      </c>
      <c r="C50" s="11">
        <f t="array" aca="1" ref="C50" ca="1">SUM(IF(MONTH(ArgentaGiroData!$A$2:$A$2000)=MONTH(ArgentaGiroSamenv!$A50),1,0)*IF(YEAR(ArgentaGiroData!$A$2:$A$2000)=YEAR(ArgentaGiroSamenv!$A50)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50" s="11">
        <f ca="1">SUM(IF(MONTH(ArgentaGiroData!$A$2:$A$2000)=MONTH(ArgentaGiroSamenv!$A50),1,0)*IF(YEAR(ArgentaGiroData!$A$2:$A$2000)=YEAR(ArgentaGiroSamenv!$A50),1,0)*IF(ArgentaGiroData!$D$2:$D$2000&lt;0,1,0)*IF(ArgentaGiroData!$K$2:$K$2000=D$1,1,0)*ArgentaGiroData!$D$2:$D$2000)</f>
        <v>0</v>
      </c>
      <c r="E50" s="11">
        <f ca="1">SUM(IF(MONTH(ArgentaGiroData!$A$2:$A$2000)=MONTH(ArgentaGiroSamenv!$A50),1,0)*IF(YEAR(ArgentaGiroData!$A$2:$A$2000)=YEAR(ArgentaGiroSamenv!$A50),1,0)*IF(ArgentaGiroData!$D$2:$D$2000&lt;0,1,0)*IF(ArgentaGiroData!$K$2:$K$2000=E$1,1,0)*ArgentaGiroData!$D$2:$D$2000)</f>
        <v>0</v>
      </c>
      <c r="F50" s="11">
        <f t="array" aca="1" ref="F50" ca="1">SUM((IF(MONTH(ArgentaGiroData!$A$2:$A$2000)=MONTH(ArgentaGiroSamenv!$A50),1,0))*(IF(YEAR(ArgentaGiroData!$A$2:$A$2000)=YEAR(ArgentaGiroSamenv!$A50),1,0))*(IF(ArgentaGiroData!$D$2:$D$2000&gt;0,1,0))*ArgentaGiroData!$D$2:$D$2000)</f>
        <v>0</v>
      </c>
      <c r="G50" s="11">
        <f ca="1">SUM(IF(MONTH(ArgentaGiroData!$A$2:$A$2000)=MONTH(ArgentaGiroSamenv!$A50),1,0)*IF(YEAR(ArgentaGiroData!$A$2:$A$2000)=YEAR(ArgentaGiroSamenv!$A50),1,0)*IF(ArgentaGiroData!$D$2:$D$2000&lt;0,1,0)*IF(ArgentaGiroData!$K$2:$K$2000=G$1,1,0)*ArgentaGiroData!$D$2:$D$2000)</f>
        <v>0</v>
      </c>
    </row>
    <row r="51" spans="1:7" s="9" customFormat="1" outlineLevel="1">
      <c r="A51" s="10">
        <v>39753</v>
      </c>
      <c r="B51" s="11">
        <f t="array" aca="1" ref="B51" ca="1">SUM((IF(MONTH(ArgentaGiroData!$A$2:$A$2000)=MONTH(ArgentaGiroSamenv!$A51),1,0))*(IF(YEAR(ArgentaGiroData!$A$2:$A$2000)=YEAR(ArgentaGiroSamenv!$A51),1,0))*(IF(ArgentaGiroData!$D$2:$D$2000&lt;0,1,0))*ArgentaGiroData!$D$2:$D$2000)</f>
        <v>0</v>
      </c>
      <c r="C51" s="11">
        <f t="array" aca="1" ref="C51" ca="1">SUM(IF(MONTH(ArgentaGiroData!$A$2:$A$2000)=MONTH(ArgentaGiroSamenv!$A51),1,0)*IF(YEAR(ArgentaGiroData!$A$2:$A$2000)=YEAR(ArgentaGiroSamenv!$A51)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51" s="11">
        <f ca="1">SUM(IF(MONTH(ArgentaGiroData!$A$2:$A$2000)=MONTH(ArgentaGiroSamenv!$A51),1,0)*IF(YEAR(ArgentaGiroData!$A$2:$A$2000)=YEAR(ArgentaGiroSamenv!$A51),1,0)*IF(ArgentaGiroData!$D$2:$D$2000&lt;0,1,0)*IF(ArgentaGiroData!$K$2:$K$2000=D$1,1,0)*ArgentaGiroData!$D$2:$D$2000)</f>
        <v>0</v>
      </c>
      <c r="E51" s="11">
        <f ca="1">SUM(IF(MONTH(ArgentaGiroData!$A$2:$A$2000)=MONTH(ArgentaGiroSamenv!$A51),1,0)*IF(YEAR(ArgentaGiroData!$A$2:$A$2000)=YEAR(ArgentaGiroSamenv!$A51),1,0)*IF(ArgentaGiroData!$D$2:$D$2000&lt;0,1,0)*IF(ArgentaGiroData!$K$2:$K$2000=E$1,1,0)*ArgentaGiroData!$D$2:$D$2000)</f>
        <v>0</v>
      </c>
      <c r="F51" s="11">
        <f t="array" aca="1" ref="F51" ca="1">SUM((IF(MONTH(ArgentaGiroData!$A$2:$A$2000)=MONTH(ArgentaGiroSamenv!$A51),1,0))*(IF(YEAR(ArgentaGiroData!$A$2:$A$2000)=YEAR(ArgentaGiroSamenv!$A51),1,0))*(IF(ArgentaGiroData!$D$2:$D$2000&gt;0,1,0))*ArgentaGiroData!$D$2:$D$2000)</f>
        <v>0</v>
      </c>
      <c r="G51" s="11">
        <f ca="1">SUM(IF(MONTH(ArgentaGiroData!$A$2:$A$2000)=MONTH(ArgentaGiroSamenv!$A51),1,0)*IF(YEAR(ArgentaGiroData!$A$2:$A$2000)=YEAR(ArgentaGiroSamenv!$A51),1,0)*IF(ArgentaGiroData!$D$2:$D$2000&lt;0,1,0)*IF(ArgentaGiroData!$K$2:$K$2000=G$1,1,0)*ArgentaGiroData!$D$2:$D$2000)</f>
        <v>0</v>
      </c>
    </row>
    <row r="52" spans="1:7" s="9" customFormat="1">
      <c r="A52" s="10">
        <v>39783</v>
      </c>
      <c r="B52" s="11">
        <f t="array" aca="1" ref="B52" ca="1">SUM((IF(MONTH(ArgentaGiroData!$A$2:$A$2000)=MONTH(ArgentaGiroSamenv!$A52),1,0))*(IF(YEAR(ArgentaGiroData!$A$2:$A$2000)=YEAR(ArgentaGiroSamenv!$A52),1,0))*(IF(ArgentaGiroData!$D$2:$D$2000&lt;0,1,0))*ArgentaGiroData!$D$2:$D$2000)</f>
        <v>0</v>
      </c>
      <c r="C52" s="11">
        <f t="array" aca="1" ref="C52" ca="1">SUM(IF(MONTH(ArgentaGiroData!$A$2:$A$2000)=MONTH(ArgentaGiroSamenv!$A52),1,0)*IF(YEAR(ArgentaGiroData!$A$2:$A$2000)=YEAR(ArgentaGiroSamenv!$A52)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52" s="11">
        <f ca="1">SUM(IF(MONTH(ArgentaGiroData!$A$2:$A$2000)=MONTH(ArgentaGiroSamenv!$A52),1,0)*IF(YEAR(ArgentaGiroData!$A$2:$A$2000)=YEAR(ArgentaGiroSamenv!$A52),1,0)*IF(ArgentaGiroData!$D$2:$D$2000&lt;0,1,0)*IF(ArgentaGiroData!$K$2:$K$2000=D$1,1,0)*ArgentaGiroData!$D$2:$D$2000)</f>
        <v>0</v>
      </c>
      <c r="E52" s="11">
        <f ca="1">SUM(IF(MONTH(ArgentaGiroData!$A$2:$A$2000)=MONTH(ArgentaGiroSamenv!$A52),1,0)*IF(YEAR(ArgentaGiroData!$A$2:$A$2000)=YEAR(ArgentaGiroSamenv!$A52),1,0)*IF(ArgentaGiroData!$D$2:$D$2000&lt;0,1,0)*IF(ArgentaGiroData!$K$2:$K$2000=E$1,1,0)*ArgentaGiroData!$D$2:$D$2000)</f>
        <v>0</v>
      </c>
      <c r="F52" s="11">
        <f t="array" aca="1" ref="F52" ca="1">SUM((IF(MONTH(ArgentaGiroData!$A$2:$A$2000)=MONTH(ArgentaGiroSamenv!$A52),1,0))*(IF(YEAR(ArgentaGiroData!$A$2:$A$2000)=YEAR(ArgentaGiroSamenv!$A52),1,0))*(IF(ArgentaGiroData!$D$2:$D$2000&gt;0,1,0))*ArgentaGiroData!$D$2:$D$2000)</f>
        <v>0</v>
      </c>
      <c r="G52" s="11">
        <f ca="1">SUM(IF(MONTH(ArgentaGiroData!$A$2:$A$2000)=MONTH(ArgentaGiroSamenv!$A52),1,0)*IF(YEAR(ArgentaGiroData!$A$2:$A$2000)=YEAR(ArgentaGiroSamenv!$A52),1,0)*IF(ArgentaGiroData!$D$2:$D$2000&lt;0,1,0)*IF(ArgentaGiroData!$K$2:$K$2000=G$1,1,0)*ArgentaGiroData!$D$2:$D$2000)</f>
        <v>0</v>
      </c>
    </row>
    <row r="53" spans="1:7" s="9" customFormat="1" outlineLevel="1">
      <c r="A53" s="10">
        <v>39814</v>
      </c>
      <c r="B53" s="11">
        <f t="array" aca="1" ref="B53" ca="1">SUM((IF(MONTH(ArgentaGiroData!$A$2:$A$2000)=MONTH(ArgentaGiroSamenv!$A53),1,0))*(IF(YEAR(ArgentaGiroData!$A$2:$A$2000)=YEAR(ArgentaGiroSamenv!$A53),1,0))*(IF(ArgentaGiroData!$D$2:$D$2000&lt;0,1,0))*ArgentaGiroData!$D$2:$D$2000)</f>
        <v>0</v>
      </c>
      <c r="C53" s="11">
        <f t="array" aca="1" ref="C53" ca="1">SUM(IF(MONTH(ArgentaGiroData!$A$2:$A$2000)=MONTH(ArgentaGiroSamenv!$A53),1,0)*IF(YEAR(ArgentaGiroData!$A$2:$A$2000)=YEAR(ArgentaGiroSamenv!$A53)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53" s="11">
        <f ca="1">SUM(IF(MONTH(ArgentaGiroData!$A$2:$A$2000)=MONTH(ArgentaGiroSamenv!$A53),1,0)*IF(YEAR(ArgentaGiroData!$A$2:$A$2000)=YEAR(ArgentaGiroSamenv!$A53),1,0)*IF(ArgentaGiroData!$D$2:$D$2000&lt;0,1,0)*IF(ArgentaGiroData!$K$2:$K$2000=D$1,1,0)*ArgentaGiroData!$D$2:$D$2000)</f>
        <v>0</v>
      </c>
      <c r="E53" s="11">
        <f ca="1">SUM(IF(MONTH(ArgentaGiroData!$A$2:$A$2000)=MONTH(ArgentaGiroSamenv!$A53),1,0)*IF(YEAR(ArgentaGiroData!$A$2:$A$2000)=YEAR(ArgentaGiroSamenv!$A53),1,0)*IF(ArgentaGiroData!$D$2:$D$2000&lt;0,1,0)*IF(ArgentaGiroData!$K$2:$K$2000=E$1,1,0)*ArgentaGiroData!$D$2:$D$2000)</f>
        <v>0</v>
      </c>
      <c r="F53" s="11">
        <f t="array" aca="1" ref="F53" ca="1">SUM((IF(MONTH(ArgentaGiroData!$A$2:$A$2000)=MONTH(ArgentaGiroSamenv!$A53),1,0))*(IF(YEAR(ArgentaGiroData!$A$2:$A$2000)=YEAR(ArgentaGiroSamenv!$A53),1,0))*(IF(ArgentaGiroData!$D$2:$D$2000&gt;0,1,0))*ArgentaGiroData!$D$2:$D$2000)</f>
        <v>0</v>
      </c>
      <c r="G53" s="11">
        <f ca="1">SUM(IF(MONTH(ArgentaGiroData!$A$2:$A$2000)=MONTH(ArgentaGiroSamenv!$A53),1,0)*IF(YEAR(ArgentaGiroData!$A$2:$A$2000)=YEAR(ArgentaGiroSamenv!$A53),1,0)*IF(ArgentaGiroData!$D$2:$D$2000&lt;0,1,0)*IF(ArgentaGiroData!$K$2:$K$2000=G$1,1,0)*ArgentaGiroData!$D$2:$D$2000)</f>
        <v>0</v>
      </c>
    </row>
    <row r="54" spans="1:7" s="9" customFormat="1" outlineLevel="1">
      <c r="A54" s="10">
        <v>39845</v>
      </c>
      <c r="B54" s="11">
        <f t="array" aca="1" ref="B54" ca="1">SUM((IF(MONTH(ArgentaGiroData!$A$2:$A$2000)=MONTH(ArgentaGiroSamenv!$A54),1,0))*(IF(YEAR(ArgentaGiroData!$A$2:$A$2000)=YEAR(ArgentaGiroSamenv!$A54),1,0))*(IF(ArgentaGiroData!$D$2:$D$2000&lt;0,1,0))*ArgentaGiroData!$D$2:$D$2000)</f>
        <v>0</v>
      </c>
      <c r="C54" s="11">
        <f t="array" aca="1" ref="C54" ca="1">SUM(IF(MONTH(ArgentaGiroData!$A$2:$A$2000)=MONTH(ArgentaGiroSamenv!$A54),1,0)*IF(YEAR(ArgentaGiroData!$A$2:$A$2000)=YEAR(ArgentaGiroSamenv!$A54)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54" s="11">
        <f ca="1">SUM(IF(MONTH(ArgentaGiroData!$A$2:$A$2000)=MONTH(ArgentaGiroSamenv!$A54),1,0)*IF(YEAR(ArgentaGiroData!$A$2:$A$2000)=YEAR(ArgentaGiroSamenv!$A54),1,0)*IF(ArgentaGiroData!$D$2:$D$2000&lt;0,1,0)*IF(ArgentaGiroData!$K$2:$K$2000=D$1,1,0)*ArgentaGiroData!$D$2:$D$2000)</f>
        <v>0</v>
      </c>
      <c r="E54" s="11">
        <f ca="1">SUM(IF(MONTH(ArgentaGiroData!$A$2:$A$2000)=MONTH(ArgentaGiroSamenv!$A54),1,0)*IF(YEAR(ArgentaGiroData!$A$2:$A$2000)=YEAR(ArgentaGiroSamenv!$A54),1,0)*IF(ArgentaGiroData!$D$2:$D$2000&lt;0,1,0)*IF(ArgentaGiroData!$K$2:$K$2000=E$1,1,0)*ArgentaGiroData!$D$2:$D$2000)</f>
        <v>0</v>
      </c>
      <c r="F54" s="11">
        <f t="array" aca="1" ref="F54" ca="1">SUM((IF(MONTH(ArgentaGiroData!$A$2:$A$2000)=MONTH(ArgentaGiroSamenv!$A54),1,0))*(IF(YEAR(ArgentaGiroData!$A$2:$A$2000)=YEAR(ArgentaGiroSamenv!$A54),1,0))*(IF(ArgentaGiroData!$D$2:$D$2000&gt;0,1,0))*ArgentaGiroData!$D$2:$D$2000)</f>
        <v>0</v>
      </c>
      <c r="G54" s="11">
        <f ca="1">SUM(IF(MONTH(ArgentaGiroData!$A$2:$A$2000)=MONTH(ArgentaGiroSamenv!$A54),1,0)*IF(YEAR(ArgentaGiroData!$A$2:$A$2000)=YEAR(ArgentaGiroSamenv!$A54),1,0)*IF(ArgentaGiroData!$D$2:$D$2000&lt;0,1,0)*IF(ArgentaGiroData!$K$2:$K$2000=G$1,1,0)*ArgentaGiroData!$D$2:$D$2000)</f>
        <v>0</v>
      </c>
    </row>
    <row r="55" spans="1:7" s="9" customFormat="1" outlineLevel="1">
      <c r="A55" s="10">
        <v>39873</v>
      </c>
      <c r="B55" s="11">
        <f t="array" aca="1" ref="B55" ca="1">SUM((IF(MONTH(ArgentaGiroData!$A$2:$A$2000)=MONTH(ArgentaGiroSamenv!$A55),1,0))*(IF(YEAR(ArgentaGiroData!$A$2:$A$2000)=YEAR(ArgentaGiroSamenv!$A55),1,0))*(IF(ArgentaGiroData!$D$2:$D$2000&lt;0,1,0))*ArgentaGiroData!$D$2:$D$2000)</f>
        <v>0</v>
      </c>
      <c r="C55" s="11">
        <f t="array" aca="1" ref="C55" ca="1">SUM(IF(MONTH(ArgentaGiroData!$A$2:$A$2000)=MONTH(ArgentaGiroSamenv!$A55),1,0)*IF(YEAR(ArgentaGiroData!$A$2:$A$2000)=YEAR(ArgentaGiroSamenv!$A55)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55" s="11">
        <f ca="1">SUM(IF(MONTH(ArgentaGiroData!$A$2:$A$2000)=MONTH(ArgentaGiroSamenv!$A55),1,0)*IF(YEAR(ArgentaGiroData!$A$2:$A$2000)=YEAR(ArgentaGiroSamenv!$A55),1,0)*IF(ArgentaGiroData!$D$2:$D$2000&lt;0,1,0)*IF(ArgentaGiroData!$K$2:$K$2000=D$1,1,0)*ArgentaGiroData!$D$2:$D$2000)</f>
        <v>0</v>
      </c>
      <c r="E55" s="11">
        <f ca="1">SUM(IF(MONTH(ArgentaGiroData!$A$2:$A$2000)=MONTH(ArgentaGiroSamenv!$A55),1,0)*IF(YEAR(ArgentaGiroData!$A$2:$A$2000)=YEAR(ArgentaGiroSamenv!$A55),1,0)*IF(ArgentaGiroData!$D$2:$D$2000&lt;0,1,0)*IF(ArgentaGiroData!$K$2:$K$2000=E$1,1,0)*ArgentaGiroData!$D$2:$D$2000)</f>
        <v>0</v>
      </c>
      <c r="F55" s="11">
        <f t="array" aca="1" ref="F55" ca="1">SUM((IF(MONTH(ArgentaGiroData!$A$2:$A$2000)=MONTH(ArgentaGiroSamenv!$A55),1,0))*(IF(YEAR(ArgentaGiroData!$A$2:$A$2000)=YEAR(ArgentaGiroSamenv!$A55),1,0))*(IF(ArgentaGiroData!$D$2:$D$2000&gt;0,1,0))*ArgentaGiroData!$D$2:$D$2000)</f>
        <v>0</v>
      </c>
      <c r="G55" s="11">
        <f ca="1">SUM(IF(MONTH(ArgentaGiroData!$A$2:$A$2000)=MONTH(ArgentaGiroSamenv!$A55),1,0)*IF(YEAR(ArgentaGiroData!$A$2:$A$2000)=YEAR(ArgentaGiroSamenv!$A55),1,0)*IF(ArgentaGiroData!$D$2:$D$2000&lt;0,1,0)*IF(ArgentaGiroData!$K$2:$K$2000=G$1,1,0)*ArgentaGiroData!$D$2:$D$2000)</f>
        <v>0</v>
      </c>
    </row>
    <row r="56" spans="1:7" s="9" customFormat="1" outlineLevel="1">
      <c r="A56" s="10">
        <v>39904</v>
      </c>
      <c r="B56" s="11">
        <f t="array" aca="1" ref="B56" ca="1">SUM((IF(MONTH(ArgentaGiroData!$A$2:$A$2000)=MONTH(ArgentaGiroSamenv!$A56),1,0))*(IF(YEAR(ArgentaGiroData!$A$2:$A$2000)=YEAR(ArgentaGiroSamenv!$A56),1,0))*(IF(ArgentaGiroData!$D$2:$D$2000&lt;0,1,0))*ArgentaGiroData!$D$2:$D$2000)</f>
        <v>0</v>
      </c>
      <c r="C56" s="11">
        <f t="array" aca="1" ref="C56" ca="1">SUM(IF(MONTH(ArgentaGiroData!$A$2:$A$2000)=MONTH(ArgentaGiroSamenv!$A56),1,0)*IF(YEAR(ArgentaGiroData!$A$2:$A$2000)=YEAR(ArgentaGiroSamenv!$A56)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56" s="11">
        <f ca="1">SUM(IF(MONTH(ArgentaGiroData!$A$2:$A$2000)=MONTH(ArgentaGiroSamenv!$A56),1,0)*IF(YEAR(ArgentaGiroData!$A$2:$A$2000)=YEAR(ArgentaGiroSamenv!$A56),1,0)*IF(ArgentaGiroData!$D$2:$D$2000&lt;0,1,0)*IF(ArgentaGiroData!$K$2:$K$2000=D$1,1,0)*ArgentaGiroData!$D$2:$D$2000)</f>
        <v>0</v>
      </c>
      <c r="E56" s="11">
        <f ca="1">SUM(IF(MONTH(ArgentaGiroData!$A$2:$A$2000)=MONTH(ArgentaGiroSamenv!$A56),1,0)*IF(YEAR(ArgentaGiroData!$A$2:$A$2000)=YEAR(ArgentaGiroSamenv!$A56),1,0)*IF(ArgentaGiroData!$D$2:$D$2000&lt;0,1,0)*IF(ArgentaGiroData!$K$2:$K$2000=E$1,1,0)*ArgentaGiroData!$D$2:$D$2000)</f>
        <v>0</v>
      </c>
      <c r="F56" s="11">
        <f t="array" aca="1" ref="F56" ca="1">SUM((IF(MONTH(ArgentaGiroData!$A$2:$A$2000)=MONTH(ArgentaGiroSamenv!$A56),1,0))*(IF(YEAR(ArgentaGiroData!$A$2:$A$2000)=YEAR(ArgentaGiroSamenv!$A56),1,0))*(IF(ArgentaGiroData!$D$2:$D$2000&gt;0,1,0))*ArgentaGiroData!$D$2:$D$2000)</f>
        <v>0</v>
      </c>
      <c r="G56" s="11">
        <f ca="1">SUM(IF(MONTH(ArgentaGiroData!$A$2:$A$2000)=MONTH(ArgentaGiroSamenv!$A56),1,0)*IF(YEAR(ArgentaGiroData!$A$2:$A$2000)=YEAR(ArgentaGiroSamenv!$A56),1,0)*IF(ArgentaGiroData!$D$2:$D$2000&lt;0,1,0)*IF(ArgentaGiroData!$K$2:$K$2000=G$1,1,0)*ArgentaGiroData!$D$2:$D$2000)</f>
        <v>0</v>
      </c>
    </row>
    <row r="57" spans="1:7" s="9" customFormat="1" outlineLevel="1">
      <c r="A57" s="10">
        <v>39934</v>
      </c>
      <c r="B57" s="11">
        <f t="array" aca="1" ref="B57" ca="1">SUM((IF(MONTH(ArgentaGiroData!$A$2:$A$2000)=MONTH(ArgentaGiroSamenv!$A57),1,0))*(IF(YEAR(ArgentaGiroData!$A$2:$A$2000)=YEAR(ArgentaGiroSamenv!$A57),1,0))*(IF(ArgentaGiroData!$D$2:$D$2000&lt;0,1,0))*ArgentaGiroData!$D$2:$D$2000)</f>
        <v>0</v>
      </c>
      <c r="C57" s="11">
        <f t="array" aca="1" ref="C57" ca="1">SUM(IF(MONTH(ArgentaGiroData!$A$2:$A$2000)=MONTH(ArgentaGiroSamenv!$A57),1,0)*IF(YEAR(ArgentaGiroData!$A$2:$A$2000)=YEAR(ArgentaGiroSamenv!$A57)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57" s="11">
        <f ca="1">SUM(IF(MONTH(ArgentaGiroData!$A$2:$A$2000)=MONTH(ArgentaGiroSamenv!$A57),1,0)*IF(YEAR(ArgentaGiroData!$A$2:$A$2000)=YEAR(ArgentaGiroSamenv!$A57),1,0)*IF(ArgentaGiroData!$D$2:$D$2000&lt;0,1,0)*IF(ArgentaGiroData!$K$2:$K$2000=D$1,1,0)*ArgentaGiroData!$D$2:$D$2000)</f>
        <v>0</v>
      </c>
      <c r="E57" s="11">
        <f ca="1">SUM(IF(MONTH(ArgentaGiroData!$A$2:$A$2000)=MONTH(ArgentaGiroSamenv!$A57),1,0)*IF(YEAR(ArgentaGiroData!$A$2:$A$2000)=YEAR(ArgentaGiroSamenv!$A57),1,0)*IF(ArgentaGiroData!$D$2:$D$2000&lt;0,1,0)*IF(ArgentaGiroData!$K$2:$K$2000=E$1,1,0)*ArgentaGiroData!$D$2:$D$2000)</f>
        <v>0</v>
      </c>
      <c r="F57" s="11">
        <f t="array" aca="1" ref="F57" ca="1">SUM((IF(MONTH(ArgentaGiroData!$A$2:$A$2000)=MONTH(ArgentaGiroSamenv!$A57),1,0))*(IF(YEAR(ArgentaGiroData!$A$2:$A$2000)=YEAR(ArgentaGiroSamenv!$A57),1,0))*(IF(ArgentaGiroData!$D$2:$D$2000&gt;0,1,0))*ArgentaGiroData!$D$2:$D$2000)</f>
        <v>0</v>
      </c>
      <c r="G57" s="11">
        <f ca="1">SUM(IF(MONTH(ArgentaGiroData!$A$2:$A$2000)=MONTH(ArgentaGiroSamenv!$A57),1,0)*IF(YEAR(ArgentaGiroData!$A$2:$A$2000)=YEAR(ArgentaGiroSamenv!$A57),1,0)*IF(ArgentaGiroData!$D$2:$D$2000&lt;0,1,0)*IF(ArgentaGiroData!$K$2:$K$2000=G$1,1,0)*ArgentaGiroData!$D$2:$D$2000)</f>
        <v>0</v>
      </c>
    </row>
    <row r="58" spans="1:7" s="9" customFormat="1" outlineLevel="1">
      <c r="A58" s="10">
        <v>39965</v>
      </c>
      <c r="B58" s="11">
        <f t="array" aca="1" ref="B58" ca="1">SUM((IF(MONTH(ArgentaGiroData!$A$2:$A$2000)=MONTH(ArgentaGiroSamenv!$A58),1,0))*(IF(YEAR(ArgentaGiroData!$A$2:$A$2000)=YEAR(ArgentaGiroSamenv!$A58),1,0))*(IF(ArgentaGiroData!$D$2:$D$2000&lt;0,1,0))*ArgentaGiroData!$D$2:$D$2000)</f>
        <v>0</v>
      </c>
      <c r="C58" s="11">
        <f t="array" aca="1" ref="C58" ca="1">SUM(IF(MONTH(ArgentaGiroData!$A$2:$A$2000)=MONTH(ArgentaGiroSamenv!$A58),1,0)*IF(YEAR(ArgentaGiroData!$A$2:$A$2000)=YEAR(ArgentaGiroSamenv!$A58)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58" s="11">
        <f ca="1">SUM(IF(MONTH(ArgentaGiroData!$A$2:$A$2000)=MONTH(ArgentaGiroSamenv!$A58),1,0)*IF(YEAR(ArgentaGiroData!$A$2:$A$2000)=YEAR(ArgentaGiroSamenv!$A58),1,0)*IF(ArgentaGiroData!$D$2:$D$2000&lt;0,1,0)*IF(ArgentaGiroData!$K$2:$K$2000=D$1,1,0)*ArgentaGiroData!$D$2:$D$2000)</f>
        <v>0</v>
      </c>
      <c r="E58" s="11">
        <f ca="1">SUM(IF(MONTH(ArgentaGiroData!$A$2:$A$2000)=MONTH(ArgentaGiroSamenv!$A58),1,0)*IF(YEAR(ArgentaGiroData!$A$2:$A$2000)=YEAR(ArgentaGiroSamenv!$A58),1,0)*IF(ArgentaGiroData!$D$2:$D$2000&lt;0,1,0)*IF(ArgentaGiroData!$K$2:$K$2000=E$1,1,0)*ArgentaGiroData!$D$2:$D$2000)</f>
        <v>0</v>
      </c>
      <c r="F58" s="11">
        <f t="array" aca="1" ref="F58" ca="1">SUM((IF(MONTH(ArgentaGiroData!$A$2:$A$2000)=MONTH(ArgentaGiroSamenv!$A58),1,0))*(IF(YEAR(ArgentaGiroData!$A$2:$A$2000)=YEAR(ArgentaGiroSamenv!$A58),1,0))*(IF(ArgentaGiroData!$D$2:$D$2000&gt;0,1,0))*ArgentaGiroData!$D$2:$D$2000)</f>
        <v>0</v>
      </c>
      <c r="G58" s="11">
        <f ca="1">SUM(IF(MONTH(ArgentaGiroData!$A$2:$A$2000)=MONTH(ArgentaGiroSamenv!$A58),1,0)*IF(YEAR(ArgentaGiroData!$A$2:$A$2000)=YEAR(ArgentaGiroSamenv!$A58),1,0)*IF(ArgentaGiroData!$D$2:$D$2000&lt;0,1,0)*IF(ArgentaGiroData!$K$2:$K$2000=G$1,1,0)*ArgentaGiroData!$D$2:$D$2000)</f>
        <v>0</v>
      </c>
    </row>
    <row r="59" spans="1:7" s="9" customFormat="1" outlineLevel="1">
      <c r="A59" s="10">
        <v>39995</v>
      </c>
      <c r="B59" s="11">
        <f t="array" aca="1" ref="B59" ca="1">SUM((IF(MONTH(ArgentaGiroData!$A$2:$A$2000)=MONTH(ArgentaGiroSamenv!$A59),1,0))*(IF(YEAR(ArgentaGiroData!$A$2:$A$2000)=YEAR(ArgentaGiroSamenv!$A59),1,0))*(IF(ArgentaGiroData!$D$2:$D$2000&lt;0,1,0))*ArgentaGiroData!$D$2:$D$2000)</f>
        <v>0</v>
      </c>
      <c r="C59" s="11">
        <f t="array" aca="1" ref="C59" ca="1">SUM(IF(MONTH(ArgentaGiroData!$A$2:$A$2000)=MONTH(ArgentaGiroSamenv!$A59),1,0)*IF(YEAR(ArgentaGiroData!$A$2:$A$2000)=YEAR(ArgentaGiroSamenv!$A59)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59" s="11">
        <f ca="1">SUM(IF(MONTH(ArgentaGiroData!$A$2:$A$2000)=MONTH(ArgentaGiroSamenv!$A59),1,0)*IF(YEAR(ArgentaGiroData!$A$2:$A$2000)=YEAR(ArgentaGiroSamenv!$A59),1,0)*IF(ArgentaGiroData!$D$2:$D$2000&lt;0,1,0)*IF(ArgentaGiroData!$K$2:$K$2000=D$1,1,0)*ArgentaGiroData!$D$2:$D$2000)</f>
        <v>0</v>
      </c>
      <c r="E59" s="11">
        <f ca="1">SUM(IF(MONTH(ArgentaGiroData!$A$2:$A$2000)=MONTH(ArgentaGiroSamenv!$A59),1,0)*IF(YEAR(ArgentaGiroData!$A$2:$A$2000)=YEAR(ArgentaGiroSamenv!$A59),1,0)*IF(ArgentaGiroData!$D$2:$D$2000&lt;0,1,0)*IF(ArgentaGiroData!$K$2:$K$2000=E$1,1,0)*ArgentaGiroData!$D$2:$D$2000)</f>
        <v>0</v>
      </c>
      <c r="F59" s="11">
        <f t="array" aca="1" ref="F59" ca="1">SUM((IF(MONTH(ArgentaGiroData!$A$2:$A$2000)=MONTH(ArgentaGiroSamenv!$A59),1,0))*(IF(YEAR(ArgentaGiroData!$A$2:$A$2000)=YEAR(ArgentaGiroSamenv!$A59),1,0))*(IF(ArgentaGiroData!$D$2:$D$2000&gt;0,1,0))*ArgentaGiroData!$D$2:$D$2000)</f>
        <v>0</v>
      </c>
      <c r="G59" s="11">
        <f ca="1">SUM(IF(MONTH(ArgentaGiroData!$A$2:$A$2000)=MONTH(ArgentaGiroSamenv!$A59),1,0)*IF(YEAR(ArgentaGiroData!$A$2:$A$2000)=YEAR(ArgentaGiroSamenv!$A59),1,0)*IF(ArgentaGiroData!$D$2:$D$2000&lt;0,1,0)*IF(ArgentaGiroData!$K$2:$K$2000=G$1,1,0)*ArgentaGiroData!$D$2:$D$2000)</f>
        <v>0</v>
      </c>
    </row>
    <row r="60" spans="1:7" s="9" customFormat="1" outlineLevel="1">
      <c r="A60" s="10">
        <v>40026</v>
      </c>
      <c r="B60" s="11">
        <f t="array" aca="1" ref="B60" ca="1">SUM((IF(MONTH(ArgentaGiroData!$A$2:$A$2000)=MONTH(ArgentaGiroSamenv!$A60),1,0))*(IF(YEAR(ArgentaGiroData!$A$2:$A$2000)=YEAR(ArgentaGiroSamenv!$A60),1,0))*(IF(ArgentaGiroData!$D$2:$D$2000&lt;0,1,0))*ArgentaGiroData!$D$2:$D$2000)</f>
        <v>0</v>
      </c>
      <c r="C60" s="11">
        <f t="array" aca="1" ref="C60" ca="1">SUM(IF(MONTH(ArgentaGiroData!$A$2:$A$2000)=MONTH(ArgentaGiroSamenv!$A60),1,0)*IF(YEAR(ArgentaGiroData!$A$2:$A$2000)=YEAR(ArgentaGiroSamenv!$A60)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60" s="11">
        <f ca="1">SUM(IF(MONTH(ArgentaGiroData!$A$2:$A$2000)=MONTH(ArgentaGiroSamenv!$A60),1,0)*IF(YEAR(ArgentaGiroData!$A$2:$A$2000)=YEAR(ArgentaGiroSamenv!$A60),1,0)*IF(ArgentaGiroData!$D$2:$D$2000&lt;0,1,0)*IF(ArgentaGiroData!$K$2:$K$2000=D$1,1,0)*ArgentaGiroData!$D$2:$D$2000)</f>
        <v>0</v>
      </c>
      <c r="E60" s="11">
        <f ca="1">SUM(IF(MONTH(ArgentaGiroData!$A$2:$A$2000)=MONTH(ArgentaGiroSamenv!$A60),1,0)*IF(YEAR(ArgentaGiroData!$A$2:$A$2000)=YEAR(ArgentaGiroSamenv!$A60),1,0)*IF(ArgentaGiroData!$D$2:$D$2000&lt;0,1,0)*IF(ArgentaGiroData!$K$2:$K$2000=E$1,1,0)*ArgentaGiroData!$D$2:$D$2000)</f>
        <v>0</v>
      </c>
      <c r="F60" s="11">
        <f t="array" aca="1" ref="F60" ca="1">SUM((IF(MONTH(ArgentaGiroData!$A$2:$A$2000)=MONTH(ArgentaGiroSamenv!$A60),1,0))*(IF(YEAR(ArgentaGiroData!$A$2:$A$2000)=YEAR(ArgentaGiroSamenv!$A60),1,0))*(IF(ArgentaGiroData!$D$2:$D$2000&gt;0,1,0))*ArgentaGiroData!$D$2:$D$2000)</f>
        <v>0</v>
      </c>
      <c r="G60" s="11">
        <f ca="1">SUM(IF(MONTH(ArgentaGiroData!$A$2:$A$2000)=MONTH(ArgentaGiroSamenv!$A60),1,0)*IF(YEAR(ArgentaGiroData!$A$2:$A$2000)=YEAR(ArgentaGiroSamenv!$A60),1,0)*IF(ArgentaGiroData!$D$2:$D$2000&lt;0,1,0)*IF(ArgentaGiroData!$K$2:$K$2000=G$1,1,0)*ArgentaGiroData!$D$2:$D$2000)</f>
        <v>0</v>
      </c>
    </row>
    <row r="61" spans="1:7" s="9" customFormat="1" outlineLevel="1">
      <c r="A61" s="10">
        <v>40057</v>
      </c>
      <c r="B61" s="11">
        <f t="array" aca="1" ref="B61" ca="1">SUM((IF(MONTH(ArgentaGiroData!$A$2:$A$2000)=MONTH(ArgentaGiroSamenv!$A61),1,0))*(IF(YEAR(ArgentaGiroData!$A$2:$A$2000)=YEAR(ArgentaGiroSamenv!$A61),1,0))*(IF(ArgentaGiroData!$D$2:$D$2000&lt;0,1,0))*ArgentaGiroData!$D$2:$D$2000)</f>
        <v>0</v>
      </c>
      <c r="C61" s="11">
        <f t="array" aca="1" ref="C61" ca="1">SUM(IF(MONTH(ArgentaGiroData!$A$2:$A$2000)=MONTH(ArgentaGiroSamenv!$A61),1,0)*IF(YEAR(ArgentaGiroData!$A$2:$A$2000)=YEAR(ArgentaGiroSamenv!$A61)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61" s="11">
        <f ca="1">SUM(IF(MONTH(ArgentaGiroData!$A$2:$A$2000)=MONTH(ArgentaGiroSamenv!$A61),1,0)*IF(YEAR(ArgentaGiroData!$A$2:$A$2000)=YEAR(ArgentaGiroSamenv!$A61),1,0)*IF(ArgentaGiroData!$D$2:$D$2000&lt;0,1,0)*IF(ArgentaGiroData!$K$2:$K$2000=D$1,1,0)*ArgentaGiroData!$D$2:$D$2000)</f>
        <v>0</v>
      </c>
      <c r="E61" s="11">
        <f ca="1">SUM(IF(MONTH(ArgentaGiroData!$A$2:$A$2000)=MONTH(ArgentaGiroSamenv!$A61),1,0)*IF(YEAR(ArgentaGiroData!$A$2:$A$2000)=YEAR(ArgentaGiroSamenv!$A61),1,0)*IF(ArgentaGiroData!$D$2:$D$2000&lt;0,1,0)*IF(ArgentaGiroData!$K$2:$K$2000=E$1,1,0)*ArgentaGiroData!$D$2:$D$2000)</f>
        <v>0</v>
      </c>
      <c r="F61" s="11">
        <f t="array" aca="1" ref="F61" ca="1">SUM((IF(MONTH(ArgentaGiroData!$A$2:$A$2000)=MONTH(ArgentaGiroSamenv!$A61),1,0))*(IF(YEAR(ArgentaGiroData!$A$2:$A$2000)=YEAR(ArgentaGiroSamenv!$A61),1,0))*(IF(ArgentaGiroData!$D$2:$D$2000&gt;0,1,0))*ArgentaGiroData!$D$2:$D$2000)</f>
        <v>0</v>
      </c>
      <c r="G61" s="11">
        <f ca="1">SUM(IF(MONTH(ArgentaGiroData!$A$2:$A$2000)=MONTH(ArgentaGiroSamenv!$A61),1,0)*IF(YEAR(ArgentaGiroData!$A$2:$A$2000)=YEAR(ArgentaGiroSamenv!$A61),1,0)*IF(ArgentaGiroData!$D$2:$D$2000&lt;0,1,0)*IF(ArgentaGiroData!$K$2:$K$2000=G$1,1,0)*ArgentaGiroData!$D$2:$D$2000)</f>
        <v>0</v>
      </c>
    </row>
    <row r="62" spans="1:7" s="9" customFormat="1" outlineLevel="1">
      <c r="A62" s="10">
        <v>40087</v>
      </c>
      <c r="B62" s="11">
        <f t="array" aca="1" ref="B62" ca="1">SUM((IF(MONTH(ArgentaGiroData!$A$2:$A$2000)=MONTH(ArgentaGiroSamenv!$A62),1,0))*(IF(YEAR(ArgentaGiroData!$A$2:$A$2000)=YEAR(ArgentaGiroSamenv!$A62),1,0))*(IF(ArgentaGiroData!$D$2:$D$2000&lt;0,1,0))*ArgentaGiroData!$D$2:$D$2000)</f>
        <v>0</v>
      </c>
      <c r="C62" s="11">
        <f t="array" aca="1" ref="C62" ca="1">SUM(IF(MONTH(ArgentaGiroData!$A$2:$A$2000)=MONTH(ArgentaGiroSamenv!$A62),1,0)*IF(YEAR(ArgentaGiroData!$A$2:$A$2000)=YEAR(ArgentaGiroSamenv!$A62)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62" s="11">
        <f ca="1">SUM(IF(MONTH(ArgentaGiroData!$A$2:$A$2000)=MONTH(ArgentaGiroSamenv!$A62),1,0)*IF(YEAR(ArgentaGiroData!$A$2:$A$2000)=YEAR(ArgentaGiroSamenv!$A62),1,0)*IF(ArgentaGiroData!$D$2:$D$2000&lt;0,1,0)*IF(ArgentaGiroData!$K$2:$K$2000=D$1,1,0)*ArgentaGiroData!$D$2:$D$2000)</f>
        <v>0</v>
      </c>
      <c r="E62" s="11">
        <f ca="1">SUM(IF(MONTH(ArgentaGiroData!$A$2:$A$2000)=MONTH(ArgentaGiroSamenv!$A62),1,0)*IF(YEAR(ArgentaGiroData!$A$2:$A$2000)=YEAR(ArgentaGiroSamenv!$A62),1,0)*IF(ArgentaGiroData!$D$2:$D$2000&lt;0,1,0)*IF(ArgentaGiroData!$K$2:$K$2000=E$1,1,0)*ArgentaGiroData!$D$2:$D$2000)</f>
        <v>0</v>
      </c>
      <c r="F62" s="11">
        <f t="array" aca="1" ref="F62" ca="1">SUM((IF(MONTH(ArgentaGiroData!$A$2:$A$2000)=MONTH(ArgentaGiroSamenv!$A62),1,0))*(IF(YEAR(ArgentaGiroData!$A$2:$A$2000)=YEAR(ArgentaGiroSamenv!$A62),1,0))*(IF(ArgentaGiroData!$D$2:$D$2000&gt;0,1,0))*ArgentaGiroData!$D$2:$D$2000)</f>
        <v>0</v>
      </c>
      <c r="G62" s="11">
        <f ca="1">SUM(IF(MONTH(ArgentaGiroData!$A$2:$A$2000)=MONTH(ArgentaGiroSamenv!$A62),1,0)*IF(YEAR(ArgentaGiroData!$A$2:$A$2000)=YEAR(ArgentaGiroSamenv!$A62),1,0)*IF(ArgentaGiroData!$D$2:$D$2000&lt;0,1,0)*IF(ArgentaGiroData!$K$2:$K$2000=G$1,1,0)*ArgentaGiroData!$D$2:$D$2000)</f>
        <v>0</v>
      </c>
    </row>
    <row r="63" spans="1:7" s="9" customFormat="1" outlineLevel="1">
      <c r="A63" s="10">
        <v>40118</v>
      </c>
      <c r="B63" s="11">
        <f t="array" aca="1" ref="B63" ca="1">SUM((IF(MONTH(ArgentaGiroData!$A$2:$A$2000)=MONTH(ArgentaGiroSamenv!$A63),1,0))*(IF(YEAR(ArgentaGiroData!$A$2:$A$2000)=YEAR(ArgentaGiroSamenv!$A63),1,0))*(IF(ArgentaGiroData!$D$2:$D$2000&lt;0,1,0))*ArgentaGiroData!$D$2:$D$2000)</f>
        <v>0</v>
      </c>
      <c r="C63" s="11">
        <f t="array" aca="1" ref="C63" ca="1">SUM(IF(MONTH(ArgentaGiroData!$A$2:$A$2000)=MONTH(ArgentaGiroSamenv!$A63),1,0)*IF(YEAR(ArgentaGiroData!$A$2:$A$2000)=YEAR(ArgentaGiroSamenv!$A63)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63" s="11">
        <f ca="1">SUM(IF(MONTH(ArgentaGiroData!$A$2:$A$2000)=MONTH(ArgentaGiroSamenv!$A63),1,0)*IF(YEAR(ArgentaGiroData!$A$2:$A$2000)=YEAR(ArgentaGiroSamenv!$A63),1,0)*IF(ArgentaGiroData!$D$2:$D$2000&lt;0,1,0)*IF(ArgentaGiroData!$K$2:$K$2000=D$1,1,0)*ArgentaGiroData!$D$2:$D$2000)</f>
        <v>0</v>
      </c>
      <c r="E63" s="11">
        <f ca="1">SUM(IF(MONTH(ArgentaGiroData!$A$2:$A$2000)=MONTH(ArgentaGiroSamenv!$A63),1,0)*IF(YEAR(ArgentaGiroData!$A$2:$A$2000)=YEAR(ArgentaGiroSamenv!$A63),1,0)*IF(ArgentaGiroData!$D$2:$D$2000&lt;0,1,0)*IF(ArgentaGiroData!$K$2:$K$2000=E$1,1,0)*ArgentaGiroData!$D$2:$D$2000)</f>
        <v>0</v>
      </c>
      <c r="F63" s="11">
        <f t="array" aca="1" ref="F63" ca="1">SUM((IF(MONTH(ArgentaGiroData!$A$2:$A$2000)=MONTH(ArgentaGiroSamenv!$A63),1,0))*(IF(YEAR(ArgentaGiroData!$A$2:$A$2000)=YEAR(ArgentaGiroSamenv!$A63),1,0))*(IF(ArgentaGiroData!$D$2:$D$2000&gt;0,1,0))*ArgentaGiroData!$D$2:$D$2000)</f>
        <v>0</v>
      </c>
      <c r="G63" s="11">
        <f ca="1">SUM(IF(MONTH(ArgentaGiroData!$A$2:$A$2000)=MONTH(ArgentaGiroSamenv!$A63),1,0)*IF(YEAR(ArgentaGiroData!$A$2:$A$2000)=YEAR(ArgentaGiroSamenv!$A63),1,0)*IF(ArgentaGiroData!$D$2:$D$2000&lt;0,1,0)*IF(ArgentaGiroData!$K$2:$K$2000=G$1,1,0)*ArgentaGiroData!$D$2:$D$2000)</f>
        <v>0</v>
      </c>
    </row>
    <row r="64" spans="1:7" s="9" customFormat="1">
      <c r="A64" s="10">
        <v>40148</v>
      </c>
      <c r="B64" s="11">
        <f t="array" aca="1" ref="B64" ca="1">SUM((IF(MONTH(ArgentaGiroData!$A$2:$A$2000)=MONTH(ArgentaGiroSamenv!$A64),1,0))*(IF(YEAR(ArgentaGiroData!$A$2:$A$2000)=YEAR(ArgentaGiroSamenv!$A64),1,0))*(IF(ArgentaGiroData!$D$2:$D$2000&lt;0,1,0))*ArgentaGiroData!$D$2:$D$2000)</f>
        <v>0</v>
      </c>
      <c r="C64" s="11">
        <f t="array" aca="1" ref="C64" ca="1">SUM(IF(MONTH(ArgentaGiroData!$A$2:$A$2000)=MONTH(ArgentaGiroSamenv!$A64),1,0)*IF(YEAR(ArgentaGiroData!$A$2:$A$2000)=YEAR(ArgentaGiroSamenv!$A64)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64" s="11">
        <f ca="1">SUM(IF(MONTH(ArgentaGiroData!$A$2:$A$2000)=MONTH(ArgentaGiroSamenv!$A64),1,0)*IF(YEAR(ArgentaGiroData!$A$2:$A$2000)=YEAR(ArgentaGiroSamenv!$A64),1,0)*IF(ArgentaGiroData!$D$2:$D$2000&lt;0,1,0)*IF(ArgentaGiroData!$K$2:$K$2000=D$1,1,0)*ArgentaGiroData!$D$2:$D$2000)</f>
        <v>0</v>
      </c>
      <c r="E64" s="11">
        <f ca="1">SUM(IF(MONTH(ArgentaGiroData!$A$2:$A$2000)=MONTH(ArgentaGiroSamenv!$A64),1,0)*IF(YEAR(ArgentaGiroData!$A$2:$A$2000)=YEAR(ArgentaGiroSamenv!$A64),1,0)*IF(ArgentaGiroData!$D$2:$D$2000&lt;0,1,0)*IF(ArgentaGiroData!$K$2:$K$2000=E$1,1,0)*ArgentaGiroData!$D$2:$D$2000)</f>
        <v>0</v>
      </c>
      <c r="F64" s="11">
        <f t="array" aca="1" ref="F64" ca="1">SUM((IF(MONTH(ArgentaGiroData!$A$2:$A$2000)=MONTH(ArgentaGiroSamenv!$A64),1,0))*(IF(YEAR(ArgentaGiroData!$A$2:$A$2000)=YEAR(ArgentaGiroSamenv!$A64),1,0))*(IF(ArgentaGiroData!$D$2:$D$2000&gt;0,1,0))*ArgentaGiroData!$D$2:$D$2000)</f>
        <v>0</v>
      </c>
      <c r="G64" s="11">
        <f ca="1">SUM(IF(MONTH(ArgentaGiroData!$A$2:$A$2000)=MONTH(ArgentaGiroSamenv!$A64),1,0)*IF(YEAR(ArgentaGiroData!$A$2:$A$2000)=YEAR(ArgentaGiroSamenv!$A64),1,0)*IF(ArgentaGiroData!$D$2:$D$2000&lt;0,1,0)*IF(ArgentaGiroData!$K$2:$K$2000=G$1,1,0)*ArgentaGiroData!$D$2:$D$2000)</f>
        <v>0</v>
      </c>
    </row>
    <row r="65" spans="1:7" s="9" customFormat="1">
      <c r="A65" s="10">
        <v>40179</v>
      </c>
      <c r="B65" s="11">
        <f t="array" aca="1" ref="B65" ca="1">SUM((IF(MONTH(ArgentaGiroData!$A$2:$A$2000)=MONTH(ArgentaGiroSamenv!$A65),1,0))*(IF(YEAR(ArgentaGiroData!$A$2:$A$2000)=YEAR(ArgentaGiroSamenv!$A65),1,0))*(IF(ArgentaGiroData!$D$2:$D$2000&lt;0,1,0))*ArgentaGiroData!$D$2:$D$2000)</f>
        <v>0</v>
      </c>
      <c r="C65" s="11">
        <f t="array" aca="1" ref="C65" ca="1">SUM(IF(MONTH(ArgentaGiroData!$A$2:$A$2000)=MONTH(ArgentaGiroSamenv!$A65),1,0)*IF(YEAR(ArgentaGiroData!$A$2:$A$2000)=YEAR(ArgentaGiroSamenv!$A65)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65" s="11">
        <f ca="1">SUM(IF(MONTH(ArgentaGiroData!$A$2:$A$2000)=MONTH(ArgentaGiroSamenv!$A65),1,0)*IF(YEAR(ArgentaGiroData!$A$2:$A$2000)=YEAR(ArgentaGiroSamenv!$A65),1,0)*IF(ArgentaGiroData!$D$2:$D$2000&lt;0,1,0)*IF(ArgentaGiroData!$K$2:$K$2000=D$1,1,0)*ArgentaGiroData!$D$2:$D$2000)</f>
        <v>0</v>
      </c>
      <c r="E65" s="11">
        <f ca="1">SUM(IF(MONTH(ArgentaGiroData!$A$2:$A$2000)=MONTH(ArgentaGiroSamenv!$A65),1,0)*IF(YEAR(ArgentaGiroData!$A$2:$A$2000)=YEAR(ArgentaGiroSamenv!$A65),1,0)*IF(ArgentaGiroData!$D$2:$D$2000&lt;0,1,0)*IF(ArgentaGiroData!$K$2:$K$2000=E$1,1,0)*ArgentaGiroData!$D$2:$D$2000)</f>
        <v>0</v>
      </c>
      <c r="F65" s="11">
        <f t="array" aca="1" ref="F65" ca="1">SUM((IF(MONTH(ArgentaGiroData!$A$2:$A$2000)=MONTH(ArgentaGiroSamenv!$A65),1,0))*(IF(YEAR(ArgentaGiroData!$A$2:$A$2000)=YEAR(ArgentaGiroSamenv!$A65),1,0))*(IF(ArgentaGiroData!$D$2:$D$2000&gt;0,1,0))*ArgentaGiroData!$D$2:$D$2000)</f>
        <v>0</v>
      </c>
      <c r="G65" s="11">
        <f ca="1">SUM(IF(MONTH(ArgentaGiroData!$A$2:$A$2000)=MONTH(ArgentaGiroSamenv!$A65),1,0)*IF(YEAR(ArgentaGiroData!$A$2:$A$2000)=YEAR(ArgentaGiroSamenv!$A65),1,0)*IF(ArgentaGiroData!$D$2:$D$2000&lt;0,1,0)*IF(ArgentaGiroData!$K$2:$K$2000=G$1,1,0)*ArgentaGiroData!$D$2:$D$2000)</f>
        <v>0</v>
      </c>
    </row>
    <row r="66" spans="1:7" s="9" customFormat="1">
      <c r="A66" s="10">
        <v>40210</v>
      </c>
      <c r="B66" s="11">
        <f t="array" aca="1" ref="B66" ca="1">SUM((IF(MONTH(ArgentaGiroData!$A$2:$A$2000)=MONTH(ArgentaGiroSamenv!$A66),1,0))*(IF(YEAR(ArgentaGiroData!$A$2:$A$2000)=YEAR(ArgentaGiroSamenv!$A66),1,0))*(IF(ArgentaGiroData!$D$2:$D$2000&lt;0,1,0))*ArgentaGiroData!$D$2:$D$2000)</f>
        <v>0</v>
      </c>
      <c r="C66" s="11">
        <f t="array" aca="1" ref="C66" ca="1">SUM(IF(MONTH(ArgentaGiroData!$A$2:$A$2000)=MONTH(ArgentaGiroSamenv!$A66),1,0)*IF(YEAR(ArgentaGiroData!$A$2:$A$2000)=YEAR(ArgentaGiroSamenv!$A66)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66" s="11">
        <f ca="1">SUM(IF(MONTH(ArgentaGiroData!$A$2:$A$2000)=MONTH(ArgentaGiroSamenv!$A66),1,0)*IF(YEAR(ArgentaGiroData!$A$2:$A$2000)=YEAR(ArgentaGiroSamenv!$A66),1,0)*IF(ArgentaGiroData!$D$2:$D$2000&lt;0,1,0)*IF(ArgentaGiroData!$K$2:$K$2000=D$1,1,0)*ArgentaGiroData!$D$2:$D$2000)</f>
        <v>0</v>
      </c>
      <c r="E66" s="11">
        <f ca="1">SUM(IF(MONTH(ArgentaGiroData!$A$2:$A$2000)=MONTH(ArgentaGiroSamenv!$A66),1,0)*IF(YEAR(ArgentaGiroData!$A$2:$A$2000)=YEAR(ArgentaGiroSamenv!$A66),1,0)*IF(ArgentaGiroData!$D$2:$D$2000&lt;0,1,0)*IF(ArgentaGiroData!$K$2:$K$2000=E$1,1,0)*ArgentaGiroData!$D$2:$D$2000)</f>
        <v>0</v>
      </c>
      <c r="F66" s="11">
        <f t="array" aca="1" ref="F66" ca="1">SUM((IF(MONTH(ArgentaGiroData!$A$2:$A$2000)=MONTH(ArgentaGiroSamenv!$A66),1,0))*(IF(YEAR(ArgentaGiroData!$A$2:$A$2000)=YEAR(ArgentaGiroSamenv!$A66),1,0))*(IF(ArgentaGiroData!$D$2:$D$2000&gt;0,1,0))*ArgentaGiroData!$D$2:$D$2000)</f>
        <v>0</v>
      </c>
      <c r="G66" s="11">
        <f ca="1">SUM(IF(MONTH(ArgentaGiroData!$A$2:$A$2000)=MONTH(ArgentaGiroSamenv!$A66),1,0)*IF(YEAR(ArgentaGiroData!$A$2:$A$2000)=YEAR(ArgentaGiroSamenv!$A66),1,0)*IF(ArgentaGiroData!$D$2:$D$2000&lt;0,1,0)*IF(ArgentaGiroData!$K$2:$K$2000=G$1,1,0)*ArgentaGiroData!$D$2:$D$2000)</f>
        <v>0</v>
      </c>
    </row>
    <row r="67" spans="1:7" s="9" customFormat="1">
      <c r="A67" s="10">
        <v>40238</v>
      </c>
      <c r="B67" s="11">
        <f t="array" aca="1" ref="B67" ca="1">SUM((IF(MONTH(ArgentaGiroData!$A$2:$A$2000)=MONTH(ArgentaGiroSamenv!$A67),1,0))*(IF(YEAR(ArgentaGiroData!$A$2:$A$2000)=YEAR(ArgentaGiroSamenv!$A67),1,0))*(IF(ArgentaGiroData!$D$2:$D$2000&lt;0,1,0))*ArgentaGiroData!$D$2:$D$2000)</f>
        <v>0</v>
      </c>
      <c r="C67" s="11">
        <f t="array" aca="1" ref="C67" ca="1">SUM(IF(MONTH(ArgentaGiroData!$A$2:$A$2000)=MONTH(ArgentaGiroSamenv!$A67),1,0)*IF(YEAR(ArgentaGiroData!$A$2:$A$2000)=YEAR(ArgentaGiroSamenv!$A67)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67" s="11">
        <f ca="1">SUM(IF(MONTH(ArgentaGiroData!$A$2:$A$2000)=MONTH(ArgentaGiroSamenv!$A67),1,0)*IF(YEAR(ArgentaGiroData!$A$2:$A$2000)=YEAR(ArgentaGiroSamenv!$A67),1,0)*IF(ArgentaGiroData!$D$2:$D$2000&lt;0,1,0)*IF(ArgentaGiroData!$K$2:$K$2000=D$1,1,0)*ArgentaGiroData!$D$2:$D$2000)</f>
        <v>0</v>
      </c>
      <c r="E67" s="11">
        <f ca="1">SUM(IF(MONTH(ArgentaGiroData!$A$2:$A$2000)=MONTH(ArgentaGiroSamenv!$A67),1,0)*IF(YEAR(ArgentaGiroData!$A$2:$A$2000)=YEAR(ArgentaGiroSamenv!$A67),1,0)*IF(ArgentaGiroData!$D$2:$D$2000&lt;0,1,0)*IF(ArgentaGiroData!$K$2:$K$2000=E$1,1,0)*ArgentaGiroData!$D$2:$D$2000)</f>
        <v>0</v>
      </c>
      <c r="F67" s="11">
        <f t="array" aca="1" ref="F67" ca="1">SUM((IF(MONTH(ArgentaGiroData!$A$2:$A$2000)=MONTH(ArgentaGiroSamenv!$A67),1,0))*(IF(YEAR(ArgentaGiroData!$A$2:$A$2000)=YEAR(ArgentaGiroSamenv!$A67),1,0))*(IF(ArgentaGiroData!$D$2:$D$2000&gt;0,1,0))*ArgentaGiroData!$D$2:$D$2000)</f>
        <v>0</v>
      </c>
      <c r="G67" s="11">
        <f ca="1">SUM(IF(MONTH(ArgentaGiroData!$A$2:$A$2000)=MONTH(ArgentaGiroSamenv!$A67),1,0)*IF(YEAR(ArgentaGiroData!$A$2:$A$2000)=YEAR(ArgentaGiroSamenv!$A67),1,0)*IF(ArgentaGiroData!$D$2:$D$2000&lt;0,1,0)*IF(ArgentaGiroData!$K$2:$K$2000=G$1,1,0)*ArgentaGiroData!$D$2:$D$2000)</f>
        <v>0</v>
      </c>
    </row>
    <row r="68" spans="1:7" s="9" customFormat="1">
      <c r="A68" s="10">
        <v>40269</v>
      </c>
      <c r="B68" s="11">
        <f t="array" aca="1" ref="B68" ca="1">SUM((IF(MONTH(ArgentaGiroData!$A$2:$A$2000)=MONTH(ArgentaGiroSamenv!$A68),1,0))*(IF(YEAR(ArgentaGiroData!$A$2:$A$2000)=YEAR(ArgentaGiroSamenv!$A68),1,0))*(IF(ArgentaGiroData!$D$2:$D$2000&lt;0,1,0))*ArgentaGiroData!$D$2:$D$2000)</f>
        <v>0</v>
      </c>
      <c r="C68" s="11">
        <f t="array" aca="1" ref="C68" ca="1">SUM(IF(MONTH(ArgentaGiroData!$A$2:$A$2000)=MONTH(ArgentaGiroSamenv!$A68),1,0)*IF(YEAR(ArgentaGiroData!$A$2:$A$2000)=YEAR(ArgentaGiroSamenv!$A68)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68" s="11">
        <f ca="1">SUM(IF(MONTH(ArgentaGiroData!$A$2:$A$2000)=MONTH(ArgentaGiroSamenv!$A68),1,0)*IF(YEAR(ArgentaGiroData!$A$2:$A$2000)=YEAR(ArgentaGiroSamenv!$A68),1,0)*IF(ArgentaGiroData!$D$2:$D$2000&lt;0,1,0)*IF(ArgentaGiroData!$K$2:$K$2000=D$1,1,0)*ArgentaGiroData!$D$2:$D$2000)</f>
        <v>0</v>
      </c>
      <c r="E68" s="11">
        <f ca="1">SUM(IF(MONTH(ArgentaGiroData!$A$2:$A$2000)=MONTH(ArgentaGiroSamenv!$A68),1,0)*IF(YEAR(ArgentaGiroData!$A$2:$A$2000)=YEAR(ArgentaGiroSamenv!$A68),1,0)*IF(ArgentaGiroData!$D$2:$D$2000&lt;0,1,0)*IF(ArgentaGiroData!$K$2:$K$2000=E$1,1,0)*ArgentaGiroData!$D$2:$D$2000)</f>
        <v>0</v>
      </c>
      <c r="F68" s="11">
        <f t="array" aca="1" ref="F68" ca="1">SUM((IF(MONTH(ArgentaGiroData!$A$2:$A$2000)=MONTH(ArgentaGiroSamenv!$A68),1,0))*(IF(YEAR(ArgentaGiroData!$A$2:$A$2000)=YEAR(ArgentaGiroSamenv!$A68),1,0))*(IF(ArgentaGiroData!$D$2:$D$2000&gt;0,1,0))*ArgentaGiroData!$D$2:$D$2000)</f>
        <v>0</v>
      </c>
      <c r="G68" s="11">
        <f ca="1">SUM(IF(MONTH(ArgentaGiroData!$A$2:$A$2000)=MONTH(ArgentaGiroSamenv!$A68),1,0)*IF(YEAR(ArgentaGiroData!$A$2:$A$2000)=YEAR(ArgentaGiroSamenv!$A68),1,0)*IF(ArgentaGiroData!$D$2:$D$2000&lt;0,1,0)*IF(ArgentaGiroData!$K$2:$K$2000=G$1,1,0)*ArgentaGiroData!$D$2:$D$2000)</f>
        <v>0</v>
      </c>
    </row>
    <row r="69" spans="1:7" s="9" customFormat="1">
      <c r="A69" s="10">
        <v>40299</v>
      </c>
      <c r="B69" s="11">
        <f t="array" aca="1" ref="B69" ca="1">SUM((IF(MONTH(ArgentaGiroData!$A$2:$A$2000)=MONTH(ArgentaGiroSamenv!$A69),1,0))*(IF(YEAR(ArgentaGiroData!$A$2:$A$2000)=YEAR(ArgentaGiroSamenv!$A69),1,0))*(IF(ArgentaGiroData!$D$2:$D$2000&lt;0,1,0))*ArgentaGiroData!$D$2:$D$2000)</f>
        <v>0</v>
      </c>
      <c r="C69" s="11">
        <f t="array" aca="1" ref="C69" ca="1">SUM(IF(MONTH(ArgentaGiroData!$A$2:$A$2000)=MONTH(ArgentaGiroSamenv!$A69),1,0)*IF(YEAR(ArgentaGiroData!$A$2:$A$2000)=YEAR(ArgentaGiroSamenv!$A69)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69" s="11">
        <f ca="1">SUM(IF(MONTH(ArgentaGiroData!$A$2:$A$2000)=MONTH(ArgentaGiroSamenv!$A69),1,0)*IF(YEAR(ArgentaGiroData!$A$2:$A$2000)=YEAR(ArgentaGiroSamenv!$A69),1,0)*IF(ArgentaGiroData!$D$2:$D$2000&lt;0,1,0)*IF(ArgentaGiroData!$K$2:$K$2000=D$1,1,0)*ArgentaGiroData!$D$2:$D$2000)</f>
        <v>0</v>
      </c>
      <c r="E69" s="11">
        <f ca="1">SUM(IF(MONTH(ArgentaGiroData!$A$2:$A$2000)=MONTH(ArgentaGiroSamenv!$A69),1,0)*IF(YEAR(ArgentaGiroData!$A$2:$A$2000)=YEAR(ArgentaGiroSamenv!$A69),1,0)*IF(ArgentaGiroData!$D$2:$D$2000&lt;0,1,0)*IF(ArgentaGiroData!$K$2:$K$2000=E$1,1,0)*ArgentaGiroData!$D$2:$D$2000)</f>
        <v>0</v>
      </c>
      <c r="F69" s="11">
        <f t="array" aca="1" ref="F69" ca="1">SUM((IF(MONTH(ArgentaGiroData!$A$2:$A$2000)=MONTH(ArgentaGiroSamenv!$A69),1,0))*(IF(YEAR(ArgentaGiroData!$A$2:$A$2000)=YEAR(ArgentaGiroSamenv!$A69),1,0))*(IF(ArgentaGiroData!$D$2:$D$2000&gt;0,1,0))*ArgentaGiroData!$D$2:$D$2000)</f>
        <v>0</v>
      </c>
      <c r="G69" s="11">
        <f ca="1">SUM(IF(MONTH(ArgentaGiroData!$A$2:$A$2000)=MONTH(ArgentaGiroSamenv!$A69),1,0)*IF(YEAR(ArgentaGiroData!$A$2:$A$2000)=YEAR(ArgentaGiroSamenv!$A69),1,0)*IF(ArgentaGiroData!$D$2:$D$2000&lt;0,1,0)*IF(ArgentaGiroData!$K$2:$K$2000=G$1,1,0)*ArgentaGiroData!$D$2:$D$2000)</f>
        <v>0</v>
      </c>
    </row>
    <row r="70" spans="1:7" s="9" customFormat="1">
      <c r="A70" s="10">
        <v>40330</v>
      </c>
      <c r="B70" s="11">
        <f t="array" aca="1" ref="B70" ca="1">SUM((IF(MONTH(ArgentaGiroData!$A$2:$A$2000)=MONTH(ArgentaGiroSamenv!$A70),1,0))*(IF(YEAR(ArgentaGiroData!$A$2:$A$2000)=YEAR(ArgentaGiroSamenv!$A70),1,0))*(IF(ArgentaGiroData!$D$2:$D$2000&lt;0,1,0))*ArgentaGiroData!$D$2:$D$2000)</f>
        <v>0</v>
      </c>
      <c r="C70" s="11">
        <f t="array" aca="1" ref="C70" ca="1">SUM(IF(MONTH(ArgentaGiroData!$A$2:$A$2000)=MONTH(ArgentaGiroSamenv!$A70),1,0)*IF(YEAR(ArgentaGiroData!$A$2:$A$2000)=YEAR(ArgentaGiroSamenv!$A70)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70" s="11">
        <f ca="1">SUM(IF(MONTH(ArgentaGiroData!$A$2:$A$2000)=MONTH(ArgentaGiroSamenv!$A70),1,0)*IF(YEAR(ArgentaGiroData!$A$2:$A$2000)=YEAR(ArgentaGiroSamenv!$A70),1,0)*IF(ArgentaGiroData!$D$2:$D$2000&lt;0,1,0)*IF(ArgentaGiroData!$K$2:$K$2000=D$1,1,0)*ArgentaGiroData!$D$2:$D$2000)</f>
        <v>0</v>
      </c>
      <c r="E70" s="11">
        <f ca="1">SUM(IF(MONTH(ArgentaGiroData!$A$2:$A$2000)=MONTH(ArgentaGiroSamenv!$A70),1,0)*IF(YEAR(ArgentaGiroData!$A$2:$A$2000)=YEAR(ArgentaGiroSamenv!$A70),1,0)*IF(ArgentaGiroData!$D$2:$D$2000&lt;0,1,0)*IF(ArgentaGiroData!$K$2:$K$2000=E$1,1,0)*ArgentaGiroData!$D$2:$D$2000)</f>
        <v>0</v>
      </c>
      <c r="F70" s="11">
        <f t="array" aca="1" ref="F70" ca="1">SUM((IF(MONTH(ArgentaGiroData!$A$2:$A$2000)=MONTH(ArgentaGiroSamenv!$A70),1,0))*(IF(YEAR(ArgentaGiroData!$A$2:$A$2000)=YEAR(ArgentaGiroSamenv!$A70),1,0))*(IF(ArgentaGiroData!$D$2:$D$2000&gt;0,1,0))*ArgentaGiroData!$D$2:$D$2000)</f>
        <v>0</v>
      </c>
      <c r="G70" s="11">
        <f ca="1">SUM(IF(MONTH(ArgentaGiroData!$A$2:$A$2000)=MONTH(ArgentaGiroSamenv!$A70),1,0)*IF(YEAR(ArgentaGiroData!$A$2:$A$2000)=YEAR(ArgentaGiroSamenv!$A70),1,0)*IF(ArgentaGiroData!$D$2:$D$2000&lt;0,1,0)*IF(ArgentaGiroData!$K$2:$K$2000=G$1,1,0)*ArgentaGiroData!$D$2:$D$2000)</f>
        <v>0</v>
      </c>
    </row>
    <row r="71" spans="1:7" s="9" customFormat="1">
      <c r="A71" s="10">
        <v>40360</v>
      </c>
      <c r="B71" s="11">
        <f t="array" aca="1" ref="B71" ca="1">SUM((IF(MONTH(ArgentaGiroData!$A$2:$A$2000)=MONTH(ArgentaGiroSamenv!$A71),1,0))*(IF(YEAR(ArgentaGiroData!$A$2:$A$2000)=YEAR(ArgentaGiroSamenv!$A71),1,0))*(IF(ArgentaGiroData!$D$2:$D$2000&lt;0,1,0))*ArgentaGiroData!$D$2:$D$2000)</f>
        <v>0</v>
      </c>
      <c r="C71" s="11">
        <f t="array" aca="1" ref="C71" ca="1">SUM(IF(MONTH(ArgentaGiroData!$A$2:$A$2000)=MONTH(ArgentaGiroSamenv!$A71),1,0)*IF(YEAR(ArgentaGiroData!$A$2:$A$2000)=YEAR(ArgentaGiroSamenv!$A71)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71" s="11">
        <f ca="1">SUM(IF(MONTH(ArgentaGiroData!$A$2:$A$2000)=MONTH(ArgentaGiroSamenv!$A71),1,0)*IF(YEAR(ArgentaGiroData!$A$2:$A$2000)=YEAR(ArgentaGiroSamenv!$A71),1,0)*IF(ArgentaGiroData!$D$2:$D$2000&lt;0,1,0)*IF(ArgentaGiroData!$K$2:$K$2000=D$1,1,0)*ArgentaGiroData!$D$2:$D$2000)</f>
        <v>0</v>
      </c>
      <c r="E71" s="11">
        <f ca="1">SUM(IF(MONTH(ArgentaGiroData!$A$2:$A$2000)=MONTH(ArgentaGiroSamenv!$A71),1,0)*IF(YEAR(ArgentaGiroData!$A$2:$A$2000)=YEAR(ArgentaGiroSamenv!$A71),1,0)*IF(ArgentaGiroData!$D$2:$D$2000&lt;0,1,0)*IF(ArgentaGiroData!$K$2:$K$2000=E$1,1,0)*ArgentaGiroData!$D$2:$D$2000)</f>
        <v>0</v>
      </c>
      <c r="F71" s="11">
        <f t="array" aca="1" ref="F71" ca="1">SUM((IF(MONTH(ArgentaGiroData!$A$2:$A$2000)=MONTH(ArgentaGiroSamenv!$A71),1,0))*(IF(YEAR(ArgentaGiroData!$A$2:$A$2000)=YEAR(ArgentaGiroSamenv!$A71),1,0))*(IF(ArgentaGiroData!$D$2:$D$2000&gt;0,1,0))*ArgentaGiroData!$D$2:$D$2000)</f>
        <v>0</v>
      </c>
      <c r="G71" s="11">
        <f ca="1">SUM(IF(MONTH(ArgentaGiroData!$A$2:$A$2000)=MONTH(ArgentaGiroSamenv!$A71),1,0)*IF(YEAR(ArgentaGiroData!$A$2:$A$2000)=YEAR(ArgentaGiroSamenv!$A71),1,0)*IF(ArgentaGiroData!$D$2:$D$2000&lt;0,1,0)*IF(ArgentaGiroData!$K$2:$K$2000=G$1,1,0)*ArgentaGiroData!$D$2:$D$2000)</f>
        <v>0</v>
      </c>
    </row>
    <row r="72" spans="1:7" s="9" customFormat="1">
      <c r="A72" s="10">
        <v>40391</v>
      </c>
      <c r="B72" s="11">
        <f t="array" aca="1" ref="B72" ca="1">SUM((IF(MONTH(ArgentaGiroData!$A$2:$A$2000)=MONTH(ArgentaGiroSamenv!$A72),1,0))*(IF(YEAR(ArgentaGiroData!$A$2:$A$2000)=YEAR(ArgentaGiroSamenv!$A72),1,0))*(IF(ArgentaGiroData!$D$2:$D$2000&lt;0,1,0))*ArgentaGiroData!$D$2:$D$2000)</f>
        <v>0</v>
      </c>
      <c r="C72" s="11">
        <f t="array" aca="1" ref="C72" ca="1">SUM(IF(MONTH(ArgentaGiroData!$A$2:$A$2000)=MONTH(ArgentaGiroSamenv!$A72),1,0)*IF(YEAR(ArgentaGiroData!$A$2:$A$2000)=YEAR(ArgentaGiroSamenv!$A72)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72" s="11">
        <f ca="1">SUM(IF(MONTH(ArgentaGiroData!$A$2:$A$2000)=MONTH(ArgentaGiroSamenv!$A72),1,0)*IF(YEAR(ArgentaGiroData!$A$2:$A$2000)=YEAR(ArgentaGiroSamenv!$A72),1,0)*IF(ArgentaGiroData!$D$2:$D$2000&lt;0,1,0)*IF(ArgentaGiroData!$K$2:$K$2000=D$1,1,0)*ArgentaGiroData!$D$2:$D$2000)</f>
        <v>0</v>
      </c>
      <c r="E72" s="11">
        <f ca="1">SUM(IF(MONTH(ArgentaGiroData!$A$2:$A$2000)=MONTH(ArgentaGiroSamenv!$A72),1,0)*IF(YEAR(ArgentaGiroData!$A$2:$A$2000)=YEAR(ArgentaGiroSamenv!$A72),1,0)*IF(ArgentaGiroData!$D$2:$D$2000&lt;0,1,0)*IF(ArgentaGiroData!$K$2:$K$2000=E$1,1,0)*ArgentaGiroData!$D$2:$D$2000)</f>
        <v>0</v>
      </c>
      <c r="F72" s="11">
        <f t="array" aca="1" ref="F72" ca="1">SUM((IF(MONTH(ArgentaGiroData!$A$2:$A$2000)=MONTH(ArgentaGiroSamenv!$A72),1,0))*(IF(YEAR(ArgentaGiroData!$A$2:$A$2000)=YEAR(ArgentaGiroSamenv!$A72),1,0))*(IF(ArgentaGiroData!$D$2:$D$2000&gt;0,1,0))*ArgentaGiroData!$D$2:$D$2000)</f>
        <v>0</v>
      </c>
      <c r="G72" s="11">
        <f ca="1">SUM(IF(MONTH(ArgentaGiroData!$A$2:$A$2000)=MONTH(ArgentaGiroSamenv!$A72),1,0)*IF(YEAR(ArgentaGiroData!$A$2:$A$2000)=YEAR(ArgentaGiroSamenv!$A72),1,0)*IF(ArgentaGiroData!$D$2:$D$2000&lt;0,1,0)*IF(ArgentaGiroData!$K$2:$K$2000=G$1,1,0)*ArgentaGiroData!$D$2:$D$2000)</f>
        <v>0</v>
      </c>
    </row>
    <row r="73" spans="1:7" s="9" customFormat="1">
      <c r="A73" s="10">
        <v>40422</v>
      </c>
      <c r="B73" s="11">
        <f t="array" aca="1" ref="B73" ca="1">SUM((IF(MONTH(ArgentaGiroData!$A$2:$A$2000)=MONTH(ArgentaGiroSamenv!$A73),1,0))*(IF(YEAR(ArgentaGiroData!$A$2:$A$2000)=YEAR(ArgentaGiroSamenv!$A73),1,0))*(IF(ArgentaGiroData!$D$2:$D$2000&lt;0,1,0))*ArgentaGiroData!$D$2:$D$2000)</f>
        <v>0</v>
      </c>
      <c r="C73" s="11">
        <f t="array" aca="1" ref="C73" ca="1">SUM(IF(MONTH(ArgentaGiroData!$A$2:$A$2000)=MONTH(ArgentaGiroSamenv!$A73),1,0)*IF(YEAR(ArgentaGiroData!$A$2:$A$2000)=YEAR(ArgentaGiroSamenv!$A73)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73" s="11">
        <f ca="1">SUM(IF(MONTH(ArgentaGiroData!$A$2:$A$2000)=MONTH(ArgentaGiroSamenv!$A73),1,0)*IF(YEAR(ArgentaGiroData!$A$2:$A$2000)=YEAR(ArgentaGiroSamenv!$A73),1,0)*IF(ArgentaGiroData!$D$2:$D$2000&lt;0,1,0)*IF(ArgentaGiroData!$K$2:$K$2000=D$1,1,0)*ArgentaGiroData!$D$2:$D$2000)</f>
        <v>0</v>
      </c>
      <c r="E73" s="11">
        <f ca="1">SUM(IF(MONTH(ArgentaGiroData!$A$2:$A$2000)=MONTH(ArgentaGiroSamenv!$A73),1,0)*IF(YEAR(ArgentaGiroData!$A$2:$A$2000)=YEAR(ArgentaGiroSamenv!$A73),1,0)*IF(ArgentaGiroData!$D$2:$D$2000&lt;0,1,0)*IF(ArgentaGiroData!$K$2:$K$2000=E$1,1,0)*ArgentaGiroData!$D$2:$D$2000)</f>
        <v>0</v>
      </c>
      <c r="F73" s="11">
        <f t="array" aca="1" ref="F73" ca="1">SUM((IF(MONTH(ArgentaGiroData!$A$2:$A$2000)=MONTH(ArgentaGiroSamenv!$A73),1,0))*(IF(YEAR(ArgentaGiroData!$A$2:$A$2000)=YEAR(ArgentaGiroSamenv!$A73),1,0))*(IF(ArgentaGiroData!$D$2:$D$2000&gt;0,1,0))*ArgentaGiroData!$D$2:$D$2000)</f>
        <v>0</v>
      </c>
      <c r="G73" s="11">
        <f ca="1">SUM(IF(MONTH(ArgentaGiroData!$A$2:$A$2000)=MONTH(ArgentaGiroSamenv!$A73),1,0)*IF(YEAR(ArgentaGiroData!$A$2:$A$2000)=YEAR(ArgentaGiroSamenv!$A73),1,0)*IF(ArgentaGiroData!$D$2:$D$2000&lt;0,1,0)*IF(ArgentaGiroData!$K$2:$K$2000=G$1,1,0)*ArgentaGiroData!$D$2:$D$2000)</f>
        <v>0</v>
      </c>
    </row>
    <row r="74" spans="1:7" s="9" customFormat="1">
      <c r="A74" s="10">
        <v>40452</v>
      </c>
      <c r="B74" s="11">
        <f t="array" aca="1" ref="B74" ca="1">SUM((IF(MONTH(ArgentaGiroData!$A$2:$A$2000)=MONTH(ArgentaGiroSamenv!$A74),1,0))*(IF(YEAR(ArgentaGiroData!$A$2:$A$2000)=YEAR(ArgentaGiroSamenv!$A74),1,0))*(IF(ArgentaGiroData!$D$2:$D$2000&lt;0,1,0))*ArgentaGiroData!$D$2:$D$2000)</f>
        <v>0</v>
      </c>
      <c r="C74" s="11">
        <f t="array" aca="1" ref="C74" ca="1">SUM(IF(MONTH(ArgentaGiroData!$A$2:$A$2000)=MONTH(ArgentaGiroSamenv!$A74),1,0)*IF(YEAR(ArgentaGiroData!$A$2:$A$2000)=YEAR(ArgentaGiroSamenv!$A74),1,0)*IF(ArgentaGiroData!$D$2:$D$2000&lt;0,1,0)*IF(ArgentaGiroData!$K$2:$K$2000=Categorieën!$E$1,0,1)*IF(ArgentaGiroData!$K$2:$K$2000=Categorieën!$F$1,0,1)*IF(ArgentaGiroData!$K$2:$K$2000=Categorieën!$K$1,0,1)*IF(ArgentaGiroData!$K$2:$K$2000=Categorieën!$C$1,0,1)*ArgentaGiroData!$D$2:$D$2000)</f>
        <v>0</v>
      </c>
      <c r="D74" s="11">
        <f ca="1">SUM(IF(MONTH(ArgentaGiroData!$A$2:$A$2000)=MONTH(ArgentaGiroSamenv!$A74),1,0)*IF(YEAR(ArgentaGiroData!$A$2:$A$2000)=YEAR(ArgentaGiroSamenv!$A74),1,0)*IF(ArgentaGiroData!$D$2:$D$2000&lt;0,1,0)*IF(ArgentaGiroData!$K$2:$K$2000=D$1,1,0)*ArgentaGiroData!$D$2:$D$2000)</f>
        <v>0</v>
      </c>
      <c r="E74" s="11">
        <f ca="1">SUM(IF(MONTH(ArgentaGiroData!$A$2:$A$2000)=MONTH(ArgentaGiroSamenv!$A74),1,0)*IF(YEAR(ArgentaGiroData!$A$2:$A$2000)=YEAR(ArgentaGiroSamenv!$A74),1,0)*IF(ArgentaGiroData!$D$2:$D$2000&lt;0,1,0)*IF(ArgentaGiroData!$K$2:$K$2000=E$1,1,0)*ArgentaGiroData!$D$2:$D$2000)</f>
        <v>0</v>
      </c>
      <c r="F74" s="11">
        <f t="array" aca="1" ref="F74" ca="1">SUM((IF(MONTH(ArgentaGiroData!$A$2:$A$2000)=MONTH(ArgentaGiroSamenv!$A74),1,0))*(IF(YEAR(ArgentaGiroData!$A$2:$A$2000)=YEAR(ArgentaGiroSamenv!$A74),1,0))*(IF(ArgentaGiroData!$D$2:$D$2000&gt;0,1,0))*ArgentaGiroData!$D$2:$D$2000)</f>
        <v>0</v>
      </c>
      <c r="G74" s="11">
        <f ca="1">SUM(IF(MONTH(ArgentaGiroData!$A$2:$A$2000)=MONTH(ArgentaGiroSamenv!$A74),1,0)*IF(YEAR(ArgentaGiroData!$A$2:$A$2000)=YEAR(ArgentaGiroSamenv!$A74),1,0)*IF(ArgentaGiroData!$D$2:$D$2000&lt;0,1,0)*IF(ArgentaGiroData!$K$2:$K$2000=G$1,1,0)*ArgentaGiroData!$D$2:$D$2000)</f>
        <v>0</v>
      </c>
    </row>
    <row r="75" spans="1:7" s="9" customFormat="1">
      <c r="A75" s="10"/>
    </row>
    <row r="76" spans="1:7" s="9" customFormat="1">
      <c r="A76" s="10"/>
    </row>
    <row r="77" spans="1:7" s="9" customFormat="1">
      <c r="A77" s="10"/>
    </row>
    <row r="78" spans="1:7" s="9" customFormat="1"/>
  </sheetData>
  <phoneticPr fontId="8" type="noConversion"/>
  <conditionalFormatting sqref="A1:G1048576">
    <cfRule type="expression" dxfId="21" priority="1">
      <formula>IFERROR(IF(YEAR($A1)=YEAR($A2),0,1),0)</formula>
    </cfRule>
    <cfRule type="cellIs" dxfId="20" priority="7" operator="lessThan">
      <formula>0</formula>
    </cfRule>
  </conditionalFormatting>
  <dataValidations count="2">
    <dataValidation type="list" allowBlank="1" showInputMessage="1" showErrorMessage="1" sqref="G1 D1:E1">
      <formula1>ManualTypes</formula1>
    </dataValidation>
    <dataValidation type="list" allowBlank="1" showInputMessage="1" showErrorMessage="1" sqref="A1">
      <formula1>"2006,2007,2008,2009,2010,2011,2012,2013,2014,2015"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>
    <tabColor theme="1"/>
  </sheetPr>
  <dimension ref="A1:L1539"/>
  <sheetViews>
    <sheetView zoomScale="85" zoomScaleNormal="85" workbookViewId="0">
      <pane xSplit="1" ySplit="1" topLeftCell="D2" activePane="bottomRight" state="frozenSplit"/>
      <selection pane="topRight" activeCell="B1" sqref="B1"/>
      <selection pane="bottomLeft"/>
      <selection pane="bottomRight" activeCell="K2" sqref="K2"/>
    </sheetView>
  </sheetViews>
  <sheetFormatPr defaultRowHeight="15"/>
  <cols>
    <col min="1" max="1" width="10.7109375" customWidth="1"/>
    <col min="2" max="2" width="19.28515625" bestFit="1" customWidth="1"/>
    <col min="3" max="3" width="28" customWidth="1"/>
    <col min="4" max="4" width="12.28515625" customWidth="1"/>
    <col min="5" max="5" width="4.42578125" customWidth="1"/>
    <col min="6" max="6" width="10.7109375" customWidth="1"/>
    <col min="7" max="7" width="14.5703125" customWidth="1"/>
    <col min="8" max="8" width="29" customWidth="1"/>
    <col min="9" max="9" width="43" customWidth="1"/>
    <col min="10" max="10" width="36.7109375" customWidth="1"/>
    <col min="11" max="11" width="16.28515625" style="17" customWidth="1"/>
    <col min="12" max="12" width="14.5703125" customWidth="1"/>
  </cols>
  <sheetData>
    <row r="1" spans="1:12" s="3" customFormat="1">
      <c r="A1" s="15" t="s">
        <v>58</v>
      </c>
      <c r="B1" s="3" t="s">
        <v>16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14</v>
      </c>
      <c r="J1" s="3" t="s">
        <v>15</v>
      </c>
      <c r="K1" s="94" t="s">
        <v>32</v>
      </c>
      <c r="L1" s="100" t="s">
        <v>33</v>
      </c>
    </row>
    <row r="2" spans="1:12">
      <c r="A2" s="1"/>
      <c r="F2" s="1"/>
      <c r="K2" s="17" t="str">
        <f ca="1">IF(L2="",SearchHLookup(G2&amp;H2&amp;I2&amp;J2,Categorieën!$B$1:$P$30),L2)</f>
        <v/>
      </c>
    </row>
    <row r="3" spans="1:12">
      <c r="A3" s="1"/>
      <c r="F3" s="1"/>
      <c r="K3" s="17" t="str">
        <f ca="1">IF(L3="",SearchHLookup(G3&amp;H3&amp;I3&amp;J3,Categorieën!$B$1:$P$30),L3)</f>
        <v/>
      </c>
      <c r="L3" s="98"/>
    </row>
    <row r="4" spans="1:12">
      <c r="A4" s="1"/>
      <c r="F4" s="1"/>
      <c r="K4" s="17" t="str">
        <f ca="1">IF(L4="",SearchHLookup(G4&amp;H4&amp;I4&amp;J4,Categorieën!$B$1:$P$30),L4)</f>
        <v/>
      </c>
    </row>
    <row r="5" spans="1:12">
      <c r="A5" s="1"/>
      <c r="F5" s="1"/>
      <c r="K5" s="17" t="str">
        <f ca="1">IF(L5="",SearchHLookup(G5&amp;H5&amp;I5&amp;J5,Categorieën!$B$1:$P$30),L5)</f>
        <v/>
      </c>
    </row>
    <row r="6" spans="1:12">
      <c r="A6" s="1"/>
      <c r="F6" s="1"/>
      <c r="K6" s="17" t="str">
        <f ca="1">IF(L6="",SearchHLookup(G6&amp;H6&amp;I6&amp;J6,Categorieën!$B$1:$P$30),L6)</f>
        <v/>
      </c>
    </row>
    <row r="7" spans="1:12">
      <c r="A7" s="1"/>
      <c r="F7" s="1"/>
      <c r="K7" s="17" t="str">
        <f ca="1">IF(L7="",SearchHLookup(G7&amp;H7&amp;I7&amp;J7,Categorieën!$B$1:$P$30),L7)</f>
        <v/>
      </c>
    </row>
    <row r="8" spans="1:12">
      <c r="A8" s="1"/>
      <c r="F8" s="1"/>
      <c r="K8" s="17" t="str">
        <f ca="1">IF(L8="",SearchHLookup(G8&amp;H8&amp;I8&amp;J8,Categorieën!$B$1:$P$30),L8)</f>
        <v/>
      </c>
    </row>
    <row r="9" spans="1:12">
      <c r="A9" s="1"/>
      <c r="F9" s="1"/>
      <c r="K9" s="17" t="str">
        <f ca="1">IF(L9="",SearchHLookup(G9&amp;H9&amp;I9&amp;J9,Categorieën!$B$1:$P$30),L9)</f>
        <v/>
      </c>
    </row>
    <row r="10" spans="1:12">
      <c r="A10" s="1"/>
      <c r="F10" s="1"/>
      <c r="K10" s="17" t="str">
        <f ca="1">IF(L10="",SearchHLookup(G10&amp;H10&amp;I10&amp;J10,Categorieën!$B$1:$P$30),L10)</f>
        <v/>
      </c>
    </row>
    <row r="11" spans="1:12">
      <c r="A11" s="1"/>
      <c r="F11" s="1"/>
      <c r="K11" s="17" t="str">
        <f ca="1">IF(L11="",SearchHLookup(G11&amp;H11&amp;I11&amp;J11,Categorieën!$B$1:$P$30),L11)</f>
        <v/>
      </c>
    </row>
    <row r="12" spans="1:12">
      <c r="A12" s="1"/>
      <c r="F12" s="1"/>
      <c r="K12" s="17" t="str">
        <f ca="1">IF(L12="",SearchHLookup(G12&amp;H12&amp;I12&amp;J12,Categorieën!$B$1:$P$30),L12)</f>
        <v/>
      </c>
    </row>
    <row r="13" spans="1:12">
      <c r="A13" s="1"/>
      <c r="F13" s="1"/>
      <c r="K13" s="17" t="str">
        <f ca="1">IF(L13="",SearchHLookup(G13&amp;H13&amp;I13&amp;J13,Categorieën!$B$1:$P$30),L13)</f>
        <v/>
      </c>
    </row>
    <row r="14" spans="1:12">
      <c r="A14" s="1"/>
      <c r="F14" s="1"/>
      <c r="K14" s="17" t="str">
        <f ca="1">IF(L14="",SearchHLookup(G14&amp;H14&amp;I14&amp;J14,Categorieën!$B$1:$P$30),L14)</f>
        <v/>
      </c>
    </row>
    <row r="15" spans="1:12">
      <c r="A15" s="1"/>
      <c r="F15" s="1"/>
      <c r="K15" s="17" t="str">
        <f ca="1">IF(L15="",SearchHLookup(G15&amp;H15&amp;I15&amp;J15,Categorieën!$B$1:$P$30),L15)</f>
        <v/>
      </c>
    </row>
    <row r="16" spans="1:12">
      <c r="A16" s="1"/>
      <c r="F16" s="1"/>
      <c r="K16" s="17" t="str">
        <f ca="1">IF(L16="",SearchHLookup(G16&amp;H16&amp;I16&amp;J16,Categorieën!$B$1:$P$30),L16)</f>
        <v/>
      </c>
    </row>
    <row r="17" spans="1:11">
      <c r="A17" s="1"/>
      <c r="F17" s="1"/>
      <c r="K17" s="17" t="str">
        <f ca="1">IF(L17="",SearchHLookup(G17&amp;H17&amp;I17&amp;J17,Categorieën!$B$1:$P$30),L17)</f>
        <v/>
      </c>
    </row>
    <row r="18" spans="1:11">
      <c r="A18" s="1"/>
      <c r="F18" s="1"/>
      <c r="K18" s="17" t="str">
        <f ca="1">IF(L18="",SearchHLookup(G18&amp;H18&amp;I18&amp;J18,Categorieën!$B$1:$P$30),L18)</f>
        <v/>
      </c>
    </row>
    <row r="19" spans="1:11">
      <c r="A19" s="1"/>
      <c r="F19" s="1"/>
      <c r="K19" s="17" t="str">
        <f ca="1">IF(L19="",SearchHLookup(G19&amp;H19&amp;I19&amp;J19,Categorieën!$B$1:$P$30),L19)</f>
        <v/>
      </c>
    </row>
    <row r="20" spans="1:11">
      <c r="A20" s="1"/>
      <c r="F20" s="1"/>
      <c r="K20" s="17" t="str">
        <f ca="1">IF(L20="",SearchHLookup(G20&amp;H20&amp;I20&amp;J20,Categorieën!$B$1:$P$30),L20)</f>
        <v/>
      </c>
    </row>
    <row r="21" spans="1:11">
      <c r="A21" s="1"/>
      <c r="F21" s="1"/>
      <c r="K21" s="17" t="str">
        <f ca="1">IF(L21="",SearchHLookup(G21&amp;H21&amp;I21&amp;J21,Categorieën!$B$1:$P$30),L21)</f>
        <v/>
      </c>
    </row>
    <row r="22" spans="1:11">
      <c r="A22" s="1"/>
      <c r="F22" s="1"/>
      <c r="K22" s="17" t="str">
        <f ca="1">IF(L22="",SearchHLookup(G22&amp;H22&amp;I22&amp;J22,Categorieën!$B$1:$P$30),L22)</f>
        <v/>
      </c>
    </row>
    <row r="23" spans="1:11">
      <c r="A23" s="1"/>
      <c r="F23" s="1"/>
      <c r="K23" s="17" t="str">
        <f ca="1">IF(L23="",SearchHLookup(G23&amp;H23&amp;I23&amp;J23,Categorieën!$B$1:$P$30),L23)</f>
        <v/>
      </c>
    </row>
    <row r="24" spans="1:11">
      <c r="A24" s="1"/>
      <c r="F24" s="1"/>
      <c r="K24" s="17" t="str">
        <f ca="1">IF(L24="",SearchHLookup(G24&amp;H24&amp;I24&amp;J24,Categorieën!$B$1:$P$30),L24)</f>
        <v/>
      </c>
    </row>
    <row r="25" spans="1:11">
      <c r="A25" s="1"/>
      <c r="F25" s="1"/>
      <c r="K25" s="17" t="str">
        <f ca="1">IF(L25="",SearchHLookup(G25&amp;H25&amp;I25&amp;J25,Categorieën!$B$1:$P$30),L25)</f>
        <v/>
      </c>
    </row>
    <row r="26" spans="1:11">
      <c r="A26" s="1"/>
      <c r="F26" s="1"/>
      <c r="K26" s="17" t="str">
        <f ca="1">IF(L26="",SearchHLookup(G26&amp;H26&amp;I26&amp;J26,Categorieën!$B$1:$P$30),L26)</f>
        <v/>
      </c>
    </row>
    <row r="27" spans="1:11">
      <c r="A27" s="1"/>
      <c r="F27" s="1"/>
      <c r="K27" s="17" t="str">
        <f ca="1">IF(L27="",SearchHLookup(G27&amp;H27&amp;I27&amp;J27,Categorieën!$B$1:$P$30),L27)</f>
        <v/>
      </c>
    </row>
    <row r="28" spans="1:11">
      <c r="A28" s="1"/>
      <c r="F28" s="1"/>
      <c r="K28" s="17" t="str">
        <f ca="1">IF(L28="",SearchHLookup(G28&amp;H28&amp;I28&amp;J28,Categorieën!$B$1:$P$30),L28)</f>
        <v/>
      </c>
    </row>
    <row r="29" spans="1:11">
      <c r="A29" s="1"/>
      <c r="F29" s="1"/>
      <c r="K29" s="17" t="str">
        <f ca="1">IF(L29="",SearchHLookup(G29&amp;H29&amp;I29&amp;J29,Categorieën!$B$1:$P$30),L29)</f>
        <v/>
      </c>
    </row>
    <row r="30" spans="1:11">
      <c r="A30" s="1"/>
      <c r="F30" s="1"/>
      <c r="K30" s="17" t="str">
        <f ca="1">IF(L30="",SearchHLookup(G30&amp;H30&amp;I30&amp;J30,Categorieën!$B$1:$P$30),L30)</f>
        <v/>
      </c>
    </row>
    <row r="31" spans="1:11">
      <c r="A31" s="1"/>
      <c r="F31" s="1"/>
      <c r="K31" s="17" t="str">
        <f ca="1">IF(L31="",SearchHLookup(G31&amp;H31&amp;I31&amp;J31,Categorieën!$B$1:$P$30),L31)</f>
        <v/>
      </c>
    </row>
    <row r="32" spans="1:11">
      <c r="A32" s="1"/>
      <c r="F32" s="1"/>
      <c r="K32" s="17" t="str">
        <f ca="1">IF(L32="",SearchHLookup(G32&amp;H32&amp;I32&amp;J32,Categorieën!$B$1:$P$30),L32)</f>
        <v/>
      </c>
    </row>
    <row r="33" spans="1:11">
      <c r="A33" s="1"/>
      <c r="F33" s="1"/>
      <c r="K33" s="17" t="str">
        <f ca="1">IF(L33="",SearchHLookup(G33&amp;H33&amp;I33&amp;J33,Categorieën!$B$1:$P$30),L33)</f>
        <v/>
      </c>
    </row>
    <row r="34" spans="1:11">
      <c r="A34" s="1"/>
      <c r="F34" s="1"/>
      <c r="K34" s="17" t="str">
        <f ca="1">IF(L34="",SearchHLookup(G34&amp;H34&amp;I34&amp;J34,Categorieën!$B$1:$P$30),L34)</f>
        <v/>
      </c>
    </row>
    <row r="35" spans="1:11">
      <c r="A35" s="1"/>
      <c r="F35" s="1"/>
      <c r="K35" s="17" t="str">
        <f ca="1">IF(L35="",SearchHLookup(G35&amp;H35&amp;I35&amp;J35,Categorieën!$B$1:$P$30),L35)</f>
        <v/>
      </c>
    </row>
    <row r="36" spans="1:11">
      <c r="A36" s="1"/>
      <c r="F36" s="1"/>
      <c r="K36" s="17" t="str">
        <f ca="1">IF(L36="",SearchHLookup(G36&amp;H36&amp;I36&amp;J36,Categorieën!$B$1:$P$30),L36)</f>
        <v/>
      </c>
    </row>
    <row r="37" spans="1:11">
      <c r="A37" s="1"/>
      <c r="F37" s="1"/>
      <c r="K37" s="17" t="str">
        <f ca="1">IF(L37="",SearchHLookup(G37&amp;H37&amp;I37&amp;J37,Categorieën!$B$1:$P$30),L37)</f>
        <v/>
      </c>
    </row>
    <row r="38" spans="1:11">
      <c r="A38" s="1"/>
      <c r="F38" s="1"/>
      <c r="K38" s="17" t="str">
        <f ca="1">IF(L38="",SearchHLookup(G38&amp;H38&amp;I38&amp;J38,Categorieën!$B$1:$P$30),L38)</f>
        <v/>
      </c>
    </row>
    <row r="39" spans="1:11">
      <c r="A39" s="1"/>
      <c r="F39" s="1"/>
      <c r="K39" s="17" t="str">
        <f ca="1">IF(L39="",SearchHLookup(G39&amp;H39&amp;I39&amp;J39,Categorieën!$B$1:$P$30),L39)</f>
        <v/>
      </c>
    </row>
    <row r="40" spans="1:11">
      <c r="A40" s="1"/>
      <c r="F40" s="1"/>
      <c r="K40" s="17" t="str">
        <f ca="1">IF(L40="",SearchHLookup(G40&amp;H40&amp;I40&amp;J40,Categorieën!$B$1:$P$30),L40)</f>
        <v/>
      </c>
    </row>
    <row r="41" spans="1:11">
      <c r="A41" s="1"/>
      <c r="F41" s="1"/>
      <c r="K41" s="17" t="str">
        <f ca="1">IF(L41="",SearchHLookup(G41&amp;H41&amp;I41&amp;J41,Categorieën!$B$1:$P$30),L41)</f>
        <v/>
      </c>
    </row>
    <row r="42" spans="1:11">
      <c r="A42" s="1"/>
      <c r="F42" s="1"/>
      <c r="K42" s="17" t="str">
        <f ca="1">IF(L42="",SearchHLookup(G42&amp;H42&amp;I42&amp;J42,Categorieën!$B$1:$P$30),L42)</f>
        <v/>
      </c>
    </row>
    <row r="43" spans="1:11">
      <c r="A43" s="1"/>
      <c r="F43" s="1"/>
      <c r="K43" s="17" t="str">
        <f ca="1">IF(L43="",SearchHLookup(G43&amp;H43&amp;I43&amp;J43,Categorieën!$B$1:$P$30),L43)</f>
        <v/>
      </c>
    </row>
    <row r="44" spans="1:11">
      <c r="A44" s="1"/>
      <c r="F44" s="1"/>
      <c r="K44" s="17" t="str">
        <f ca="1">IF(L44="",SearchHLookup(G44&amp;H44&amp;I44&amp;J44,Categorieën!$B$1:$P$30),L44)</f>
        <v/>
      </c>
    </row>
    <row r="45" spans="1:11">
      <c r="A45" s="1"/>
      <c r="F45" s="1"/>
      <c r="K45" s="17" t="str">
        <f ca="1">IF(L45="",SearchHLookup(G45&amp;H45&amp;I45&amp;J45,Categorieën!$B$1:$P$30),L45)</f>
        <v/>
      </c>
    </row>
    <row r="46" spans="1:11">
      <c r="A46" s="1"/>
      <c r="F46" s="1"/>
      <c r="K46" s="17" t="str">
        <f ca="1">IF(L46="",SearchHLookup(G46&amp;H46&amp;I46&amp;J46,Categorieën!$B$1:$P$30),L46)</f>
        <v/>
      </c>
    </row>
    <row r="47" spans="1:11">
      <c r="A47" s="1"/>
      <c r="F47" s="1"/>
      <c r="K47" s="17" t="str">
        <f ca="1">IF(L47="",SearchHLookup(G47&amp;H47&amp;I47&amp;J47,Categorieën!$B$1:$P$30),L47)</f>
        <v/>
      </c>
    </row>
    <row r="48" spans="1:11">
      <c r="A48" s="1"/>
      <c r="F48" s="1"/>
      <c r="K48" s="17" t="str">
        <f ca="1">IF(L48="",SearchHLookup(G48&amp;H48&amp;I48&amp;J48,Categorieën!$B$1:$P$30),L48)</f>
        <v/>
      </c>
    </row>
    <row r="49" spans="1:11">
      <c r="A49" s="1"/>
      <c r="F49" s="1"/>
      <c r="K49" s="17" t="str">
        <f ca="1">IF(L49="",SearchHLookup(G49&amp;H49&amp;I49&amp;J49,Categorieën!$B$1:$P$30),L49)</f>
        <v/>
      </c>
    </row>
    <row r="50" spans="1:11">
      <c r="A50" s="1"/>
      <c r="F50" s="1"/>
      <c r="K50" s="17" t="str">
        <f ca="1">IF(L50="",SearchHLookup(G50&amp;H50&amp;I50&amp;J50,Categorieën!$B$1:$P$30),L50)</f>
        <v/>
      </c>
    </row>
    <row r="51" spans="1:11">
      <c r="A51" s="1"/>
      <c r="F51" s="1"/>
      <c r="K51" s="17" t="str">
        <f ca="1">IF(L51="",SearchHLookup(G51&amp;H51&amp;I51&amp;J51,Categorieën!$B$1:$P$30),L51)</f>
        <v/>
      </c>
    </row>
    <row r="52" spans="1:11">
      <c r="A52" s="1"/>
      <c r="F52" s="1"/>
      <c r="K52" s="17" t="str">
        <f ca="1">IF(L52="",SearchHLookup(G52&amp;H52&amp;I52&amp;J52,Categorieën!$B$1:$P$30),L52)</f>
        <v/>
      </c>
    </row>
    <row r="53" spans="1:11">
      <c r="A53" s="1"/>
      <c r="F53" s="1"/>
      <c r="K53" s="17" t="str">
        <f ca="1">IF(L53="",SearchHLookup(G53&amp;H53&amp;I53&amp;J53,Categorieën!$B$1:$P$30),L53)</f>
        <v/>
      </c>
    </row>
    <row r="54" spans="1:11">
      <c r="A54" s="1"/>
      <c r="F54" s="1"/>
      <c r="K54" s="17" t="str">
        <f ca="1">IF(L54="",SearchHLookup(G54&amp;H54&amp;I54&amp;J54,Categorieën!$B$1:$P$30),L54)</f>
        <v/>
      </c>
    </row>
    <row r="55" spans="1:11">
      <c r="A55" s="1"/>
      <c r="F55" s="1"/>
      <c r="K55" s="17" t="str">
        <f ca="1">IF(L55="",SearchHLookup(G55&amp;H55&amp;I55&amp;J55,Categorieën!$B$1:$P$30),L55)</f>
        <v/>
      </c>
    </row>
    <row r="56" spans="1:11">
      <c r="A56" s="1"/>
      <c r="F56" s="1"/>
      <c r="K56" s="17" t="str">
        <f ca="1">IF(L56="",SearchHLookup(G56&amp;H56&amp;I56&amp;J56,Categorieën!$B$1:$P$30),L56)</f>
        <v/>
      </c>
    </row>
    <row r="57" spans="1:11">
      <c r="A57" s="1"/>
      <c r="F57" s="1"/>
      <c r="K57" s="17" t="str">
        <f ca="1">IF(L57="",SearchHLookup(G57&amp;H57&amp;I57&amp;J57,Categorieën!$B$1:$P$30),L57)</f>
        <v/>
      </c>
    </row>
    <row r="58" spans="1:11">
      <c r="A58" s="1"/>
      <c r="F58" s="1"/>
      <c r="K58" s="17" t="str">
        <f ca="1">IF(L58="",SearchHLookup(G58&amp;H58&amp;I58&amp;J58,Categorieën!$B$1:$P$30),L58)</f>
        <v/>
      </c>
    </row>
    <row r="59" spans="1:11">
      <c r="A59" s="1"/>
      <c r="F59" s="1"/>
      <c r="K59" s="17" t="str">
        <f ca="1">IF(L59="",SearchHLookup(G59&amp;H59&amp;I59&amp;J59,Categorieën!$B$1:$P$30),L59)</f>
        <v/>
      </c>
    </row>
    <row r="60" spans="1:11">
      <c r="A60" s="1"/>
      <c r="F60" s="1"/>
      <c r="K60" s="17" t="str">
        <f ca="1">IF(L60="",SearchHLookup(G60&amp;H60&amp;I60&amp;J60,Categorieën!$B$1:$P$30),L60)</f>
        <v/>
      </c>
    </row>
    <row r="61" spans="1:11">
      <c r="A61" s="1"/>
      <c r="F61" s="1"/>
      <c r="K61" s="17" t="str">
        <f ca="1">IF(L61="",SearchHLookup(G61&amp;H61&amp;I61&amp;J61,Categorieën!$B$1:$P$30),L61)</f>
        <v/>
      </c>
    </row>
    <row r="62" spans="1:11">
      <c r="A62" s="1"/>
      <c r="F62" s="1"/>
      <c r="K62" s="17" t="str">
        <f ca="1">IF(L62="",SearchHLookup(G62&amp;H62&amp;I62&amp;J62,Categorieën!$B$1:$P$30),L62)</f>
        <v/>
      </c>
    </row>
    <row r="63" spans="1:11">
      <c r="A63" s="1"/>
      <c r="F63" s="1"/>
      <c r="K63" s="17" t="str">
        <f ca="1">IF(L63="",SearchHLookup(G63&amp;H63&amp;I63&amp;J63,Categorieën!$B$1:$P$30),L63)</f>
        <v/>
      </c>
    </row>
    <row r="64" spans="1:11">
      <c r="A64" s="1"/>
      <c r="F64" s="1"/>
      <c r="K64" s="17" t="str">
        <f ca="1">IF(L64="",SearchHLookup(G64&amp;H64&amp;I64&amp;J64,Categorieën!$B$1:$P$30),L64)</f>
        <v/>
      </c>
    </row>
    <row r="65" spans="1:11">
      <c r="A65" s="1"/>
      <c r="F65" s="1"/>
      <c r="K65" s="17" t="str">
        <f ca="1">IF(L65="",SearchHLookup(G65&amp;H65&amp;I65&amp;J65,Categorieën!$B$1:$P$30),L65)</f>
        <v/>
      </c>
    </row>
    <row r="66" spans="1:11">
      <c r="A66" s="1"/>
      <c r="F66" s="1"/>
      <c r="K66" s="17" t="str">
        <f ca="1">IF(L66="",SearchHLookup(G66&amp;H66&amp;I66&amp;J66,Categorieën!$B$1:$P$30),L66)</f>
        <v/>
      </c>
    </row>
    <row r="67" spans="1:11">
      <c r="A67" s="1"/>
      <c r="F67" s="1"/>
      <c r="K67" s="17" t="str">
        <f ca="1">IF(L67="",SearchHLookup(G67&amp;H67&amp;I67&amp;J67,Categorieën!$B$1:$P$30),L67)</f>
        <v/>
      </c>
    </row>
    <row r="68" spans="1:11">
      <c r="A68" s="1"/>
      <c r="F68" s="1"/>
      <c r="K68" s="17" t="str">
        <f ca="1">IF(L68="",SearchHLookup(G68&amp;H68&amp;I68&amp;J68,Categorieën!$B$1:$P$30),L68)</f>
        <v/>
      </c>
    </row>
    <row r="69" spans="1:11">
      <c r="A69" s="1"/>
      <c r="F69" s="1"/>
      <c r="K69" s="17" t="str">
        <f ca="1">IF(L69="",SearchHLookup(G69&amp;H69&amp;I69&amp;J69,Categorieën!$B$1:$P$30),L69)</f>
        <v/>
      </c>
    </row>
    <row r="70" spans="1:11">
      <c r="A70" s="1"/>
      <c r="F70" s="1"/>
      <c r="K70" s="17" t="str">
        <f ca="1">IF(L70="",SearchHLookup(G70&amp;H70&amp;I70&amp;J70,Categorieën!$B$1:$P$30),L70)</f>
        <v/>
      </c>
    </row>
    <row r="71" spans="1:11">
      <c r="A71" s="1"/>
      <c r="F71" s="1"/>
      <c r="K71" s="17" t="str">
        <f ca="1">IF(L71="",SearchHLookup(G71&amp;H71&amp;I71&amp;J71,Categorieën!$B$1:$P$30),L71)</f>
        <v/>
      </c>
    </row>
    <row r="72" spans="1:11">
      <c r="A72" s="1"/>
      <c r="F72" s="1"/>
      <c r="K72" s="17" t="str">
        <f ca="1">IF(L72="",SearchHLookup(G72&amp;H72&amp;I72&amp;J72,Categorieën!$B$1:$P$30),L72)</f>
        <v/>
      </c>
    </row>
    <row r="73" spans="1:11">
      <c r="A73" s="1"/>
      <c r="F73" s="1"/>
      <c r="K73" s="17" t="str">
        <f ca="1">IF(L73="",SearchHLookup(G73&amp;H73&amp;I73&amp;J73,Categorieën!$B$1:$P$30),L73)</f>
        <v/>
      </c>
    </row>
    <row r="74" spans="1:11">
      <c r="A74" s="1"/>
      <c r="F74" s="1"/>
      <c r="K74" s="17" t="str">
        <f ca="1">IF(L74="",SearchHLookup(G74&amp;H74&amp;I74&amp;J74,Categorieën!$B$1:$P$30),L74)</f>
        <v/>
      </c>
    </row>
    <row r="75" spans="1:11">
      <c r="A75" s="1"/>
      <c r="F75" s="1"/>
      <c r="K75" s="17" t="str">
        <f ca="1">IF(L75="",SearchHLookup(G75&amp;H75&amp;I75&amp;J75,Categorieën!$B$1:$P$30),L75)</f>
        <v/>
      </c>
    </row>
    <row r="76" spans="1:11">
      <c r="A76" s="1"/>
      <c r="F76" s="1"/>
      <c r="K76" s="17" t="str">
        <f ca="1">IF(L76="",SearchHLookup(G76&amp;H76&amp;I76&amp;J76,Categorieën!$B$1:$P$30),L76)</f>
        <v/>
      </c>
    </row>
    <row r="77" spans="1:11">
      <c r="A77" s="1"/>
      <c r="F77" s="1"/>
      <c r="K77" s="17" t="str">
        <f ca="1">IF(L77="",SearchHLookup(G77&amp;H77&amp;I77&amp;J77,Categorieën!$B$1:$P$30),L77)</f>
        <v/>
      </c>
    </row>
    <row r="78" spans="1:11">
      <c r="A78" s="1"/>
      <c r="F78" s="1"/>
      <c r="K78" s="17" t="str">
        <f ca="1">IF(L78="",SearchHLookup(G78&amp;H78&amp;I78&amp;J78,Categorieën!$B$1:$P$30),L78)</f>
        <v/>
      </c>
    </row>
    <row r="79" spans="1:11">
      <c r="A79" s="1"/>
      <c r="F79" s="1"/>
      <c r="K79" s="17" t="str">
        <f ca="1">IF(L79="",SearchHLookup(G79&amp;H79&amp;I79&amp;J79,Categorieën!$B$1:$P$30),L79)</f>
        <v/>
      </c>
    </row>
    <row r="80" spans="1:11">
      <c r="A80" s="1"/>
      <c r="F80" s="1"/>
      <c r="K80" s="17" t="str">
        <f ca="1">IF(L80="",SearchHLookup(G80&amp;H80&amp;I80&amp;J80,Categorieën!$B$1:$P$30),L80)</f>
        <v/>
      </c>
    </row>
    <row r="81" spans="1:11">
      <c r="A81" s="1"/>
      <c r="F81" s="1"/>
      <c r="K81" s="17" t="str">
        <f ca="1">IF(L81="",SearchHLookup(G81&amp;H81&amp;I81&amp;J81,Categorieën!$B$1:$P$30),L81)</f>
        <v/>
      </c>
    </row>
    <row r="82" spans="1:11">
      <c r="A82" s="1"/>
      <c r="F82" s="1"/>
      <c r="K82" s="17" t="str">
        <f ca="1">IF(L82="",SearchHLookup(G82&amp;H82&amp;I82&amp;J82,Categorieën!$B$1:$P$30),L82)</f>
        <v/>
      </c>
    </row>
    <row r="83" spans="1:11">
      <c r="A83" s="1"/>
      <c r="F83" s="1"/>
      <c r="K83" s="17" t="str">
        <f ca="1">IF(L83="",SearchHLookup(G83&amp;H83&amp;I83&amp;J83,Categorieën!$B$1:$P$30),L83)</f>
        <v/>
      </c>
    </row>
    <row r="84" spans="1:11">
      <c r="A84" s="1"/>
      <c r="F84" s="1"/>
      <c r="K84" s="17" t="str">
        <f ca="1">IF(L84="",SearchHLookup(G84&amp;H84&amp;I84&amp;J84,Categorieën!$B$1:$P$30),L84)</f>
        <v/>
      </c>
    </row>
    <row r="85" spans="1:11">
      <c r="A85" s="1"/>
      <c r="F85" s="1"/>
      <c r="K85" s="17" t="str">
        <f ca="1">IF(L85="",SearchHLookup(G85&amp;H85&amp;I85&amp;J85,Categorieën!$B$1:$P$30),L85)</f>
        <v/>
      </c>
    </row>
    <row r="86" spans="1:11">
      <c r="A86" s="1"/>
      <c r="F86" s="1"/>
      <c r="K86" s="17" t="str">
        <f ca="1">IF(L86="",SearchHLookup(G86&amp;H86&amp;I86&amp;J86,Categorieën!$B$1:$P$30),L86)</f>
        <v/>
      </c>
    </row>
    <row r="87" spans="1:11">
      <c r="A87" s="1"/>
      <c r="F87" s="1"/>
      <c r="K87" s="17" t="str">
        <f ca="1">IF(L87="",SearchHLookup(G87&amp;H87&amp;I87&amp;J87,Categorieën!$B$1:$P$30),L87)</f>
        <v/>
      </c>
    </row>
    <row r="88" spans="1:11">
      <c r="A88" s="1"/>
      <c r="F88" s="1"/>
      <c r="K88" s="17" t="str">
        <f ca="1">IF(L88="",SearchHLookup(G88&amp;H88&amp;I88&amp;J88,Categorieën!$B$1:$P$30),L88)</f>
        <v/>
      </c>
    </row>
    <row r="89" spans="1:11">
      <c r="A89" s="1"/>
      <c r="F89" s="1"/>
      <c r="K89" s="17" t="str">
        <f ca="1">IF(L89="",SearchHLookup(G89&amp;H89&amp;I89&amp;J89,Categorieën!$B$1:$P$30),L89)</f>
        <v/>
      </c>
    </row>
    <row r="90" spans="1:11">
      <c r="A90" s="1"/>
      <c r="F90" s="1"/>
      <c r="K90" s="17" t="str">
        <f ca="1">IF(L90="",SearchHLookup(G90&amp;H90&amp;I90&amp;J90,Categorieën!$B$1:$P$30),L90)</f>
        <v/>
      </c>
    </row>
    <row r="91" spans="1:11">
      <c r="A91" s="1"/>
      <c r="F91" s="1"/>
      <c r="K91" s="17" t="str">
        <f ca="1">IF(L91="",SearchHLookup(G91&amp;H91&amp;I91&amp;J91,Categorieën!$B$1:$P$30),L91)</f>
        <v/>
      </c>
    </row>
    <row r="92" spans="1:11">
      <c r="A92" s="1"/>
      <c r="F92" s="1"/>
      <c r="K92" s="17" t="str">
        <f ca="1">IF(L92="",SearchHLookup(G92&amp;H92&amp;I92&amp;J92,Categorieën!$B$1:$P$30),L92)</f>
        <v/>
      </c>
    </row>
    <row r="93" spans="1:11">
      <c r="A93" s="1"/>
      <c r="F93" s="1"/>
      <c r="K93" s="17" t="str">
        <f ca="1">IF(L93="",SearchHLookup(G93&amp;H93&amp;I93&amp;J93,Categorieën!$B$1:$P$30),L93)</f>
        <v/>
      </c>
    </row>
    <row r="94" spans="1:11">
      <c r="A94" s="1"/>
      <c r="F94" s="1"/>
      <c r="K94" s="17" t="str">
        <f ca="1">IF(L94="",SearchHLookup(G94&amp;H94&amp;I94&amp;J94,Categorieën!$B$1:$P$30),L94)</f>
        <v/>
      </c>
    </row>
    <row r="95" spans="1:11">
      <c r="A95" s="1"/>
      <c r="F95" s="1"/>
      <c r="K95" s="17" t="str">
        <f ca="1">IF(L95="",SearchHLookup(G95&amp;H95&amp;I95&amp;J95,Categorieën!$B$1:$P$30),L95)</f>
        <v/>
      </c>
    </row>
    <row r="96" spans="1:11">
      <c r="A96" s="1"/>
      <c r="F96" s="1"/>
      <c r="K96" s="17" t="str">
        <f ca="1">IF(L96="",SearchHLookup(G96&amp;H96&amp;I96&amp;J96,Categorieën!$B$1:$P$30),L96)</f>
        <v/>
      </c>
    </row>
    <row r="97" spans="1:11">
      <c r="A97" s="1"/>
      <c r="F97" s="1"/>
      <c r="K97" s="17" t="str">
        <f ca="1">IF(L97="",SearchHLookup(G97&amp;H97&amp;I97&amp;J97,Categorieën!$B$1:$P$30),L97)</f>
        <v/>
      </c>
    </row>
    <row r="98" spans="1:11">
      <c r="A98" s="1"/>
      <c r="F98" s="1"/>
      <c r="K98" s="17" t="str">
        <f ca="1">IF(L98="",SearchHLookup(G98&amp;H98&amp;I98&amp;J98,Categorieën!$B$1:$P$30),L98)</f>
        <v/>
      </c>
    </row>
    <row r="99" spans="1:11">
      <c r="A99" s="1"/>
      <c r="F99" s="1"/>
      <c r="K99" s="17" t="str">
        <f ca="1">IF(L99="",SearchHLookup(G99&amp;H99&amp;I99&amp;J99,Categorieën!$B$1:$P$30),L99)</f>
        <v/>
      </c>
    </row>
    <row r="100" spans="1:11">
      <c r="A100" s="1"/>
      <c r="F100" s="1"/>
      <c r="K100" s="17" t="str">
        <f ca="1">IF(L100="",SearchHLookup(G100&amp;H100&amp;I100&amp;J100,Categorieën!$B$1:$P$30),L100)</f>
        <v/>
      </c>
    </row>
    <row r="101" spans="1:11">
      <c r="A101" s="1"/>
      <c r="F101" s="1"/>
      <c r="K101" s="17" t="str">
        <f ca="1">IF(L101="",SearchHLookup(G101&amp;H101&amp;I101&amp;J101,Categorieën!$B$1:$P$30),L101)</f>
        <v/>
      </c>
    </row>
    <row r="102" spans="1:11">
      <c r="A102" s="1"/>
      <c r="F102" s="1"/>
      <c r="K102" s="17" t="str">
        <f ca="1">IF(L102="",SearchHLookup(G102&amp;H102&amp;I102&amp;J102,Categorieën!$B$1:$P$30),L102)</f>
        <v/>
      </c>
    </row>
    <row r="103" spans="1:11">
      <c r="A103" s="1"/>
      <c r="F103" s="1"/>
      <c r="K103" s="17" t="str">
        <f ca="1">IF(L103="",SearchHLookup(G103&amp;H103&amp;I103&amp;J103,Categorieën!$B$1:$P$30),L103)</f>
        <v/>
      </c>
    </row>
    <row r="104" spans="1:11">
      <c r="A104" s="1"/>
      <c r="F104" s="1"/>
      <c r="K104" s="17" t="str">
        <f ca="1">IF(L104="",SearchHLookup(G104&amp;H104&amp;I104&amp;J104,Categorieën!$B$1:$P$30),L104)</f>
        <v/>
      </c>
    </row>
    <row r="105" spans="1:11">
      <c r="A105" s="1"/>
      <c r="F105" s="1"/>
      <c r="K105" s="17" t="str">
        <f ca="1">IF(L105="",SearchHLookup(G105&amp;H105&amp;I105&amp;J105,Categorieën!$B$1:$P$30),L105)</f>
        <v/>
      </c>
    </row>
    <row r="106" spans="1:11">
      <c r="A106" s="1"/>
      <c r="F106" s="1"/>
      <c r="K106" s="17" t="str">
        <f ca="1">IF(L106="",SearchHLookup(G106&amp;H106&amp;I106&amp;J106,Categorieën!$B$1:$P$30),L106)</f>
        <v/>
      </c>
    </row>
    <row r="107" spans="1:11">
      <c r="A107" s="1"/>
      <c r="F107" s="1"/>
      <c r="K107" s="17" t="str">
        <f ca="1">IF(L107="",SearchHLookup(G107&amp;H107&amp;I107&amp;J107,Categorieën!$B$1:$P$30),L107)</f>
        <v/>
      </c>
    </row>
    <row r="108" spans="1:11">
      <c r="A108" s="1"/>
      <c r="F108" s="1"/>
      <c r="K108" s="17" t="str">
        <f ca="1">IF(L108="",SearchHLookup(G108&amp;H108&amp;I108&amp;J108,Categorieën!$B$1:$P$30),L108)</f>
        <v/>
      </c>
    </row>
    <row r="109" spans="1:11">
      <c r="A109" s="1"/>
      <c r="F109" s="1"/>
      <c r="K109" s="17" t="str">
        <f ca="1">IF(L109="",SearchHLookup(G109&amp;H109&amp;I109&amp;J109,Categorieën!$B$1:$P$30),L109)</f>
        <v/>
      </c>
    </row>
    <row r="110" spans="1:11">
      <c r="A110" s="1"/>
      <c r="F110" s="1"/>
      <c r="K110" s="17" t="str">
        <f ca="1">IF(L110="",SearchHLookup(G110&amp;H110&amp;I110&amp;J110,Categorieën!$B$1:$P$30),L110)</f>
        <v/>
      </c>
    </row>
    <row r="111" spans="1:11">
      <c r="A111" s="1"/>
      <c r="F111" s="1"/>
      <c r="K111" s="17" t="str">
        <f ca="1">IF(L111="",SearchHLookup(G111&amp;H111&amp;I111&amp;J111,Categorieën!$B$1:$P$30),L111)</f>
        <v/>
      </c>
    </row>
    <row r="112" spans="1:11">
      <c r="A112" s="1"/>
      <c r="F112" s="1"/>
      <c r="K112" s="17" t="str">
        <f ca="1">IF(L112="",SearchHLookup(G112&amp;H112&amp;I112&amp;J112,Categorieën!$B$1:$P$30),L112)</f>
        <v/>
      </c>
    </row>
    <row r="113" spans="1:11">
      <c r="A113" s="1"/>
      <c r="F113" s="1"/>
      <c r="K113" s="17" t="str">
        <f ca="1">IF(L113="",SearchHLookup(G113&amp;H113&amp;I113&amp;J113,Categorieën!$B$1:$P$30),L113)</f>
        <v/>
      </c>
    </row>
    <row r="114" spans="1:11">
      <c r="A114" s="1"/>
      <c r="F114" s="1"/>
      <c r="K114" s="17" t="str">
        <f ca="1">IF(L114="",SearchHLookup(G114&amp;H114&amp;I114&amp;J114,Categorieën!$B$1:$P$30),L114)</f>
        <v/>
      </c>
    </row>
    <row r="115" spans="1:11">
      <c r="A115" s="1"/>
      <c r="F115" s="1"/>
      <c r="K115" s="17" t="str">
        <f ca="1">IF(L115="",SearchHLookup(G115&amp;H115&amp;I115&amp;J115,Categorieën!$B$1:$P$30),L115)</f>
        <v/>
      </c>
    </row>
    <row r="116" spans="1:11">
      <c r="A116" s="1"/>
      <c r="F116" s="1"/>
      <c r="K116" s="17" t="str">
        <f ca="1">IF(L116="",SearchHLookup(G116&amp;H116&amp;I116&amp;J116,Categorieën!$B$1:$P$30),L116)</f>
        <v/>
      </c>
    </row>
    <row r="117" spans="1:11">
      <c r="A117" s="1"/>
      <c r="F117" s="1"/>
      <c r="K117" s="17" t="str">
        <f ca="1">IF(L117="",SearchHLookup(G117&amp;H117&amp;I117&amp;J117,Categorieën!$B$1:$P$30),L117)</f>
        <v/>
      </c>
    </row>
    <row r="118" spans="1:11">
      <c r="A118" s="1"/>
      <c r="F118" s="1"/>
      <c r="K118" s="17" t="str">
        <f ca="1">IF(L118="",SearchHLookup(G118&amp;H118&amp;I118&amp;J118,Categorieën!$B$1:$P$30),L118)</f>
        <v/>
      </c>
    </row>
    <row r="119" spans="1:11">
      <c r="A119" s="1"/>
      <c r="F119" s="1"/>
      <c r="K119" s="17" t="str">
        <f ca="1">IF(L119="",SearchHLookup(G119&amp;H119&amp;I119&amp;J119,Categorieën!$B$1:$P$30),L119)</f>
        <v/>
      </c>
    </row>
    <row r="120" spans="1:11">
      <c r="A120" s="1"/>
      <c r="F120" s="1"/>
      <c r="K120" s="17" t="str">
        <f ca="1">IF(L120="",SearchHLookup(G120&amp;H120&amp;I120&amp;J120,Categorieën!$B$1:$P$30),L120)</f>
        <v/>
      </c>
    </row>
    <row r="121" spans="1:11">
      <c r="A121" s="1"/>
      <c r="F121" s="1"/>
      <c r="K121" s="17" t="str">
        <f ca="1">IF(L121="",SearchHLookup(G121&amp;H121&amp;I121&amp;J121,Categorieën!$B$1:$P$30),L121)</f>
        <v/>
      </c>
    </row>
    <row r="122" spans="1:11">
      <c r="A122" s="1"/>
      <c r="F122" s="1"/>
      <c r="K122" s="17" t="str">
        <f ca="1">IF(L122="",SearchHLookup(G122&amp;H122&amp;I122&amp;J122,Categorieën!$B$1:$P$30),L122)</f>
        <v/>
      </c>
    </row>
    <row r="123" spans="1:11">
      <c r="A123" s="1"/>
      <c r="F123" s="1"/>
      <c r="K123" s="17" t="str">
        <f ca="1">IF(L123="",SearchHLookup(G123&amp;H123&amp;I123&amp;J123,Categorieën!$B$1:$P$30),L123)</f>
        <v/>
      </c>
    </row>
    <row r="124" spans="1:11">
      <c r="A124" s="1"/>
      <c r="F124" s="1"/>
      <c r="K124" s="17" t="str">
        <f ca="1">IF(L124="",SearchHLookup(G124&amp;H124&amp;I124&amp;J124,Categorieën!$B$1:$P$30),L124)</f>
        <v/>
      </c>
    </row>
    <row r="125" spans="1:11">
      <c r="A125" s="1"/>
      <c r="F125" s="1"/>
      <c r="K125" s="17" t="str">
        <f ca="1">IF(L125="",SearchHLookup(G125&amp;H125&amp;I125&amp;J125,Categorieën!$B$1:$P$30),L125)</f>
        <v/>
      </c>
    </row>
    <row r="126" spans="1:11">
      <c r="A126" s="1"/>
      <c r="F126" s="1"/>
      <c r="K126" s="17" t="str">
        <f ca="1">IF(L126="",SearchHLookup(G126&amp;H126&amp;I126&amp;J126,Categorieën!$B$1:$P$30),L126)</f>
        <v/>
      </c>
    </row>
    <row r="127" spans="1:11">
      <c r="A127" s="1"/>
      <c r="F127" s="1"/>
      <c r="K127" s="17" t="str">
        <f ca="1">IF(L127="",SearchHLookup(G127&amp;H127&amp;I127&amp;J127,Categorieën!$B$1:$P$30),L127)</f>
        <v/>
      </c>
    </row>
    <row r="128" spans="1:11">
      <c r="A128" s="1"/>
      <c r="F128" s="1"/>
      <c r="K128" s="17" t="str">
        <f ca="1">IF(L128="",SearchHLookup(G128&amp;H128&amp;I128&amp;J128,Categorieën!$B$1:$P$30),L128)</f>
        <v/>
      </c>
    </row>
    <row r="129" spans="1:11">
      <c r="A129" s="1"/>
      <c r="F129" s="1"/>
      <c r="K129" s="17" t="str">
        <f ca="1">IF(L129="",SearchHLookup(G129&amp;H129&amp;I129&amp;J129,Categorieën!$B$1:$P$30),L129)</f>
        <v/>
      </c>
    </row>
    <row r="130" spans="1:11">
      <c r="A130" s="1"/>
      <c r="F130" s="1"/>
      <c r="K130" s="17" t="str">
        <f ca="1">IF(L130="",SearchHLookup(G130&amp;H130&amp;I130&amp;J130,Categorieën!$B$1:$P$30),L130)</f>
        <v/>
      </c>
    </row>
    <row r="131" spans="1:11">
      <c r="A131" s="1"/>
      <c r="F131" s="1"/>
      <c r="K131" s="17" t="str">
        <f ca="1">IF(L131="",SearchHLookup(G131&amp;H131&amp;I131&amp;J131,Categorieën!$B$1:$P$30),L131)</f>
        <v/>
      </c>
    </row>
    <row r="132" spans="1:11">
      <c r="A132" s="1"/>
      <c r="F132" s="1"/>
      <c r="K132" s="17" t="str">
        <f ca="1">IF(L132="",SearchHLookup(G132&amp;H132&amp;I132&amp;J132,Categorieën!$B$1:$P$30),L132)</f>
        <v/>
      </c>
    </row>
    <row r="133" spans="1:11">
      <c r="A133" s="1"/>
      <c r="F133" s="1"/>
      <c r="K133" s="17" t="str">
        <f ca="1">IF(L133="",SearchHLookup(G133&amp;H133&amp;I133&amp;J133,Categorieën!$B$1:$P$30),L133)</f>
        <v/>
      </c>
    </row>
    <row r="134" spans="1:11">
      <c r="A134" s="1"/>
      <c r="F134" s="1"/>
      <c r="K134" s="17" t="str">
        <f ca="1">IF(L134="",SearchHLookup(G134&amp;H134&amp;I134&amp;J134,Categorieën!$B$1:$P$30),L134)</f>
        <v/>
      </c>
    </row>
    <row r="135" spans="1:11">
      <c r="A135" s="1"/>
      <c r="F135" s="1"/>
      <c r="K135" s="17" t="str">
        <f ca="1">IF(L135="",SearchHLookup(G135&amp;H135&amp;I135&amp;J135,Categorieën!$B$1:$P$30),L135)</f>
        <v/>
      </c>
    </row>
    <row r="136" spans="1:11">
      <c r="A136" s="1"/>
      <c r="F136" s="1"/>
      <c r="K136" s="17" t="str">
        <f ca="1">IF(L136="",SearchHLookup(G136&amp;H136&amp;I136&amp;J136,Categorieën!$B$1:$P$30),L136)</f>
        <v/>
      </c>
    </row>
    <row r="137" spans="1:11">
      <c r="A137" s="1"/>
      <c r="F137" s="1"/>
      <c r="K137" s="17" t="str">
        <f ca="1">IF(L137="",SearchHLookup(G137&amp;H137&amp;I137&amp;J137,Categorieën!$B$1:$P$30),L137)</f>
        <v/>
      </c>
    </row>
    <row r="138" spans="1:11">
      <c r="A138" s="1"/>
      <c r="F138" s="1"/>
      <c r="K138" s="17" t="str">
        <f ca="1">IF(L138="",SearchHLookup(G138&amp;H138&amp;I138&amp;J138,Categorieën!$B$1:$P$30),L138)</f>
        <v/>
      </c>
    </row>
    <row r="139" spans="1:11">
      <c r="A139" s="1"/>
      <c r="F139" s="1"/>
      <c r="K139" s="17" t="str">
        <f ca="1">IF(L139="",SearchHLookup(G139&amp;H139&amp;I139&amp;J139,Categorieën!$B$1:$P$30),L139)</f>
        <v/>
      </c>
    </row>
    <row r="140" spans="1:11">
      <c r="A140" s="1"/>
      <c r="F140" s="1"/>
      <c r="K140" s="17" t="str">
        <f ca="1">IF(L140="",SearchHLookup(G140&amp;H140&amp;I140&amp;J140,Categorieën!$B$1:$P$30),L140)</f>
        <v/>
      </c>
    </row>
    <row r="141" spans="1:11">
      <c r="A141" s="1"/>
      <c r="F141" s="1"/>
      <c r="K141" s="17" t="str">
        <f ca="1">IF(L141="",SearchHLookup(G141&amp;H141&amp;I141&amp;J141,Categorieën!$B$1:$P$30),L141)</f>
        <v/>
      </c>
    </row>
    <row r="142" spans="1:11">
      <c r="A142" s="1"/>
      <c r="F142" s="1"/>
      <c r="K142" s="17" t="str">
        <f ca="1">IF(L142="",SearchHLookup(G142&amp;H142&amp;I142&amp;J142,Categorieën!$B$1:$P$30),L142)</f>
        <v/>
      </c>
    </row>
    <row r="143" spans="1:11">
      <c r="A143" s="1"/>
      <c r="F143" s="1"/>
      <c r="K143" s="17" t="str">
        <f ca="1">IF(L143="",SearchHLookup(G143&amp;H143&amp;I143&amp;J143,Categorieën!$B$1:$P$30),L143)</f>
        <v/>
      </c>
    </row>
    <row r="144" spans="1:11">
      <c r="A144" s="1"/>
      <c r="F144" s="1"/>
      <c r="K144" s="17" t="str">
        <f ca="1">IF(L144="",SearchHLookup(G144&amp;H144&amp;I144&amp;J144,Categorieën!$B$1:$P$30),L144)</f>
        <v/>
      </c>
    </row>
    <row r="145" spans="1:11">
      <c r="A145" s="1"/>
      <c r="F145" s="1"/>
      <c r="K145" s="17" t="str">
        <f ca="1">IF(L145="",SearchHLookup(G145&amp;H145&amp;I145&amp;J145,Categorieën!$B$1:$P$30),L145)</f>
        <v/>
      </c>
    </row>
    <row r="146" spans="1:11">
      <c r="A146" s="1"/>
      <c r="F146" s="1"/>
      <c r="K146" s="17" t="str">
        <f ca="1">IF(L146="",SearchHLookup(G146&amp;H146&amp;I146&amp;J146,Categorieën!$B$1:$P$30),L146)</f>
        <v/>
      </c>
    </row>
    <row r="147" spans="1:11">
      <c r="A147" s="1"/>
      <c r="F147" s="1"/>
      <c r="K147" s="17" t="str">
        <f ca="1">IF(L147="",SearchHLookup(G147&amp;H147&amp;I147&amp;J147,Categorieën!$B$1:$P$30),L147)</f>
        <v/>
      </c>
    </row>
    <row r="148" spans="1:11">
      <c r="A148" s="1"/>
      <c r="F148" s="1"/>
      <c r="K148" s="17" t="str">
        <f ca="1">IF(L148="",SearchHLookup(G148&amp;H148&amp;I148&amp;J148,Categorieën!$B$1:$P$30),L148)</f>
        <v/>
      </c>
    </row>
    <row r="149" spans="1:11">
      <c r="A149" s="1"/>
      <c r="F149" s="1"/>
      <c r="K149" s="17" t="str">
        <f ca="1">IF(L149="",SearchHLookup(G149&amp;H149&amp;I149&amp;J149,Categorieën!$B$1:$P$30),L149)</f>
        <v/>
      </c>
    </row>
    <row r="150" spans="1:11">
      <c r="A150" s="1"/>
      <c r="F150" s="1"/>
      <c r="K150" s="17" t="str">
        <f ca="1">IF(L150="",SearchHLookup(G150&amp;H150&amp;I150&amp;J150,Categorieën!$B$1:$P$30),L150)</f>
        <v/>
      </c>
    </row>
    <row r="151" spans="1:11">
      <c r="A151" s="1"/>
      <c r="F151" s="1"/>
      <c r="K151" s="17" t="str">
        <f ca="1">IF(L151="",SearchHLookup(G151&amp;H151&amp;I151&amp;J151,Categorieën!$B$1:$P$30),L151)</f>
        <v/>
      </c>
    </row>
    <row r="152" spans="1:11">
      <c r="A152" s="1"/>
      <c r="F152" s="1"/>
      <c r="K152" s="17" t="str">
        <f ca="1">IF(L152="",SearchHLookup(G152&amp;H152&amp;I152&amp;J152,Categorieën!$B$1:$P$30),L152)</f>
        <v/>
      </c>
    </row>
    <row r="153" spans="1:11">
      <c r="A153" s="1"/>
      <c r="F153" s="1"/>
      <c r="K153" s="17" t="str">
        <f ca="1">IF(L153="",SearchHLookup(G153&amp;H153&amp;I153&amp;J153,Categorieën!$B$1:$P$30),L153)</f>
        <v/>
      </c>
    </row>
    <row r="154" spans="1:11">
      <c r="A154" s="1"/>
      <c r="F154" s="1"/>
      <c r="K154" s="17" t="str">
        <f ca="1">IF(L154="",SearchHLookup(G154&amp;H154&amp;I154&amp;J154,Categorieën!$B$1:$P$30),L154)</f>
        <v/>
      </c>
    </row>
    <row r="155" spans="1:11">
      <c r="A155" s="1"/>
      <c r="F155" s="1"/>
      <c r="K155" s="17" t="str">
        <f ca="1">IF(L155="",SearchHLookup(G155&amp;H155&amp;I155&amp;J155,Categorieën!$B$1:$P$30),L155)</f>
        <v/>
      </c>
    </row>
    <row r="156" spans="1:11">
      <c r="A156" s="1"/>
      <c r="F156" s="1"/>
      <c r="K156" s="17" t="str">
        <f ca="1">IF(L156="",SearchHLookup(G156&amp;H156&amp;I156&amp;J156,Categorieën!$B$1:$P$30),L156)</f>
        <v/>
      </c>
    </row>
    <row r="157" spans="1:11">
      <c r="A157" s="1"/>
      <c r="F157" s="1"/>
      <c r="K157" s="17" t="str">
        <f ca="1">IF(L157="",SearchHLookup(G157&amp;H157&amp;I157&amp;J157,Categorieën!$B$1:$P$30),L157)</f>
        <v/>
      </c>
    </row>
    <row r="158" spans="1:11">
      <c r="A158" s="1"/>
      <c r="F158" s="1"/>
      <c r="K158" s="17" t="str">
        <f ca="1">IF(L158="",SearchHLookup(G158&amp;H158&amp;I158&amp;J158,Categorieën!$B$1:$P$30),L158)</f>
        <v/>
      </c>
    </row>
    <row r="159" spans="1:11">
      <c r="A159" s="1"/>
      <c r="F159" s="1"/>
      <c r="K159" s="17" t="str">
        <f ca="1">IF(L159="",SearchHLookup(G159&amp;H159&amp;I159&amp;J159,Categorieën!$B$1:$P$30),L159)</f>
        <v/>
      </c>
    </row>
    <row r="160" spans="1:11">
      <c r="A160" s="1"/>
      <c r="F160" s="1"/>
      <c r="K160" s="17" t="str">
        <f ca="1">IF(L160="",SearchHLookup(G160&amp;H160&amp;I160&amp;J160,Categorieën!$B$1:$P$30),L160)</f>
        <v/>
      </c>
    </row>
    <row r="161" spans="1:11">
      <c r="A161" s="1"/>
      <c r="F161" s="1"/>
      <c r="K161" s="17" t="str">
        <f ca="1">IF(L161="",SearchHLookup(G161&amp;H161&amp;I161&amp;J161,Categorieën!$B$1:$P$30),L161)</f>
        <v/>
      </c>
    </row>
    <row r="162" spans="1:11">
      <c r="A162" s="1"/>
      <c r="F162" s="1"/>
      <c r="K162" s="17" t="str">
        <f ca="1">IF(L162="",SearchHLookup(G162&amp;H162&amp;I162&amp;J162,Categorieën!$B$1:$P$30),L162)</f>
        <v/>
      </c>
    </row>
    <row r="163" spans="1:11">
      <c r="A163" s="1"/>
      <c r="F163" s="1"/>
      <c r="K163" s="17" t="str">
        <f ca="1">IF(L163="",SearchHLookup(G163&amp;H163&amp;I163&amp;J163,Categorieën!$B$1:$P$30),L163)</f>
        <v/>
      </c>
    </row>
    <row r="164" spans="1:11">
      <c r="A164" s="1"/>
      <c r="F164" s="1"/>
      <c r="K164" s="17" t="str">
        <f ca="1">IF(L164="",SearchHLookup(G164&amp;H164&amp;I164&amp;J164,Categorieën!$B$1:$P$30),L164)</f>
        <v/>
      </c>
    </row>
    <row r="165" spans="1:11">
      <c r="A165" s="1"/>
      <c r="F165" s="1"/>
      <c r="K165" s="17" t="str">
        <f ca="1">IF(L165="",SearchHLookup(G165&amp;H165&amp;I165&amp;J165,Categorieën!$B$1:$P$30),L165)</f>
        <v/>
      </c>
    </row>
    <row r="166" spans="1:11">
      <c r="A166" s="1"/>
      <c r="F166" s="1"/>
      <c r="K166" s="17" t="str">
        <f ca="1">IF(L166="",SearchHLookup(G166&amp;H166&amp;I166&amp;J166,Categorieën!$B$1:$P$30),L166)</f>
        <v/>
      </c>
    </row>
    <row r="167" spans="1:11">
      <c r="A167" s="1"/>
      <c r="F167" s="1"/>
      <c r="K167" s="17" t="str">
        <f ca="1">IF(L167="",SearchHLookup(G167&amp;H167&amp;I167&amp;J167,Categorieën!$B$1:$P$30),L167)</f>
        <v/>
      </c>
    </row>
    <row r="168" spans="1:11">
      <c r="A168" s="1"/>
      <c r="F168" s="1"/>
      <c r="K168" s="17" t="str">
        <f ca="1">IF(L168="",SearchHLookup(G168&amp;H168&amp;I168&amp;J168,Categorieën!$B$1:$P$30),L168)</f>
        <v/>
      </c>
    </row>
    <row r="169" spans="1:11">
      <c r="A169" s="1"/>
      <c r="F169" s="1"/>
      <c r="K169" s="17" t="str">
        <f ca="1">IF(L169="",SearchHLookup(G169&amp;H169&amp;I169&amp;J169,Categorieën!$B$1:$P$30),L169)</f>
        <v/>
      </c>
    </row>
    <row r="170" spans="1:11">
      <c r="A170" s="1"/>
      <c r="F170" s="1"/>
      <c r="K170" s="17" t="str">
        <f ca="1">IF(L170="",SearchHLookup(G170&amp;H170&amp;I170&amp;J170,Categorieën!$B$1:$P$30),L170)</f>
        <v/>
      </c>
    </row>
    <row r="171" spans="1:11">
      <c r="A171" s="1"/>
      <c r="F171" s="1"/>
      <c r="K171" s="17" t="str">
        <f ca="1">IF(L171="",SearchHLookup(G171&amp;H171&amp;I171&amp;J171,Categorieën!$B$1:$P$30),L171)</f>
        <v/>
      </c>
    </row>
    <row r="172" spans="1:11">
      <c r="A172" s="1"/>
      <c r="F172" s="1"/>
      <c r="K172" s="17" t="str">
        <f ca="1">IF(L172="",SearchHLookup(G172&amp;H172&amp;I172&amp;J172,Categorieën!$B$1:$P$30),L172)</f>
        <v/>
      </c>
    </row>
    <row r="173" spans="1:11">
      <c r="A173" s="1"/>
      <c r="F173" s="1"/>
      <c r="K173" s="17" t="str">
        <f ca="1">IF(L173="",SearchHLookup(G173&amp;H173&amp;I173&amp;J173,Categorieën!$B$1:$P$30),L173)</f>
        <v/>
      </c>
    </row>
    <row r="174" spans="1:11">
      <c r="A174" s="1"/>
      <c r="F174" s="1"/>
      <c r="K174" s="17" t="str">
        <f ca="1">IF(L174="",SearchHLookup(G174&amp;H174&amp;I174&amp;J174,Categorieën!$B$1:$P$30),L174)</f>
        <v/>
      </c>
    </row>
    <row r="175" spans="1:11">
      <c r="A175" s="1"/>
      <c r="F175" s="1"/>
      <c r="K175" s="17" t="str">
        <f ca="1">IF(L175="",SearchHLookup(G175&amp;H175&amp;I175&amp;J175,Categorieën!$B$1:$P$30),L175)</f>
        <v/>
      </c>
    </row>
    <row r="176" spans="1:11">
      <c r="A176" s="1"/>
      <c r="F176" s="1"/>
      <c r="K176" s="17" t="str">
        <f ca="1">IF(L176="",SearchHLookup(G176&amp;H176&amp;I176&amp;J176,Categorieën!$B$1:$P$30),L176)</f>
        <v/>
      </c>
    </row>
    <row r="177" spans="1:11">
      <c r="A177" s="1"/>
      <c r="F177" s="1"/>
      <c r="K177" s="17" t="str">
        <f ca="1">IF(L177="",SearchHLookup(G177&amp;H177&amp;I177&amp;J177,Categorieën!$B$1:$P$30),L177)</f>
        <v/>
      </c>
    </row>
    <row r="178" spans="1:11">
      <c r="A178" s="1"/>
      <c r="F178" s="1"/>
      <c r="K178" s="17" t="str">
        <f ca="1">IF(L178="",SearchHLookup(G178&amp;H178&amp;I178&amp;J178,Categorieën!$B$1:$P$30),L178)</f>
        <v/>
      </c>
    </row>
    <row r="179" spans="1:11">
      <c r="A179" s="1"/>
      <c r="F179" s="1"/>
      <c r="K179" s="17" t="str">
        <f ca="1">IF(L179="",SearchHLookup(G179&amp;H179&amp;I179&amp;J179,Categorieën!$B$1:$P$30),L179)</f>
        <v/>
      </c>
    </row>
    <row r="180" spans="1:11">
      <c r="A180" s="1"/>
      <c r="F180" s="1"/>
      <c r="K180" s="17" t="str">
        <f ca="1">IF(L180="",SearchHLookup(G180&amp;H180&amp;I180&amp;J180,Categorieën!$B$1:$P$30),L180)</f>
        <v/>
      </c>
    </row>
    <row r="181" spans="1:11">
      <c r="A181" s="1"/>
      <c r="F181" s="1"/>
      <c r="K181" s="17" t="str">
        <f ca="1">IF(L181="",SearchHLookup(G181&amp;H181&amp;I181&amp;J181,Categorieën!$B$1:$P$30),L181)</f>
        <v/>
      </c>
    </row>
    <row r="182" spans="1:11">
      <c r="A182" s="1"/>
      <c r="F182" s="1"/>
      <c r="K182" s="17" t="str">
        <f ca="1">IF(L182="",SearchHLookup(G182&amp;H182&amp;I182&amp;J182,Categorieën!$B$1:$P$30),L182)</f>
        <v/>
      </c>
    </row>
    <row r="183" spans="1:11">
      <c r="A183" s="1"/>
      <c r="F183" s="1"/>
      <c r="K183" s="17" t="str">
        <f ca="1">IF(L183="",SearchHLookup(G183&amp;H183&amp;I183&amp;J183,Categorieën!$B$1:$P$30),L183)</f>
        <v/>
      </c>
    </row>
    <row r="184" spans="1:11">
      <c r="A184" s="1"/>
      <c r="F184" s="1"/>
      <c r="K184" s="17" t="str">
        <f ca="1">IF(L184="",SearchHLookup(G184&amp;H184&amp;I184&amp;J184,Categorieën!$B$1:$P$30),L184)</f>
        <v/>
      </c>
    </row>
    <row r="185" spans="1:11">
      <c r="A185" s="1"/>
      <c r="F185" s="1"/>
      <c r="K185" s="17" t="str">
        <f ca="1">IF(L185="",SearchHLookup(G185&amp;H185&amp;I185&amp;J185,Categorieën!$B$1:$P$30),L185)</f>
        <v/>
      </c>
    </row>
    <row r="186" spans="1:11">
      <c r="A186" s="1"/>
      <c r="F186" s="1"/>
      <c r="K186" s="17" t="str">
        <f ca="1">IF(L186="",SearchHLookup(G186&amp;H186&amp;I186&amp;J186,Categorieën!$B$1:$P$30),L186)</f>
        <v/>
      </c>
    </row>
    <row r="187" spans="1:11">
      <c r="A187" s="1"/>
      <c r="F187" s="1"/>
      <c r="K187" s="17" t="str">
        <f ca="1">IF(L187="",SearchHLookup(G187&amp;H187&amp;I187&amp;J187,Categorieën!$B$1:$P$30),L187)</f>
        <v/>
      </c>
    </row>
    <row r="188" spans="1:11">
      <c r="A188" s="1"/>
      <c r="F188" s="1"/>
      <c r="K188" s="17" t="str">
        <f ca="1">IF(L188="",SearchHLookup(G188&amp;H188&amp;I188&amp;J188,Categorieën!$B$1:$P$30),L188)</f>
        <v/>
      </c>
    </row>
    <row r="189" spans="1:11">
      <c r="A189" s="1"/>
      <c r="F189" s="1"/>
      <c r="K189" s="17" t="str">
        <f ca="1">IF(L189="",SearchHLookup(G189&amp;H189&amp;I189&amp;J189,Categorieën!$B$1:$P$30),L189)</f>
        <v/>
      </c>
    </row>
    <row r="190" spans="1:11">
      <c r="A190" s="1"/>
      <c r="F190" s="1"/>
      <c r="K190" s="17" t="str">
        <f ca="1">IF(L190="",SearchHLookup(G190&amp;H190&amp;I190&amp;J190,Categorieën!$B$1:$P$30),L190)</f>
        <v/>
      </c>
    </row>
    <row r="191" spans="1:11">
      <c r="A191" s="1"/>
      <c r="F191" s="1"/>
      <c r="K191" s="17" t="str">
        <f ca="1">IF(L191="",SearchHLookup(G191&amp;H191&amp;I191&amp;J191,Categorieën!$B$1:$P$30),L191)</f>
        <v/>
      </c>
    </row>
    <row r="192" spans="1:11">
      <c r="A192" s="1"/>
      <c r="F192" s="1"/>
      <c r="K192" s="17" t="str">
        <f ca="1">IF(L192="",SearchHLookup(G192&amp;H192&amp;I192&amp;J192,Categorieën!$B$1:$P$30),L192)</f>
        <v/>
      </c>
    </row>
    <row r="193" spans="1:11">
      <c r="A193" s="1"/>
      <c r="F193" s="1"/>
      <c r="K193" s="17" t="str">
        <f ca="1">IF(L193="",SearchHLookup(G193&amp;H193&amp;I193&amp;J193,Categorieën!$B$1:$P$30),L193)</f>
        <v/>
      </c>
    </row>
    <row r="194" spans="1:11">
      <c r="A194" s="1"/>
      <c r="F194" s="1"/>
      <c r="K194" s="17" t="str">
        <f ca="1">IF(L194="",SearchHLookup(G194&amp;H194&amp;I194&amp;J194,Categorieën!$B$1:$P$30),L194)</f>
        <v/>
      </c>
    </row>
    <row r="195" spans="1:11">
      <c r="A195" s="1"/>
      <c r="F195" s="1"/>
      <c r="K195" s="17" t="str">
        <f ca="1">IF(L195="",SearchHLookup(G195&amp;H195&amp;I195&amp;J195,Categorieën!$B$1:$P$30),L195)</f>
        <v/>
      </c>
    </row>
    <row r="196" spans="1:11">
      <c r="A196" s="1"/>
      <c r="F196" s="1"/>
      <c r="K196" s="17" t="str">
        <f ca="1">IF(L196="",SearchHLookup(G196&amp;H196&amp;I196&amp;J196,Categorieën!$B$1:$P$30),L196)</f>
        <v/>
      </c>
    </row>
    <row r="197" spans="1:11">
      <c r="A197" s="1"/>
      <c r="F197" s="1"/>
      <c r="K197" s="17" t="str">
        <f ca="1">IF(L197="",SearchHLookup(G197&amp;H197&amp;I197&amp;J197,Categorieën!$B$1:$P$30),L197)</f>
        <v/>
      </c>
    </row>
    <row r="198" spans="1:11">
      <c r="A198" s="1"/>
      <c r="F198" s="1"/>
      <c r="K198" s="17" t="str">
        <f ca="1">IF(L198="",SearchHLookup(G198&amp;H198&amp;I198&amp;J198,Categorieën!$B$1:$P$30),L198)</f>
        <v/>
      </c>
    </row>
    <row r="199" spans="1:11">
      <c r="A199" s="1"/>
      <c r="F199" s="1"/>
      <c r="K199" s="17" t="str">
        <f ca="1">IF(L199="",SearchHLookup(G199&amp;H199&amp;I199&amp;J199,Categorieën!$B$1:$P$30),L199)</f>
        <v/>
      </c>
    </row>
    <row r="200" spans="1:11">
      <c r="A200" s="1"/>
      <c r="F200" s="1"/>
      <c r="K200" s="17" t="str">
        <f ca="1">IF(L200="",SearchHLookup(G200&amp;H200&amp;I200&amp;J200,Categorieën!$B$1:$P$30),L200)</f>
        <v/>
      </c>
    </row>
    <row r="201" spans="1:11">
      <c r="A201" s="1"/>
      <c r="F201" s="1"/>
      <c r="K201" s="17" t="str">
        <f ca="1">IF(L201="",SearchHLookup(G201&amp;H201&amp;I201&amp;J201,Categorieën!$B$1:$P$30),L201)</f>
        <v/>
      </c>
    </row>
    <row r="202" spans="1:11">
      <c r="A202" s="1"/>
      <c r="F202" s="1"/>
      <c r="K202" s="17" t="str">
        <f ca="1">IF(L202="",SearchHLookup(G202&amp;H202&amp;I202&amp;J202,Categorieën!$B$1:$P$30),L202)</f>
        <v/>
      </c>
    </row>
    <row r="203" spans="1:11">
      <c r="A203" s="1"/>
      <c r="F203" s="1"/>
      <c r="K203" s="17" t="str">
        <f ca="1">IF(L203="",SearchHLookup(G203&amp;H203&amp;I203&amp;J203,Categorieën!$B$1:$P$30),L203)</f>
        <v/>
      </c>
    </row>
    <row r="204" spans="1:11">
      <c r="A204" s="1"/>
      <c r="F204" s="1"/>
      <c r="K204" s="17" t="str">
        <f ca="1">IF(L204="",SearchHLookup(G204&amp;H204&amp;I204&amp;J204,Categorieën!$B$1:$P$30),L204)</f>
        <v/>
      </c>
    </row>
    <row r="205" spans="1:11">
      <c r="A205" s="1"/>
      <c r="F205" s="1"/>
      <c r="K205" s="17" t="str">
        <f ca="1">IF(L205="",SearchHLookup(G205&amp;H205&amp;I205&amp;J205,Categorieën!$B$1:$P$30),L205)</f>
        <v/>
      </c>
    </row>
    <row r="206" spans="1:11">
      <c r="A206" s="1"/>
      <c r="F206" s="1"/>
      <c r="K206" s="17" t="str">
        <f ca="1">IF(L206="",SearchHLookup(G206&amp;H206&amp;I206&amp;J206,Categorieën!$B$1:$P$30),L206)</f>
        <v/>
      </c>
    </row>
    <row r="207" spans="1:11">
      <c r="A207" s="1"/>
      <c r="F207" s="1"/>
      <c r="K207" s="17" t="str">
        <f ca="1">IF(L207="",SearchHLookup(G207&amp;H207&amp;I207&amp;J207,Categorieën!$B$1:$P$30),L207)</f>
        <v/>
      </c>
    </row>
    <row r="208" spans="1:11">
      <c r="A208" s="1"/>
      <c r="F208" s="1"/>
      <c r="K208" s="17" t="str">
        <f ca="1">IF(L208="",SearchHLookup(G208&amp;H208&amp;I208&amp;J208,Categorieën!$B$1:$P$30),L208)</f>
        <v/>
      </c>
    </row>
    <row r="209" spans="1:11">
      <c r="A209" s="1"/>
      <c r="F209" s="1"/>
      <c r="K209" s="17" t="str">
        <f ca="1">IF(L209="",SearchHLookup(G209&amp;H209&amp;I209&amp;J209,Categorieën!$B$1:$P$30),L209)</f>
        <v/>
      </c>
    </row>
    <row r="210" spans="1:11">
      <c r="A210" s="1"/>
      <c r="F210" s="1"/>
      <c r="K210" s="17" t="str">
        <f ca="1">IF(L210="",SearchHLookup(G210&amp;H210&amp;I210&amp;J210,Categorieën!$B$1:$P$30),L210)</f>
        <v/>
      </c>
    </row>
    <row r="211" spans="1:11">
      <c r="A211" s="1"/>
      <c r="F211" s="1"/>
      <c r="K211" s="17" t="str">
        <f ca="1">IF(L211="",SearchHLookup(G211&amp;H211&amp;I211&amp;J211,Categorieën!$B$1:$P$30),L211)</f>
        <v/>
      </c>
    </row>
    <row r="212" spans="1:11">
      <c r="A212" s="1"/>
      <c r="F212" s="1"/>
      <c r="K212" s="17" t="str">
        <f ca="1">IF(L212="",SearchHLookup(G212&amp;H212&amp;I212&amp;J212,Categorieën!$B$1:$P$30),L212)</f>
        <v/>
      </c>
    </row>
    <row r="213" spans="1:11">
      <c r="A213" s="1"/>
      <c r="F213" s="1"/>
      <c r="K213" s="17" t="str">
        <f ca="1">IF(L213="",SearchHLookup(G213&amp;H213&amp;I213&amp;J213,Categorieën!$B$1:$P$30),L213)</f>
        <v/>
      </c>
    </row>
    <row r="214" spans="1:11">
      <c r="A214" s="1"/>
      <c r="F214" s="1"/>
      <c r="K214" s="17" t="str">
        <f ca="1">IF(L214="",SearchHLookup(G214&amp;H214&amp;I214&amp;J214,Categorieën!$B$1:$P$30),L214)</f>
        <v/>
      </c>
    </row>
    <row r="215" spans="1:11">
      <c r="A215" s="1"/>
      <c r="F215" s="1"/>
      <c r="K215" s="17" t="str">
        <f ca="1">IF(L215="",SearchHLookup(G215&amp;H215&amp;I215&amp;J215,Categorieën!$B$1:$P$30),L215)</f>
        <v/>
      </c>
    </row>
    <row r="216" spans="1:11">
      <c r="A216" s="1"/>
      <c r="F216" s="1"/>
      <c r="K216" s="17" t="str">
        <f ca="1">IF(L216="",SearchHLookup(G216&amp;H216&amp;I216&amp;J216,Categorieën!$B$1:$P$30),L216)</f>
        <v/>
      </c>
    </row>
    <row r="217" spans="1:11">
      <c r="A217" s="1"/>
      <c r="F217" s="1"/>
      <c r="K217" s="17" t="str">
        <f ca="1">IF(L217="",SearchHLookup(G217&amp;H217&amp;I217&amp;J217,Categorieën!$B$1:$P$30),L217)</f>
        <v/>
      </c>
    </row>
    <row r="218" spans="1:11">
      <c r="A218" s="1"/>
      <c r="F218" s="1"/>
      <c r="K218" s="17" t="str">
        <f ca="1">IF(L218="",SearchHLookup(G218&amp;H218&amp;I218&amp;J218,Categorieën!$B$1:$P$30),L218)</f>
        <v/>
      </c>
    </row>
    <row r="219" spans="1:11">
      <c r="A219" s="1"/>
      <c r="F219" s="1"/>
      <c r="K219" s="17" t="str">
        <f ca="1">IF(L219="",SearchHLookup(G219&amp;H219&amp;I219&amp;J219,Categorieën!$B$1:$P$30),L219)</f>
        <v/>
      </c>
    </row>
    <row r="220" spans="1:11">
      <c r="A220" s="1"/>
      <c r="F220" s="1"/>
      <c r="K220" s="17" t="str">
        <f ca="1">IF(L220="",SearchHLookup(G220&amp;H220&amp;I220&amp;J220,Categorieën!$B$1:$P$30),L220)</f>
        <v/>
      </c>
    </row>
    <row r="221" spans="1:11">
      <c r="A221" s="1"/>
      <c r="F221" s="1"/>
      <c r="K221" s="17" t="str">
        <f ca="1">IF(L221="",SearchHLookup(G221&amp;H221&amp;I221&amp;J221,Categorieën!$B$1:$P$30),L221)</f>
        <v/>
      </c>
    </row>
    <row r="222" spans="1:11">
      <c r="A222" s="1"/>
      <c r="F222" s="1"/>
      <c r="K222" s="17" t="str">
        <f ca="1">IF(L222="",SearchHLookup(G222&amp;H222&amp;I222&amp;J222,Categorieën!$B$1:$P$30),L222)</f>
        <v/>
      </c>
    </row>
    <row r="223" spans="1:11">
      <c r="A223" s="1"/>
      <c r="F223" s="1"/>
      <c r="K223" s="17" t="str">
        <f ca="1">IF(L223="",SearchHLookup(G223&amp;H223&amp;I223&amp;J223,Categorieën!$B$1:$P$30),L223)</f>
        <v/>
      </c>
    </row>
    <row r="224" spans="1:11">
      <c r="A224" s="1"/>
      <c r="F224" s="1"/>
      <c r="K224" s="17" t="str">
        <f ca="1">IF(L224="",SearchHLookup(G224&amp;H224&amp;I224&amp;J224,Categorieën!$B$1:$P$30),L224)</f>
        <v/>
      </c>
    </row>
    <row r="225" spans="1:11">
      <c r="A225" s="1"/>
      <c r="F225" s="1"/>
      <c r="K225" s="17" t="str">
        <f ca="1">IF(L225="",SearchHLookup(G225&amp;H225&amp;I225&amp;J225,Categorieën!$B$1:$P$30),L225)</f>
        <v/>
      </c>
    </row>
    <row r="226" spans="1:11">
      <c r="A226" s="1"/>
      <c r="F226" s="1"/>
      <c r="K226" s="17" t="str">
        <f ca="1">IF(L226="",SearchHLookup(G226&amp;H226&amp;I226&amp;J226,Categorieën!$B$1:$P$30),L226)</f>
        <v/>
      </c>
    </row>
    <row r="227" spans="1:11">
      <c r="A227" s="1"/>
      <c r="F227" s="1"/>
      <c r="K227" s="17" t="str">
        <f ca="1">IF(L227="",SearchHLookup(G227&amp;H227&amp;I227&amp;J227,Categorieën!$B$1:$P$30),L227)</f>
        <v/>
      </c>
    </row>
    <row r="228" spans="1:11">
      <c r="A228" s="1"/>
      <c r="F228" s="1"/>
      <c r="K228" s="17" t="str">
        <f ca="1">IF(L228="",SearchHLookup(G228&amp;H228&amp;I228&amp;J228,Categorieën!$B$1:$P$30),L228)</f>
        <v/>
      </c>
    </row>
    <row r="229" spans="1:11">
      <c r="A229" s="1"/>
      <c r="F229" s="1"/>
      <c r="K229" s="17" t="str">
        <f ca="1">IF(L229="",SearchHLookup(G229&amp;H229&amp;I229&amp;J229,Categorieën!$B$1:$P$30),L229)</f>
        <v/>
      </c>
    </row>
    <row r="230" spans="1:11">
      <c r="A230" s="1"/>
      <c r="F230" s="1"/>
      <c r="K230" s="17" t="str">
        <f ca="1">IF(L230="",SearchHLookup(G230&amp;H230&amp;I230&amp;J230,Categorieën!$B$1:$P$30),L230)</f>
        <v/>
      </c>
    </row>
    <row r="231" spans="1:11">
      <c r="A231" s="1"/>
      <c r="F231" s="1"/>
      <c r="K231" s="17" t="str">
        <f ca="1">IF(L231="",SearchHLookup(G231&amp;H231&amp;I231&amp;J231,Categorieën!$B$1:$P$30),L231)</f>
        <v/>
      </c>
    </row>
    <row r="232" spans="1:11">
      <c r="A232" s="1"/>
      <c r="F232" s="1"/>
      <c r="K232" s="17" t="str">
        <f ca="1">IF(L232="",SearchHLookup(G232&amp;H232&amp;I232&amp;J232,Categorieën!$B$1:$P$30),L232)</f>
        <v/>
      </c>
    </row>
    <row r="233" spans="1:11">
      <c r="A233" s="1"/>
      <c r="F233" s="1"/>
      <c r="K233" s="17" t="str">
        <f ca="1">IF(L233="",SearchHLookup(G233&amp;H233&amp;I233&amp;J233,Categorieën!$B$1:$P$30),L233)</f>
        <v/>
      </c>
    </row>
    <row r="234" spans="1:11">
      <c r="A234" s="1"/>
      <c r="F234" s="1"/>
      <c r="K234" s="17" t="str">
        <f ca="1">IF(L234="",SearchHLookup(G234&amp;H234&amp;I234&amp;J234,Categorieën!$B$1:$P$30),L234)</f>
        <v/>
      </c>
    </row>
    <row r="235" spans="1:11">
      <c r="A235" s="1"/>
      <c r="F235" s="1"/>
      <c r="K235" s="17" t="str">
        <f ca="1">IF(L235="",SearchHLookup(G235&amp;H235&amp;I235&amp;J235,Categorieën!$B$1:$P$30),L235)</f>
        <v/>
      </c>
    </row>
    <row r="236" spans="1:11">
      <c r="A236" s="1"/>
      <c r="F236" s="1"/>
      <c r="K236" s="17" t="str">
        <f ca="1">IF(L236="",SearchHLookup(G236&amp;H236&amp;I236&amp;J236,Categorieën!$B$1:$P$30),L236)</f>
        <v/>
      </c>
    </row>
    <row r="237" spans="1:11">
      <c r="A237" s="1"/>
      <c r="F237" s="1"/>
      <c r="K237" s="17" t="str">
        <f ca="1">IF(L237="",SearchHLookup(G237&amp;H237&amp;I237&amp;J237,Categorieën!$B$1:$P$30),L237)</f>
        <v/>
      </c>
    </row>
    <row r="238" spans="1:11">
      <c r="A238" s="1"/>
      <c r="F238" s="1"/>
      <c r="K238" s="17" t="str">
        <f ca="1">IF(L238="",SearchHLookup(G238&amp;H238&amp;I238&amp;J238,Categorieën!$B$1:$P$30),L238)</f>
        <v/>
      </c>
    </row>
    <row r="239" spans="1:11">
      <c r="A239" s="1"/>
      <c r="F239" s="1"/>
      <c r="K239" s="17" t="str">
        <f ca="1">IF(L239="",SearchHLookup(G239&amp;H239&amp;I239&amp;J239,Categorieën!$B$1:$P$30),L239)</f>
        <v/>
      </c>
    </row>
    <row r="240" spans="1:11">
      <c r="A240" s="1"/>
      <c r="F240" s="1"/>
      <c r="K240" s="17" t="str">
        <f ca="1">IF(L240="",SearchHLookup(G240&amp;H240&amp;I240&amp;J240,Categorieën!$B$1:$P$30),L240)</f>
        <v/>
      </c>
    </row>
    <row r="241" spans="1:11">
      <c r="A241" s="1"/>
      <c r="F241" s="1"/>
      <c r="K241" s="17" t="str">
        <f ca="1">IF(L241="",SearchHLookup(G241&amp;H241&amp;I241&amp;J241,Categorieën!$B$1:$P$30),L241)</f>
        <v/>
      </c>
    </row>
    <row r="242" spans="1:11">
      <c r="A242" s="1"/>
      <c r="F242" s="1"/>
      <c r="K242" s="17" t="str">
        <f ca="1">IF(L242="",SearchHLookup(G242&amp;H242&amp;I242&amp;J242,Categorieën!$B$1:$P$30),L242)</f>
        <v/>
      </c>
    </row>
    <row r="243" spans="1:11">
      <c r="A243" s="1"/>
      <c r="F243" s="1"/>
      <c r="K243" s="17" t="str">
        <f ca="1">IF(L243="",SearchHLookup(G243&amp;H243&amp;I243&amp;J243,Categorieën!$B$1:$P$30),L243)</f>
        <v/>
      </c>
    </row>
    <row r="244" spans="1:11">
      <c r="A244" s="1"/>
      <c r="F244" s="1"/>
      <c r="K244" s="17" t="str">
        <f ca="1">IF(L244="",SearchHLookup(G244&amp;H244&amp;I244&amp;J244,Categorieën!$B$1:$P$30),L244)</f>
        <v/>
      </c>
    </row>
    <row r="245" spans="1:11">
      <c r="A245" s="1"/>
      <c r="F245" s="1"/>
      <c r="K245" s="17" t="str">
        <f ca="1">IF(L245="",SearchHLookup(G245&amp;H245&amp;I245&amp;J245,Categorieën!$B$1:$P$30),L245)</f>
        <v/>
      </c>
    </row>
    <row r="246" spans="1:11">
      <c r="A246" s="1"/>
      <c r="F246" s="1"/>
      <c r="K246" s="17" t="str">
        <f ca="1">IF(L246="",SearchHLookup(G246&amp;H246&amp;I246&amp;J246,Categorieën!$B$1:$P$30),L246)</f>
        <v/>
      </c>
    </row>
    <row r="247" spans="1:11">
      <c r="A247" s="1"/>
      <c r="F247" s="1"/>
      <c r="K247" s="17" t="str">
        <f ca="1">IF(L247="",SearchHLookup(G247&amp;H247&amp;I247&amp;J247,Categorieën!$B$1:$P$30),L247)</f>
        <v/>
      </c>
    </row>
    <row r="248" spans="1:11">
      <c r="A248" s="1"/>
      <c r="F248" s="1"/>
      <c r="K248" s="17" t="str">
        <f ca="1">IF(L248="",SearchHLookup(G248&amp;H248&amp;I248&amp;J248,Categorieën!$B$1:$P$30),L248)</f>
        <v/>
      </c>
    </row>
    <row r="249" spans="1:11">
      <c r="A249" s="1"/>
      <c r="F249" s="1"/>
      <c r="K249" s="17" t="str">
        <f ca="1">IF(L249="",SearchHLookup(G249&amp;H249&amp;I249&amp;J249,Categorieën!$B$1:$P$30),L249)</f>
        <v/>
      </c>
    </row>
    <row r="250" spans="1:11">
      <c r="A250" s="1"/>
      <c r="F250" s="1"/>
      <c r="K250" s="17" t="str">
        <f ca="1">IF(L250="",SearchHLookup(G250&amp;H250&amp;I250&amp;J250,Categorieën!$B$1:$P$30),L250)</f>
        <v/>
      </c>
    </row>
    <row r="251" spans="1:11">
      <c r="A251" s="1"/>
      <c r="F251" s="1"/>
      <c r="K251" s="17" t="str">
        <f ca="1">IF(L251="",SearchHLookup(G251&amp;H251&amp;I251&amp;J251,Categorieën!$B$1:$P$30),L251)</f>
        <v/>
      </c>
    </row>
    <row r="252" spans="1:11">
      <c r="A252" s="1"/>
      <c r="F252" s="1"/>
      <c r="K252" s="17" t="str">
        <f ca="1">IF(L252="",SearchHLookup(G252&amp;H252&amp;I252&amp;J252,Categorieën!$B$1:$P$30),L252)</f>
        <v/>
      </c>
    </row>
    <row r="253" spans="1:11">
      <c r="A253" s="1"/>
      <c r="F253" s="1"/>
      <c r="K253" s="17" t="str">
        <f ca="1">IF(L253="",SearchHLookup(G253&amp;H253&amp;I253&amp;J253,Categorieën!$B$1:$P$30),L253)</f>
        <v/>
      </c>
    </row>
    <row r="254" spans="1:11">
      <c r="A254" s="1"/>
      <c r="F254" s="1"/>
      <c r="K254" s="17" t="str">
        <f ca="1">IF(L254="",SearchHLookup(G254&amp;H254&amp;I254&amp;J254,Categorieën!$B$1:$P$30),L254)</f>
        <v/>
      </c>
    </row>
    <row r="255" spans="1:11">
      <c r="A255" s="1"/>
      <c r="F255" s="1"/>
      <c r="K255" s="17" t="str">
        <f ca="1">IF(L255="",SearchHLookup(G255&amp;H255&amp;I255&amp;J255,Categorieën!$B$1:$P$30),L255)</f>
        <v/>
      </c>
    </row>
    <row r="256" spans="1:11">
      <c r="A256" s="1"/>
      <c r="F256" s="1"/>
      <c r="K256" s="17" t="str">
        <f ca="1">IF(L256="",SearchHLookup(G256&amp;H256&amp;I256&amp;J256,Categorieën!$B$1:$P$30),L256)</f>
        <v/>
      </c>
    </row>
    <row r="257" spans="1:11">
      <c r="A257" s="1"/>
      <c r="F257" s="1"/>
      <c r="K257" s="17" t="str">
        <f ca="1">IF(L257="",SearchHLookup(G257&amp;H257&amp;I257&amp;J257,Categorieën!$B$1:$P$30),L257)</f>
        <v/>
      </c>
    </row>
    <row r="258" spans="1:11">
      <c r="A258" s="1"/>
      <c r="F258" s="1"/>
      <c r="K258" s="17" t="str">
        <f ca="1">IF(L258="",SearchHLookup(G258&amp;H258&amp;I258&amp;J258,Categorieën!$B$1:$P$30),L258)</f>
        <v/>
      </c>
    </row>
    <row r="259" spans="1:11">
      <c r="A259" s="1"/>
      <c r="F259" s="1"/>
      <c r="K259" s="17" t="str">
        <f ca="1">IF(L259="",SearchHLookup(G259&amp;H259&amp;I259&amp;J259,Categorieën!$B$1:$P$30),L259)</f>
        <v/>
      </c>
    </row>
    <row r="260" spans="1:11">
      <c r="A260" s="1"/>
      <c r="F260" s="1"/>
      <c r="K260" s="17" t="str">
        <f ca="1">IF(L260="",SearchHLookup(G260&amp;H260&amp;I260&amp;J260,Categorieën!$B$1:$P$30),L260)</f>
        <v/>
      </c>
    </row>
    <row r="261" spans="1:11">
      <c r="A261" s="1"/>
      <c r="F261" s="1"/>
      <c r="K261" s="17" t="str">
        <f ca="1">IF(L261="",SearchHLookup(G261&amp;H261&amp;I261&amp;J261,Categorieën!$B$1:$P$30),L261)</f>
        <v/>
      </c>
    </row>
    <row r="262" spans="1:11">
      <c r="A262" s="1"/>
      <c r="F262" s="1"/>
      <c r="K262" s="17" t="str">
        <f ca="1">IF(L262="",SearchHLookup(G262&amp;H262&amp;I262&amp;J262,Categorieën!$B$1:$P$30),L262)</f>
        <v/>
      </c>
    </row>
    <row r="263" spans="1:11">
      <c r="A263" s="1"/>
      <c r="F263" s="1"/>
      <c r="K263" s="17" t="str">
        <f ca="1">IF(L263="",SearchHLookup(G263&amp;H263&amp;I263&amp;J263,Categorieën!$B$1:$P$30),L263)</f>
        <v/>
      </c>
    </row>
    <row r="264" spans="1:11">
      <c r="A264" s="1"/>
      <c r="F264" s="1"/>
      <c r="K264" s="17" t="str">
        <f ca="1">IF(L264="",SearchHLookup(G264&amp;H264&amp;I264&amp;J264,Categorieën!$B$1:$P$30),L264)</f>
        <v/>
      </c>
    </row>
    <row r="265" spans="1:11">
      <c r="A265" s="1"/>
      <c r="F265" s="1"/>
      <c r="K265" s="17" t="str">
        <f ca="1">IF(L265="",SearchHLookup(G265&amp;H265&amp;I265&amp;J265,Categorieën!$B$1:$P$30),L265)</f>
        <v/>
      </c>
    </row>
    <row r="266" spans="1:11">
      <c r="A266" s="1"/>
      <c r="F266" s="1"/>
      <c r="K266" s="17" t="str">
        <f ca="1">IF(L266="",SearchHLookup(G266&amp;H266&amp;I266&amp;J266,Categorieën!$B$1:$P$30),L266)</f>
        <v/>
      </c>
    </row>
    <row r="267" spans="1:11">
      <c r="A267" s="1"/>
      <c r="F267" s="1"/>
      <c r="K267" s="17" t="str">
        <f ca="1">IF(L267="",SearchHLookup(G267&amp;H267&amp;I267&amp;J267,Categorieën!$B$1:$P$30),L267)</f>
        <v/>
      </c>
    </row>
    <row r="268" spans="1:11">
      <c r="A268" s="1"/>
      <c r="F268" s="1"/>
      <c r="K268" s="17" t="str">
        <f ca="1">IF(L268="",SearchHLookup(G268&amp;H268&amp;I268&amp;J268,Categorieën!$B$1:$P$30),L268)</f>
        <v/>
      </c>
    </row>
    <row r="269" spans="1:11">
      <c r="A269" s="1"/>
      <c r="F269" s="1"/>
      <c r="K269" s="17" t="str">
        <f ca="1">IF(L269="",SearchHLookup(G269&amp;H269&amp;I269&amp;J269,Categorieën!$B$1:$P$30),L269)</f>
        <v/>
      </c>
    </row>
    <row r="270" spans="1:11">
      <c r="A270" s="1"/>
      <c r="F270" s="1"/>
      <c r="K270" s="17" t="str">
        <f ca="1">IF(L270="",SearchHLookup(G270&amp;H270&amp;I270&amp;J270,Categorieën!$B$1:$P$30),L270)</f>
        <v/>
      </c>
    </row>
    <row r="271" spans="1:11">
      <c r="A271" s="1"/>
      <c r="F271" s="1"/>
      <c r="K271" s="17" t="str">
        <f ca="1">IF(L271="",SearchHLookup(G271&amp;H271&amp;I271&amp;J271,Categorieën!$B$1:$P$30),L271)</f>
        <v/>
      </c>
    </row>
    <row r="272" spans="1:11">
      <c r="A272" s="1"/>
      <c r="F272" s="1"/>
      <c r="K272" s="17" t="str">
        <f ca="1">IF(L272="",SearchHLookup(G272&amp;H272&amp;I272&amp;J272,Categorieën!$B$1:$P$30),L272)</f>
        <v/>
      </c>
    </row>
    <row r="273" spans="1:11">
      <c r="A273" s="1"/>
      <c r="F273" s="1"/>
      <c r="K273" s="17" t="str">
        <f ca="1">IF(L273="",SearchHLookup(G273&amp;H273&amp;I273&amp;J273,Categorieën!$B$1:$P$30),L273)</f>
        <v/>
      </c>
    </row>
    <row r="274" spans="1:11">
      <c r="A274" s="1"/>
      <c r="F274" s="1"/>
      <c r="K274" s="17" t="str">
        <f ca="1">IF(L274="",SearchHLookup(G274&amp;H274&amp;I274&amp;J274,Categorieën!$B$1:$P$30),L274)</f>
        <v/>
      </c>
    </row>
    <row r="275" spans="1:11">
      <c r="A275" s="1"/>
      <c r="F275" s="1"/>
      <c r="K275" s="17" t="str">
        <f ca="1">IF(L275="",SearchHLookup(G275&amp;H275&amp;I275&amp;J275,Categorieën!$B$1:$P$30),L275)</f>
        <v/>
      </c>
    </row>
    <row r="276" spans="1:11">
      <c r="A276" s="1"/>
      <c r="F276" s="1"/>
      <c r="K276" s="17" t="str">
        <f ca="1">IF(L276="",SearchHLookup(G276&amp;H276&amp;I276&amp;J276,Categorieën!$B$1:$P$30),L276)</f>
        <v/>
      </c>
    </row>
    <row r="277" spans="1:11">
      <c r="A277" s="1"/>
      <c r="F277" s="1"/>
      <c r="K277" s="17" t="str">
        <f ca="1">IF(L277="",SearchHLookup(G277&amp;H277&amp;I277&amp;J277,Categorieën!$B$1:$P$30),L277)</f>
        <v/>
      </c>
    </row>
    <row r="278" spans="1:11">
      <c r="A278" s="1"/>
      <c r="F278" s="1"/>
      <c r="K278" s="17" t="str">
        <f ca="1">IF(L278="",SearchHLookup(G278&amp;H278&amp;I278&amp;J278,Categorieën!$B$1:$P$30),L278)</f>
        <v/>
      </c>
    </row>
    <row r="279" spans="1:11">
      <c r="A279" s="1"/>
      <c r="F279" s="1"/>
      <c r="K279" s="17" t="str">
        <f ca="1">IF(L279="",SearchHLookup(G279&amp;H279&amp;I279&amp;J279,Categorieën!$B$1:$P$30),L279)</f>
        <v/>
      </c>
    </row>
    <row r="280" spans="1:11">
      <c r="A280" s="1"/>
      <c r="F280" s="1"/>
      <c r="K280" s="17" t="str">
        <f ca="1">IF(L280="",SearchHLookup(G280&amp;H280&amp;I280&amp;J280,Categorieën!$B$1:$P$30),L280)</f>
        <v/>
      </c>
    </row>
    <row r="281" spans="1:11">
      <c r="A281" s="1"/>
      <c r="F281" s="1"/>
      <c r="K281" s="17" t="str">
        <f ca="1">IF(L281="",SearchHLookup(G281&amp;H281&amp;I281&amp;J281,Categorieën!$B$1:$P$30),L281)</f>
        <v/>
      </c>
    </row>
    <row r="282" spans="1:11">
      <c r="A282" s="1"/>
      <c r="F282" s="1"/>
      <c r="K282" s="17" t="str">
        <f ca="1">IF(L282="",SearchHLookup(G282&amp;H282&amp;I282&amp;J282,Categorieën!$B$1:$P$30),L282)</f>
        <v/>
      </c>
    </row>
    <row r="283" spans="1:11">
      <c r="A283" s="1"/>
      <c r="F283" s="1"/>
      <c r="K283" s="17" t="str">
        <f ca="1">IF(L283="",SearchHLookup(G283&amp;H283&amp;I283&amp;J283,Categorieën!$B$1:$P$30),L283)</f>
        <v/>
      </c>
    </row>
    <row r="284" spans="1:11">
      <c r="A284" s="1"/>
      <c r="F284" s="1"/>
      <c r="K284" s="17" t="str">
        <f ca="1">IF(L284="",SearchHLookup(G284&amp;H284&amp;I284&amp;J284,Categorieën!$B$1:$P$30),L284)</f>
        <v/>
      </c>
    </row>
    <row r="285" spans="1:11">
      <c r="A285" s="1"/>
      <c r="F285" s="1"/>
      <c r="K285" s="17" t="str">
        <f ca="1">IF(L285="",SearchHLookup(G285&amp;H285&amp;I285&amp;J285,Categorieën!$B$1:$P$30),L285)</f>
        <v/>
      </c>
    </row>
    <row r="286" spans="1:11">
      <c r="A286" s="1"/>
      <c r="F286" s="1"/>
      <c r="K286" s="17" t="str">
        <f ca="1">IF(L286="",SearchHLookup(G286&amp;H286&amp;I286&amp;J286,Categorieën!$B$1:$P$30),L286)</f>
        <v/>
      </c>
    </row>
    <row r="287" spans="1:11">
      <c r="A287" s="1"/>
      <c r="F287" s="1"/>
      <c r="K287" s="17" t="str">
        <f ca="1">IF(L287="",SearchHLookup(G287&amp;H287&amp;I287&amp;J287,Categorieën!$B$1:$P$30),L287)</f>
        <v/>
      </c>
    </row>
    <row r="288" spans="1:11">
      <c r="A288" s="1"/>
      <c r="F288" s="1"/>
      <c r="K288" s="17" t="str">
        <f ca="1">IF(L288="",SearchHLookup(G288&amp;H288&amp;I288&amp;J288,Categorieën!$B$1:$P$30),L288)</f>
        <v/>
      </c>
    </row>
    <row r="289" spans="1:11">
      <c r="A289" s="1"/>
      <c r="F289" s="1"/>
      <c r="K289" s="17" t="str">
        <f ca="1">IF(L289="",SearchHLookup(G289&amp;H289&amp;I289&amp;J289,Categorieën!$B$1:$P$30),L289)</f>
        <v/>
      </c>
    </row>
    <row r="290" spans="1:11">
      <c r="A290" s="1"/>
      <c r="F290" s="1"/>
      <c r="K290" s="17" t="str">
        <f ca="1">IF(L290="",SearchHLookup(G290&amp;H290&amp;I290&amp;J290,Categorieën!$B$1:$P$30),L290)</f>
        <v/>
      </c>
    </row>
    <row r="291" spans="1:11">
      <c r="A291" s="1"/>
      <c r="F291" s="1"/>
      <c r="K291" s="17" t="str">
        <f ca="1">IF(L291="",SearchHLookup(G291&amp;H291&amp;I291&amp;J291,Categorieën!$B$1:$P$30),L291)</f>
        <v/>
      </c>
    </row>
    <row r="292" spans="1:11">
      <c r="A292" s="1"/>
      <c r="F292" s="1"/>
      <c r="K292" s="17" t="str">
        <f ca="1">IF(L292="",SearchHLookup(G292&amp;H292&amp;I292&amp;J292,Categorieën!$B$1:$P$30),L292)</f>
        <v/>
      </c>
    </row>
    <row r="293" spans="1:11">
      <c r="A293" s="1"/>
      <c r="F293" s="1"/>
      <c r="K293" s="17" t="str">
        <f ca="1">IF(L293="",SearchHLookup(G293&amp;H293&amp;I293&amp;J293,Categorieën!$B$1:$P$30),L293)</f>
        <v/>
      </c>
    </row>
    <row r="294" spans="1:11">
      <c r="A294" s="1"/>
      <c r="F294" s="1"/>
      <c r="K294" s="17" t="str">
        <f ca="1">IF(L294="",SearchHLookup(G294&amp;H294&amp;I294&amp;J294,Categorieën!$B$1:$P$30),L294)</f>
        <v/>
      </c>
    </row>
    <row r="295" spans="1:11">
      <c r="A295" s="1"/>
      <c r="F295" s="1"/>
      <c r="K295" s="17" t="str">
        <f ca="1">IF(L295="",SearchHLookup(G295&amp;H295&amp;I295&amp;J295,Categorieën!$B$1:$P$30),L295)</f>
        <v/>
      </c>
    </row>
    <row r="296" spans="1:11">
      <c r="A296" s="1"/>
      <c r="F296" s="1"/>
      <c r="K296" s="17" t="str">
        <f ca="1">IF(L296="",SearchHLookup(G296&amp;H296&amp;I296&amp;J296,Categorieën!$B$1:$P$30),L296)</f>
        <v/>
      </c>
    </row>
    <row r="297" spans="1:11">
      <c r="A297" s="1"/>
      <c r="F297" s="1"/>
      <c r="K297" s="17" t="str">
        <f ca="1">IF(L297="",SearchHLookup(G297&amp;H297&amp;I297&amp;J297,Categorieën!$B$1:$P$30),L297)</f>
        <v/>
      </c>
    </row>
    <row r="298" spans="1:11">
      <c r="A298" s="1"/>
      <c r="F298" s="1"/>
      <c r="K298" s="17" t="str">
        <f ca="1">IF(L298="",SearchHLookup(G298&amp;H298&amp;I298&amp;J298,Categorieën!$B$1:$P$30),L298)</f>
        <v/>
      </c>
    </row>
    <row r="299" spans="1:11">
      <c r="A299" s="1"/>
      <c r="F299" s="1"/>
      <c r="K299" s="17" t="str">
        <f ca="1">IF(L299="",SearchHLookup(G299&amp;H299&amp;I299&amp;J299,Categorieën!$B$1:$P$30),L299)</f>
        <v/>
      </c>
    </row>
    <row r="300" spans="1:11">
      <c r="A300" s="1"/>
      <c r="F300" s="1"/>
      <c r="K300" s="17" t="str">
        <f ca="1">IF(L300="",SearchHLookup(G300&amp;H300&amp;I300&amp;J300,Categorieën!$B$1:$P$30),L300)</f>
        <v/>
      </c>
    </row>
    <row r="301" spans="1:11">
      <c r="A301" s="1"/>
      <c r="F301" s="1"/>
    </row>
    <row r="302" spans="1:11">
      <c r="A302" s="1"/>
      <c r="F302" s="1"/>
    </row>
    <row r="303" spans="1:11">
      <c r="A303" s="1"/>
      <c r="F303" s="1"/>
    </row>
    <row r="304" spans="1:11">
      <c r="A304" s="1"/>
      <c r="F304" s="1"/>
    </row>
    <row r="305" spans="1:6">
      <c r="A305" s="1"/>
      <c r="F305" s="1"/>
    </row>
    <row r="306" spans="1:6">
      <c r="A306" s="1"/>
      <c r="F306" s="1"/>
    </row>
    <row r="307" spans="1:6">
      <c r="A307" s="1"/>
      <c r="F307" s="1"/>
    </row>
    <row r="308" spans="1:6">
      <c r="A308" s="1"/>
      <c r="F308" s="1"/>
    </row>
    <row r="309" spans="1:6">
      <c r="A309" s="1"/>
      <c r="F309" s="1"/>
    </row>
    <row r="310" spans="1:6">
      <c r="A310" s="1"/>
      <c r="F310" s="1"/>
    </row>
    <row r="311" spans="1:6">
      <c r="A311" s="1"/>
      <c r="F311" s="1"/>
    </row>
    <row r="312" spans="1:6">
      <c r="A312" s="1"/>
      <c r="F312" s="1"/>
    </row>
    <row r="313" spans="1:6">
      <c r="A313" s="1"/>
      <c r="F313" s="1"/>
    </row>
    <row r="314" spans="1:6">
      <c r="A314" s="1"/>
      <c r="F314" s="1"/>
    </row>
    <row r="315" spans="1:6">
      <c r="A315" s="1"/>
      <c r="F315" s="1"/>
    </row>
    <row r="316" spans="1:6">
      <c r="A316" s="1"/>
      <c r="F316" s="1"/>
    </row>
    <row r="317" spans="1:6">
      <c r="A317" s="1"/>
      <c r="F317" s="1"/>
    </row>
    <row r="318" spans="1:6">
      <c r="A318" s="1"/>
      <c r="F318" s="1"/>
    </row>
    <row r="319" spans="1:6">
      <c r="A319" s="1"/>
      <c r="F319" s="1"/>
    </row>
    <row r="320" spans="1:6">
      <c r="A320" s="1"/>
      <c r="F320" s="1"/>
    </row>
    <row r="321" spans="1:6">
      <c r="A321" s="1"/>
      <c r="F321" s="1"/>
    </row>
    <row r="322" spans="1:6">
      <c r="A322" s="1"/>
      <c r="F322" s="1"/>
    </row>
    <row r="323" spans="1:6">
      <c r="A323" s="1"/>
      <c r="F323" s="1"/>
    </row>
    <row r="324" spans="1:6">
      <c r="A324" s="1"/>
      <c r="F324" s="1"/>
    </row>
    <row r="325" spans="1:6">
      <c r="A325" s="1"/>
      <c r="F325" s="1"/>
    </row>
    <row r="326" spans="1:6">
      <c r="A326" s="1"/>
      <c r="F326" s="1"/>
    </row>
    <row r="327" spans="1:6">
      <c r="A327" s="1"/>
      <c r="F327" s="1"/>
    </row>
    <row r="328" spans="1:6">
      <c r="A328" s="1"/>
      <c r="F328" s="1"/>
    </row>
    <row r="329" spans="1:6">
      <c r="A329" s="1"/>
      <c r="F329" s="1"/>
    </row>
    <row r="330" spans="1:6">
      <c r="A330" s="1"/>
      <c r="F330" s="1"/>
    </row>
    <row r="331" spans="1:6">
      <c r="A331" s="1"/>
      <c r="F331" s="1"/>
    </row>
    <row r="332" spans="1:6">
      <c r="A332" s="1"/>
      <c r="F332" s="1"/>
    </row>
    <row r="333" spans="1:6">
      <c r="A333" s="1"/>
      <c r="F333" s="1"/>
    </row>
    <row r="334" spans="1:6">
      <c r="A334" s="1"/>
      <c r="F334" s="1"/>
    </row>
    <row r="335" spans="1:6">
      <c r="A335" s="1"/>
      <c r="F335" s="1"/>
    </row>
    <row r="336" spans="1:6">
      <c r="A336" s="1"/>
      <c r="F336" s="1"/>
    </row>
    <row r="337" spans="1:6">
      <c r="A337" s="1"/>
      <c r="F337" s="1"/>
    </row>
    <row r="338" spans="1:6">
      <c r="A338" s="1"/>
      <c r="F338" s="1"/>
    </row>
    <row r="339" spans="1:6">
      <c r="A339" s="1"/>
      <c r="F339" s="1"/>
    </row>
    <row r="340" spans="1:6">
      <c r="A340" s="1"/>
      <c r="F340" s="1"/>
    </row>
    <row r="341" spans="1:6">
      <c r="A341" s="1"/>
      <c r="F341" s="1"/>
    </row>
    <row r="342" spans="1:6">
      <c r="A342" s="1"/>
      <c r="F342" s="1"/>
    </row>
    <row r="343" spans="1:6">
      <c r="A343" s="1"/>
      <c r="F343" s="1"/>
    </row>
    <row r="344" spans="1:6">
      <c r="A344" s="1"/>
      <c r="F344" s="1"/>
    </row>
    <row r="345" spans="1:6">
      <c r="A345" s="1"/>
      <c r="F345" s="1"/>
    </row>
    <row r="346" spans="1:6">
      <c r="A346" s="1"/>
      <c r="F346" s="1"/>
    </row>
    <row r="347" spans="1:6">
      <c r="A347" s="1"/>
      <c r="F347" s="1"/>
    </row>
    <row r="348" spans="1:6">
      <c r="A348" s="1"/>
      <c r="F348" s="1"/>
    </row>
    <row r="349" spans="1:6">
      <c r="A349" s="1"/>
      <c r="F349" s="1"/>
    </row>
    <row r="350" spans="1:6">
      <c r="A350" s="1"/>
      <c r="F350" s="1"/>
    </row>
    <row r="351" spans="1:6">
      <c r="A351" s="1"/>
      <c r="F351" s="1"/>
    </row>
    <row r="352" spans="1:6">
      <c r="A352" s="1"/>
      <c r="F352" s="1"/>
    </row>
    <row r="353" spans="1:6">
      <c r="A353" s="1"/>
      <c r="F353" s="1"/>
    </row>
    <row r="354" spans="1:6">
      <c r="A354" s="1"/>
      <c r="F354" s="1"/>
    </row>
    <row r="355" spans="1:6">
      <c r="A355" s="1"/>
      <c r="F355" s="1"/>
    </row>
    <row r="356" spans="1:6">
      <c r="A356" s="1"/>
      <c r="F356" s="1"/>
    </row>
    <row r="357" spans="1:6">
      <c r="A357" s="1"/>
      <c r="F357" s="1"/>
    </row>
    <row r="358" spans="1:6">
      <c r="A358" s="1"/>
      <c r="F358" s="1"/>
    </row>
    <row r="359" spans="1:6">
      <c r="A359" s="1"/>
      <c r="F359" s="1"/>
    </row>
    <row r="360" spans="1:6">
      <c r="A360" s="1"/>
      <c r="F360" s="1"/>
    </row>
    <row r="361" spans="1:6">
      <c r="A361" s="1"/>
      <c r="F361" s="1"/>
    </row>
    <row r="362" spans="1:6">
      <c r="A362" s="1"/>
      <c r="F362" s="1"/>
    </row>
    <row r="363" spans="1:6">
      <c r="A363" s="1"/>
      <c r="F363" s="1"/>
    </row>
    <row r="364" spans="1:6">
      <c r="A364" s="1"/>
      <c r="F364" s="1"/>
    </row>
    <row r="365" spans="1:6">
      <c r="A365" s="1"/>
      <c r="F365" s="1"/>
    </row>
    <row r="366" spans="1:6">
      <c r="A366" s="1"/>
      <c r="F366" s="1"/>
    </row>
    <row r="367" spans="1:6">
      <c r="A367" s="1"/>
      <c r="F367" s="1"/>
    </row>
    <row r="368" spans="1:6">
      <c r="A368" s="1"/>
      <c r="F368" s="1"/>
    </row>
    <row r="369" spans="1:6">
      <c r="A369" s="1"/>
      <c r="F369" s="1"/>
    </row>
    <row r="370" spans="1:6">
      <c r="A370" s="1"/>
      <c r="F370" s="1"/>
    </row>
    <row r="371" spans="1:6">
      <c r="A371" s="1"/>
      <c r="F371" s="1"/>
    </row>
    <row r="372" spans="1:6">
      <c r="A372" s="1"/>
      <c r="F372" s="1"/>
    </row>
    <row r="373" spans="1:6">
      <c r="A373" s="1"/>
      <c r="F373" s="1"/>
    </row>
    <row r="374" spans="1:6">
      <c r="A374" s="1"/>
      <c r="F374" s="1"/>
    </row>
    <row r="375" spans="1:6">
      <c r="A375" s="1"/>
      <c r="F375" s="1"/>
    </row>
    <row r="376" spans="1:6">
      <c r="A376" s="1"/>
      <c r="F376" s="1"/>
    </row>
    <row r="377" spans="1:6">
      <c r="A377" s="1"/>
      <c r="F377" s="1"/>
    </row>
    <row r="378" spans="1:6">
      <c r="A378" s="1"/>
      <c r="F378" s="1"/>
    </row>
    <row r="379" spans="1:6">
      <c r="A379" s="1"/>
      <c r="F379" s="1"/>
    </row>
    <row r="380" spans="1:6">
      <c r="A380" s="1"/>
      <c r="F380" s="1"/>
    </row>
    <row r="381" spans="1:6">
      <c r="A381" s="1"/>
      <c r="F381" s="1"/>
    </row>
    <row r="382" spans="1:6">
      <c r="A382" s="1"/>
      <c r="F382" s="1"/>
    </row>
    <row r="383" spans="1:6">
      <c r="A383" s="1"/>
      <c r="F383" s="1"/>
    </row>
    <row r="384" spans="1:6">
      <c r="A384" s="1"/>
      <c r="F384" s="1"/>
    </row>
    <row r="385" spans="1:6">
      <c r="A385" s="1"/>
      <c r="F385" s="1"/>
    </row>
    <row r="386" spans="1:6">
      <c r="A386" s="1"/>
      <c r="F386" s="1"/>
    </row>
    <row r="387" spans="1:6">
      <c r="A387" s="1"/>
      <c r="F387" s="1"/>
    </row>
    <row r="388" spans="1:6">
      <c r="A388" s="1"/>
      <c r="F388" s="1"/>
    </row>
    <row r="389" spans="1:6">
      <c r="A389" s="1"/>
      <c r="F389" s="1"/>
    </row>
    <row r="390" spans="1:6">
      <c r="A390" s="1"/>
      <c r="F390" s="1"/>
    </row>
    <row r="391" spans="1:6">
      <c r="A391" s="1"/>
      <c r="F391" s="1"/>
    </row>
    <row r="392" spans="1:6">
      <c r="A392" s="1"/>
      <c r="F392" s="1"/>
    </row>
    <row r="393" spans="1:6">
      <c r="A393" s="1"/>
      <c r="F393" s="1"/>
    </row>
    <row r="394" spans="1:6">
      <c r="A394" s="1"/>
      <c r="F394" s="1"/>
    </row>
    <row r="395" spans="1:6">
      <c r="A395" s="1"/>
      <c r="F395" s="1"/>
    </row>
    <row r="396" spans="1:6">
      <c r="A396" s="1"/>
      <c r="F396" s="1"/>
    </row>
    <row r="397" spans="1:6">
      <c r="A397" s="1"/>
      <c r="F397" s="1"/>
    </row>
    <row r="398" spans="1:6">
      <c r="A398" s="1"/>
      <c r="F398" s="1"/>
    </row>
    <row r="399" spans="1:6">
      <c r="A399" s="1"/>
      <c r="F399" s="1"/>
    </row>
    <row r="400" spans="1:6">
      <c r="A400" s="1"/>
      <c r="F400" s="1"/>
    </row>
    <row r="401" spans="1:6">
      <c r="A401" s="1"/>
      <c r="F401" s="1"/>
    </row>
    <row r="402" spans="1:6">
      <c r="A402" s="1"/>
      <c r="F402" s="1"/>
    </row>
    <row r="403" spans="1:6">
      <c r="A403" s="1"/>
      <c r="F403" s="1"/>
    </row>
    <row r="404" spans="1:6">
      <c r="A404" s="1"/>
      <c r="F404" s="1"/>
    </row>
    <row r="405" spans="1:6">
      <c r="A405" s="1"/>
      <c r="F405" s="1"/>
    </row>
    <row r="406" spans="1:6">
      <c r="A406" s="1"/>
      <c r="F406" s="1"/>
    </row>
    <row r="407" spans="1:6">
      <c r="A407" s="1"/>
      <c r="F407" s="1"/>
    </row>
    <row r="408" spans="1:6">
      <c r="A408" s="1"/>
      <c r="F408" s="1"/>
    </row>
    <row r="409" spans="1:6">
      <c r="A409" s="1"/>
      <c r="F409" s="1"/>
    </row>
    <row r="410" spans="1:6">
      <c r="A410" s="1"/>
      <c r="F410" s="1"/>
    </row>
    <row r="411" spans="1:6">
      <c r="A411" s="1"/>
      <c r="F411" s="1"/>
    </row>
    <row r="412" spans="1:6">
      <c r="A412" s="1"/>
      <c r="F412" s="1"/>
    </row>
    <row r="413" spans="1:6">
      <c r="A413" s="1"/>
      <c r="F413" s="1"/>
    </row>
    <row r="414" spans="1:6">
      <c r="A414" s="1"/>
      <c r="F414" s="1"/>
    </row>
    <row r="415" spans="1:6">
      <c r="A415" s="1"/>
      <c r="F415" s="1"/>
    </row>
    <row r="416" spans="1:6">
      <c r="A416" s="1"/>
      <c r="F416" s="1"/>
    </row>
    <row r="417" spans="1:6">
      <c r="A417" s="1"/>
      <c r="F417" s="1"/>
    </row>
    <row r="418" spans="1:6">
      <c r="A418" s="1"/>
      <c r="F418" s="1"/>
    </row>
    <row r="419" spans="1:6">
      <c r="A419" s="1"/>
      <c r="F419" s="1"/>
    </row>
    <row r="420" spans="1:6">
      <c r="A420" s="1"/>
      <c r="F420" s="1"/>
    </row>
    <row r="421" spans="1:6">
      <c r="A421" s="1"/>
      <c r="F421" s="1"/>
    </row>
    <row r="422" spans="1:6">
      <c r="A422" s="1"/>
      <c r="F422" s="1"/>
    </row>
    <row r="423" spans="1:6">
      <c r="A423" s="1"/>
      <c r="F423" s="1"/>
    </row>
    <row r="424" spans="1:6">
      <c r="A424" s="1"/>
      <c r="F424" s="1"/>
    </row>
    <row r="425" spans="1:6">
      <c r="A425" s="1"/>
      <c r="F425" s="1"/>
    </row>
    <row r="426" spans="1:6">
      <c r="A426" s="1"/>
      <c r="F426" s="1"/>
    </row>
    <row r="427" spans="1:6">
      <c r="A427" s="1"/>
      <c r="F427" s="1"/>
    </row>
    <row r="428" spans="1:6">
      <c r="A428" s="1"/>
      <c r="F428" s="1"/>
    </row>
    <row r="429" spans="1:6">
      <c r="A429" s="1"/>
      <c r="F429" s="1"/>
    </row>
    <row r="430" spans="1:6">
      <c r="A430" s="1"/>
      <c r="F430" s="1"/>
    </row>
    <row r="431" spans="1:6">
      <c r="A431" s="1"/>
      <c r="F431" s="1"/>
    </row>
    <row r="432" spans="1:6">
      <c r="A432" s="1"/>
      <c r="F432" s="1"/>
    </row>
    <row r="433" spans="1:6">
      <c r="A433" s="1"/>
      <c r="F433" s="1"/>
    </row>
    <row r="434" spans="1:6">
      <c r="A434" s="1"/>
      <c r="F434" s="1"/>
    </row>
    <row r="435" spans="1:6">
      <c r="A435" s="1"/>
      <c r="F435" s="1"/>
    </row>
    <row r="436" spans="1:6">
      <c r="A436" s="1"/>
      <c r="F436" s="1"/>
    </row>
    <row r="437" spans="1:6">
      <c r="A437" s="1"/>
      <c r="F437" s="1"/>
    </row>
    <row r="438" spans="1:6">
      <c r="A438" s="1"/>
      <c r="F438" s="1"/>
    </row>
    <row r="439" spans="1:6">
      <c r="A439" s="1"/>
      <c r="F439" s="1"/>
    </row>
    <row r="440" spans="1:6">
      <c r="A440" s="1"/>
      <c r="F440" s="1"/>
    </row>
    <row r="441" spans="1:6">
      <c r="A441" s="1"/>
      <c r="F441" s="1"/>
    </row>
    <row r="442" spans="1:6">
      <c r="A442" s="1"/>
      <c r="F442" s="1"/>
    </row>
    <row r="443" spans="1:6">
      <c r="A443" s="1"/>
      <c r="F443" s="1"/>
    </row>
    <row r="444" spans="1:6">
      <c r="A444" s="1"/>
      <c r="F444" s="1"/>
    </row>
    <row r="445" spans="1:6">
      <c r="A445" s="1"/>
      <c r="F445" s="1"/>
    </row>
    <row r="446" spans="1:6">
      <c r="A446" s="1"/>
      <c r="F446" s="1"/>
    </row>
    <row r="447" spans="1:6">
      <c r="A447" s="1"/>
      <c r="F447" s="1"/>
    </row>
    <row r="448" spans="1:6">
      <c r="A448" s="1"/>
      <c r="F448" s="1"/>
    </row>
    <row r="449" spans="1:6">
      <c r="A449" s="1"/>
      <c r="F449" s="1"/>
    </row>
    <row r="450" spans="1:6">
      <c r="A450" s="1"/>
      <c r="F450" s="1"/>
    </row>
    <row r="451" spans="1:6">
      <c r="A451" s="1"/>
      <c r="F451" s="1"/>
    </row>
    <row r="452" spans="1:6">
      <c r="A452" s="1"/>
      <c r="F452" s="1"/>
    </row>
    <row r="453" spans="1:6">
      <c r="A453" s="1"/>
      <c r="F453" s="1"/>
    </row>
    <row r="454" spans="1:6">
      <c r="A454" s="1"/>
      <c r="F454" s="1"/>
    </row>
    <row r="455" spans="1:6">
      <c r="A455" s="1"/>
      <c r="F455" s="1"/>
    </row>
    <row r="456" spans="1:6">
      <c r="A456" s="1"/>
      <c r="F456" s="1"/>
    </row>
    <row r="457" spans="1:6">
      <c r="A457" s="1"/>
      <c r="F457" s="1"/>
    </row>
    <row r="458" spans="1:6">
      <c r="A458" s="1"/>
      <c r="F458" s="1"/>
    </row>
    <row r="459" spans="1:6">
      <c r="A459" s="1"/>
      <c r="F459" s="1"/>
    </row>
    <row r="460" spans="1:6">
      <c r="A460" s="1"/>
      <c r="F460" s="1"/>
    </row>
    <row r="461" spans="1:6">
      <c r="A461" s="1"/>
      <c r="F461" s="1"/>
    </row>
    <row r="462" spans="1:6">
      <c r="A462" s="1"/>
      <c r="F462" s="1"/>
    </row>
    <row r="463" spans="1:6">
      <c r="A463" s="1"/>
      <c r="F463" s="1"/>
    </row>
    <row r="464" spans="1:6">
      <c r="A464" s="1"/>
      <c r="F464" s="1"/>
    </row>
    <row r="465" spans="1:6">
      <c r="A465" s="1"/>
      <c r="F465" s="1"/>
    </row>
    <row r="466" spans="1:6">
      <c r="A466" s="1"/>
      <c r="F466" s="1"/>
    </row>
    <row r="467" spans="1:6">
      <c r="A467" s="1"/>
      <c r="F467" s="1"/>
    </row>
    <row r="468" spans="1:6">
      <c r="A468" s="1"/>
      <c r="F468" s="1"/>
    </row>
    <row r="469" spans="1:6">
      <c r="A469" s="1"/>
      <c r="F469" s="1"/>
    </row>
    <row r="470" spans="1:6">
      <c r="A470" s="1"/>
      <c r="F470" s="1"/>
    </row>
    <row r="471" spans="1:6">
      <c r="A471" s="1"/>
      <c r="F471" s="1"/>
    </row>
    <row r="472" spans="1:6">
      <c r="A472" s="1"/>
      <c r="F472" s="1"/>
    </row>
    <row r="473" spans="1:6">
      <c r="A473" s="1"/>
      <c r="F473" s="1"/>
    </row>
    <row r="474" spans="1:6">
      <c r="A474" s="1"/>
      <c r="F474" s="1"/>
    </row>
    <row r="475" spans="1:6">
      <c r="A475" s="1"/>
      <c r="F475" s="1"/>
    </row>
    <row r="476" spans="1:6">
      <c r="A476" s="1"/>
      <c r="F476" s="1"/>
    </row>
    <row r="477" spans="1:6">
      <c r="A477" s="1"/>
      <c r="F477" s="1"/>
    </row>
    <row r="478" spans="1:6">
      <c r="A478" s="1"/>
      <c r="F478" s="1"/>
    </row>
    <row r="479" spans="1:6">
      <c r="A479" s="1"/>
      <c r="F479" s="1"/>
    </row>
    <row r="480" spans="1:6">
      <c r="A480" s="1"/>
      <c r="F480" s="1"/>
    </row>
    <row r="481" spans="1:6">
      <c r="A481" s="1"/>
      <c r="F481" s="1"/>
    </row>
    <row r="482" spans="1:6">
      <c r="A482" s="1"/>
      <c r="F482" s="1"/>
    </row>
    <row r="483" spans="1:6">
      <c r="A483" s="1"/>
      <c r="F483" s="1"/>
    </row>
    <row r="484" spans="1:6">
      <c r="A484" s="1"/>
      <c r="F484" s="1"/>
    </row>
    <row r="485" spans="1:6">
      <c r="A485" s="1"/>
      <c r="F485" s="1"/>
    </row>
    <row r="486" spans="1:6">
      <c r="A486" s="1"/>
      <c r="F486" s="1"/>
    </row>
    <row r="487" spans="1:6">
      <c r="A487" s="1"/>
      <c r="F487" s="1"/>
    </row>
    <row r="488" spans="1:6">
      <c r="A488" s="1"/>
      <c r="F488" s="1"/>
    </row>
    <row r="489" spans="1:6">
      <c r="A489" s="1"/>
      <c r="F489" s="1"/>
    </row>
    <row r="490" spans="1:6">
      <c r="A490" s="1"/>
      <c r="F490" s="1"/>
    </row>
    <row r="491" spans="1:6">
      <c r="A491" s="1"/>
      <c r="F491" s="1"/>
    </row>
    <row r="492" spans="1:6">
      <c r="A492" s="1"/>
      <c r="F492" s="1"/>
    </row>
    <row r="493" spans="1:6">
      <c r="A493" s="1"/>
      <c r="F493" s="1"/>
    </row>
    <row r="494" spans="1:6">
      <c r="A494" s="1"/>
      <c r="F494" s="1"/>
    </row>
    <row r="495" spans="1:6">
      <c r="A495" s="1"/>
      <c r="F495" s="1"/>
    </row>
    <row r="496" spans="1:6">
      <c r="A496" s="1"/>
      <c r="F496" s="1"/>
    </row>
    <row r="497" spans="1:6">
      <c r="A497" s="1"/>
      <c r="F497" s="1"/>
    </row>
    <row r="498" spans="1:6">
      <c r="A498" s="1"/>
      <c r="F498" s="1"/>
    </row>
    <row r="499" spans="1:6">
      <c r="A499" s="1"/>
      <c r="F499" s="1"/>
    </row>
    <row r="500" spans="1:6">
      <c r="A500" s="1"/>
      <c r="F500" s="1"/>
    </row>
    <row r="501" spans="1:6">
      <c r="A501" s="1"/>
      <c r="F501" s="1"/>
    </row>
    <row r="502" spans="1:6">
      <c r="A502" s="1"/>
      <c r="F502" s="1"/>
    </row>
    <row r="503" spans="1:6">
      <c r="A503" s="1"/>
      <c r="F503" s="1"/>
    </row>
    <row r="504" spans="1:6">
      <c r="A504" s="1"/>
      <c r="F504" s="1"/>
    </row>
    <row r="505" spans="1:6">
      <c r="A505" s="1"/>
      <c r="F505" s="1"/>
    </row>
    <row r="506" spans="1:6">
      <c r="A506" s="1"/>
      <c r="F506" s="1"/>
    </row>
    <row r="507" spans="1:6">
      <c r="A507" s="1"/>
      <c r="F507" s="1"/>
    </row>
    <row r="508" spans="1:6">
      <c r="A508" s="1"/>
      <c r="F508" s="1"/>
    </row>
    <row r="509" spans="1:6">
      <c r="A509" s="1"/>
      <c r="F509" s="1"/>
    </row>
    <row r="510" spans="1:6">
      <c r="A510" s="1"/>
      <c r="F510" s="1"/>
    </row>
    <row r="511" spans="1:6">
      <c r="A511" s="1"/>
      <c r="F511" s="1"/>
    </row>
    <row r="512" spans="1:6">
      <c r="A512" s="1"/>
      <c r="F512" s="1"/>
    </row>
    <row r="513" spans="1:6">
      <c r="A513" s="1"/>
      <c r="F513" s="1"/>
    </row>
    <row r="514" spans="1:6">
      <c r="A514" s="1"/>
      <c r="F514" s="1"/>
    </row>
    <row r="515" spans="1:6">
      <c r="A515" s="1"/>
      <c r="F515" s="1"/>
    </row>
    <row r="516" spans="1:6">
      <c r="A516" s="1"/>
      <c r="F516" s="1"/>
    </row>
    <row r="517" spans="1:6">
      <c r="A517" s="1"/>
      <c r="F517" s="1"/>
    </row>
    <row r="518" spans="1:6">
      <c r="A518" s="1"/>
      <c r="F518" s="1"/>
    </row>
    <row r="519" spans="1:6">
      <c r="A519" s="1"/>
      <c r="F519" s="1"/>
    </row>
    <row r="520" spans="1:6">
      <c r="A520" s="1"/>
      <c r="F520" s="1"/>
    </row>
    <row r="521" spans="1:6">
      <c r="A521" s="1"/>
      <c r="F521" s="1"/>
    </row>
    <row r="522" spans="1:6">
      <c r="A522" s="1"/>
      <c r="F522" s="1"/>
    </row>
    <row r="523" spans="1:6">
      <c r="A523" s="1"/>
      <c r="F523" s="1"/>
    </row>
    <row r="524" spans="1:6">
      <c r="A524" s="1"/>
      <c r="F524" s="1"/>
    </row>
    <row r="525" spans="1:6">
      <c r="A525" s="1"/>
      <c r="F525" s="1"/>
    </row>
    <row r="526" spans="1:6">
      <c r="A526" s="1"/>
      <c r="F526" s="1"/>
    </row>
    <row r="527" spans="1:6">
      <c r="A527" s="1"/>
      <c r="F527" s="1"/>
    </row>
    <row r="528" spans="1:6">
      <c r="A528" s="1"/>
      <c r="F528" s="1"/>
    </row>
    <row r="529" spans="1:6">
      <c r="A529" s="1"/>
      <c r="F529" s="1"/>
    </row>
    <row r="530" spans="1:6">
      <c r="A530" s="1"/>
      <c r="F530" s="1"/>
    </row>
    <row r="531" spans="1:6">
      <c r="A531" s="1"/>
      <c r="F531" s="1"/>
    </row>
    <row r="532" spans="1:6">
      <c r="A532" s="1"/>
      <c r="F532" s="1"/>
    </row>
    <row r="533" spans="1:6">
      <c r="A533" s="1"/>
      <c r="F533" s="1"/>
    </row>
    <row r="534" spans="1:6">
      <c r="A534" s="1"/>
      <c r="F534" s="1"/>
    </row>
    <row r="535" spans="1:6">
      <c r="A535" s="1"/>
      <c r="F535" s="1"/>
    </row>
    <row r="536" spans="1:6">
      <c r="A536" s="1"/>
      <c r="F536" s="1"/>
    </row>
    <row r="537" spans="1:6">
      <c r="A537" s="1"/>
      <c r="F537" s="1"/>
    </row>
    <row r="538" spans="1:6">
      <c r="A538" s="1"/>
      <c r="F538" s="1"/>
    </row>
    <row r="539" spans="1:6">
      <c r="A539" s="1"/>
      <c r="F539" s="1"/>
    </row>
    <row r="540" spans="1:6">
      <c r="A540" s="1"/>
      <c r="F540" s="1"/>
    </row>
    <row r="541" spans="1:6">
      <c r="A541" s="1"/>
      <c r="F541" s="1"/>
    </row>
    <row r="542" spans="1:6">
      <c r="A542" s="1"/>
      <c r="F542" s="1"/>
    </row>
    <row r="543" spans="1:6">
      <c r="A543" s="1"/>
      <c r="F543" s="1"/>
    </row>
    <row r="544" spans="1:6">
      <c r="A544" s="1"/>
      <c r="F544" s="1"/>
    </row>
    <row r="545" spans="1:6">
      <c r="A545" s="1"/>
      <c r="F545" s="1"/>
    </row>
    <row r="546" spans="1:6">
      <c r="A546" s="1"/>
      <c r="F546" s="1"/>
    </row>
    <row r="547" spans="1:6">
      <c r="A547" s="1"/>
      <c r="F547" s="1"/>
    </row>
    <row r="548" spans="1:6">
      <c r="A548" s="1"/>
      <c r="F548" s="1"/>
    </row>
    <row r="549" spans="1:6">
      <c r="A549" s="1"/>
      <c r="F549" s="1"/>
    </row>
    <row r="550" spans="1:6">
      <c r="A550" s="1"/>
      <c r="F550" s="1"/>
    </row>
    <row r="551" spans="1:6">
      <c r="A551" s="1"/>
      <c r="F551" s="1"/>
    </row>
    <row r="552" spans="1:6">
      <c r="A552" s="1"/>
      <c r="F552" s="1"/>
    </row>
    <row r="553" spans="1:6">
      <c r="A553" s="1"/>
      <c r="F553" s="1"/>
    </row>
    <row r="554" spans="1:6">
      <c r="A554" s="1"/>
      <c r="F554" s="1"/>
    </row>
    <row r="555" spans="1:6">
      <c r="A555" s="1"/>
      <c r="F555" s="1"/>
    </row>
    <row r="556" spans="1:6">
      <c r="A556" s="1"/>
      <c r="F556" s="1"/>
    </row>
    <row r="557" spans="1:6">
      <c r="A557" s="1"/>
      <c r="F557" s="1"/>
    </row>
    <row r="558" spans="1:6">
      <c r="A558" s="1"/>
      <c r="F558" s="1"/>
    </row>
    <row r="559" spans="1:6">
      <c r="A559" s="1"/>
      <c r="F559" s="1"/>
    </row>
    <row r="560" spans="1:6">
      <c r="A560" s="1"/>
      <c r="F560" s="1"/>
    </row>
    <row r="561" spans="1:6">
      <c r="A561" s="1"/>
      <c r="F561" s="1"/>
    </row>
    <row r="562" spans="1:6">
      <c r="A562" s="1"/>
      <c r="F562" s="1"/>
    </row>
    <row r="563" spans="1:6">
      <c r="A563" s="1"/>
      <c r="F563" s="1"/>
    </row>
    <row r="564" spans="1:6">
      <c r="A564" s="1"/>
      <c r="F564" s="1"/>
    </row>
    <row r="565" spans="1:6">
      <c r="A565" s="1"/>
      <c r="F565" s="1"/>
    </row>
    <row r="566" spans="1:6">
      <c r="A566" s="1"/>
      <c r="F566" s="1"/>
    </row>
    <row r="567" spans="1:6">
      <c r="A567" s="1"/>
      <c r="F567" s="1"/>
    </row>
    <row r="568" spans="1:6">
      <c r="A568" s="1"/>
      <c r="F568" s="1"/>
    </row>
    <row r="569" spans="1:6">
      <c r="A569" s="1"/>
      <c r="F569" s="1"/>
    </row>
    <row r="570" spans="1:6">
      <c r="A570" s="1"/>
      <c r="F570" s="1"/>
    </row>
    <row r="571" spans="1:6">
      <c r="A571" s="1"/>
      <c r="F571" s="1"/>
    </row>
    <row r="572" spans="1:6">
      <c r="A572" s="1"/>
      <c r="F572" s="1"/>
    </row>
    <row r="573" spans="1:6">
      <c r="A573" s="1"/>
      <c r="F573" s="1"/>
    </row>
    <row r="574" spans="1:6">
      <c r="A574" s="1"/>
      <c r="F574" s="1"/>
    </row>
    <row r="575" spans="1:6">
      <c r="A575" s="1"/>
      <c r="F575" s="1"/>
    </row>
    <row r="576" spans="1:6">
      <c r="A576" s="1"/>
      <c r="F576" s="1"/>
    </row>
    <row r="577" spans="1:6">
      <c r="A577" s="1"/>
      <c r="F577" s="1"/>
    </row>
    <row r="578" spans="1:6">
      <c r="A578" s="1"/>
      <c r="F578" s="1"/>
    </row>
    <row r="579" spans="1:6">
      <c r="A579" s="1"/>
      <c r="F579" s="1"/>
    </row>
    <row r="580" spans="1:6">
      <c r="A580" s="1"/>
      <c r="F580" s="1"/>
    </row>
    <row r="581" spans="1:6">
      <c r="A581" s="1"/>
      <c r="F581" s="1"/>
    </row>
    <row r="582" spans="1:6">
      <c r="A582" s="1"/>
      <c r="F582" s="1"/>
    </row>
    <row r="583" spans="1:6">
      <c r="A583" s="1"/>
      <c r="F583" s="1"/>
    </row>
    <row r="584" spans="1:6">
      <c r="A584" s="1"/>
      <c r="F584" s="1"/>
    </row>
    <row r="585" spans="1:6">
      <c r="A585" s="1"/>
      <c r="F585" s="1"/>
    </row>
    <row r="586" spans="1:6">
      <c r="A586" s="1"/>
      <c r="F586" s="1"/>
    </row>
    <row r="587" spans="1:6">
      <c r="A587" s="1"/>
      <c r="F587" s="1"/>
    </row>
    <row r="588" spans="1:6">
      <c r="A588" s="1"/>
      <c r="F588" s="1"/>
    </row>
    <row r="589" spans="1:6">
      <c r="A589" s="1"/>
      <c r="F589" s="1"/>
    </row>
    <row r="590" spans="1:6">
      <c r="A590" s="1"/>
      <c r="F590" s="1"/>
    </row>
    <row r="591" spans="1:6">
      <c r="A591" s="1"/>
      <c r="F591" s="1"/>
    </row>
    <row r="592" spans="1:6">
      <c r="A592" s="1"/>
      <c r="F592" s="1"/>
    </row>
    <row r="593" spans="1:6">
      <c r="A593" s="1"/>
      <c r="F593" s="1"/>
    </row>
    <row r="594" spans="1:6">
      <c r="A594" s="1"/>
      <c r="F594" s="1"/>
    </row>
    <row r="595" spans="1:6">
      <c r="A595" s="1"/>
      <c r="F595" s="1"/>
    </row>
    <row r="596" spans="1:6">
      <c r="A596" s="1"/>
      <c r="F596" s="1"/>
    </row>
    <row r="597" spans="1:6">
      <c r="A597" s="1"/>
      <c r="F597" s="1"/>
    </row>
    <row r="598" spans="1:6">
      <c r="A598" s="1"/>
      <c r="F598" s="1"/>
    </row>
    <row r="599" spans="1:6">
      <c r="A599" s="1"/>
      <c r="F599" s="1"/>
    </row>
    <row r="600" spans="1:6">
      <c r="A600" s="1"/>
      <c r="F600" s="1"/>
    </row>
    <row r="601" spans="1:6">
      <c r="A601" s="1"/>
      <c r="F601" s="1"/>
    </row>
    <row r="602" spans="1:6">
      <c r="A602" s="1"/>
      <c r="F602" s="1"/>
    </row>
    <row r="603" spans="1:6">
      <c r="A603" s="1"/>
      <c r="F603" s="1"/>
    </row>
    <row r="604" spans="1:6">
      <c r="A604" s="1"/>
      <c r="F604" s="1"/>
    </row>
    <row r="605" spans="1:6">
      <c r="A605" s="1"/>
      <c r="F605" s="1"/>
    </row>
    <row r="606" spans="1:6">
      <c r="A606" s="1"/>
      <c r="F606" s="1"/>
    </row>
    <row r="607" spans="1:6">
      <c r="A607" s="1"/>
      <c r="F607" s="1"/>
    </row>
    <row r="608" spans="1:6">
      <c r="A608" s="1"/>
      <c r="F608" s="1"/>
    </row>
    <row r="609" spans="1:6">
      <c r="A609" s="1"/>
      <c r="F609" s="1"/>
    </row>
    <row r="610" spans="1:6">
      <c r="A610" s="1"/>
      <c r="F610" s="1"/>
    </row>
    <row r="611" spans="1:6">
      <c r="A611" s="1"/>
      <c r="F611" s="1"/>
    </row>
    <row r="612" spans="1:6">
      <c r="A612" s="1"/>
      <c r="F612" s="1"/>
    </row>
    <row r="613" spans="1:6">
      <c r="A613" s="1"/>
      <c r="F613" s="1"/>
    </row>
    <row r="614" spans="1:6">
      <c r="A614" s="1"/>
      <c r="F614" s="1"/>
    </row>
    <row r="615" spans="1:6">
      <c r="A615" s="1"/>
      <c r="F615" s="1"/>
    </row>
    <row r="616" spans="1:6">
      <c r="A616" s="1"/>
      <c r="F616" s="1"/>
    </row>
    <row r="617" spans="1:6">
      <c r="A617" s="1"/>
      <c r="F617" s="1"/>
    </row>
    <row r="618" spans="1:6">
      <c r="A618" s="1"/>
      <c r="F618" s="1"/>
    </row>
    <row r="619" spans="1:6">
      <c r="A619" s="1"/>
      <c r="F619" s="1"/>
    </row>
    <row r="620" spans="1:6">
      <c r="A620" s="1"/>
      <c r="F620" s="1"/>
    </row>
    <row r="621" spans="1:6">
      <c r="A621" s="1"/>
      <c r="F621" s="1"/>
    </row>
    <row r="622" spans="1:6">
      <c r="A622" s="1"/>
      <c r="F622" s="1"/>
    </row>
    <row r="623" spans="1:6">
      <c r="A623" s="1"/>
      <c r="F623" s="1"/>
    </row>
    <row r="624" spans="1:6">
      <c r="A624" s="1"/>
      <c r="F624" s="1"/>
    </row>
    <row r="625" spans="1:6">
      <c r="A625" s="1"/>
      <c r="F625" s="1"/>
    </row>
    <row r="626" spans="1:6">
      <c r="A626" s="1"/>
      <c r="F626" s="1"/>
    </row>
    <row r="627" spans="1:6">
      <c r="A627" s="1"/>
      <c r="F627" s="1"/>
    </row>
    <row r="628" spans="1:6">
      <c r="A628" s="1"/>
      <c r="F628" s="1"/>
    </row>
    <row r="629" spans="1:6">
      <c r="A629" s="1"/>
      <c r="F629" s="1"/>
    </row>
    <row r="630" spans="1:6">
      <c r="A630" s="1"/>
      <c r="F630" s="1"/>
    </row>
    <row r="631" spans="1:6">
      <c r="A631" s="1"/>
      <c r="F631" s="1"/>
    </row>
    <row r="632" spans="1:6">
      <c r="A632" s="1"/>
      <c r="F632" s="1"/>
    </row>
    <row r="633" spans="1:6">
      <c r="A633" s="1"/>
      <c r="F633" s="1"/>
    </row>
    <row r="634" spans="1:6">
      <c r="A634" s="1"/>
      <c r="F634" s="1"/>
    </row>
    <row r="635" spans="1:6">
      <c r="A635" s="1"/>
      <c r="F635" s="1"/>
    </row>
    <row r="636" spans="1:6">
      <c r="A636" s="1"/>
      <c r="F636" s="1"/>
    </row>
    <row r="637" spans="1:6">
      <c r="A637" s="1"/>
      <c r="F637" s="1"/>
    </row>
    <row r="638" spans="1:6">
      <c r="A638" s="1"/>
      <c r="F638" s="1"/>
    </row>
    <row r="639" spans="1:6">
      <c r="A639" s="1"/>
      <c r="F639" s="1"/>
    </row>
    <row r="640" spans="1:6">
      <c r="A640" s="1"/>
      <c r="F640" s="1"/>
    </row>
    <row r="641" spans="1:6">
      <c r="A641" s="1"/>
      <c r="F641" s="1"/>
    </row>
    <row r="642" spans="1:6">
      <c r="A642" s="1"/>
      <c r="F642" s="1"/>
    </row>
    <row r="643" spans="1:6">
      <c r="A643" s="1"/>
      <c r="F643" s="1"/>
    </row>
    <row r="644" spans="1:6">
      <c r="A644" s="1"/>
      <c r="F644" s="1"/>
    </row>
    <row r="645" spans="1:6">
      <c r="A645" s="1"/>
      <c r="F645" s="1"/>
    </row>
    <row r="646" spans="1:6">
      <c r="A646" s="1"/>
      <c r="F646" s="1"/>
    </row>
    <row r="647" spans="1:6">
      <c r="A647" s="1"/>
      <c r="F647" s="1"/>
    </row>
    <row r="648" spans="1:6">
      <c r="A648" s="1"/>
      <c r="F648" s="1"/>
    </row>
    <row r="649" spans="1:6">
      <c r="A649" s="1"/>
      <c r="F649" s="1"/>
    </row>
    <row r="650" spans="1:6">
      <c r="A650" s="1"/>
      <c r="F650" s="1"/>
    </row>
    <row r="651" spans="1:6">
      <c r="A651" s="1"/>
      <c r="F651" s="1"/>
    </row>
    <row r="652" spans="1:6">
      <c r="A652" s="1"/>
      <c r="F652" s="1"/>
    </row>
    <row r="653" spans="1:6">
      <c r="A653" s="1"/>
      <c r="F653" s="1"/>
    </row>
    <row r="654" spans="1:6">
      <c r="A654" s="1"/>
      <c r="F654" s="1"/>
    </row>
    <row r="655" spans="1:6">
      <c r="A655" s="1"/>
      <c r="F655" s="1"/>
    </row>
    <row r="656" spans="1:6">
      <c r="A656" s="1"/>
      <c r="F656" s="1"/>
    </row>
    <row r="657" spans="1:6">
      <c r="A657" s="1"/>
      <c r="F657" s="1"/>
    </row>
    <row r="658" spans="1:6">
      <c r="A658" s="1"/>
      <c r="F658" s="1"/>
    </row>
    <row r="659" spans="1:6">
      <c r="A659" s="1"/>
      <c r="F659" s="1"/>
    </row>
    <row r="660" spans="1:6">
      <c r="A660" s="1"/>
      <c r="F660" s="1"/>
    </row>
    <row r="661" spans="1:6">
      <c r="A661" s="1"/>
      <c r="F661" s="1"/>
    </row>
    <row r="662" spans="1:6">
      <c r="A662" s="1"/>
      <c r="F662" s="1"/>
    </row>
    <row r="663" spans="1:6">
      <c r="A663" s="1"/>
      <c r="F663" s="1"/>
    </row>
    <row r="664" spans="1:6">
      <c r="A664" s="1"/>
      <c r="F664" s="1"/>
    </row>
    <row r="665" spans="1:6">
      <c r="A665" s="1"/>
      <c r="F665" s="1"/>
    </row>
    <row r="666" spans="1:6">
      <c r="A666" s="1"/>
      <c r="F666" s="1"/>
    </row>
    <row r="667" spans="1:6">
      <c r="A667" s="1"/>
      <c r="F667" s="1"/>
    </row>
    <row r="668" spans="1:6">
      <c r="A668" s="1"/>
      <c r="F668" s="1"/>
    </row>
    <row r="669" spans="1:6">
      <c r="A669" s="1"/>
      <c r="F669" s="1"/>
    </row>
    <row r="670" spans="1:6">
      <c r="A670" s="1"/>
      <c r="F670" s="1"/>
    </row>
    <row r="671" spans="1:6">
      <c r="A671" s="1"/>
      <c r="F671" s="1"/>
    </row>
    <row r="672" spans="1:6">
      <c r="A672" s="1"/>
      <c r="F672" s="1"/>
    </row>
    <row r="673" spans="1:6">
      <c r="A673" s="1"/>
      <c r="F673" s="1"/>
    </row>
    <row r="674" spans="1:6">
      <c r="A674" s="1"/>
      <c r="F674" s="1"/>
    </row>
    <row r="675" spans="1:6">
      <c r="A675" s="1"/>
      <c r="F675" s="1"/>
    </row>
    <row r="676" spans="1:6">
      <c r="A676" s="1"/>
      <c r="F676" s="1"/>
    </row>
    <row r="677" spans="1:6">
      <c r="A677" s="1"/>
      <c r="F677" s="1"/>
    </row>
    <row r="678" spans="1:6">
      <c r="A678" s="1"/>
      <c r="F678" s="1"/>
    </row>
    <row r="679" spans="1:6">
      <c r="A679" s="1"/>
      <c r="F679" s="1"/>
    </row>
    <row r="680" spans="1:6">
      <c r="A680" s="1"/>
      <c r="F680" s="1"/>
    </row>
    <row r="681" spans="1:6">
      <c r="A681" s="1"/>
      <c r="F681" s="1"/>
    </row>
    <row r="682" spans="1:6">
      <c r="A682" s="1"/>
      <c r="F682" s="1"/>
    </row>
    <row r="683" spans="1:6">
      <c r="A683" s="1"/>
      <c r="F683" s="1"/>
    </row>
    <row r="684" spans="1:6">
      <c r="A684" s="1"/>
      <c r="F684" s="1"/>
    </row>
    <row r="685" spans="1:6">
      <c r="A685" s="1"/>
      <c r="F685" s="1"/>
    </row>
    <row r="686" spans="1:6">
      <c r="A686" s="1"/>
      <c r="F686" s="1"/>
    </row>
    <row r="687" spans="1:6">
      <c r="A687" s="1"/>
      <c r="F687" s="1"/>
    </row>
    <row r="688" spans="1:6">
      <c r="A688" s="1"/>
      <c r="F688" s="1"/>
    </row>
    <row r="689" spans="1:6">
      <c r="A689" s="1"/>
      <c r="F689" s="1"/>
    </row>
    <row r="690" spans="1:6">
      <c r="A690" s="1"/>
      <c r="F690" s="1"/>
    </row>
    <row r="691" spans="1:6">
      <c r="A691" s="1"/>
      <c r="F691" s="1"/>
    </row>
    <row r="692" spans="1:6">
      <c r="A692" s="1"/>
      <c r="F692" s="1"/>
    </row>
    <row r="693" spans="1:6">
      <c r="A693" s="1"/>
      <c r="F693" s="1"/>
    </row>
    <row r="694" spans="1:6">
      <c r="A694" s="1"/>
      <c r="F694" s="1"/>
    </row>
    <row r="695" spans="1:6">
      <c r="A695" s="1"/>
      <c r="F695" s="1"/>
    </row>
    <row r="696" spans="1:6">
      <c r="A696" s="1"/>
      <c r="F696" s="1"/>
    </row>
    <row r="697" spans="1:6">
      <c r="A697" s="1"/>
      <c r="F697" s="1"/>
    </row>
    <row r="698" spans="1:6">
      <c r="A698" s="1"/>
      <c r="F698" s="1"/>
    </row>
    <row r="699" spans="1:6">
      <c r="A699" s="1"/>
      <c r="F699" s="1"/>
    </row>
    <row r="700" spans="1:6">
      <c r="A700" s="1"/>
      <c r="F700" s="1"/>
    </row>
    <row r="701" spans="1:6">
      <c r="A701" s="1"/>
      <c r="F701" s="1"/>
    </row>
    <row r="702" spans="1:6">
      <c r="A702" s="1"/>
      <c r="F702" s="1"/>
    </row>
    <row r="703" spans="1:6">
      <c r="A703" s="1"/>
      <c r="F703" s="1"/>
    </row>
    <row r="704" spans="1:6">
      <c r="A704" s="1"/>
      <c r="F704" s="1"/>
    </row>
    <row r="705" spans="1:6">
      <c r="A705" s="1"/>
      <c r="F705" s="1"/>
    </row>
    <row r="706" spans="1:6">
      <c r="A706" s="1"/>
      <c r="F706" s="1"/>
    </row>
    <row r="707" spans="1:6">
      <c r="A707" s="1"/>
      <c r="F707" s="1"/>
    </row>
    <row r="708" spans="1:6">
      <c r="A708" s="1"/>
      <c r="F708" s="1"/>
    </row>
    <row r="709" spans="1:6">
      <c r="A709" s="1"/>
      <c r="F709" s="1"/>
    </row>
    <row r="710" spans="1:6">
      <c r="A710" s="1"/>
      <c r="F710" s="1"/>
    </row>
    <row r="711" spans="1:6">
      <c r="A711" s="1"/>
      <c r="F711" s="1"/>
    </row>
    <row r="712" spans="1:6">
      <c r="A712" s="1"/>
      <c r="F712" s="1"/>
    </row>
    <row r="713" spans="1:6">
      <c r="A713" s="1"/>
      <c r="F713" s="1"/>
    </row>
    <row r="714" spans="1:6">
      <c r="A714" s="1"/>
      <c r="F714" s="1"/>
    </row>
    <row r="715" spans="1:6">
      <c r="A715" s="1"/>
      <c r="F715" s="1"/>
    </row>
    <row r="716" spans="1:6">
      <c r="A716" s="1"/>
      <c r="F716" s="1"/>
    </row>
    <row r="717" spans="1:6">
      <c r="A717" s="1"/>
      <c r="F717" s="1"/>
    </row>
    <row r="718" spans="1:6">
      <c r="A718" s="1"/>
      <c r="F718" s="1"/>
    </row>
    <row r="719" spans="1:6">
      <c r="A719" s="1"/>
      <c r="F719" s="1"/>
    </row>
    <row r="720" spans="1:6">
      <c r="A720" s="1"/>
      <c r="F720" s="1"/>
    </row>
    <row r="721" spans="1:6">
      <c r="A721" s="1"/>
      <c r="F721" s="1"/>
    </row>
    <row r="722" spans="1:6">
      <c r="A722" s="1"/>
      <c r="F722" s="1"/>
    </row>
    <row r="723" spans="1:6">
      <c r="A723" s="1"/>
      <c r="F723" s="1"/>
    </row>
    <row r="724" spans="1:6">
      <c r="A724" s="1"/>
      <c r="F724" s="1"/>
    </row>
    <row r="725" spans="1:6">
      <c r="A725" s="1"/>
      <c r="F725" s="1"/>
    </row>
    <row r="726" spans="1:6">
      <c r="A726" s="1"/>
      <c r="F726" s="1"/>
    </row>
    <row r="727" spans="1:6">
      <c r="A727" s="1"/>
      <c r="F727" s="1"/>
    </row>
    <row r="728" spans="1:6">
      <c r="A728" s="1"/>
      <c r="F728" s="1"/>
    </row>
    <row r="729" spans="1:6">
      <c r="A729" s="1"/>
      <c r="F729" s="1"/>
    </row>
    <row r="730" spans="1:6">
      <c r="A730" s="1"/>
      <c r="F730" s="1"/>
    </row>
    <row r="731" spans="1:6">
      <c r="A731" s="1"/>
      <c r="F731" s="1"/>
    </row>
    <row r="732" spans="1:6">
      <c r="A732" s="1"/>
      <c r="F732" s="1"/>
    </row>
    <row r="733" spans="1:6">
      <c r="A733" s="1"/>
      <c r="F733" s="1"/>
    </row>
    <row r="734" spans="1:6">
      <c r="A734" s="1"/>
      <c r="F734" s="1"/>
    </row>
    <row r="735" spans="1:6">
      <c r="A735" s="1"/>
      <c r="F735" s="1"/>
    </row>
    <row r="736" spans="1:6">
      <c r="A736" s="1"/>
      <c r="F736" s="1"/>
    </row>
    <row r="737" spans="1:6">
      <c r="A737" s="1"/>
      <c r="F737" s="1"/>
    </row>
    <row r="738" spans="1:6">
      <c r="A738" s="1"/>
      <c r="F738" s="1"/>
    </row>
    <row r="739" spans="1:6">
      <c r="A739" s="1"/>
      <c r="F739" s="1"/>
    </row>
    <row r="740" spans="1:6">
      <c r="A740" s="1"/>
      <c r="F740" s="1"/>
    </row>
    <row r="741" spans="1:6">
      <c r="A741" s="1"/>
      <c r="F741" s="1"/>
    </row>
    <row r="742" spans="1:6">
      <c r="A742" s="1"/>
      <c r="F742" s="1"/>
    </row>
    <row r="743" spans="1:6">
      <c r="A743" s="1"/>
      <c r="F743" s="1"/>
    </row>
    <row r="744" spans="1:6">
      <c r="A744" s="1"/>
      <c r="F744" s="1"/>
    </row>
    <row r="745" spans="1:6">
      <c r="A745" s="1"/>
      <c r="F745" s="1"/>
    </row>
    <row r="746" spans="1:6">
      <c r="A746" s="1"/>
      <c r="F746" s="1"/>
    </row>
    <row r="747" spans="1:6">
      <c r="A747" s="1"/>
      <c r="F747" s="1"/>
    </row>
    <row r="748" spans="1:6">
      <c r="A748" s="1"/>
      <c r="F748" s="1"/>
    </row>
    <row r="749" spans="1:6">
      <c r="A749" s="1"/>
      <c r="F749" s="1"/>
    </row>
    <row r="750" spans="1:6">
      <c r="A750" s="1"/>
      <c r="F750" s="1"/>
    </row>
    <row r="751" spans="1:6">
      <c r="A751" s="1"/>
      <c r="F751" s="1"/>
    </row>
    <row r="752" spans="1:6">
      <c r="A752" s="1"/>
      <c r="F752" s="1"/>
    </row>
    <row r="753" spans="1:6">
      <c r="A753" s="1"/>
      <c r="F753" s="1"/>
    </row>
    <row r="754" spans="1:6">
      <c r="A754" s="1"/>
      <c r="F754" s="1"/>
    </row>
    <row r="755" spans="1:6">
      <c r="A755" s="1"/>
      <c r="F755" s="1"/>
    </row>
    <row r="756" spans="1:6">
      <c r="A756" s="1"/>
      <c r="F756" s="1"/>
    </row>
    <row r="757" spans="1:6">
      <c r="A757" s="1"/>
      <c r="F757" s="1"/>
    </row>
    <row r="758" spans="1:6">
      <c r="A758" s="1"/>
      <c r="F758" s="1"/>
    </row>
    <row r="759" spans="1:6">
      <c r="A759" s="1"/>
      <c r="F759" s="1"/>
    </row>
    <row r="760" spans="1:6">
      <c r="A760" s="1"/>
      <c r="F760" s="1"/>
    </row>
    <row r="761" spans="1:6">
      <c r="A761" s="1"/>
      <c r="F761" s="1"/>
    </row>
    <row r="762" spans="1:6">
      <c r="A762" s="1"/>
      <c r="F762" s="1"/>
    </row>
    <row r="763" spans="1:6">
      <c r="A763" s="1"/>
      <c r="F763" s="1"/>
    </row>
    <row r="764" spans="1:6">
      <c r="A764" s="1"/>
      <c r="F764" s="1"/>
    </row>
    <row r="765" spans="1:6">
      <c r="A765" s="1"/>
      <c r="F765" s="1"/>
    </row>
    <row r="766" spans="1:6">
      <c r="A766" s="1"/>
      <c r="F766" s="1"/>
    </row>
    <row r="767" spans="1:6">
      <c r="A767" s="1"/>
      <c r="F767" s="1"/>
    </row>
    <row r="768" spans="1:6">
      <c r="A768" s="1"/>
      <c r="F768" s="1"/>
    </row>
    <row r="769" spans="1:6">
      <c r="A769" s="1"/>
      <c r="F769" s="1"/>
    </row>
    <row r="770" spans="1:6">
      <c r="A770" s="1"/>
      <c r="F770" s="1"/>
    </row>
    <row r="771" spans="1:6">
      <c r="A771" s="1"/>
      <c r="F771" s="1"/>
    </row>
    <row r="772" spans="1:6">
      <c r="A772" s="1"/>
      <c r="F772" s="1"/>
    </row>
    <row r="773" spans="1:6">
      <c r="A773" s="1"/>
      <c r="F773" s="1"/>
    </row>
    <row r="774" spans="1:6">
      <c r="A774" s="1"/>
      <c r="F774" s="1"/>
    </row>
    <row r="775" spans="1:6">
      <c r="A775" s="1"/>
      <c r="F775" s="1"/>
    </row>
    <row r="776" spans="1:6">
      <c r="A776" s="1"/>
      <c r="F776" s="1"/>
    </row>
    <row r="777" spans="1:6">
      <c r="A777" s="1"/>
      <c r="F777" s="1"/>
    </row>
    <row r="778" spans="1:6">
      <c r="A778" s="1"/>
      <c r="F778" s="1"/>
    </row>
    <row r="779" spans="1:6">
      <c r="A779" s="1"/>
      <c r="F779" s="1"/>
    </row>
    <row r="780" spans="1:6">
      <c r="A780" s="1"/>
      <c r="F780" s="1"/>
    </row>
    <row r="781" spans="1:6">
      <c r="A781" s="1"/>
      <c r="F781" s="1"/>
    </row>
    <row r="782" spans="1:6">
      <c r="A782" s="1"/>
      <c r="F782" s="1"/>
    </row>
    <row r="783" spans="1:6">
      <c r="A783" s="1"/>
      <c r="F783" s="1"/>
    </row>
    <row r="784" spans="1:6">
      <c r="A784" s="1"/>
      <c r="F784" s="1"/>
    </row>
    <row r="785" spans="1:6">
      <c r="A785" s="1"/>
      <c r="F785" s="1"/>
    </row>
    <row r="786" spans="1:6">
      <c r="A786" s="1"/>
      <c r="F786" s="1"/>
    </row>
    <row r="787" spans="1:6">
      <c r="A787" s="1"/>
      <c r="F787" s="1"/>
    </row>
    <row r="788" spans="1:6">
      <c r="A788" s="1"/>
      <c r="F788" s="1"/>
    </row>
    <row r="789" spans="1:6">
      <c r="A789" s="1"/>
      <c r="F789" s="1"/>
    </row>
    <row r="790" spans="1:6">
      <c r="A790" s="1"/>
      <c r="F790" s="1"/>
    </row>
    <row r="791" spans="1:6">
      <c r="A791" s="1"/>
      <c r="F791" s="1"/>
    </row>
    <row r="792" spans="1:6">
      <c r="A792" s="1"/>
      <c r="F792" s="1"/>
    </row>
    <row r="793" spans="1:6">
      <c r="A793" s="1"/>
      <c r="F793" s="1"/>
    </row>
    <row r="794" spans="1:6">
      <c r="A794" s="1"/>
      <c r="F794" s="1"/>
    </row>
    <row r="795" spans="1:6">
      <c r="A795" s="1"/>
      <c r="F795" s="1"/>
    </row>
    <row r="796" spans="1:6">
      <c r="A796" s="1"/>
      <c r="F796" s="1"/>
    </row>
    <row r="797" spans="1:6">
      <c r="A797" s="1"/>
      <c r="F797" s="1"/>
    </row>
    <row r="798" spans="1:6">
      <c r="A798" s="1"/>
      <c r="F798" s="1"/>
    </row>
    <row r="799" spans="1:6">
      <c r="A799" s="1"/>
      <c r="F799" s="1"/>
    </row>
    <row r="800" spans="1:6">
      <c r="A800" s="1"/>
      <c r="F800" s="1"/>
    </row>
    <row r="801" spans="1:6">
      <c r="A801" s="1"/>
      <c r="F801" s="1"/>
    </row>
    <row r="802" spans="1:6">
      <c r="A802" s="1"/>
      <c r="F802" s="1"/>
    </row>
    <row r="803" spans="1:6">
      <c r="A803" s="1"/>
      <c r="F803" s="1"/>
    </row>
    <row r="804" spans="1:6">
      <c r="A804" s="1"/>
      <c r="F804" s="1"/>
    </row>
    <row r="805" spans="1:6">
      <c r="A805" s="1"/>
      <c r="F805" s="1"/>
    </row>
    <row r="806" spans="1:6">
      <c r="A806" s="1"/>
      <c r="F806" s="1"/>
    </row>
    <row r="807" spans="1:6">
      <c r="A807" s="1"/>
      <c r="F807" s="1"/>
    </row>
    <row r="808" spans="1:6">
      <c r="A808" s="1"/>
      <c r="F808" s="1"/>
    </row>
    <row r="809" spans="1:6">
      <c r="A809" s="1"/>
      <c r="F809" s="1"/>
    </row>
    <row r="810" spans="1:6">
      <c r="A810" s="1"/>
      <c r="F810" s="1"/>
    </row>
    <row r="811" spans="1:6">
      <c r="A811" s="1"/>
      <c r="F811" s="1"/>
    </row>
    <row r="812" spans="1:6">
      <c r="A812" s="1"/>
      <c r="F812" s="1"/>
    </row>
    <row r="813" spans="1:6">
      <c r="A813" s="1"/>
      <c r="F813" s="1"/>
    </row>
    <row r="814" spans="1:6">
      <c r="A814" s="1"/>
      <c r="F814" s="1"/>
    </row>
    <row r="815" spans="1:6">
      <c r="A815" s="1"/>
      <c r="F815" s="1"/>
    </row>
    <row r="816" spans="1:6">
      <c r="A816" s="1"/>
      <c r="F816" s="1"/>
    </row>
    <row r="817" spans="1:6">
      <c r="A817" s="1"/>
      <c r="F817" s="1"/>
    </row>
    <row r="818" spans="1:6">
      <c r="A818" s="1"/>
      <c r="F818" s="1"/>
    </row>
    <row r="819" spans="1:6">
      <c r="A819" s="1"/>
      <c r="F819" s="1"/>
    </row>
    <row r="820" spans="1:6">
      <c r="A820" s="1"/>
      <c r="F820" s="1"/>
    </row>
    <row r="821" spans="1:6">
      <c r="A821" s="1"/>
      <c r="F821" s="1"/>
    </row>
    <row r="822" spans="1:6">
      <c r="A822" s="1"/>
      <c r="F822" s="1"/>
    </row>
    <row r="823" spans="1:6">
      <c r="A823" s="1"/>
      <c r="F823" s="1"/>
    </row>
    <row r="824" spans="1:6">
      <c r="A824" s="1"/>
      <c r="F824" s="1"/>
    </row>
    <row r="825" spans="1:6">
      <c r="A825" s="1"/>
      <c r="F825" s="1"/>
    </row>
    <row r="826" spans="1:6">
      <c r="A826" s="1"/>
      <c r="F826" s="1"/>
    </row>
    <row r="827" spans="1:6">
      <c r="A827" s="1"/>
      <c r="F827" s="1"/>
    </row>
    <row r="828" spans="1:6">
      <c r="A828" s="1"/>
      <c r="F828" s="1"/>
    </row>
    <row r="829" spans="1:6">
      <c r="A829" s="1"/>
      <c r="F829" s="1"/>
    </row>
    <row r="830" spans="1:6">
      <c r="A830" s="1"/>
      <c r="F830" s="1"/>
    </row>
    <row r="831" spans="1:6">
      <c r="A831" s="1"/>
      <c r="F831" s="1"/>
    </row>
    <row r="832" spans="1:6">
      <c r="A832" s="1"/>
      <c r="F832" s="1"/>
    </row>
    <row r="833" spans="1:6">
      <c r="A833" s="1"/>
      <c r="F833" s="1"/>
    </row>
    <row r="834" spans="1:6">
      <c r="A834" s="1"/>
      <c r="F834" s="1"/>
    </row>
    <row r="835" spans="1:6">
      <c r="A835" s="1"/>
      <c r="F835" s="1"/>
    </row>
    <row r="836" spans="1:6">
      <c r="A836" s="1"/>
      <c r="F836" s="1"/>
    </row>
    <row r="837" spans="1:6">
      <c r="A837" s="1"/>
      <c r="F837" s="1"/>
    </row>
    <row r="838" spans="1:6">
      <c r="A838" s="1"/>
      <c r="F838" s="1"/>
    </row>
    <row r="839" spans="1:6">
      <c r="A839" s="1"/>
      <c r="F839" s="1"/>
    </row>
    <row r="840" spans="1:6">
      <c r="A840" s="1"/>
      <c r="F840" s="1"/>
    </row>
    <row r="841" spans="1:6">
      <c r="A841" s="1"/>
      <c r="F841" s="1"/>
    </row>
    <row r="842" spans="1:6">
      <c r="A842" s="1"/>
      <c r="F842" s="1"/>
    </row>
    <row r="843" spans="1:6">
      <c r="A843" s="1"/>
      <c r="F843" s="1"/>
    </row>
    <row r="844" spans="1:6">
      <c r="A844" s="1"/>
      <c r="F844" s="1"/>
    </row>
    <row r="845" spans="1:6">
      <c r="A845" s="1"/>
      <c r="F845" s="1"/>
    </row>
    <row r="846" spans="1:6">
      <c r="A846" s="1"/>
      <c r="F846" s="1"/>
    </row>
    <row r="847" spans="1:6">
      <c r="A847" s="1"/>
      <c r="F847" s="1"/>
    </row>
    <row r="848" spans="1:6">
      <c r="A848" s="1"/>
      <c r="F848" s="1"/>
    </row>
    <row r="849" spans="1:6">
      <c r="A849" s="1"/>
      <c r="F849" s="1"/>
    </row>
    <row r="850" spans="1:6">
      <c r="A850" s="1"/>
      <c r="F850" s="1"/>
    </row>
    <row r="851" spans="1:6">
      <c r="A851" s="1"/>
      <c r="F851" s="1"/>
    </row>
    <row r="852" spans="1:6">
      <c r="A852" s="1"/>
      <c r="F852" s="1"/>
    </row>
    <row r="853" spans="1:6">
      <c r="A853" s="1"/>
      <c r="F853" s="1"/>
    </row>
    <row r="854" spans="1:6">
      <c r="A854" s="1"/>
      <c r="F854" s="1"/>
    </row>
    <row r="855" spans="1:6">
      <c r="A855" s="1"/>
      <c r="F855" s="1"/>
    </row>
    <row r="856" spans="1:6">
      <c r="A856" s="1"/>
      <c r="F856" s="1"/>
    </row>
    <row r="857" spans="1:6">
      <c r="A857" s="1"/>
      <c r="F857" s="1"/>
    </row>
    <row r="858" spans="1:6">
      <c r="A858" s="1"/>
      <c r="F858" s="1"/>
    </row>
    <row r="859" spans="1:6">
      <c r="A859" s="1"/>
      <c r="F859" s="1"/>
    </row>
    <row r="860" spans="1:6">
      <c r="A860" s="1"/>
      <c r="F860" s="1"/>
    </row>
    <row r="861" spans="1:6">
      <c r="A861" s="1"/>
      <c r="F861" s="1"/>
    </row>
    <row r="862" spans="1:6">
      <c r="A862" s="1"/>
      <c r="F862" s="1"/>
    </row>
    <row r="863" spans="1:6">
      <c r="A863" s="1"/>
      <c r="F863" s="1"/>
    </row>
    <row r="864" spans="1:6">
      <c r="A864" s="1"/>
      <c r="F864" s="1"/>
    </row>
    <row r="865" spans="1:6">
      <c r="A865" s="1"/>
      <c r="F865" s="1"/>
    </row>
    <row r="866" spans="1:6">
      <c r="A866" s="1"/>
      <c r="F866" s="1"/>
    </row>
    <row r="867" spans="1:6">
      <c r="A867" s="1"/>
      <c r="F867" s="1"/>
    </row>
    <row r="868" spans="1:6">
      <c r="A868" s="1"/>
      <c r="F868" s="1"/>
    </row>
    <row r="869" spans="1:6">
      <c r="A869" s="1"/>
      <c r="F869" s="1"/>
    </row>
    <row r="870" spans="1:6">
      <c r="A870" s="1"/>
      <c r="F870" s="1"/>
    </row>
    <row r="871" spans="1:6">
      <c r="A871" s="1"/>
      <c r="F871" s="1"/>
    </row>
    <row r="872" spans="1:6">
      <c r="A872" s="1"/>
      <c r="F872" s="1"/>
    </row>
    <row r="873" spans="1:6">
      <c r="A873" s="1"/>
      <c r="F873" s="1"/>
    </row>
    <row r="874" spans="1:6">
      <c r="A874" s="1"/>
      <c r="F874" s="1"/>
    </row>
    <row r="875" spans="1:6">
      <c r="A875" s="1"/>
      <c r="F875" s="1"/>
    </row>
    <row r="876" spans="1:6">
      <c r="A876" s="1"/>
      <c r="F876" s="1"/>
    </row>
    <row r="877" spans="1:6">
      <c r="A877" s="1"/>
      <c r="F877" s="1"/>
    </row>
    <row r="878" spans="1:6">
      <c r="A878" s="1"/>
      <c r="F878" s="1"/>
    </row>
    <row r="879" spans="1:6">
      <c r="A879" s="1"/>
      <c r="F879" s="1"/>
    </row>
    <row r="880" spans="1:6">
      <c r="A880" s="1"/>
      <c r="F880" s="1"/>
    </row>
    <row r="881" spans="1:6">
      <c r="A881" s="1"/>
      <c r="F881" s="1"/>
    </row>
    <row r="882" spans="1:6">
      <c r="A882" s="1"/>
      <c r="F882" s="1"/>
    </row>
    <row r="883" spans="1:6">
      <c r="A883" s="1"/>
      <c r="F883" s="1"/>
    </row>
    <row r="884" spans="1:6">
      <c r="A884" s="1"/>
      <c r="F884" s="1"/>
    </row>
    <row r="885" spans="1:6">
      <c r="A885" s="1"/>
      <c r="F885" s="1"/>
    </row>
    <row r="886" spans="1:6">
      <c r="A886" s="1"/>
      <c r="F886" s="1"/>
    </row>
    <row r="887" spans="1:6">
      <c r="A887" s="1"/>
      <c r="F887" s="1"/>
    </row>
    <row r="888" spans="1:6">
      <c r="A888" s="1"/>
      <c r="F888" s="1"/>
    </row>
    <row r="889" spans="1:6">
      <c r="A889" s="1"/>
      <c r="F889" s="1"/>
    </row>
    <row r="890" spans="1:6">
      <c r="A890" s="1"/>
      <c r="F890" s="1"/>
    </row>
    <row r="891" spans="1:6">
      <c r="A891" s="1"/>
      <c r="F891" s="1"/>
    </row>
    <row r="892" spans="1:6">
      <c r="A892" s="1"/>
      <c r="F892" s="1"/>
    </row>
    <row r="893" spans="1:6">
      <c r="A893" s="1"/>
      <c r="F893" s="1"/>
    </row>
    <row r="894" spans="1:6">
      <c r="A894" s="1"/>
      <c r="F894" s="1"/>
    </row>
    <row r="895" spans="1:6">
      <c r="A895" s="1"/>
      <c r="F895" s="1"/>
    </row>
    <row r="896" spans="1:6">
      <c r="A896" s="1"/>
      <c r="F896" s="1"/>
    </row>
    <row r="897" spans="1:6">
      <c r="A897" s="1"/>
      <c r="F897" s="1"/>
    </row>
    <row r="898" spans="1:6">
      <c r="A898" s="1"/>
      <c r="F898" s="1"/>
    </row>
    <row r="899" spans="1:6">
      <c r="A899" s="1"/>
      <c r="F899" s="1"/>
    </row>
    <row r="900" spans="1:6">
      <c r="A900" s="1"/>
      <c r="F900" s="1"/>
    </row>
    <row r="901" spans="1:6">
      <c r="A901" s="1"/>
      <c r="F901" s="1"/>
    </row>
    <row r="902" spans="1:6">
      <c r="A902" s="1"/>
      <c r="F902" s="1"/>
    </row>
    <row r="903" spans="1:6">
      <c r="A903" s="1"/>
      <c r="F903" s="1"/>
    </row>
    <row r="904" spans="1:6">
      <c r="A904" s="1"/>
      <c r="F904" s="1"/>
    </row>
    <row r="905" spans="1:6">
      <c r="A905" s="1"/>
      <c r="F905" s="1"/>
    </row>
    <row r="906" spans="1:6">
      <c r="A906" s="1"/>
      <c r="F906" s="1"/>
    </row>
    <row r="907" spans="1:6">
      <c r="A907" s="1"/>
      <c r="F907" s="1"/>
    </row>
    <row r="908" spans="1:6">
      <c r="A908" s="1"/>
      <c r="F908" s="1"/>
    </row>
    <row r="909" spans="1:6">
      <c r="A909" s="1"/>
      <c r="F909" s="1"/>
    </row>
    <row r="910" spans="1:6">
      <c r="A910" s="1"/>
      <c r="F910" s="1"/>
    </row>
    <row r="911" spans="1:6">
      <c r="A911" s="1"/>
      <c r="F911" s="1"/>
    </row>
    <row r="912" spans="1:6">
      <c r="A912" s="1"/>
      <c r="F912" s="1"/>
    </row>
    <row r="913" spans="1:6">
      <c r="A913" s="1"/>
      <c r="F913" s="1"/>
    </row>
    <row r="914" spans="1:6">
      <c r="A914" s="1"/>
      <c r="F914" s="1"/>
    </row>
    <row r="915" spans="1:6">
      <c r="A915" s="1"/>
      <c r="F915" s="1"/>
    </row>
    <row r="916" spans="1:6">
      <c r="A916" s="1"/>
      <c r="F916" s="1"/>
    </row>
    <row r="917" spans="1:6">
      <c r="A917" s="1"/>
      <c r="F917" s="1"/>
    </row>
    <row r="918" spans="1:6">
      <c r="A918" s="1"/>
      <c r="F918" s="1"/>
    </row>
    <row r="919" spans="1:6">
      <c r="A919" s="1"/>
      <c r="F919" s="1"/>
    </row>
    <row r="920" spans="1:6">
      <c r="A920" s="1"/>
      <c r="F920" s="1"/>
    </row>
    <row r="921" spans="1:6">
      <c r="A921" s="1"/>
      <c r="F921" s="1"/>
    </row>
    <row r="922" spans="1:6">
      <c r="A922" s="1"/>
      <c r="F922" s="1"/>
    </row>
    <row r="923" spans="1:6">
      <c r="A923" s="1"/>
      <c r="F923" s="1"/>
    </row>
    <row r="924" spans="1:6">
      <c r="A924" s="1"/>
      <c r="F924" s="1"/>
    </row>
    <row r="925" spans="1:6">
      <c r="A925" s="1"/>
      <c r="F925" s="1"/>
    </row>
    <row r="926" spans="1:6">
      <c r="A926" s="1"/>
      <c r="F926" s="1"/>
    </row>
    <row r="927" spans="1:6">
      <c r="A927" s="1"/>
      <c r="F927" s="1"/>
    </row>
    <row r="928" spans="1:6">
      <c r="A928" s="1"/>
      <c r="F928" s="1"/>
    </row>
    <row r="929" spans="1:6">
      <c r="A929" s="1"/>
      <c r="F929" s="1"/>
    </row>
    <row r="930" spans="1:6">
      <c r="A930" s="1"/>
      <c r="F930" s="1"/>
    </row>
    <row r="931" spans="1:6">
      <c r="A931" s="1"/>
      <c r="F931" s="1"/>
    </row>
    <row r="932" spans="1:6">
      <c r="A932" s="1"/>
      <c r="F932" s="1"/>
    </row>
    <row r="933" spans="1:6">
      <c r="A933" s="1"/>
      <c r="F933" s="1"/>
    </row>
    <row r="934" spans="1:6">
      <c r="A934" s="1"/>
      <c r="F934" s="1"/>
    </row>
    <row r="935" spans="1:6">
      <c r="A935" s="1"/>
      <c r="F935" s="1"/>
    </row>
    <row r="936" spans="1:6">
      <c r="A936" s="1"/>
      <c r="F936" s="1"/>
    </row>
    <row r="937" spans="1:6">
      <c r="A937" s="1"/>
      <c r="F937" s="1"/>
    </row>
    <row r="938" spans="1:6">
      <c r="A938" s="1"/>
      <c r="F938" s="1"/>
    </row>
    <row r="939" spans="1:6">
      <c r="A939" s="1"/>
      <c r="F939" s="1"/>
    </row>
    <row r="940" spans="1:6">
      <c r="A940" s="1"/>
      <c r="F940" s="1"/>
    </row>
    <row r="941" spans="1:6">
      <c r="A941" s="1"/>
      <c r="F941" s="1"/>
    </row>
    <row r="942" spans="1:6">
      <c r="A942" s="1"/>
      <c r="F942" s="1"/>
    </row>
    <row r="943" spans="1:6">
      <c r="A943" s="1"/>
      <c r="F943" s="1"/>
    </row>
    <row r="944" spans="1:6">
      <c r="A944" s="1"/>
      <c r="F944" s="1"/>
    </row>
    <row r="945" spans="1:6">
      <c r="A945" s="1"/>
      <c r="F945" s="1"/>
    </row>
    <row r="946" spans="1:6">
      <c r="A946" s="1"/>
      <c r="F946" s="1"/>
    </row>
    <row r="947" spans="1:6">
      <c r="A947" s="1"/>
      <c r="F947" s="1"/>
    </row>
    <row r="948" spans="1:6">
      <c r="A948" s="1"/>
      <c r="F948" s="1"/>
    </row>
    <row r="949" spans="1:6">
      <c r="A949" s="1"/>
      <c r="F949" s="1"/>
    </row>
    <row r="950" spans="1:6">
      <c r="A950" s="1"/>
      <c r="F950" s="1"/>
    </row>
    <row r="951" spans="1:6">
      <c r="A951" s="1"/>
      <c r="F951" s="1"/>
    </row>
    <row r="952" spans="1:6">
      <c r="A952" s="1"/>
      <c r="F952" s="1"/>
    </row>
    <row r="953" spans="1:6">
      <c r="A953" s="1"/>
      <c r="F953" s="1"/>
    </row>
    <row r="954" spans="1:6">
      <c r="A954" s="1"/>
      <c r="F954" s="1"/>
    </row>
    <row r="955" spans="1:6">
      <c r="A955" s="1"/>
      <c r="F955" s="1"/>
    </row>
    <row r="956" spans="1:6">
      <c r="A956" s="1"/>
      <c r="F956" s="1"/>
    </row>
    <row r="957" spans="1:6">
      <c r="A957" s="1"/>
      <c r="F957" s="1"/>
    </row>
    <row r="958" spans="1:6">
      <c r="A958" s="1"/>
      <c r="F958" s="1"/>
    </row>
    <row r="959" spans="1:6">
      <c r="A959" s="1"/>
      <c r="F959" s="1"/>
    </row>
    <row r="960" spans="1:6">
      <c r="A960" s="1"/>
      <c r="F960" s="1"/>
    </row>
    <row r="961" spans="1:6">
      <c r="A961" s="1"/>
      <c r="F961" s="1"/>
    </row>
    <row r="962" spans="1:6">
      <c r="A962" s="1"/>
      <c r="F962" s="1"/>
    </row>
    <row r="963" spans="1:6">
      <c r="A963" s="1"/>
      <c r="F963" s="1"/>
    </row>
    <row r="964" spans="1:6">
      <c r="A964" s="1"/>
      <c r="F964" s="1"/>
    </row>
    <row r="965" spans="1:6">
      <c r="A965" s="1"/>
      <c r="F965" s="1"/>
    </row>
    <row r="966" spans="1:6">
      <c r="A966" s="1"/>
      <c r="F966" s="1"/>
    </row>
    <row r="967" spans="1:6">
      <c r="A967" s="1"/>
      <c r="F967" s="1"/>
    </row>
    <row r="968" spans="1:6">
      <c r="A968" s="1"/>
      <c r="F968" s="1"/>
    </row>
    <row r="969" spans="1:6">
      <c r="A969" s="1"/>
      <c r="F969" s="1"/>
    </row>
    <row r="970" spans="1:6">
      <c r="A970" s="1"/>
      <c r="F970" s="1"/>
    </row>
    <row r="971" spans="1:6">
      <c r="A971" s="1"/>
      <c r="F971" s="1"/>
    </row>
    <row r="972" spans="1:6">
      <c r="A972" s="1"/>
      <c r="F972" s="1"/>
    </row>
    <row r="973" spans="1:6">
      <c r="A973" s="1"/>
      <c r="F973" s="1"/>
    </row>
    <row r="974" spans="1:6">
      <c r="A974" s="1"/>
      <c r="F974" s="1"/>
    </row>
    <row r="975" spans="1:6">
      <c r="A975" s="1"/>
      <c r="F975" s="1"/>
    </row>
    <row r="976" spans="1:6">
      <c r="A976" s="1"/>
      <c r="F976" s="1"/>
    </row>
    <row r="977" spans="1:6">
      <c r="A977" s="1"/>
      <c r="F977" s="1"/>
    </row>
    <row r="978" spans="1:6">
      <c r="A978" s="1"/>
      <c r="F978" s="1"/>
    </row>
    <row r="979" spans="1:6">
      <c r="A979" s="1"/>
      <c r="F979" s="1"/>
    </row>
    <row r="980" spans="1:6">
      <c r="A980" s="1"/>
      <c r="F980" s="1"/>
    </row>
    <row r="981" spans="1:6">
      <c r="A981" s="1"/>
      <c r="F981" s="1"/>
    </row>
    <row r="982" spans="1:6">
      <c r="A982" s="1"/>
      <c r="F982" s="1"/>
    </row>
    <row r="983" spans="1:6">
      <c r="A983" s="1"/>
      <c r="F983" s="1"/>
    </row>
    <row r="984" spans="1:6">
      <c r="A984" s="1"/>
      <c r="F984" s="1"/>
    </row>
    <row r="985" spans="1:6">
      <c r="A985" s="1"/>
      <c r="F985" s="1"/>
    </row>
    <row r="986" spans="1:6">
      <c r="A986" s="1"/>
      <c r="F986" s="1"/>
    </row>
    <row r="987" spans="1:6">
      <c r="A987" s="1"/>
      <c r="F987" s="1"/>
    </row>
    <row r="988" spans="1:6">
      <c r="A988" s="1"/>
      <c r="F988" s="1"/>
    </row>
    <row r="989" spans="1:6">
      <c r="A989" s="1"/>
      <c r="F989" s="1"/>
    </row>
    <row r="990" spans="1:6">
      <c r="A990" s="1"/>
      <c r="F990" s="1"/>
    </row>
    <row r="991" spans="1:6">
      <c r="A991" s="1"/>
      <c r="F991" s="1"/>
    </row>
    <row r="992" spans="1:6">
      <c r="A992" s="1"/>
      <c r="F992" s="1"/>
    </row>
    <row r="993" spans="1:6">
      <c r="A993" s="1"/>
      <c r="F993" s="1"/>
    </row>
    <row r="994" spans="1:6">
      <c r="A994" s="1"/>
      <c r="F994" s="1"/>
    </row>
    <row r="995" spans="1:6">
      <c r="A995" s="1"/>
      <c r="F995" s="1"/>
    </row>
    <row r="996" spans="1:6">
      <c r="A996" s="1"/>
      <c r="F996" s="1"/>
    </row>
    <row r="997" spans="1:6">
      <c r="A997" s="1"/>
      <c r="F997" s="1"/>
    </row>
    <row r="998" spans="1:6">
      <c r="A998" s="1"/>
      <c r="F998" s="1"/>
    </row>
    <row r="999" spans="1:6">
      <c r="A999" s="1"/>
      <c r="F999" s="1"/>
    </row>
    <row r="1000" spans="1:6">
      <c r="A1000" s="1"/>
      <c r="F1000" s="1"/>
    </row>
    <row r="1001" spans="1:6">
      <c r="A1001" s="1"/>
      <c r="F1001" s="1"/>
    </row>
    <row r="1002" spans="1:6">
      <c r="A1002" s="1"/>
      <c r="F1002" s="1"/>
    </row>
    <row r="1003" spans="1:6">
      <c r="A1003" s="1"/>
      <c r="F1003" s="1"/>
    </row>
    <row r="1004" spans="1:6">
      <c r="A1004" s="1"/>
      <c r="F1004" s="1"/>
    </row>
    <row r="1005" spans="1:6">
      <c r="A1005" s="1"/>
      <c r="F1005" s="1"/>
    </row>
    <row r="1006" spans="1:6">
      <c r="A1006" s="1"/>
      <c r="F1006" s="1"/>
    </row>
    <row r="1007" spans="1:6">
      <c r="A1007" s="1"/>
      <c r="F1007" s="1"/>
    </row>
    <row r="1008" spans="1:6">
      <c r="A1008" s="1"/>
      <c r="F1008" s="1"/>
    </row>
    <row r="1009" spans="1:6">
      <c r="A1009" s="1"/>
      <c r="F1009" s="1"/>
    </row>
    <row r="1010" spans="1:6">
      <c r="A1010" s="1"/>
      <c r="F1010" s="1"/>
    </row>
    <row r="1011" spans="1:6">
      <c r="A1011" s="1"/>
      <c r="F1011" s="1"/>
    </row>
    <row r="1012" spans="1:6">
      <c r="A1012" s="1"/>
      <c r="F1012" s="1"/>
    </row>
    <row r="1013" spans="1:6">
      <c r="A1013" s="1"/>
      <c r="F1013" s="1"/>
    </row>
    <row r="1014" spans="1:6">
      <c r="A1014" s="1"/>
      <c r="F1014" s="1"/>
    </row>
    <row r="1015" spans="1:6">
      <c r="A1015" s="1"/>
      <c r="F1015" s="1"/>
    </row>
    <row r="1016" spans="1:6">
      <c r="A1016" s="1"/>
      <c r="F1016" s="1"/>
    </row>
    <row r="1017" spans="1:6">
      <c r="A1017" s="1"/>
      <c r="F1017" s="1"/>
    </row>
    <row r="1018" spans="1:6">
      <c r="A1018" s="1"/>
      <c r="F1018" s="1"/>
    </row>
    <row r="1019" spans="1:6">
      <c r="A1019" s="1"/>
      <c r="F1019" s="1"/>
    </row>
    <row r="1020" spans="1:6">
      <c r="A1020" s="1"/>
      <c r="F1020" s="1"/>
    </row>
    <row r="1021" spans="1:6">
      <c r="A1021" s="1"/>
      <c r="F1021" s="1"/>
    </row>
    <row r="1022" spans="1:6">
      <c r="A1022" s="1"/>
      <c r="F1022" s="1"/>
    </row>
    <row r="1023" spans="1:6">
      <c r="A1023" s="1"/>
      <c r="F1023" s="1"/>
    </row>
    <row r="1024" spans="1:6">
      <c r="A1024" s="1"/>
      <c r="F1024" s="1"/>
    </row>
    <row r="1025" spans="1:6">
      <c r="A1025" s="1"/>
      <c r="F1025" s="1"/>
    </row>
    <row r="1026" spans="1:6">
      <c r="A1026" s="1"/>
      <c r="F1026" s="1"/>
    </row>
    <row r="1027" spans="1:6">
      <c r="A1027" s="1"/>
      <c r="F1027" s="1"/>
    </row>
    <row r="1028" spans="1:6">
      <c r="A1028" s="1"/>
      <c r="F1028" s="1"/>
    </row>
    <row r="1029" spans="1:6">
      <c r="A1029" s="1"/>
      <c r="F1029" s="1"/>
    </row>
    <row r="1030" spans="1:6">
      <c r="A1030" s="1"/>
      <c r="F1030" s="1"/>
    </row>
    <row r="1031" spans="1:6">
      <c r="A1031" s="1"/>
      <c r="F1031" s="1"/>
    </row>
    <row r="1032" spans="1:6">
      <c r="A1032" s="1"/>
      <c r="F1032" s="1"/>
    </row>
    <row r="1033" spans="1:6">
      <c r="A1033" s="1"/>
      <c r="F1033" s="1"/>
    </row>
    <row r="1034" spans="1:6">
      <c r="A1034" s="1"/>
      <c r="F1034" s="1"/>
    </row>
    <row r="1035" spans="1:6">
      <c r="A1035" s="1"/>
      <c r="F1035" s="1"/>
    </row>
    <row r="1036" spans="1:6">
      <c r="A1036" s="1"/>
      <c r="F1036" s="1"/>
    </row>
    <row r="1037" spans="1:6">
      <c r="A1037" s="1"/>
      <c r="F1037" s="1"/>
    </row>
    <row r="1038" spans="1:6">
      <c r="A1038" s="1"/>
      <c r="F1038" s="1"/>
    </row>
    <row r="1039" spans="1:6">
      <c r="A1039" s="1"/>
      <c r="F1039" s="1"/>
    </row>
    <row r="1040" spans="1:6">
      <c r="A1040" s="1"/>
      <c r="F1040" s="1"/>
    </row>
    <row r="1041" spans="1:6">
      <c r="A1041" s="1"/>
      <c r="F1041" s="1"/>
    </row>
    <row r="1042" spans="1:6">
      <c r="A1042" s="1"/>
      <c r="F1042" s="1"/>
    </row>
    <row r="1043" spans="1:6">
      <c r="A1043" s="1"/>
      <c r="F1043" s="1"/>
    </row>
    <row r="1044" spans="1:6">
      <c r="A1044" s="1"/>
      <c r="F1044" s="1"/>
    </row>
    <row r="1045" spans="1:6">
      <c r="A1045" s="1"/>
      <c r="F1045" s="1"/>
    </row>
    <row r="1046" spans="1:6">
      <c r="A1046" s="1"/>
      <c r="F1046" s="1"/>
    </row>
    <row r="1047" spans="1:6">
      <c r="A1047" s="1"/>
      <c r="F1047" s="1"/>
    </row>
    <row r="1048" spans="1:6">
      <c r="A1048" s="1"/>
      <c r="F1048" s="1"/>
    </row>
    <row r="1049" spans="1:6">
      <c r="A1049" s="1"/>
      <c r="F1049" s="1"/>
    </row>
    <row r="1050" spans="1:6">
      <c r="A1050" s="1"/>
      <c r="F1050" s="1"/>
    </row>
    <row r="1051" spans="1:6">
      <c r="A1051" s="1"/>
      <c r="F1051" s="1"/>
    </row>
    <row r="1052" spans="1:6">
      <c r="A1052" s="1"/>
      <c r="F1052" s="1"/>
    </row>
    <row r="1053" spans="1:6">
      <c r="A1053" s="1"/>
      <c r="F1053" s="1"/>
    </row>
    <row r="1054" spans="1:6">
      <c r="A1054" s="1"/>
      <c r="F1054" s="1"/>
    </row>
    <row r="1055" spans="1:6">
      <c r="A1055" s="1"/>
      <c r="F1055" s="1"/>
    </row>
    <row r="1056" spans="1:6">
      <c r="A1056" s="1"/>
      <c r="F1056" s="1"/>
    </row>
    <row r="1057" spans="1:6">
      <c r="A1057" s="1"/>
      <c r="F1057" s="1"/>
    </row>
    <row r="1058" spans="1:6">
      <c r="A1058" s="1"/>
      <c r="F1058" s="1"/>
    </row>
    <row r="1059" spans="1:6">
      <c r="A1059" s="1"/>
      <c r="F1059" s="1"/>
    </row>
    <row r="1060" spans="1:6">
      <c r="A1060" s="1"/>
      <c r="F1060" s="1"/>
    </row>
    <row r="1061" spans="1:6">
      <c r="A1061" s="1"/>
      <c r="F1061" s="1"/>
    </row>
    <row r="1062" spans="1:6">
      <c r="A1062" s="1"/>
      <c r="F1062" s="1"/>
    </row>
    <row r="1063" spans="1:6">
      <c r="A1063" s="1"/>
      <c r="F1063" s="1"/>
    </row>
    <row r="1064" spans="1:6">
      <c r="A1064" s="1"/>
      <c r="F1064" s="1"/>
    </row>
    <row r="1065" spans="1:6">
      <c r="A1065" s="1"/>
      <c r="F1065" s="1"/>
    </row>
    <row r="1066" spans="1:6">
      <c r="A1066" s="1"/>
      <c r="F1066" s="1"/>
    </row>
    <row r="1067" spans="1:6">
      <c r="A1067" s="1"/>
      <c r="F1067" s="1"/>
    </row>
    <row r="1068" spans="1:6">
      <c r="A1068" s="1"/>
      <c r="F1068" s="1"/>
    </row>
    <row r="1069" spans="1:6">
      <c r="A1069" s="1"/>
      <c r="F1069" s="1"/>
    </row>
    <row r="1070" spans="1:6">
      <c r="A1070" s="1"/>
      <c r="F1070" s="1"/>
    </row>
    <row r="1071" spans="1:6">
      <c r="A1071" s="1"/>
      <c r="F1071" s="1"/>
    </row>
    <row r="1072" spans="1:6">
      <c r="A1072" s="1"/>
      <c r="F1072" s="1"/>
    </row>
    <row r="1073" spans="1:6">
      <c r="A1073" s="1"/>
      <c r="F1073" s="1"/>
    </row>
    <row r="1074" spans="1:6">
      <c r="A1074" s="1"/>
      <c r="F1074" s="1"/>
    </row>
    <row r="1075" spans="1:6">
      <c r="A1075" s="1"/>
      <c r="F1075" s="1"/>
    </row>
    <row r="1076" spans="1:6">
      <c r="A1076" s="1"/>
      <c r="F1076" s="1"/>
    </row>
    <row r="1077" spans="1:6">
      <c r="A1077" s="1"/>
      <c r="F1077" s="1"/>
    </row>
    <row r="1078" spans="1:6">
      <c r="A1078" s="1"/>
      <c r="F1078" s="1"/>
    </row>
    <row r="1079" spans="1:6">
      <c r="A1079" s="1"/>
      <c r="F1079" s="1"/>
    </row>
    <row r="1080" spans="1:6">
      <c r="A1080" s="1"/>
      <c r="F1080" s="1"/>
    </row>
    <row r="1081" spans="1:6">
      <c r="A1081" s="1"/>
      <c r="F1081" s="1"/>
    </row>
    <row r="1082" spans="1:6">
      <c r="A1082" s="1"/>
      <c r="F1082" s="1"/>
    </row>
    <row r="1083" spans="1:6">
      <c r="A1083" s="1"/>
      <c r="F1083" s="1"/>
    </row>
    <row r="1084" spans="1:6">
      <c r="A1084" s="1"/>
      <c r="F1084" s="1"/>
    </row>
    <row r="1085" spans="1:6">
      <c r="A1085" s="1"/>
      <c r="F1085" s="1"/>
    </row>
    <row r="1086" spans="1:6">
      <c r="A1086" s="1"/>
      <c r="F1086" s="1"/>
    </row>
    <row r="1087" spans="1:6">
      <c r="A1087" s="1"/>
      <c r="F1087" s="1"/>
    </row>
    <row r="1088" spans="1:6">
      <c r="A1088" s="1"/>
      <c r="F1088" s="1"/>
    </row>
    <row r="1089" spans="1:6">
      <c r="A1089" s="1"/>
      <c r="F1089" s="1"/>
    </row>
    <row r="1090" spans="1:6">
      <c r="A1090" s="1"/>
      <c r="F1090" s="1"/>
    </row>
    <row r="1091" spans="1:6">
      <c r="A1091" s="1"/>
      <c r="F1091" s="1"/>
    </row>
    <row r="1092" spans="1:6">
      <c r="A1092" s="1"/>
      <c r="F1092" s="1"/>
    </row>
    <row r="1093" spans="1:6">
      <c r="A1093" s="1"/>
      <c r="F1093" s="1"/>
    </row>
    <row r="1094" spans="1:6">
      <c r="A1094" s="1"/>
      <c r="F1094" s="1"/>
    </row>
    <row r="1095" spans="1:6">
      <c r="A1095" s="1"/>
      <c r="F1095" s="1"/>
    </row>
    <row r="1096" spans="1:6">
      <c r="A1096" s="1"/>
      <c r="F1096" s="1"/>
    </row>
    <row r="1097" spans="1:6">
      <c r="A1097" s="1"/>
      <c r="F1097" s="1"/>
    </row>
    <row r="1098" spans="1:6">
      <c r="A1098" s="1"/>
      <c r="F1098" s="1"/>
    </row>
    <row r="1099" spans="1:6">
      <c r="A1099" s="1"/>
      <c r="F1099" s="1"/>
    </row>
    <row r="1100" spans="1:6">
      <c r="A1100" s="1"/>
      <c r="F1100" s="1"/>
    </row>
    <row r="1101" spans="1:6">
      <c r="A1101" s="1"/>
      <c r="F1101" s="1"/>
    </row>
    <row r="1102" spans="1:6">
      <c r="A1102" s="1"/>
      <c r="F1102" s="1"/>
    </row>
    <row r="1103" spans="1:6">
      <c r="A1103" s="1"/>
      <c r="F1103" s="1"/>
    </row>
    <row r="1104" spans="1:6">
      <c r="A1104" s="1"/>
      <c r="F1104" s="1"/>
    </row>
    <row r="1105" spans="1:6">
      <c r="A1105" s="1"/>
      <c r="F1105" s="1"/>
    </row>
    <row r="1106" spans="1:6">
      <c r="A1106" s="1"/>
      <c r="F1106" s="1"/>
    </row>
    <row r="1107" spans="1:6">
      <c r="A1107" s="1"/>
      <c r="F1107" s="1"/>
    </row>
    <row r="1108" spans="1:6">
      <c r="A1108" s="1"/>
      <c r="F1108" s="1"/>
    </row>
    <row r="1109" spans="1:6">
      <c r="A1109" s="1"/>
      <c r="F1109" s="1"/>
    </row>
    <row r="1110" spans="1:6">
      <c r="A1110" s="1"/>
      <c r="F1110" s="1"/>
    </row>
    <row r="1111" spans="1:6">
      <c r="A1111" s="1"/>
      <c r="F1111" s="1"/>
    </row>
    <row r="1112" spans="1:6">
      <c r="A1112" s="1"/>
      <c r="F1112" s="1"/>
    </row>
    <row r="1113" spans="1:6">
      <c r="A1113" s="1"/>
      <c r="F1113" s="1"/>
    </row>
    <row r="1114" spans="1:6">
      <c r="A1114" s="1"/>
      <c r="F1114" s="1"/>
    </row>
    <row r="1115" spans="1:6">
      <c r="A1115" s="1"/>
      <c r="F1115" s="1"/>
    </row>
    <row r="1116" spans="1:6">
      <c r="A1116" s="1"/>
      <c r="F1116" s="1"/>
    </row>
    <row r="1117" spans="1:6">
      <c r="A1117" s="1"/>
      <c r="F1117" s="1"/>
    </row>
    <row r="1118" spans="1:6">
      <c r="A1118" s="1"/>
      <c r="F1118" s="1"/>
    </row>
    <row r="1119" spans="1:6">
      <c r="A1119" s="1"/>
      <c r="F1119" s="1"/>
    </row>
    <row r="1120" spans="1:6">
      <c r="A1120" s="1"/>
      <c r="F1120" s="1"/>
    </row>
    <row r="1121" spans="1:6">
      <c r="A1121" s="1"/>
      <c r="F1121" s="1"/>
    </row>
    <row r="1122" spans="1:6">
      <c r="A1122" s="1"/>
      <c r="F1122" s="1"/>
    </row>
    <row r="1123" spans="1:6">
      <c r="A1123" s="1"/>
      <c r="F1123" s="1"/>
    </row>
    <row r="1124" spans="1:6">
      <c r="A1124" s="1"/>
      <c r="F1124" s="1"/>
    </row>
    <row r="1125" spans="1:6">
      <c r="A1125" s="1"/>
      <c r="F1125" s="1"/>
    </row>
    <row r="1126" spans="1:6">
      <c r="A1126" s="1"/>
      <c r="F1126" s="1"/>
    </row>
    <row r="1127" spans="1:6">
      <c r="A1127" s="1"/>
      <c r="F1127" s="1"/>
    </row>
    <row r="1128" spans="1:6">
      <c r="A1128" s="1"/>
      <c r="F1128" s="1"/>
    </row>
    <row r="1129" spans="1:6">
      <c r="A1129" s="1"/>
      <c r="F1129" s="1"/>
    </row>
    <row r="1130" spans="1:6">
      <c r="A1130" s="1"/>
      <c r="F1130" s="1"/>
    </row>
    <row r="1131" spans="1:6">
      <c r="A1131" s="1"/>
      <c r="F1131" s="1"/>
    </row>
    <row r="1132" spans="1:6">
      <c r="A1132" s="1"/>
      <c r="F1132" s="1"/>
    </row>
    <row r="1133" spans="1:6">
      <c r="A1133" s="1"/>
      <c r="F1133" s="1"/>
    </row>
    <row r="1134" spans="1:6">
      <c r="A1134" s="1"/>
      <c r="F1134" s="1"/>
    </row>
    <row r="1135" spans="1:6">
      <c r="A1135" s="1"/>
      <c r="F1135" s="1"/>
    </row>
    <row r="1136" spans="1:6">
      <c r="A1136" s="1"/>
      <c r="F1136" s="1"/>
    </row>
    <row r="1137" spans="1:6">
      <c r="A1137" s="1"/>
      <c r="F1137" s="1"/>
    </row>
    <row r="1138" spans="1:6">
      <c r="A1138" s="1"/>
      <c r="F1138" s="1"/>
    </row>
    <row r="1139" spans="1:6">
      <c r="A1139" s="1"/>
      <c r="F1139" s="1"/>
    </row>
    <row r="1140" spans="1:6">
      <c r="A1140" s="1"/>
      <c r="F1140" s="1"/>
    </row>
    <row r="1141" spans="1:6">
      <c r="A1141" s="1"/>
      <c r="F1141" s="1"/>
    </row>
    <row r="1142" spans="1:6">
      <c r="A1142" s="1"/>
      <c r="F1142" s="1"/>
    </row>
    <row r="1143" spans="1:6">
      <c r="A1143" s="1"/>
      <c r="F1143" s="1"/>
    </row>
    <row r="1144" spans="1:6">
      <c r="A1144" s="1"/>
      <c r="F1144" s="1"/>
    </row>
    <row r="1145" spans="1:6">
      <c r="A1145" s="1"/>
      <c r="F1145" s="1"/>
    </row>
    <row r="1146" spans="1:6">
      <c r="A1146" s="1"/>
      <c r="F1146" s="1"/>
    </row>
    <row r="1147" spans="1:6">
      <c r="A1147" s="1"/>
      <c r="F1147" s="1"/>
    </row>
    <row r="1148" spans="1:6">
      <c r="A1148" s="1"/>
      <c r="F1148" s="1"/>
    </row>
    <row r="1149" spans="1:6">
      <c r="A1149" s="1"/>
      <c r="F1149" s="1"/>
    </row>
    <row r="1150" spans="1:6">
      <c r="A1150" s="1"/>
      <c r="F1150" s="1"/>
    </row>
    <row r="1151" spans="1:6">
      <c r="A1151" s="1"/>
      <c r="F1151" s="1"/>
    </row>
    <row r="1152" spans="1:6">
      <c r="A1152" s="1"/>
      <c r="F1152" s="1"/>
    </row>
    <row r="1153" spans="1:6">
      <c r="A1153" s="1"/>
      <c r="F1153" s="1"/>
    </row>
    <row r="1154" spans="1:6">
      <c r="A1154" s="1"/>
      <c r="F1154" s="1"/>
    </row>
    <row r="1155" spans="1:6">
      <c r="A1155" s="1"/>
      <c r="F1155" s="1"/>
    </row>
    <row r="1156" spans="1:6">
      <c r="A1156" s="1"/>
      <c r="F1156" s="1"/>
    </row>
    <row r="1157" spans="1:6">
      <c r="A1157" s="1"/>
      <c r="F1157" s="1"/>
    </row>
    <row r="1158" spans="1:6">
      <c r="A1158" s="1"/>
      <c r="F1158" s="1"/>
    </row>
    <row r="1159" spans="1:6">
      <c r="A1159" s="1"/>
      <c r="F1159" s="1"/>
    </row>
    <row r="1160" spans="1:6">
      <c r="A1160" s="1"/>
      <c r="F1160" s="1"/>
    </row>
    <row r="1161" spans="1:6">
      <c r="A1161" s="1"/>
      <c r="F1161" s="1"/>
    </row>
    <row r="1162" spans="1:6">
      <c r="A1162" s="1"/>
      <c r="F1162" s="1"/>
    </row>
    <row r="1163" spans="1:6">
      <c r="A1163" s="1"/>
      <c r="F1163" s="1"/>
    </row>
    <row r="1164" spans="1:6">
      <c r="A1164" s="1"/>
      <c r="F1164" s="1"/>
    </row>
    <row r="1165" spans="1:6">
      <c r="A1165" s="1"/>
      <c r="F1165" s="1"/>
    </row>
    <row r="1166" spans="1:6">
      <c r="A1166" s="1"/>
      <c r="F1166" s="1"/>
    </row>
    <row r="1167" spans="1:6">
      <c r="A1167" s="1"/>
      <c r="F1167" s="1"/>
    </row>
    <row r="1168" spans="1:6">
      <c r="A1168" s="1"/>
      <c r="F1168" s="1"/>
    </row>
    <row r="1169" spans="1:6">
      <c r="A1169" s="1"/>
      <c r="F1169" s="1"/>
    </row>
    <row r="1170" spans="1:6">
      <c r="A1170" s="1"/>
      <c r="F1170" s="1"/>
    </row>
    <row r="1171" spans="1:6">
      <c r="A1171" s="1"/>
      <c r="F1171" s="1"/>
    </row>
    <row r="1172" spans="1:6">
      <c r="A1172" s="1"/>
      <c r="F1172" s="1"/>
    </row>
    <row r="1173" spans="1:6">
      <c r="A1173" s="1"/>
      <c r="F1173" s="1"/>
    </row>
    <row r="1174" spans="1:6">
      <c r="A1174" s="1"/>
      <c r="F1174" s="1"/>
    </row>
    <row r="1175" spans="1:6">
      <c r="A1175" s="1"/>
      <c r="F1175" s="1"/>
    </row>
    <row r="1176" spans="1:6">
      <c r="A1176" s="1"/>
      <c r="F1176" s="1"/>
    </row>
    <row r="1177" spans="1:6">
      <c r="A1177" s="1"/>
      <c r="F1177" s="1"/>
    </row>
    <row r="1178" spans="1:6">
      <c r="A1178" s="1"/>
      <c r="F1178" s="1"/>
    </row>
    <row r="1179" spans="1:6">
      <c r="A1179" s="1"/>
      <c r="F1179" s="1"/>
    </row>
    <row r="1180" spans="1:6">
      <c r="A1180" s="1"/>
      <c r="F1180" s="1"/>
    </row>
    <row r="1181" spans="1:6">
      <c r="A1181" s="1"/>
      <c r="F1181" s="1"/>
    </row>
    <row r="1182" spans="1:6">
      <c r="A1182" s="1"/>
      <c r="F1182" s="1"/>
    </row>
    <row r="1183" spans="1:6">
      <c r="A1183" s="1"/>
      <c r="F1183" s="1"/>
    </row>
    <row r="1184" spans="1:6">
      <c r="A1184" s="1"/>
      <c r="F1184" s="1"/>
    </row>
    <row r="1185" spans="1:6">
      <c r="A1185" s="1"/>
      <c r="F1185" s="1"/>
    </row>
    <row r="1186" spans="1:6">
      <c r="A1186" s="1"/>
      <c r="F1186" s="1"/>
    </row>
    <row r="1187" spans="1:6">
      <c r="A1187" s="1"/>
      <c r="F1187" s="1"/>
    </row>
    <row r="1188" spans="1:6">
      <c r="A1188" s="1"/>
      <c r="F1188" s="1"/>
    </row>
    <row r="1189" spans="1:6">
      <c r="A1189" s="1"/>
      <c r="F1189" s="1"/>
    </row>
    <row r="1190" spans="1:6">
      <c r="A1190" s="1"/>
      <c r="F1190" s="1"/>
    </row>
    <row r="1191" spans="1:6">
      <c r="A1191" s="1"/>
      <c r="F1191" s="1"/>
    </row>
    <row r="1192" spans="1:6">
      <c r="A1192" s="1"/>
      <c r="F1192" s="1"/>
    </row>
    <row r="1193" spans="1:6">
      <c r="A1193" s="1"/>
      <c r="F1193" s="1"/>
    </row>
    <row r="1194" spans="1:6">
      <c r="A1194" s="1"/>
      <c r="F1194" s="1"/>
    </row>
    <row r="1195" spans="1:6">
      <c r="A1195" s="1"/>
      <c r="F1195" s="1"/>
    </row>
    <row r="1196" spans="1:6">
      <c r="A1196" s="1"/>
      <c r="F1196" s="1"/>
    </row>
    <row r="1197" spans="1:6">
      <c r="A1197" s="1"/>
      <c r="F1197" s="1"/>
    </row>
    <row r="1198" spans="1:6">
      <c r="A1198" s="1"/>
      <c r="F1198" s="1"/>
    </row>
    <row r="1199" spans="1:6">
      <c r="A1199" s="1"/>
      <c r="F1199" s="1"/>
    </row>
    <row r="1200" spans="1:6">
      <c r="A1200" s="1"/>
      <c r="F1200" s="1"/>
    </row>
    <row r="1201" spans="1:6">
      <c r="A1201" s="1"/>
      <c r="F1201" s="1"/>
    </row>
    <row r="1202" spans="1:6">
      <c r="A1202" s="1"/>
      <c r="F1202" s="1"/>
    </row>
    <row r="1203" spans="1:6">
      <c r="A1203" s="1"/>
      <c r="F1203" s="1"/>
    </row>
    <row r="1204" spans="1:6">
      <c r="A1204" s="1"/>
      <c r="F1204" s="1"/>
    </row>
    <row r="1205" spans="1:6">
      <c r="A1205" s="1"/>
      <c r="F1205" s="1"/>
    </row>
    <row r="1206" spans="1:6">
      <c r="A1206" s="1"/>
      <c r="F1206" s="1"/>
    </row>
    <row r="1207" spans="1:6">
      <c r="A1207" s="1"/>
      <c r="F1207" s="1"/>
    </row>
    <row r="1208" spans="1:6">
      <c r="A1208" s="1"/>
      <c r="F1208" s="1"/>
    </row>
    <row r="1209" spans="1:6">
      <c r="A1209" s="1"/>
      <c r="F1209" s="1"/>
    </row>
    <row r="1210" spans="1:6">
      <c r="A1210" s="1"/>
      <c r="F1210" s="1"/>
    </row>
    <row r="1211" spans="1:6">
      <c r="A1211" s="1"/>
      <c r="F1211" s="1"/>
    </row>
    <row r="1212" spans="1:6">
      <c r="A1212" s="1"/>
      <c r="F1212" s="1"/>
    </row>
    <row r="1213" spans="1:6">
      <c r="A1213" s="1"/>
      <c r="F1213" s="1"/>
    </row>
    <row r="1214" spans="1:6">
      <c r="A1214" s="1"/>
      <c r="F1214" s="1"/>
    </row>
    <row r="1215" spans="1:6">
      <c r="A1215" s="1"/>
      <c r="F1215" s="1"/>
    </row>
    <row r="1216" spans="1:6">
      <c r="A1216" s="1"/>
      <c r="F1216" s="1"/>
    </row>
    <row r="1217" spans="1:6">
      <c r="A1217" s="1"/>
      <c r="F1217" s="1"/>
    </row>
    <row r="1218" spans="1:6">
      <c r="A1218" s="1"/>
      <c r="F1218" s="1"/>
    </row>
    <row r="1219" spans="1:6">
      <c r="A1219" s="1"/>
      <c r="F1219" s="1"/>
    </row>
    <row r="1220" spans="1:6">
      <c r="A1220" s="1"/>
      <c r="F1220" s="1"/>
    </row>
    <row r="1221" spans="1:6">
      <c r="A1221" s="1"/>
      <c r="F1221" s="1"/>
    </row>
    <row r="1222" spans="1:6">
      <c r="A1222" s="1"/>
      <c r="F1222" s="1"/>
    </row>
    <row r="1223" spans="1:6">
      <c r="A1223" s="1"/>
      <c r="F1223" s="1"/>
    </row>
    <row r="1224" spans="1:6">
      <c r="A1224" s="1"/>
      <c r="F1224" s="1"/>
    </row>
    <row r="1225" spans="1:6">
      <c r="A1225" s="1"/>
      <c r="F1225" s="1"/>
    </row>
    <row r="1226" spans="1:6">
      <c r="A1226" s="1"/>
      <c r="F1226" s="1"/>
    </row>
    <row r="1227" spans="1:6">
      <c r="A1227" s="1"/>
      <c r="F1227" s="1"/>
    </row>
    <row r="1228" spans="1:6">
      <c r="A1228" s="1"/>
      <c r="F1228" s="1"/>
    </row>
    <row r="1229" spans="1:6">
      <c r="A1229" s="1"/>
      <c r="F1229" s="1"/>
    </row>
    <row r="1230" spans="1:6">
      <c r="A1230" s="1"/>
      <c r="F1230" s="1"/>
    </row>
    <row r="1231" spans="1:6">
      <c r="A1231" s="1"/>
      <c r="F1231" s="1"/>
    </row>
    <row r="1232" spans="1:6">
      <c r="A1232" s="1"/>
      <c r="F1232" s="1"/>
    </row>
    <row r="1233" spans="1:6">
      <c r="A1233" s="1"/>
      <c r="F1233" s="1"/>
    </row>
    <row r="1234" spans="1:6">
      <c r="A1234" s="1"/>
      <c r="F1234" s="1"/>
    </row>
    <row r="1235" spans="1:6">
      <c r="A1235" s="1"/>
      <c r="F1235" s="1"/>
    </row>
    <row r="1236" spans="1:6">
      <c r="A1236" s="1"/>
      <c r="F1236" s="1"/>
    </row>
    <row r="1237" spans="1:6">
      <c r="A1237" s="1"/>
      <c r="F1237" s="1"/>
    </row>
    <row r="1238" spans="1:6">
      <c r="A1238" s="1"/>
      <c r="F1238" s="1"/>
    </row>
    <row r="1239" spans="1:6">
      <c r="A1239" s="1"/>
      <c r="F1239" s="1"/>
    </row>
    <row r="1240" spans="1:6">
      <c r="A1240" s="1"/>
      <c r="F1240" s="1"/>
    </row>
    <row r="1241" spans="1:6">
      <c r="A1241" s="1"/>
      <c r="F1241" s="1"/>
    </row>
    <row r="1242" spans="1:6">
      <c r="A1242" s="1"/>
      <c r="F1242" s="1"/>
    </row>
    <row r="1243" spans="1:6">
      <c r="A1243" s="1"/>
      <c r="F1243" s="1"/>
    </row>
    <row r="1244" spans="1:6">
      <c r="A1244" s="1"/>
      <c r="F1244" s="1"/>
    </row>
    <row r="1245" spans="1:6">
      <c r="A1245" s="1"/>
      <c r="F1245" s="1"/>
    </row>
    <row r="1246" spans="1:6">
      <c r="A1246" s="1"/>
      <c r="F1246" s="1"/>
    </row>
    <row r="1247" spans="1:6">
      <c r="A1247" s="1"/>
      <c r="F1247" s="1"/>
    </row>
    <row r="1248" spans="1:6">
      <c r="A1248" s="1"/>
      <c r="F1248" s="1"/>
    </row>
    <row r="1249" spans="1:6">
      <c r="A1249" s="1"/>
      <c r="F1249" s="1"/>
    </row>
    <row r="1250" spans="1:6">
      <c r="A1250" s="1"/>
      <c r="F1250" s="1"/>
    </row>
    <row r="1251" spans="1:6">
      <c r="A1251" s="1"/>
      <c r="F1251" s="1"/>
    </row>
    <row r="1252" spans="1:6">
      <c r="A1252" s="1"/>
      <c r="F1252" s="1"/>
    </row>
    <row r="1253" spans="1:6">
      <c r="A1253" s="1"/>
      <c r="F1253" s="1"/>
    </row>
    <row r="1254" spans="1:6">
      <c r="A1254" s="1"/>
      <c r="F1254" s="1"/>
    </row>
    <row r="1255" spans="1:6">
      <c r="A1255" s="1"/>
      <c r="F1255" s="1"/>
    </row>
    <row r="1256" spans="1:6">
      <c r="A1256" s="1"/>
      <c r="F1256" s="1"/>
    </row>
    <row r="1257" spans="1:6">
      <c r="A1257" s="1"/>
      <c r="F1257" s="1"/>
    </row>
    <row r="1258" spans="1:6">
      <c r="A1258" s="1"/>
      <c r="F1258" s="1"/>
    </row>
    <row r="1259" spans="1:6">
      <c r="A1259" s="1"/>
      <c r="F1259" s="1"/>
    </row>
    <row r="1260" spans="1:6">
      <c r="A1260" s="1"/>
      <c r="F1260" s="1"/>
    </row>
    <row r="1261" spans="1:6">
      <c r="A1261" s="1"/>
      <c r="F1261" s="1"/>
    </row>
    <row r="1262" spans="1:6">
      <c r="A1262" s="1"/>
      <c r="F1262" s="1"/>
    </row>
    <row r="1263" spans="1:6">
      <c r="A1263" s="1"/>
      <c r="F1263" s="1"/>
    </row>
    <row r="1264" spans="1:6">
      <c r="A1264" s="1"/>
      <c r="F1264" s="1"/>
    </row>
    <row r="1265" spans="1:6">
      <c r="A1265" s="1"/>
      <c r="F1265" s="1"/>
    </row>
    <row r="1266" spans="1:6">
      <c r="A1266" s="1"/>
      <c r="F1266" s="1"/>
    </row>
    <row r="1267" spans="1:6">
      <c r="A1267" s="1"/>
      <c r="F1267" s="1"/>
    </row>
    <row r="1268" spans="1:6">
      <c r="A1268" s="1"/>
      <c r="F1268" s="1"/>
    </row>
    <row r="1269" spans="1:6">
      <c r="A1269" s="1"/>
      <c r="F1269" s="1"/>
    </row>
    <row r="1270" spans="1:6">
      <c r="A1270" s="1"/>
      <c r="F1270" s="1"/>
    </row>
    <row r="1271" spans="1:6">
      <c r="A1271" s="1"/>
      <c r="F1271" s="1"/>
    </row>
    <row r="1272" spans="1:6">
      <c r="A1272" s="1"/>
      <c r="F1272" s="1"/>
    </row>
    <row r="1273" spans="1:6">
      <c r="A1273" s="1"/>
      <c r="F1273" s="1"/>
    </row>
    <row r="1274" spans="1:6">
      <c r="A1274" s="1"/>
      <c r="F1274" s="1"/>
    </row>
    <row r="1275" spans="1:6">
      <c r="A1275" s="1"/>
      <c r="F1275" s="1"/>
    </row>
    <row r="1276" spans="1:6">
      <c r="A1276" s="1"/>
      <c r="F1276" s="1"/>
    </row>
    <row r="1277" spans="1:6">
      <c r="A1277" s="1"/>
      <c r="F1277" s="1"/>
    </row>
    <row r="1278" spans="1:6">
      <c r="A1278" s="1"/>
      <c r="F1278" s="1"/>
    </row>
    <row r="1279" spans="1:6">
      <c r="A1279" s="1"/>
      <c r="F1279" s="1"/>
    </row>
    <row r="1280" spans="1:6">
      <c r="A1280" s="1"/>
      <c r="F1280" s="1"/>
    </row>
    <row r="1281" spans="1:6">
      <c r="A1281" s="1"/>
      <c r="F1281" s="1"/>
    </row>
    <row r="1282" spans="1:6">
      <c r="A1282" s="1"/>
      <c r="F1282" s="1"/>
    </row>
    <row r="1283" spans="1:6">
      <c r="A1283" s="1"/>
      <c r="F1283" s="1"/>
    </row>
    <row r="1284" spans="1:6">
      <c r="A1284" s="1"/>
      <c r="F1284" s="1"/>
    </row>
    <row r="1285" spans="1:6">
      <c r="A1285" s="1"/>
      <c r="F1285" s="1"/>
    </row>
    <row r="1286" spans="1:6">
      <c r="A1286" s="1"/>
      <c r="F1286" s="1"/>
    </row>
    <row r="1287" spans="1:6">
      <c r="A1287" s="1"/>
      <c r="F1287" s="1"/>
    </row>
    <row r="1288" spans="1:6">
      <c r="A1288" s="1"/>
      <c r="F1288" s="1"/>
    </row>
    <row r="1289" spans="1:6">
      <c r="A1289" s="1"/>
      <c r="F1289" s="1"/>
    </row>
    <row r="1290" spans="1:6">
      <c r="A1290" s="1"/>
      <c r="F1290" s="1"/>
    </row>
    <row r="1291" spans="1:6">
      <c r="A1291" s="1"/>
      <c r="F1291" s="1"/>
    </row>
    <row r="1292" spans="1:6">
      <c r="A1292" s="1"/>
      <c r="F1292" s="1"/>
    </row>
    <row r="1293" spans="1:6">
      <c r="A1293" s="1"/>
      <c r="F1293" s="1"/>
    </row>
    <row r="1294" spans="1:6">
      <c r="A1294" s="1"/>
      <c r="F1294" s="1"/>
    </row>
    <row r="1295" spans="1:6">
      <c r="A1295" s="1"/>
      <c r="F1295" s="1"/>
    </row>
    <row r="1296" spans="1:6">
      <c r="A1296" s="1"/>
      <c r="F1296" s="1"/>
    </row>
    <row r="1297" spans="1:6">
      <c r="A1297" s="1"/>
      <c r="F1297" s="1"/>
    </row>
    <row r="1298" spans="1:6">
      <c r="A1298" s="1"/>
      <c r="F1298" s="1"/>
    </row>
    <row r="1299" spans="1:6">
      <c r="A1299" s="1"/>
      <c r="F1299" s="1"/>
    </row>
    <row r="1300" spans="1:6">
      <c r="A1300" s="1"/>
      <c r="F1300" s="1"/>
    </row>
    <row r="1301" spans="1:6">
      <c r="A1301" s="1"/>
      <c r="F1301" s="1"/>
    </row>
    <row r="1302" spans="1:6">
      <c r="A1302" s="1"/>
      <c r="F1302" s="1"/>
    </row>
    <row r="1303" spans="1:6">
      <c r="A1303" s="1"/>
      <c r="F1303" s="1"/>
    </row>
    <row r="1304" spans="1:6">
      <c r="A1304" s="1"/>
      <c r="F1304" s="1"/>
    </row>
    <row r="1305" spans="1:6">
      <c r="A1305" s="1"/>
      <c r="F1305" s="1"/>
    </row>
    <row r="1306" spans="1:6">
      <c r="A1306" s="1"/>
      <c r="F1306" s="1"/>
    </row>
    <row r="1307" spans="1:6">
      <c r="A1307" s="1"/>
      <c r="F1307" s="1"/>
    </row>
    <row r="1308" spans="1:6">
      <c r="A1308" s="1"/>
      <c r="F1308" s="1"/>
    </row>
    <row r="1309" spans="1:6">
      <c r="A1309" s="1"/>
      <c r="F1309" s="1"/>
    </row>
    <row r="1310" spans="1:6">
      <c r="A1310" s="1"/>
      <c r="F1310" s="1"/>
    </row>
    <row r="1311" spans="1:6">
      <c r="A1311" s="1"/>
      <c r="F1311" s="1"/>
    </row>
    <row r="1312" spans="1:6">
      <c r="A1312" s="1"/>
      <c r="F1312" s="1"/>
    </row>
    <row r="1313" spans="1:6">
      <c r="A1313" s="1"/>
      <c r="F1313" s="1"/>
    </row>
    <row r="1314" spans="1:6">
      <c r="A1314" s="1"/>
      <c r="F1314" s="1"/>
    </row>
    <row r="1315" spans="1:6">
      <c r="A1315" s="1"/>
      <c r="F1315" s="1"/>
    </row>
    <row r="1316" spans="1:6">
      <c r="A1316" s="1"/>
      <c r="F1316" s="1"/>
    </row>
    <row r="1317" spans="1:6">
      <c r="A1317" s="1"/>
      <c r="F1317" s="1"/>
    </row>
    <row r="1318" spans="1:6">
      <c r="A1318" s="1"/>
      <c r="F1318" s="1"/>
    </row>
    <row r="1319" spans="1:6">
      <c r="A1319" s="1"/>
      <c r="F1319" s="1"/>
    </row>
    <row r="1320" spans="1:6">
      <c r="A1320" s="1"/>
      <c r="F1320" s="1"/>
    </row>
    <row r="1321" spans="1:6">
      <c r="A1321" s="1"/>
      <c r="F1321" s="1"/>
    </row>
    <row r="1322" spans="1:6">
      <c r="A1322" s="1"/>
      <c r="F1322" s="1"/>
    </row>
    <row r="1323" spans="1:6">
      <c r="A1323" s="1"/>
      <c r="F1323" s="1"/>
    </row>
    <row r="1324" spans="1:6">
      <c r="A1324" s="1"/>
      <c r="F1324" s="1"/>
    </row>
    <row r="1325" spans="1:6">
      <c r="A1325" s="1"/>
      <c r="F1325" s="1"/>
    </row>
    <row r="1326" spans="1:6">
      <c r="A1326" s="1"/>
      <c r="F1326" s="1"/>
    </row>
    <row r="1327" spans="1:6">
      <c r="A1327" s="1"/>
      <c r="F1327" s="1"/>
    </row>
    <row r="1328" spans="1:6">
      <c r="A1328" s="1"/>
      <c r="F1328" s="1"/>
    </row>
    <row r="1329" spans="1:6">
      <c r="A1329" s="1"/>
      <c r="F1329" s="1"/>
    </row>
    <row r="1330" spans="1:6">
      <c r="A1330" s="1"/>
      <c r="F1330" s="1"/>
    </row>
    <row r="1331" spans="1:6">
      <c r="A1331" s="1"/>
      <c r="F1331" s="1"/>
    </row>
    <row r="1332" spans="1:6">
      <c r="A1332" s="1"/>
      <c r="F1332" s="1"/>
    </row>
    <row r="1333" spans="1:6">
      <c r="A1333" s="1"/>
      <c r="F1333" s="1"/>
    </row>
    <row r="1334" spans="1:6">
      <c r="A1334" s="1"/>
      <c r="F1334" s="1"/>
    </row>
    <row r="1335" spans="1:6">
      <c r="A1335" s="1"/>
      <c r="F1335" s="1"/>
    </row>
    <row r="1336" spans="1:6">
      <c r="A1336" s="1"/>
      <c r="F1336" s="1"/>
    </row>
    <row r="1337" spans="1:6">
      <c r="A1337" s="1"/>
      <c r="F1337" s="1"/>
    </row>
    <row r="1338" spans="1:6">
      <c r="A1338" s="1"/>
      <c r="F1338" s="1"/>
    </row>
    <row r="1339" spans="1:6">
      <c r="A1339" s="1"/>
      <c r="F1339" s="1"/>
    </row>
    <row r="1340" spans="1:6">
      <c r="A1340" s="1"/>
      <c r="F1340" s="1"/>
    </row>
    <row r="1341" spans="1:6">
      <c r="A1341" s="1"/>
      <c r="F1341" s="1"/>
    </row>
    <row r="1342" spans="1:6">
      <c r="A1342" s="1"/>
      <c r="F1342" s="1"/>
    </row>
    <row r="1343" spans="1:6">
      <c r="A1343" s="1"/>
      <c r="F1343" s="1"/>
    </row>
    <row r="1344" spans="1:6">
      <c r="A1344" s="1"/>
      <c r="F1344" s="1"/>
    </row>
    <row r="1345" spans="1:6">
      <c r="A1345" s="1"/>
      <c r="F1345" s="1"/>
    </row>
    <row r="1346" spans="1:6">
      <c r="A1346" s="1"/>
      <c r="F1346" s="1"/>
    </row>
    <row r="1347" spans="1:6">
      <c r="A1347" s="1"/>
      <c r="F1347" s="1"/>
    </row>
    <row r="1348" spans="1:6">
      <c r="A1348" s="1"/>
      <c r="F1348" s="1"/>
    </row>
    <row r="1349" spans="1:6">
      <c r="A1349" s="1"/>
      <c r="F1349" s="1"/>
    </row>
    <row r="1350" spans="1:6">
      <c r="A1350" s="1"/>
      <c r="F1350" s="1"/>
    </row>
    <row r="1351" spans="1:6">
      <c r="A1351" s="1"/>
      <c r="F1351" s="1"/>
    </row>
    <row r="1352" spans="1:6">
      <c r="A1352" s="1"/>
      <c r="F1352" s="1"/>
    </row>
    <row r="1353" spans="1:6">
      <c r="A1353" s="1"/>
      <c r="F1353" s="1"/>
    </row>
    <row r="1354" spans="1:6">
      <c r="A1354" s="1"/>
      <c r="F1354" s="1"/>
    </row>
    <row r="1355" spans="1:6">
      <c r="A1355" s="1"/>
      <c r="F1355" s="1"/>
    </row>
    <row r="1356" spans="1:6">
      <c r="A1356" s="1"/>
      <c r="F1356" s="1"/>
    </row>
    <row r="1357" spans="1:6">
      <c r="A1357" s="1"/>
      <c r="F1357" s="1"/>
    </row>
    <row r="1358" spans="1:6">
      <c r="A1358" s="1"/>
      <c r="F1358" s="1"/>
    </row>
    <row r="1359" spans="1:6">
      <c r="A1359" s="1"/>
      <c r="F1359" s="1"/>
    </row>
    <row r="1360" spans="1:6">
      <c r="A1360" s="1"/>
      <c r="F1360" s="1"/>
    </row>
    <row r="1361" spans="1:6">
      <c r="A1361" s="1"/>
      <c r="F1361" s="1"/>
    </row>
    <row r="1362" spans="1:6">
      <c r="A1362" s="1"/>
      <c r="F1362" s="1"/>
    </row>
    <row r="1363" spans="1:6">
      <c r="A1363" s="1"/>
      <c r="F1363" s="1"/>
    </row>
    <row r="1364" spans="1:6">
      <c r="A1364" s="1"/>
      <c r="F1364" s="1"/>
    </row>
    <row r="1365" spans="1:6">
      <c r="A1365" s="1"/>
      <c r="F1365" s="1"/>
    </row>
    <row r="1366" spans="1:6">
      <c r="A1366" s="1"/>
      <c r="F1366" s="1"/>
    </row>
    <row r="1367" spans="1:6">
      <c r="A1367" s="1"/>
      <c r="F1367" s="1"/>
    </row>
    <row r="1368" spans="1:6">
      <c r="A1368" s="1"/>
      <c r="F1368" s="1"/>
    </row>
    <row r="1369" spans="1:6">
      <c r="A1369" s="1"/>
      <c r="F1369" s="1"/>
    </row>
    <row r="1370" spans="1:6">
      <c r="A1370" s="1"/>
      <c r="F1370" s="1"/>
    </row>
    <row r="1371" spans="1:6">
      <c r="A1371" s="1"/>
      <c r="F1371" s="1"/>
    </row>
    <row r="1372" spans="1:6">
      <c r="A1372" s="1"/>
      <c r="F1372" s="1"/>
    </row>
    <row r="1373" spans="1:6">
      <c r="A1373" s="1"/>
      <c r="F1373" s="1"/>
    </row>
    <row r="1374" spans="1:6">
      <c r="A1374" s="1"/>
      <c r="F1374" s="1"/>
    </row>
    <row r="1375" spans="1:6">
      <c r="A1375" s="1"/>
      <c r="F1375" s="1"/>
    </row>
    <row r="1376" spans="1:6">
      <c r="A1376" s="1"/>
      <c r="F1376" s="1"/>
    </row>
    <row r="1377" spans="1:6">
      <c r="A1377" s="1"/>
      <c r="F1377" s="1"/>
    </row>
    <row r="1378" spans="1:6">
      <c r="A1378" s="1"/>
      <c r="F1378" s="1"/>
    </row>
    <row r="1379" spans="1:6">
      <c r="A1379" s="1"/>
      <c r="F1379" s="1"/>
    </row>
    <row r="1380" spans="1:6">
      <c r="A1380" s="1"/>
      <c r="F1380" s="1"/>
    </row>
    <row r="1381" spans="1:6">
      <c r="A1381" s="1"/>
      <c r="F1381" s="1"/>
    </row>
    <row r="1382" spans="1:6">
      <c r="A1382" s="1"/>
      <c r="F1382" s="1"/>
    </row>
    <row r="1383" spans="1:6">
      <c r="A1383" s="1"/>
      <c r="F1383" s="1"/>
    </row>
    <row r="1384" spans="1:6">
      <c r="A1384" s="1"/>
      <c r="F1384" s="1"/>
    </row>
    <row r="1385" spans="1:6">
      <c r="A1385" s="1"/>
      <c r="F1385" s="1"/>
    </row>
    <row r="1386" spans="1:6">
      <c r="A1386" s="1"/>
      <c r="F1386" s="1"/>
    </row>
    <row r="1387" spans="1:6">
      <c r="A1387" s="1"/>
      <c r="F1387" s="1"/>
    </row>
    <row r="1388" spans="1:6">
      <c r="A1388" s="1"/>
      <c r="F1388" s="1"/>
    </row>
    <row r="1389" spans="1:6">
      <c r="A1389" s="1"/>
      <c r="F1389" s="1"/>
    </row>
    <row r="1390" spans="1:6">
      <c r="A1390" s="1"/>
      <c r="F1390" s="1"/>
    </row>
    <row r="1391" spans="1:6">
      <c r="A1391" s="1"/>
      <c r="F1391" s="1"/>
    </row>
    <row r="1392" spans="1:6">
      <c r="A1392" s="1"/>
      <c r="F1392" s="1"/>
    </row>
    <row r="1393" spans="1:6">
      <c r="A1393" s="1"/>
      <c r="F1393" s="1"/>
    </row>
    <row r="1394" spans="1:6">
      <c r="A1394" s="1"/>
      <c r="F1394" s="1"/>
    </row>
    <row r="1395" spans="1:6">
      <c r="A1395" s="1"/>
      <c r="F1395" s="1"/>
    </row>
    <row r="1396" spans="1:6">
      <c r="A1396" s="1"/>
      <c r="F1396" s="1"/>
    </row>
    <row r="1397" spans="1:6">
      <c r="A1397" s="1"/>
      <c r="F1397" s="1"/>
    </row>
    <row r="1398" spans="1:6">
      <c r="A1398" s="1"/>
      <c r="F1398" s="1"/>
    </row>
    <row r="1399" spans="1:6">
      <c r="A1399" s="1"/>
      <c r="F1399" s="1"/>
    </row>
    <row r="1400" spans="1:6">
      <c r="A1400" s="1"/>
      <c r="F1400" s="1"/>
    </row>
    <row r="1401" spans="1:6">
      <c r="A1401" s="1"/>
      <c r="F1401" s="1"/>
    </row>
    <row r="1402" spans="1:6">
      <c r="A1402" s="1"/>
      <c r="F1402" s="1"/>
    </row>
    <row r="1403" spans="1:6">
      <c r="A1403" s="1"/>
      <c r="F1403" s="1"/>
    </row>
    <row r="1404" spans="1:6">
      <c r="A1404" s="1"/>
      <c r="F1404" s="1"/>
    </row>
    <row r="1405" spans="1:6">
      <c r="A1405" s="1"/>
      <c r="F1405" s="1"/>
    </row>
    <row r="1406" spans="1:6">
      <c r="A1406" s="1"/>
      <c r="F1406" s="1"/>
    </row>
    <row r="1407" spans="1:6">
      <c r="A1407" s="1"/>
      <c r="F1407" s="1"/>
    </row>
    <row r="1408" spans="1:6">
      <c r="A1408" s="1"/>
      <c r="F1408" s="1"/>
    </row>
    <row r="1409" spans="1:6">
      <c r="A1409" s="1"/>
      <c r="F1409" s="1"/>
    </row>
    <row r="1410" spans="1:6">
      <c r="A1410" s="1"/>
      <c r="F1410" s="1"/>
    </row>
    <row r="1411" spans="1:6">
      <c r="A1411" s="1"/>
      <c r="F1411" s="1"/>
    </row>
    <row r="1412" spans="1:6">
      <c r="A1412" s="1"/>
      <c r="F1412" s="1"/>
    </row>
    <row r="1413" spans="1:6">
      <c r="A1413" s="1"/>
      <c r="F1413" s="1"/>
    </row>
    <row r="1414" spans="1:6">
      <c r="A1414" s="1"/>
      <c r="F1414" s="1"/>
    </row>
    <row r="1415" spans="1:6">
      <c r="A1415" s="1"/>
      <c r="F1415" s="1"/>
    </row>
    <row r="1416" spans="1:6">
      <c r="A1416" s="1"/>
      <c r="F1416" s="1"/>
    </row>
    <row r="1417" spans="1:6">
      <c r="A1417" s="1"/>
      <c r="F1417" s="1"/>
    </row>
    <row r="1418" spans="1:6">
      <c r="A1418" s="1"/>
      <c r="F1418" s="1"/>
    </row>
    <row r="1419" spans="1:6">
      <c r="A1419" s="1"/>
      <c r="F1419" s="1"/>
    </row>
    <row r="1420" spans="1:6">
      <c r="A1420" s="1"/>
      <c r="F1420" s="1"/>
    </row>
    <row r="1421" spans="1:6">
      <c r="A1421" s="1"/>
      <c r="F1421" s="1"/>
    </row>
    <row r="1422" spans="1:6">
      <c r="A1422" s="1"/>
      <c r="F1422" s="1"/>
    </row>
    <row r="1423" spans="1:6">
      <c r="A1423" s="1"/>
      <c r="F1423" s="1"/>
    </row>
    <row r="1424" spans="1:6">
      <c r="A1424" s="1"/>
      <c r="F1424" s="1"/>
    </row>
    <row r="1425" spans="1:6">
      <c r="A1425" s="1"/>
      <c r="F1425" s="1"/>
    </row>
    <row r="1426" spans="1:6">
      <c r="A1426" s="1"/>
      <c r="F1426" s="1"/>
    </row>
    <row r="1427" spans="1:6">
      <c r="A1427" s="1"/>
      <c r="F1427" s="1"/>
    </row>
    <row r="1428" spans="1:6">
      <c r="A1428" s="1"/>
      <c r="F1428" s="1"/>
    </row>
    <row r="1429" spans="1:6">
      <c r="A1429" s="1"/>
      <c r="F1429" s="1"/>
    </row>
    <row r="1430" spans="1:6">
      <c r="A1430" s="1"/>
      <c r="F1430" s="1"/>
    </row>
    <row r="1431" spans="1:6">
      <c r="A1431" s="1"/>
      <c r="F1431" s="1"/>
    </row>
    <row r="1432" spans="1:6">
      <c r="A1432" s="1"/>
      <c r="F1432" s="1"/>
    </row>
    <row r="1433" spans="1:6">
      <c r="A1433" s="1"/>
      <c r="F1433" s="1"/>
    </row>
    <row r="1434" spans="1:6">
      <c r="A1434" s="1"/>
      <c r="F1434" s="1"/>
    </row>
    <row r="1435" spans="1:6">
      <c r="A1435" s="1"/>
      <c r="F1435" s="1"/>
    </row>
    <row r="1436" spans="1:6">
      <c r="A1436" s="1"/>
      <c r="D1436" s="7"/>
      <c r="F1436" s="1"/>
    </row>
    <row r="1437" spans="1:6">
      <c r="A1437" s="1"/>
      <c r="F1437" s="1"/>
    </row>
    <row r="1438" spans="1:6">
      <c r="A1438" s="1"/>
      <c r="F1438" s="1"/>
    </row>
    <row r="1439" spans="1:6">
      <c r="A1439" s="1"/>
      <c r="F1439" s="1"/>
    </row>
    <row r="1440" spans="1:6">
      <c r="A1440" s="1"/>
      <c r="F1440" s="1"/>
    </row>
    <row r="1441" spans="1:6">
      <c r="A1441" s="1"/>
      <c r="F1441" s="1"/>
    </row>
    <row r="1442" spans="1:6">
      <c r="A1442" s="1"/>
      <c r="F1442" s="1"/>
    </row>
    <row r="1443" spans="1:6">
      <c r="A1443" s="1"/>
      <c r="F1443" s="1"/>
    </row>
    <row r="1444" spans="1:6">
      <c r="A1444" s="1"/>
      <c r="F1444" s="1"/>
    </row>
    <row r="1445" spans="1:6">
      <c r="A1445" s="1"/>
      <c r="F1445" s="1"/>
    </row>
    <row r="1446" spans="1:6">
      <c r="A1446" s="1"/>
      <c r="F1446" s="1"/>
    </row>
    <row r="1447" spans="1:6">
      <c r="A1447" s="1"/>
      <c r="F1447" s="1"/>
    </row>
    <row r="1448" spans="1:6">
      <c r="A1448" s="1"/>
      <c r="F1448" s="1"/>
    </row>
    <row r="1449" spans="1:6">
      <c r="A1449" s="1"/>
      <c r="F1449" s="1"/>
    </row>
    <row r="1450" spans="1:6">
      <c r="A1450" s="1"/>
      <c r="F1450" s="1"/>
    </row>
    <row r="1451" spans="1:6">
      <c r="A1451" s="1"/>
      <c r="F1451" s="1"/>
    </row>
    <row r="1452" spans="1:6">
      <c r="A1452" s="1"/>
      <c r="F1452" s="1"/>
    </row>
    <row r="1453" spans="1:6">
      <c r="A1453" s="1"/>
      <c r="F1453" s="1"/>
    </row>
    <row r="1454" spans="1:6">
      <c r="A1454" s="1"/>
      <c r="F1454" s="1"/>
    </row>
    <row r="1455" spans="1:6">
      <c r="A1455" s="1"/>
      <c r="F1455" s="1"/>
    </row>
    <row r="1456" spans="1:6">
      <c r="A1456" s="1"/>
      <c r="F1456" s="1"/>
    </row>
    <row r="1457" spans="1:6">
      <c r="A1457" s="1"/>
      <c r="F1457" s="1"/>
    </row>
    <row r="1458" spans="1:6">
      <c r="A1458" s="1"/>
      <c r="F1458" s="1"/>
    </row>
    <row r="1459" spans="1:6">
      <c r="A1459" s="1"/>
      <c r="F1459" s="1"/>
    </row>
    <row r="1460" spans="1:6">
      <c r="A1460" s="1"/>
      <c r="F1460" s="1"/>
    </row>
    <row r="1461" spans="1:6">
      <c r="A1461" s="1"/>
      <c r="F1461" s="1"/>
    </row>
    <row r="1462" spans="1:6">
      <c r="A1462" s="1"/>
      <c r="F1462" s="1"/>
    </row>
    <row r="1463" spans="1:6">
      <c r="A1463" s="1"/>
      <c r="F1463" s="1"/>
    </row>
    <row r="1464" spans="1:6">
      <c r="A1464" s="1"/>
      <c r="F1464" s="1"/>
    </row>
    <row r="1465" spans="1:6">
      <c r="A1465" s="1"/>
      <c r="F1465" s="1"/>
    </row>
    <row r="1466" spans="1:6">
      <c r="A1466" s="1"/>
      <c r="F1466" s="1"/>
    </row>
    <row r="1467" spans="1:6">
      <c r="A1467" s="1"/>
      <c r="F1467" s="1"/>
    </row>
    <row r="1468" spans="1:6">
      <c r="A1468" s="1"/>
      <c r="F1468" s="1"/>
    </row>
    <row r="1469" spans="1:6">
      <c r="A1469" s="1"/>
      <c r="F1469" s="1"/>
    </row>
    <row r="1470" spans="1:6">
      <c r="A1470" s="1"/>
      <c r="F1470" s="1"/>
    </row>
    <row r="1471" spans="1:6">
      <c r="A1471" s="1"/>
      <c r="F1471" s="1"/>
    </row>
    <row r="1472" spans="1:6">
      <c r="A1472" s="1"/>
      <c r="F1472" s="1"/>
    </row>
    <row r="1473" spans="1:6">
      <c r="A1473" s="1"/>
      <c r="F1473" s="1"/>
    </row>
    <row r="1474" spans="1:6">
      <c r="A1474" s="1"/>
      <c r="F1474" s="1"/>
    </row>
    <row r="1475" spans="1:6">
      <c r="A1475" s="1"/>
      <c r="F1475" s="1"/>
    </row>
    <row r="1476" spans="1:6">
      <c r="A1476" s="1"/>
      <c r="F1476" s="1"/>
    </row>
    <row r="1477" spans="1:6">
      <c r="A1477" s="1"/>
      <c r="F1477" s="1"/>
    </row>
    <row r="1478" spans="1:6">
      <c r="A1478" s="1"/>
      <c r="F1478" s="1"/>
    </row>
    <row r="1479" spans="1:6">
      <c r="A1479" s="1"/>
      <c r="F1479" s="1"/>
    </row>
    <row r="1480" spans="1:6">
      <c r="A1480" s="1"/>
      <c r="F1480" s="1"/>
    </row>
    <row r="1481" spans="1:6">
      <c r="A1481" s="1"/>
      <c r="F1481" s="1"/>
    </row>
    <row r="1482" spans="1:6">
      <c r="A1482" s="1"/>
      <c r="F1482" s="1"/>
    </row>
    <row r="1483" spans="1:6">
      <c r="A1483" s="1"/>
      <c r="F1483" s="1"/>
    </row>
    <row r="1484" spans="1:6">
      <c r="A1484" s="1"/>
      <c r="F1484" s="1"/>
    </row>
    <row r="1485" spans="1:6">
      <c r="A1485" s="1"/>
      <c r="F1485" s="1"/>
    </row>
    <row r="1486" spans="1:6">
      <c r="A1486" s="1"/>
      <c r="F1486" s="1"/>
    </row>
    <row r="1487" spans="1:6">
      <c r="A1487" s="1"/>
      <c r="F1487" s="1"/>
    </row>
    <row r="1488" spans="1:6">
      <c r="A1488" s="1"/>
      <c r="F1488" s="1"/>
    </row>
    <row r="1489" spans="1:6">
      <c r="A1489" s="1"/>
      <c r="F1489" s="1"/>
    </row>
    <row r="1490" spans="1:6">
      <c r="A1490" s="1"/>
      <c r="F1490" s="1"/>
    </row>
    <row r="1491" spans="1:6">
      <c r="A1491" s="1"/>
      <c r="F1491" s="1"/>
    </row>
    <row r="1492" spans="1:6">
      <c r="A1492" s="1"/>
      <c r="F1492" s="1"/>
    </row>
    <row r="1493" spans="1:6">
      <c r="A1493" s="1"/>
      <c r="F1493" s="1"/>
    </row>
    <row r="1494" spans="1:6">
      <c r="A1494" s="1"/>
      <c r="F1494" s="1"/>
    </row>
    <row r="1495" spans="1:6">
      <c r="A1495" s="1"/>
      <c r="F1495" s="1"/>
    </row>
    <row r="1496" spans="1:6">
      <c r="A1496" s="1"/>
      <c r="F1496" s="1"/>
    </row>
    <row r="1497" spans="1:6">
      <c r="A1497" s="1"/>
      <c r="F1497" s="1"/>
    </row>
    <row r="1498" spans="1:6">
      <c r="A1498" s="1"/>
      <c r="F1498" s="1"/>
    </row>
    <row r="1499" spans="1:6">
      <c r="A1499" s="1"/>
      <c r="F1499" s="1"/>
    </row>
    <row r="1500" spans="1:6">
      <c r="A1500" s="1"/>
      <c r="F1500" s="1"/>
    </row>
    <row r="1501" spans="1:6">
      <c r="A1501" s="1"/>
      <c r="F1501" s="1"/>
    </row>
    <row r="1502" spans="1:6">
      <c r="A1502" s="1"/>
      <c r="F1502" s="1"/>
    </row>
    <row r="1503" spans="1:6">
      <c r="A1503" s="1"/>
      <c r="F1503" s="1"/>
    </row>
    <row r="1504" spans="1:6">
      <c r="A1504" s="1"/>
      <c r="F1504" s="1"/>
    </row>
    <row r="1505" spans="1:6">
      <c r="A1505" s="1"/>
      <c r="F1505" s="1"/>
    </row>
    <row r="1506" spans="1:6">
      <c r="A1506" s="1"/>
      <c r="F1506" s="1"/>
    </row>
    <row r="1507" spans="1:6">
      <c r="A1507" s="1"/>
      <c r="F1507" s="1"/>
    </row>
    <row r="1508" spans="1:6">
      <c r="A1508" s="1"/>
      <c r="F1508" s="1"/>
    </row>
    <row r="1509" spans="1:6">
      <c r="A1509" s="1"/>
      <c r="F1509" s="1"/>
    </row>
    <row r="1510" spans="1:6">
      <c r="A1510" s="1"/>
      <c r="F1510" s="1"/>
    </row>
    <row r="1511" spans="1:6">
      <c r="A1511" s="1"/>
      <c r="F1511" s="1"/>
    </row>
    <row r="1512" spans="1:6">
      <c r="A1512" s="1"/>
      <c r="F1512" s="1"/>
    </row>
    <row r="1513" spans="1:6">
      <c r="A1513" s="1"/>
      <c r="F1513" s="1"/>
    </row>
    <row r="1514" spans="1:6">
      <c r="A1514" s="1"/>
      <c r="D1514" s="7"/>
      <c r="F1514" s="1"/>
    </row>
    <row r="1515" spans="1:6">
      <c r="A1515" s="1"/>
      <c r="F1515" s="1"/>
    </row>
    <row r="1516" spans="1:6">
      <c r="A1516" s="1"/>
      <c r="F1516" s="1"/>
    </row>
    <row r="1517" spans="1:6">
      <c r="A1517" s="1"/>
      <c r="F1517" s="1"/>
    </row>
    <row r="1518" spans="1:6">
      <c r="A1518" s="1"/>
      <c r="D1518" s="7"/>
      <c r="F1518" s="1"/>
    </row>
    <row r="1519" spans="1:6">
      <c r="A1519" s="1"/>
      <c r="F1519" s="1"/>
    </row>
    <row r="1520" spans="1:6">
      <c r="A1520" s="1"/>
      <c r="D1520" s="7"/>
      <c r="F1520" s="1"/>
    </row>
    <row r="1521" spans="1:6">
      <c r="A1521" s="1"/>
      <c r="F1521" s="1"/>
    </row>
    <row r="1522" spans="1:6">
      <c r="A1522" s="1"/>
      <c r="F1522" s="1"/>
    </row>
    <row r="1523" spans="1:6">
      <c r="A1523" s="1"/>
      <c r="F1523" s="1"/>
    </row>
    <row r="1524" spans="1:6">
      <c r="A1524" s="1"/>
      <c r="F1524" s="1"/>
    </row>
    <row r="1525" spans="1:6">
      <c r="A1525" s="1"/>
      <c r="F1525" s="1"/>
    </row>
    <row r="1526" spans="1:6">
      <c r="A1526" s="1"/>
      <c r="F1526" s="1"/>
    </row>
    <row r="1527" spans="1:6">
      <c r="A1527" s="1"/>
      <c r="F1527" s="1"/>
    </row>
    <row r="1528" spans="1:6">
      <c r="A1528" s="1"/>
      <c r="F1528" s="1"/>
    </row>
    <row r="1529" spans="1:6">
      <c r="A1529" s="1"/>
      <c r="F1529" s="1"/>
    </row>
    <row r="1530" spans="1:6">
      <c r="A1530" s="1"/>
      <c r="F1530" s="1"/>
    </row>
    <row r="1531" spans="1:6">
      <c r="A1531" s="1"/>
      <c r="F1531" s="1"/>
    </row>
    <row r="1532" spans="1:6">
      <c r="A1532" s="1"/>
      <c r="F1532" s="1"/>
    </row>
    <row r="1533" spans="1:6">
      <c r="A1533" s="1"/>
      <c r="F1533" s="1"/>
    </row>
    <row r="1534" spans="1:6">
      <c r="A1534" s="1"/>
      <c r="F1534" s="1"/>
    </row>
    <row r="1535" spans="1:6">
      <c r="A1535" s="1"/>
      <c r="F1535" s="1"/>
    </row>
    <row r="1536" spans="1:6">
      <c r="A1536" s="1"/>
      <c r="F1536" s="1"/>
    </row>
    <row r="1537" spans="1:11" s="9" customFormat="1">
      <c r="A1537" s="114"/>
      <c r="F1537" s="114"/>
      <c r="K1537" s="17"/>
    </row>
    <row r="1539" spans="1:11">
      <c r="B1539" s="3"/>
    </row>
  </sheetData>
  <autoFilter ref="A1:L1539"/>
  <phoneticPr fontId="8" type="noConversion"/>
  <conditionalFormatting sqref="D1:D1048576">
    <cfRule type="cellIs" dxfId="19" priority="6" operator="lessThan">
      <formula>0</formula>
    </cfRule>
  </conditionalFormatting>
  <conditionalFormatting sqref="A1:L1048576">
    <cfRule type="expression" dxfId="18" priority="1">
      <formula>IFERROR(IF(YEAR($A1)=YEAR($A2),0,1),0)</formula>
    </cfRule>
    <cfRule type="expression" dxfId="17" priority="8">
      <formula>IF(OR($D1&gt;405,$D1&lt;-100),1,0)</formula>
    </cfRule>
  </conditionalFormatting>
  <dataValidations count="1">
    <dataValidation type="list" allowBlank="1" showInputMessage="1" sqref="L1:L1048576">
      <formula1>ManualTypes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5">
    <tabColor indexed="57"/>
  </sheetPr>
  <dimension ref="A1:AB54"/>
  <sheetViews>
    <sheetView workbookViewId="0">
      <pane xSplit="1" ySplit="14" topLeftCell="B15" activePane="bottomRight" state="frozenSplit"/>
      <selection pane="topRight" activeCell="B1" sqref="B1"/>
      <selection pane="bottomLeft" activeCell="A5" sqref="A5"/>
      <selection pane="bottomRight" activeCell="D15" sqref="D15"/>
    </sheetView>
  </sheetViews>
  <sheetFormatPr defaultRowHeight="15" outlineLevelRow="2" outlineLevelCol="1"/>
  <cols>
    <col min="1" max="1" width="20.28515625" style="18" customWidth="1"/>
    <col min="2" max="2" width="13.85546875" style="76" customWidth="1" outlineLevel="1"/>
    <col min="3" max="3" width="16.28515625" style="76" customWidth="1" outlineLevel="1"/>
    <col min="4" max="4" width="18.140625" style="76" customWidth="1"/>
    <col min="5" max="5" width="14" style="76" customWidth="1"/>
    <col min="6" max="8" width="16" style="78" customWidth="1" outlineLevel="1"/>
    <col min="9" max="9" width="18.85546875" style="77" customWidth="1"/>
    <col min="10" max="10" width="13.42578125" style="83" customWidth="1"/>
    <col min="11" max="11" width="14" style="76" customWidth="1"/>
    <col min="12" max="12" width="14" style="78" customWidth="1"/>
    <col min="13" max="13" width="19.140625" style="77" customWidth="1"/>
    <col min="17" max="27" width="0" hidden="1" customWidth="1" outlineLevel="1"/>
    <col min="28" max="28" width="9.140625" collapsed="1"/>
  </cols>
  <sheetData>
    <row r="1" spans="1:13" s="9" customFormat="1" ht="24.75" customHeight="1">
      <c r="A1" s="121">
        <v>2006</v>
      </c>
      <c r="B1" s="123" t="s">
        <v>17</v>
      </c>
      <c r="C1" s="127" t="s">
        <v>73</v>
      </c>
      <c r="D1" s="125" t="s">
        <v>71</v>
      </c>
      <c r="E1" s="127" t="s">
        <v>56</v>
      </c>
      <c r="F1" s="127" t="s">
        <v>37</v>
      </c>
      <c r="G1" s="127" t="s">
        <v>42</v>
      </c>
      <c r="H1" s="127" t="s">
        <v>36</v>
      </c>
      <c r="I1" s="129" t="s">
        <v>72</v>
      </c>
      <c r="J1" s="119" t="s">
        <v>18</v>
      </c>
      <c r="K1" s="120"/>
      <c r="L1" s="120"/>
      <c r="M1" s="117" t="s">
        <v>55</v>
      </c>
    </row>
    <row r="2" spans="1:13" s="9" customFormat="1" ht="20.25" customHeight="1">
      <c r="A2" s="122"/>
      <c r="B2" s="124"/>
      <c r="C2" s="128"/>
      <c r="D2" s="126"/>
      <c r="E2" s="128"/>
      <c r="F2" s="128"/>
      <c r="G2" s="128"/>
      <c r="H2" s="128"/>
      <c r="I2" s="130"/>
      <c r="J2" s="80" t="s">
        <v>21</v>
      </c>
      <c r="K2" s="79" t="s">
        <v>0</v>
      </c>
      <c r="L2" s="79" t="s">
        <v>1</v>
      </c>
      <c r="M2" s="118"/>
    </row>
    <row r="3" spans="1:13" s="9" customFormat="1">
      <c r="A3" s="71" t="s">
        <v>45</v>
      </c>
      <c r="B3" s="25">
        <f t="array" ref="B3">IF(SUM((IF(YEAR($A$15:$A$54)&gt;=$A$1,1,0))*B$15:B$54)=0,0,SUM((IF(YEAR($A$15:$A$54)&gt;=$A$1,1,0))*B$15:B$54)/SUM((IF(YEAR($A$15:$A$54)&gt;=$A$1,1,0))*1))</f>
        <v>0</v>
      </c>
      <c r="C3" s="25">
        <f t="array" ref="C3">IF(SUM((IF(YEAR($A$15:$A$54)&gt;=$A$1,1,0))*C$15:C$54)=0,0,SUM((IF(YEAR($A$15:$A$54)&gt;=$A$1,1,0))*C$15:C$54)/SUM((IF(YEAR($A$15:$A$54)&gt;=$A$1,1,0))*1))</f>
        <v>0</v>
      </c>
      <c r="D3" s="25">
        <f t="array" ref="D3">IF(SUM((IF(YEAR($A$15:$A$54)&gt;=$A$1,1,0))*D$15:D$54)=0,0,SUM((IF(YEAR($A$15:$A$54)&gt;=$A$1,1,0))*D$15:D$54)/SUM((IF(YEAR($A$15:$A$54)&gt;=$A$1,1,0))*1))</f>
        <v>0</v>
      </c>
      <c r="E3" s="25">
        <f t="array" ref="E3">IF(SUM((IF(YEAR($A$15:$A$54)&gt;=$A$1,1,0))*E$15:E$54)=0,0,SUM((IF(YEAR($A$15:$A$54)&gt;=$A$1,1,0))*E$15:E$54)/SUM((IF(YEAR($A$15:$A$54)&gt;=$A$1,1,0))*1))</f>
        <v>0</v>
      </c>
      <c r="F3" s="25">
        <f t="array" ref="F3">IF(SUM((IF(YEAR($A$15:$A$54)&gt;=$A$1,1,0))*F$15:F$54)=0,0,SUM((IF(YEAR($A$15:$A$54)&gt;=$A$1,1,0))*F$15:F$54)/SUM((IF(YEAR($A$15:$A$54)&gt;=$A$1,1,0))*1))</f>
        <v>0</v>
      </c>
      <c r="G3" s="25">
        <f t="array" ref="G3">IF(SUM((IF(YEAR($A$15:$A$54)&gt;=$A$1,1,0))*G$15:G$54)=0,0,SUM((IF(YEAR($A$15:$A$54)&gt;=$A$1,1,0))*G$15:G$54)/SUM((IF(YEAR($A$15:$A$54)&gt;=$A$1,1,0))*1))</f>
        <v>0</v>
      </c>
      <c r="H3" s="25">
        <f t="array" ref="H3">IF(SUM((IF(YEAR($A$15:$A$54)&gt;=$A$1,1,0))*H$15:H$54)=0,0,SUM((IF(YEAR($A$15:$A$54)&gt;=$A$1,1,0))*H$15:H$54)/SUM((IF(YEAR($A$15:$A$54)&gt;=$A$1,1,0))*1))</f>
        <v>0</v>
      </c>
      <c r="I3" s="99">
        <f t="array" ref="I3">IF(SUM((IF(YEAR($A$15:$A$54)&gt;=$A$1,1,0))*I$15:I$54)=0,0,SUM((IF(YEAR($A$15:$A$54)&gt;=$A$1,1,0))*I$15:I$54)/SUM((IF(YEAR($A$15:$A$54)&gt;=$A$1,1,0))*1))</f>
        <v>0</v>
      </c>
      <c r="J3" s="25">
        <f t="array" ref="J3">IF(SUM((IF(YEAR($A$15:$A$54)&gt;=$A$1,1,0))*J$15:J$54)=0,0,SUM((IF(YEAR($A$15:$A$54)&gt;=$A$1,1,0))*J$15:J$54)/SUM((IF(YEAR($A$15:$A$54)&gt;=$A$1,1,0))*1))</f>
        <v>0</v>
      </c>
      <c r="K3" s="25">
        <f t="array" ref="K3">IF(SUM((IF(YEAR($A$15:$A$54)&gt;=$A$1,1,0))*K$15:K$54)=0,0,SUM((IF(YEAR($A$15:$A$54)&gt;=$A$1,1,0))*K$15:K$54)/SUM((IF(YEAR($A$15:$A$54)&gt;=$A$1,1,0))*1))</f>
        <v>0</v>
      </c>
      <c r="L3" s="25">
        <f t="array" ref="L3">IF(SUM((IF(YEAR($A$15:$A$54)&gt;=$A$1,1,0))*L$15:L$54)=0,0,SUM((IF(YEAR($A$15:$A$54)&gt;=$A$1,1,0))*L$15:L$54)/SUM((IF(YEAR($A$15:$A$54)&gt;=$A$1,1,0))*1))</f>
        <v>0</v>
      </c>
      <c r="M3" s="99">
        <f t="array" ref="M3">IF(SUM((IF(YEAR($A$15:$A$54)&gt;=$A$1,1,0))*M$15:M$54)=0,0,SUM((IF(YEAR($A$15:$A$54)&gt;=$A$1,1,0))*M$15:M$54)/SUM((IF(YEAR($A$15:$A$54)&gt;=$A$1,1,0))*1))</f>
        <v>0</v>
      </c>
    </row>
    <row r="4" spans="1:13" s="9" customFormat="1">
      <c r="A4" s="71" t="s">
        <v>46</v>
      </c>
      <c r="B4" s="25">
        <f t="array" aca="1" ref="B4" ca="1">SUM((IF(YEAR($A$15:$A$54)&gt;=$A$1,1,0))*B$15:B$54)/(YEAR(TODAY())-$A$1+1)</f>
        <v>0</v>
      </c>
      <c r="C4" s="25">
        <f t="array" aca="1" ref="C4" ca="1">SUM((IF(YEAR($A$15:$A$54)&gt;=$A$1,1,0))*C$15:C$54)/(YEAR(TODAY())-$A$1+1)</f>
        <v>0</v>
      </c>
      <c r="D4" s="25">
        <f t="array" aca="1" ref="D4" ca="1">SUM((IF(YEAR($A$15:$A$54)&gt;=$A$1,1,0))*D$15:D$54)/(YEAR(TODAY())-$A$1+1)</f>
        <v>0</v>
      </c>
      <c r="E4" s="25">
        <f t="array" aca="1" ref="E4" ca="1">SUM((IF(YEAR($A$15:$A$54)&gt;=$A$1,1,0))*E$15:E$54)/(YEAR(TODAY())-$A$1+1)</f>
        <v>0</v>
      </c>
      <c r="F4" s="25">
        <f t="array" aca="1" ref="F4" ca="1">SUM((IF(YEAR($A$15:$A$54)&gt;=$A$1,1,0))*F$15:F$54)/(YEAR(TODAY())-$A$1+1)</f>
        <v>0</v>
      </c>
      <c r="G4" s="25">
        <f t="array" aca="1" ref="G4" ca="1">SUM((IF(YEAR($A$15:$A$54)&gt;=$A$1,1,0))*G$15:G$54)/(YEAR(TODAY())-$A$1+1)</f>
        <v>0</v>
      </c>
      <c r="H4" s="25">
        <f t="array" aca="1" ref="H4" ca="1">SUM((IF(YEAR($A$15:$A$54)&gt;=$A$1,1,0))*H$15:H$54)/(YEAR(TODAY())-$A$1+1)</f>
        <v>0</v>
      </c>
      <c r="I4" s="99">
        <f t="array" aca="1" ref="I4" ca="1">SUM((IF(YEAR($A$15:$A$54)&gt;=$A$1,1,0))*I$15:I$54)/(YEAR(TODAY())-$A$1+1)</f>
        <v>0</v>
      </c>
      <c r="J4" s="25">
        <f t="array" aca="1" ref="J4" ca="1">SUM((IF(YEAR($A$15:$A$54)&gt;=$A$1,1,0))*J$15:J$54)/(YEAR(TODAY())-$A$1+1)</f>
        <v>0</v>
      </c>
      <c r="K4" s="25">
        <f t="array" aca="1" ref="K4" ca="1">SUM((IF(YEAR($A$15:$A$54)&gt;=$A$1,1,0))*K$15:K$54)/(YEAR(TODAY())-$A$1+1)</f>
        <v>0</v>
      </c>
      <c r="L4" s="25">
        <f t="array" aca="1" ref="L4" ca="1">SUM((IF(YEAR($A$15:$A$54)&gt;=$A$1,1,0))*L$15:L$54)/(YEAR(TODAY())-$A$1+1)</f>
        <v>0</v>
      </c>
      <c r="M4" s="99">
        <f t="array" aca="1" ref="M4" ca="1">SUM((IF(YEAR($A$15:$A$54)&gt;=$A$1,1,0))*M$15:M$54)/(YEAR(TODAY())-$A$1+1)</f>
        <v>0</v>
      </c>
    </row>
    <row r="5" spans="1:13" s="9" customFormat="1">
      <c r="A5" s="88" t="s">
        <v>29</v>
      </c>
      <c r="B5" s="21">
        <f t="array" ref="B5">IF(SUM((IF(YEAR($A$15:$A$54)&gt;=$A$1,1,0))*B$15:B$54)=0,0,SUM((IF(YEAR($A$15:$A$54)&gt;=$A$1,1,0))*B$15:B$54))</f>
        <v>0</v>
      </c>
      <c r="C5" s="21">
        <f t="array" ref="C5">IF(SUM((IF(YEAR($A$15:$A$54)&gt;=$A$1,1,0))*C$15:C$54)=0,0,SUM((IF(YEAR($A$15:$A$54)&gt;=$A$1,1,0))*C$15:C$54))</f>
        <v>0</v>
      </c>
      <c r="D5" s="21">
        <f t="array" ref="D5">IF(SUM((IF(YEAR($A$15:$A$54)&gt;=$A$1,1,0))*D$15:D$54)=0,0,SUM((IF(YEAR($A$15:$A$54)&gt;=$A$1,1,0))*D$15:D$54))</f>
        <v>0</v>
      </c>
      <c r="E5" s="21">
        <f t="array" ref="E5">IF(SUM((IF(YEAR($A$15:$A$54)&gt;=$A$1,1,0))*E$15:E$54)=0,0,SUM((IF(YEAR($A$15:$A$54)&gt;=$A$1,1,0))*E$15:E$54))</f>
        <v>0</v>
      </c>
      <c r="F5" s="21">
        <f t="array" ref="F5">IF(SUM((IF(YEAR($A$15:$A$54)&gt;=$A$1,1,0))*F$15:F$54)=0,0,SUM((IF(YEAR($A$15:$A$54)&gt;=$A$1,1,0))*F$15:F$54))</f>
        <v>0</v>
      </c>
      <c r="G5" s="21">
        <f t="array" ref="G5">IF(SUM((IF(YEAR($A$15:$A$54)&gt;=$A$1,1,0))*G$15:G$54)=0,0,SUM((IF(YEAR($A$15:$A$54)&gt;=$A$1,1,0))*G$15:G$54))</f>
        <v>0</v>
      </c>
      <c r="H5" s="21">
        <f t="array" ref="H5">IF(SUM((IF(YEAR($A$15:$A$54)&gt;=$A$1,1,0))*H$15:H$54)=0,0,SUM((IF(YEAR($A$15:$A$54)&gt;=$A$1,1,0))*H$15:H$54))</f>
        <v>0</v>
      </c>
      <c r="I5" s="22">
        <f t="array" ref="I5">IF(SUM((IF(YEAR($A$15:$A$54)&gt;=$A$1,1,0))*I$15:I$54)=0,0,SUM((IF(YEAR($A$15:$A$54)&gt;=$A$1,1,0))*I$15:I$54))</f>
        <v>0</v>
      </c>
      <c r="J5" s="21">
        <f t="array" ref="J5">IF(SUM((IF(YEAR($A$15:$A$54)&gt;=$A$1,1,0))*J$15:J$54)=0,0,SUM((IF(YEAR($A$15:$A$54)&gt;=$A$1,1,0))*J$15:J$54))</f>
        <v>0</v>
      </c>
      <c r="K5" s="21">
        <f t="array" ref="K5">IF(SUM((IF(YEAR($A$15:$A$54)&gt;=$A$1,1,0))*K$15:K$54)=0,0,SUM((IF(YEAR($A$15:$A$54)&gt;=$A$1,1,0))*K$15:K$54))</f>
        <v>0</v>
      </c>
      <c r="L5" s="21">
        <f t="array" ref="L5">IF(SUM((IF(YEAR($A$15:$A$54)&gt;=$A$1,1,0))*L$15:L$54)=0,0,SUM((IF(YEAR($A$15:$A$54)&gt;=$A$1,1,0))*L$15:L$54))</f>
        <v>0</v>
      </c>
      <c r="M5" s="22">
        <f t="array" ref="M5">IF(SUM((IF(YEAR($A$15:$A$54)&gt;=$A$1,1,0))*M$15:M$54)=0,0,SUM((IF(YEAR($A$15:$A$54)&gt;=$A$1,1,0))*M$15:M$54))</f>
        <v>0</v>
      </c>
    </row>
    <row r="6" spans="1:13" s="9" customFormat="1" outlineLevel="1">
      <c r="A6" s="71" t="s">
        <v>48</v>
      </c>
      <c r="B6" s="72">
        <f t="array" ref="B6">(SUM((IF(YEAR($A$15:$A$54)=YEAR($A7),1,0))*B$15:B$54))/(SUM((IF(YEAR($A$15:$A$54)=YEAR($A7),1,0))*1))</f>
        <v>0</v>
      </c>
      <c r="C6" s="72">
        <f t="array" ref="C6">(SUM((IF(YEAR($A$15:$A$54)=YEAR($A7),1,0))*C$15:C$54))/(SUM((IF(YEAR($A$15:$A$54)=YEAR($A7),1,0))*1))</f>
        <v>0</v>
      </c>
      <c r="D6" s="72">
        <f t="array" ref="D6">(SUM((IF(YEAR($A$15:$A$54)=YEAR($A7),1,0))*D$15:D$54))/(SUM((IF(YEAR($A$15:$A$54)=YEAR($A7),1,0))*1))</f>
        <v>0</v>
      </c>
      <c r="E6" s="72">
        <f t="array" ref="E6">(SUM((IF(YEAR($A$15:$A$54)=YEAR($A7),1,0))*E$15:E$54))/(SUM((IF(YEAR($A$15:$A$54)=YEAR($A7),1,0))*1))</f>
        <v>0</v>
      </c>
      <c r="F6" s="72">
        <f t="array" ref="F6">(SUM((IF(YEAR($A$15:$A$54)=YEAR($A7),1,0))*F$15:F$54))/(SUM((IF(YEAR($A$15:$A$54)=YEAR($A7),1,0))*1))</f>
        <v>0</v>
      </c>
      <c r="G6" s="72">
        <f t="array" ref="G6">(SUM((IF(YEAR($A$15:$A$54)=YEAR($A7),1,0))*G$15:G$54))/(SUM((IF(YEAR($A$15:$A$54)=YEAR($A7),1,0))*1))</f>
        <v>0</v>
      </c>
      <c r="H6" s="72">
        <f t="array" ref="H6">(SUM((IF(YEAR($A$15:$A$54)=YEAR($A7),1,0))*H$15:H$54))/(SUM((IF(YEAR($A$15:$A$54)=YEAR($A7),1,0))*1))</f>
        <v>0</v>
      </c>
      <c r="I6" s="73">
        <f t="array" ref="I6">(SUM((IF(YEAR($A$15:$A$54)=YEAR($A7),1,0))*I$15:I$54))/(SUM((IF(YEAR($A$15:$A$54)=YEAR($A7),1,0))*1))</f>
        <v>0</v>
      </c>
      <c r="J6" s="81">
        <f t="array" ref="J6">(SUM((IF(YEAR($A$15:$A$54)=YEAR($A7),1,0))*J$15:J$54))/(SUM((IF(YEAR($A$15:$A$54)=YEAR($A7),1,0))*1))</f>
        <v>0</v>
      </c>
      <c r="K6" s="72">
        <f t="array" ref="K6">(SUM((IF(YEAR($A$15:$A$54)=YEAR($A7),1,0))*K$15:K$54))/(SUM((IF(YEAR($A$15:$A$54)=YEAR($A7),1,0))*1))</f>
        <v>0</v>
      </c>
      <c r="L6" s="72">
        <f t="array" ref="L6">(SUM((IF(YEAR($A$15:$A$54)=YEAR($A7),1,0))*L$15:L$54))/(SUM((IF(YEAR($A$15:$A$54)=YEAR($A7),1,0))*1))</f>
        <v>0</v>
      </c>
      <c r="M6" s="73">
        <f t="array" ref="M6">(SUM((IF(YEAR($A$15:$A$54)=YEAR($A7),1,0))*M$15:M$54))/(SUM((IF(YEAR($A$15:$A$54)=YEAR($A7),1,0))*1))</f>
        <v>0</v>
      </c>
    </row>
    <row r="7" spans="1:13" s="9" customFormat="1" outlineLevel="1" collapsed="1">
      <c r="A7" s="37">
        <v>38718</v>
      </c>
      <c r="B7" s="72">
        <f t="array" ref="B7">SUM((IF(YEAR($A$15:$A$54)=YEAR($A7),1,0))*B$15:B$54)</f>
        <v>0</v>
      </c>
      <c r="C7" s="72">
        <f t="array" ref="C7">SUM((IF(YEAR($A$15:$A$54)=YEAR($A7),1,0))*C$15:C$54)</f>
        <v>0</v>
      </c>
      <c r="D7" s="72">
        <f t="array" ref="D7">SUM((IF(YEAR($A$15:$A$54)=YEAR($A7),1,0))*D$15:D$54)</f>
        <v>0</v>
      </c>
      <c r="E7" s="72">
        <f t="array" ref="E7">SUM((IF(YEAR($A$15:$A$54)=YEAR($A7),1,0))*E$15:E$54)</f>
        <v>0</v>
      </c>
      <c r="F7" s="72">
        <f t="array" ref="F7">SUM((IF(YEAR($A$15:$A$54)=YEAR($A7),1,0))*F$15:F$54)</f>
        <v>0</v>
      </c>
      <c r="G7" s="72">
        <f t="array" ref="G7">SUM((IF(YEAR($A$15:$A$54)=YEAR($A7),1,0))*G$15:G$54)</f>
        <v>0</v>
      </c>
      <c r="H7" s="72">
        <f t="array" ref="H7">SUM((IF(YEAR($A$15:$A$54)=YEAR($A7),1,0))*H$15:H$54)</f>
        <v>0</v>
      </c>
      <c r="I7" s="73">
        <f t="array" ref="I7">SUM((IF(YEAR($A$15:$A$54)=YEAR($A7),1,0))*I$15:I$54)</f>
        <v>0</v>
      </c>
      <c r="J7" s="81">
        <f t="array" ref="J7">SUM((IF(YEAR($A$15:$A$54)=YEAR($A7),1,0))*J$15:J$54)</f>
        <v>0</v>
      </c>
      <c r="K7" s="72">
        <f t="array" ref="K7">SUM((IF(YEAR($A$15:$A$54)=YEAR($A7),1,0))*K$15:K$54)</f>
        <v>0</v>
      </c>
      <c r="L7" s="72">
        <f t="array" ref="L7">SUM((IF(YEAR($A$15:$A$54)=YEAR($A7),1,0))*L$15:L$54)</f>
        <v>0</v>
      </c>
      <c r="M7" s="73">
        <f t="array" ref="M7">SUM((IF(YEAR($A$15:$A$54)=YEAR($A7),1,0))*M$15:M$54)</f>
        <v>0</v>
      </c>
    </row>
    <row r="8" spans="1:13" s="9" customFormat="1" outlineLevel="2">
      <c r="A8" s="71" t="s">
        <v>49</v>
      </c>
      <c r="B8" s="72">
        <f t="array" ref="B8">(SUM((IF(YEAR($A$15:$A$54)=YEAR($A9),1,0))*B$15:B$54))/(SUM((IF(YEAR($A$15:$A$54)=YEAR($A9),1,0))*1))</f>
        <v>0</v>
      </c>
      <c r="C8" s="72">
        <f t="array" ref="C8">(SUM((IF(YEAR($A$15:$A$54)=YEAR($A9),1,0))*C$15:C$54))/(SUM((IF(YEAR($A$15:$A$54)=YEAR($A9),1,0))*1))</f>
        <v>0</v>
      </c>
      <c r="D8" s="72">
        <f t="array" ref="D8">(SUM((IF(YEAR($A$15:$A$54)=YEAR($A9),1,0))*D$15:D$54))/(SUM((IF(YEAR($A$15:$A$54)=YEAR($A9),1,0))*1))</f>
        <v>0</v>
      </c>
      <c r="E8" s="72">
        <f t="array" ref="E8">(SUM((IF(YEAR($A$15:$A$54)=YEAR($A9),1,0))*E$15:E$54))/(SUM((IF(YEAR($A$15:$A$54)=YEAR($A9),1,0))*1))</f>
        <v>0</v>
      </c>
      <c r="F8" s="72">
        <f t="array" ref="F8">(SUM((IF(YEAR($A$15:$A$54)=YEAR($A9),1,0))*F$15:F$54))/(SUM((IF(YEAR($A$15:$A$54)=YEAR($A9),1,0))*1))</f>
        <v>0</v>
      </c>
      <c r="G8" s="72">
        <f t="array" ref="G8">(SUM((IF(YEAR($A$15:$A$54)=YEAR($A9),1,0))*G$15:G$54))/(SUM((IF(YEAR($A$15:$A$54)=YEAR($A9),1,0))*1))</f>
        <v>0</v>
      </c>
      <c r="H8" s="72">
        <f t="array" ref="H8">(SUM((IF(YEAR($A$15:$A$54)=YEAR($A9),1,0))*H$15:H$54))/(SUM((IF(YEAR($A$15:$A$54)=YEAR($A9),1,0))*1))</f>
        <v>0</v>
      </c>
      <c r="I8" s="73">
        <f t="array" ref="I8">(SUM((IF(YEAR($A$15:$A$54)=YEAR($A9),1,0))*I$15:I$54))/(SUM((IF(YEAR($A$15:$A$54)=YEAR($A9),1,0))*1))</f>
        <v>0</v>
      </c>
      <c r="J8" s="81">
        <f t="array" ref="J8">(SUM((IF(YEAR($A$15:$A$54)=YEAR($A9),1,0))*J$15:J$54))/(SUM((IF(YEAR($A$15:$A$54)=YEAR($A9),1,0))*1))</f>
        <v>0</v>
      </c>
      <c r="K8" s="72">
        <f t="array" ref="K8">(SUM((IF(YEAR($A$15:$A$54)=YEAR($A9),1,0))*K$15:K$54))/(SUM((IF(YEAR($A$15:$A$54)=YEAR($A9),1,0))*1))</f>
        <v>0</v>
      </c>
      <c r="L8" s="72">
        <f t="array" ref="L8">(SUM((IF(YEAR($A$15:$A$54)=YEAR($A9),1,0))*L$15:L$54))/(SUM((IF(YEAR($A$15:$A$54)=YEAR($A9),1,0))*1))</f>
        <v>0</v>
      </c>
      <c r="M8" s="73">
        <f t="array" ref="M8">(SUM((IF(YEAR($A$15:$A$54)=YEAR($A9),1,0))*M$15:M$54))/(SUM((IF(YEAR($A$15:$A$54)=YEAR($A9),1,0))*1))</f>
        <v>0</v>
      </c>
    </row>
    <row r="9" spans="1:13" s="9" customFormat="1" outlineLevel="1">
      <c r="A9" s="37">
        <v>39083</v>
      </c>
      <c r="B9" s="72">
        <f t="array" ref="B9">SUM((IF(YEAR($A$15:$A$54)=YEAR($A9),1,0))*B$15:B$54)</f>
        <v>0</v>
      </c>
      <c r="C9" s="72">
        <f t="array" ref="C9">SUM((IF(YEAR($A$15:$A$54)=YEAR($A9),1,0))*C$15:C$54)</f>
        <v>0</v>
      </c>
      <c r="D9" s="72">
        <f t="array" ref="D9">SUM((IF(YEAR($A$15:$A$54)=YEAR($A9),1,0))*D$15:D$54)</f>
        <v>0</v>
      </c>
      <c r="E9" s="72">
        <f t="array" ref="E9">SUM((IF(YEAR($A$15:$A$54)=YEAR($A9),1,0))*E$15:E$54)</f>
        <v>0</v>
      </c>
      <c r="F9" s="72">
        <f t="array" ref="F9">SUM((IF(YEAR($A$15:$A$54)=YEAR($A9),1,0))*F$15:F$54)</f>
        <v>0</v>
      </c>
      <c r="G9" s="72">
        <f t="array" ref="G9">SUM((IF(YEAR($A$15:$A$54)=YEAR($A9),1,0))*G$15:G$54)</f>
        <v>0</v>
      </c>
      <c r="H9" s="72">
        <f t="array" ref="H9">SUM((IF(YEAR($A$15:$A$54)=YEAR($A9),1,0))*H$15:H$54)</f>
        <v>0</v>
      </c>
      <c r="I9" s="73">
        <f t="array" ref="I9">SUM((IF(YEAR($A$15:$A$54)=YEAR($A9),1,0))*I$15:I$54)</f>
        <v>0</v>
      </c>
      <c r="J9" s="81">
        <f t="array" ref="J9">SUM((IF(YEAR($A$15:$A$54)=YEAR($A9),1,0))*J$15:J$54)</f>
        <v>0</v>
      </c>
      <c r="K9" s="72">
        <f t="array" ref="K9">SUM((IF(YEAR($A$15:$A$54)=YEAR($A9),1,0))*K$15:K$54)</f>
        <v>0</v>
      </c>
      <c r="L9" s="72">
        <f t="array" ref="L9">SUM((IF(YEAR($A$15:$A$54)=YEAR($A9),1,0))*L$15:L$54)</f>
        <v>0</v>
      </c>
      <c r="M9" s="73">
        <f t="array" ref="M9">SUM((IF(YEAR($A$15:$A$54)=YEAR($A9),1,0))*M$15:M$54)</f>
        <v>0</v>
      </c>
    </row>
    <row r="10" spans="1:13" s="9" customFormat="1" outlineLevel="2">
      <c r="A10" s="71" t="s">
        <v>50</v>
      </c>
      <c r="B10" s="72">
        <f t="array" ref="B10">(SUM((IF(YEAR($A$15:$A$54)=YEAR($A11),1,0))*B$15:B$54))/(SUM((IF(YEAR($A$15:$A$54)=YEAR($A11),1,0))*1))</f>
        <v>0</v>
      </c>
      <c r="C10" s="72">
        <f t="array" ref="C10">(SUM((IF(YEAR($A$15:$A$54)=YEAR($A11),1,0))*C$15:C$54))/(SUM((IF(YEAR($A$15:$A$54)=YEAR($A11),1,0))*1))</f>
        <v>0</v>
      </c>
      <c r="D10" s="72">
        <f t="array" ref="D10">(SUM((IF(YEAR($A$15:$A$54)=YEAR($A11),1,0))*D$15:D$54))/(SUM((IF(YEAR($A$15:$A$54)=YEAR($A11),1,0))*1))</f>
        <v>0</v>
      </c>
      <c r="E10" s="72">
        <f t="array" ref="E10">(SUM((IF(YEAR($A$15:$A$54)=YEAR($A11),1,0))*E$15:E$54))/(SUM((IF(YEAR($A$15:$A$54)=YEAR($A11),1,0))*1))</f>
        <v>0</v>
      </c>
      <c r="F10" s="72">
        <f t="array" ref="F10">(SUM((IF(YEAR($A$15:$A$54)=YEAR($A11),1,0))*F$15:F$54))/(SUM((IF(YEAR($A$15:$A$54)=YEAR($A11),1,0))*1))</f>
        <v>0</v>
      </c>
      <c r="G10" s="72">
        <f t="array" ref="G10">(SUM((IF(YEAR($A$15:$A$54)=YEAR($A11),1,0))*G$15:G$54))/(SUM((IF(YEAR($A$15:$A$54)=YEAR($A11),1,0))*1))</f>
        <v>0</v>
      </c>
      <c r="H10" s="72">
        <f t="array" ref="H10">(SUM((IF(YEAR($A$15:$A$54)=YEAR($A11),1,0))*H$15:H$54))/(SUM((IF(YEAR($A$15:$A$54)=YEAR($A11),1,0))*1))</f>
        <v>0</v>
      </c>
      <c r="I10" s="73">
        <f t="array" ref="I10">(SUM((IF(YEAR($A$15:$A$54)=YEAR($A11),1,0))*I$15:I$54))/(SUM((IF(YEAR($A$15:$A$54)=YEAR($A11),1,0))*1))</f>
        <v>0</v>
      </c>
      <c r="J10" s="81">
        <f t="array" ref="J10">(SUM((IF(YEAR($A$15:$A$54)=YEAR($A11),1,0))*J$15:J$54))/(SUM((IF(YEAR($A$15:$A$54)=YEAR($A11),1,0))*1))</f>
        <v>0</v>
      </c>
      <c r="K10" s="72">
        <f t="array" ref="K10">(SUM((IF(YEAR($A$15:$A$54)=YEAR($A11),1,0))*K$15:K$54))/(SUM((IF(YEAR($A$15:$A$54)=YEAR($A11),1,0))*1))</f>
        <v>0</v>
      </c>
      <c r="L10" s="72">
        <f t="array" ref="L10">(SUM((IF(YEAR($A$15:$A$54)=YEAR($A11),1,0))*L$15:L$54))/(SUM((IF(YEAR($A$15:$A$54)=YEAR($A11),1,0))*1))</f>
        <v>0</v>
      </c>
      <c r="M10" s="73">
        <f t="array" ref="M10">(SUM((IF(YEAR($A$15:$A$54)=YEAR($A11),1,0))*M$15:M$54))/(SUM((IF(YEAR($A$15:$A$54)=YEAR($A11),1,0))*1))</f>
        <v>0</v>
      </c>
    </row>
    <row r="11" spans="1:13" s="9" customFormat="1" outlineLevel="1">
      <c r="A11" s="37">
        <v>39448</v>
      </c>
      <c r="B11" s="72">
        <f t="array" ref="B11">SUM((IF(YEAR($A$15:$A$54)=YEAR($A11),1,0))*B$15:B$54)</f>
        <v>0</v>
      </c>
      <c r="C11" s="72">
        <f t="array" ref="C11">SUM((IF(YEAR($A$15:$A$54)=YEAR($A11),1,0))*C$15:C$54)</f>
        <v>0</v>
      </c>
      <c r="D11" s="72">
        <f t="array" ref="D11">SUM((IF(YEAR($A$15:$A$54)=YEAR($A11),1,0))*D$15:D$54)</f>
        <v>0</v>
      </c>
      <c r="E11" s="72">
        <f t="array" ref="E11">SUM((IF(YEAR($A$15:$A$54)=YEAR($A11),1,0))*E$15:E$54)</f>
        <v>0</v>
      </c>
      <c r="F11" s="72">
        <f t="array" ref="F11">SUM((IF(YEAR($A$15:$A$54)=YEAR($A11),1,0))*F$15:F$54)</f>
        <v>0</v>
      </c>
      <c r="G11" s="72">
        <f t="array" ref="G11">SUM((IF(YEAR($A$15:$A$54)=YEAR($A11),1,0))*G$15:G$54)</f>
        <v>0</v>
      </c>
      <c r="H11" s="72">
        <f t="array" ref="H11">SUM((IF(YEAR($A$15:$A$54)=YEAR($A11),1,0))*H$15:H$54)</f>
        <v>0</v>
      </c>
      <c r="I11" s="73">
        <f t="array" ref="I11">SUM((IF(YEAR($A$15:$A$54)=YEAR($A11),1,0))*I$15:I$54)</f>
        <v>0</v>
      </c>
      <c r="J11" s="81">
        <f t="array" ref="J11">SUM((IF(YEAR($A$15:$A$54)=YEAR($A11),1,0))*J$15:J$54)</f>
        <v>0</v>
      </c>
      <c r="K11" s="72">
        <f t="array" ref="K11">SUM((IF(YEAR($A$15:$A$54)=YEAR($A11),1,0))*K$15:K$54)</f>
        <v>0</v>
      </c>
      <c r="L11" s="72">
        <f t="array" ref="L11">SUM((IF(YEAR($A$15:$A$54)=YEAR($A11),1,0))*L$15:L$54)</f>
        <v>0</v>
      </c>
      <c r="M11" s="73">
        <f t="array" ref="M11">SUM((IF(YEAR($A$15:$A$54)=YEAR($A11),1,0))*M$15:M$54)</f>
        <v>0</v>
      </c>
    </row>
    <row r="12" spans="1:13" s="9" customFormat="1" outlineLevel="2">
      <c r="A12" s="71" t="s">
        <v>51</v>
      </c>
      <c r="B12" s="72">
        <f t="array" ref="B12">(SUM((IF(YEAR($A$15:$A$54)=YEAR($A13),1,0))*B$15:B$54))/(SUM((IF(YEAR($A$15:$A$54)=YEAR($A13),1,0))*1))</f>
        <v>0</v>
      </c>
      <c r="C12" s="72">
        <f t="array" ref="C12">(SUM((IF(YEAR($A$15:$A$54)=YEAR($A13),1,0))*C$15:C$54))/(SUM((IF(YEAR($A$15:$A$54)=YEAR($A13),1,0))*1))</f>
        <v>0</v>
      </c>
      <c r="D12" s="72">
        <f t="array" ref="D12">(SUM((IF(YEAR($A$15:$A$54)=YEAR($A13),1,0))*D$15:D$54))/(SUM((IF(YEAR($A$15:$A$54)=YEAR($A13),1,0))*1))</f>
        <v>0</v>
      </c>
      <c r="E12" s="72">
        <f t="array" ref="E12">(SUM((IF(YEAR($A$15:$A$54)=YEAR($A13),1,0))*E$15:E$54))/(SUM((IF(YEAR($A$15:$A$54)=YEAR($A13),1,0))*1))</f>
        <v>0</v>
      </c>
      <c r="F12" s="72">
        <f t="array" ref="F12">(SUM((IF(YEAR($A$15:$A$54)=YEAR($A13),1,0))*F$15:F$54))/(SUM((IF(YEAR($A$15:$A$54)=YEAR($A13),1,0))*1))</f>
        <v>0</v>
      </c>
      <c r="G12" s="72">
        <f t="array" ref="G12">(SUM((IF(YEAR($A$15:$A$54)=YEAR($A13),1,0))*G$15:G$54))/(SUM((IF(YEAR($A$15:$A$54)=YEAR($A13),1,0))*1))</f>
        <v>0</v>
      </c>
      <c r="H12" s="72">
        <f t="array" ref="H12">(SUM((IF(YEAR($A$15:$A$54)=YEAR($A13),1,0))*H$15:H$54))/(SUM((IF(YEAR($A$15:$A$54)=YEAR($A13),1,0))*1))</f>
        <v>0</v>
      </c>
      <c r="I12" s="73">
        <f t="array" ref="I12">(SUM((IF(YEAR($A$15:$A$54)=YEAR($A13),1,0))*I$15:I$54))/(SUM((IF(YEAR($A$15:$A$54)=YEAR($A13),1,0))*1))</f>
        <v>0</v>
      </c>
      <c r="J12" s="81">
        <f t="array" ref="J12">(SUM((IF(YEAR($A$15:$A$54)=YEAR($A13),1,0))*J$15:J$54))/(SUM((IF(YEAR($A$15:$A$54)=YEAR($A13),1,0))*1))</f>
        <v>0</v>
      </c>
      <c r="K12" s="72">
        <f t="array" ref="K12">(SUM((IF(YEAR($A$15:$A$54)=YEAR($A13),1,0))*K$15:K$54))/(SUM((IF(YEAR($A$15:$A$54)=YEAR($A13),1,0))*1))</f>
        <v>0</v>
      </c>
      <c r="L12" s="72">
        <f t="array" ref="L12">(SUM((IF(YEAR($A$15:$A$54)=YEAR($A13),1,0))*L$15:L$54))/(SUM((IF(YEAR($A$15:$A$54)=YEAR($A13),1,0))*1))</f>
        <v>0</v>
      </c>
      <c r="M12" s="73">
        <f t="array" ref="M12">(SUM((IF(YEAR($A$15:$A$54)=YEAR($A13),1,0))*M$15:M$54))/(SUM((IF(YEAR($A$15:$A$54)=YEAR($A13),1,0))*1))</f>
        <v>0</v>
      </c>
    </row>
    <row r="13" spans="1:13" s="9" customFormat="1" outlineLevel="1">
      <c r="A13" s="37">
        <v>39814</v>
      </c>
      <c r="B13" s="72">
        <f t="array" ref="B13">SUM((IF(YEAR($A$15:$A$54)=YEAR($A13),1,0))*B$15:B$54)</f>
        <v>0</v>
      </c>
      <c r="C13" s="72">
        <f t="array" ref="C13">SUM((IF(YEAR($A$15:$A$54)=YEAR($A13),1,0))*C$15:C$54)</f>
        <v>0</v>
      </c>
      <c r="D13" s="72">
        <f t="array" ref="D13">SUM((IF(YEAR($A$15:$A$54)=YEAR($A13),1,0))*D$15:D$54)</f>
        <v>0</v>
      </c>
      <c r="E13" s="72">
        <f t="array" ref="E13">SUM((IF(YEAR($A$15:$A$54)=YEAR($A13),1,0))*E$15:E$54)</f>
        <v>0</v>
      </c>
      <c r="F13" s="72">
        <f t="array" ref="F13">SUM((IF(YEAR($A$15:$A$54)=YEAR($A13),1,0))*F$15:F$54)</f>
        <v>0</v>
      </c>
      <c r="G13" s="72">
        <f t="array" ref="G13">SUM((IF(YEAR($A$15:$A$54)=YEAR($A13),1,0))*G$15:G$54)</f>
        <v>0</v>
      </c>
      <c r="H13" s="72">
        <f t="array" ref="H13">SUM((IF(YEAR($A$15:$A$54)=YEAR($A13),1,0))*H$15:H$54)</f>
        <v>0</v>
      </c>
      <c r="I13" s="73">
        <f t="array" ref="I13">SUM((IF(YEAR($A$15:$A$54)=YEAR($A13),1,0))*I$15:I$54)</f>
        <v>0</v>
      </c>
      <c r="J13" s="81">
        <f t="array" ref="J13">SUM((IF(YEAR($A$15:$A$54)=YEAR($A13),1,0))*J$15:J$54)</f>
        <v>0</v>
      </c>
      <c r="K13" s="72">
        <f t="array" ref="K13">SUM((IF(YEAR($A$15:$A$54)=YEAR($A13),1,0))*K$15:K$54)</f>
        <v>0</v>
      </c>
      <c r="L13" s="72">
        <f t="array" ref="L13">SUM((IF(YEAR($A$15:$A$54)=YEAR($A13),1,0))*L$15:L$54)</f>
        <v>0</v>
      </c>
      <c r="M13" s="73">
        <f t="array" ref="M13">SUM((IF(YEAR($A$15:$A$54)=YEAR($A13),1,0))*M$15:M$54)</f>
        <v>0</v>
      </c>
    </row>
    <row r="14" spans="1:13" s="43" customFormat="1">
      <c r="A14" s="42"/>
      <c r="B14" s="74" t="str">
        <f>B1</f>
        <v>Afhalingen</v>
      </c>
      <c r="C14" s="74" t="str">
        <f t="shared" ref="C14:M14" si="0">C1</f>
        <v>Afhaling z vaste kosten</v>
      </c>
      <c r="D14" s="74" t="str">
        <f t="shared" si="0"/>
        <v>Vaste kosten (lening, electriciteit, gas, kabel, water, internet)</v>
      </c>
      <c r="E14" s="74" t="str">
        <f t="shared" si="0"/>
        <v>Naar onze rekeningen</v>
      </c>
      <c r="F14" s="74" t="str">
        <f t="shared" si="0"/>
        <v>Voeding</v>
      </c>
      <c r="G14" s="74" t="str">
        <f>G1</f>
        <v>VISA</v>
      </c>
      <c r="H14" s="74" t="str">
        <f>H1</f>
        <v>Andere</v>
      </c>
      <c r="I14" s="74" t="str">
        <f t="shared" si="0"/>
        <v>Uitgaven z vaste kosten</v>
      </c>
      <c r="J14" s="74" t="str">
        <f>J2</f>
        <v>Samen</v>
      </c>
      <c r="K14" s="74" t="str">
        <f>K2</f>
        <v>Loon A</v>
      </c>
      <c r="L14" s="74" t="str">
        <f>L2</f>
        <v>Loon B</v>
      </c>
      <c r="M14" s="75" t="str">
        <f t="shared" si="0"/>
        <v>Externe stortingen</v>
      </c>
    </row>
    <row r="15" spans="1:13" s="9" customFormat="1" outlineLevel="1">
      <c r="A15" s="19">
        <v>38777</v>
      </c>
      <c r="B15" s="78">
        <f t="array" aca="1" ref="B15" ca="1">SUM((IF(MONTH(ArgentaGemeenschRekData!$A$2:$A$2000)=MONTH(ArgentaGemeenschRekSamenv!$A15),1,0))*(IF(YEAR(ArgentaGemeenschRekData!$A$2:$A$2000)=YEAR(ArgentaGemeenschRekSamenv!$A15),1,0))*IF(ArgentaGemeenschRekData!$D$2:$D$2000&lt;0,1,0)*IF(ArgentaGemeenschRekData!$K$2:$K$2000=Categorieën!$C$1,0,1)*IF(ArgentaGemeenschRekData!$K$2:$K$2000=Categorieën!$B$1,0,1)*ArgentaGemeenschRekData!$D$2:$D$2000)</f>
        <v>0</v>
      </c>
      <c r="C15" s="78">
        <f t="shared" ref="C15:C22" si="1">$B15-$D15</f>
        <v>0</v>
      </c>
      <c r="D15" s="78">
        <f t="array" aca="1" ref="D15" ca="1">SUM(IF(MONTH(ArgentaGemeenschRekData!$A$2:$A$2000)=MONTH(ArgentaGemeenschRekSamenv!$A15),1,0)*IF(YEAR(ArgentaGemeenschRekData!$A$2:$A$2000)=YEAR(ArgentaGemeenschRekSamenv!$A15),1,0)*IF(ArgentaGemeenschRekData!$D$2:$D$2000&lt;0,1,0)*IF(LEFT(ArgentaGemeenschRekData!$K$2:$K$2000,3)="VK-",1,0)*ArgentaGemeenschRekData!$D$2:$D$2000)</f>
        <v>0</v>
      </c>
      <c r="E15" s="78">
        <f t="array" aca="1" ref="E15" ca="1">SUM(IF(MONTH(ArgentaGemeenschRekData!$A$2:$A$2000)=MONTH(ArgentaGemeenschRekSamenv!$A15),1,0)*IF(YEAR(ArgentaGemeenschRekData!$A$2:$A$2000)=YEAR(ArgentaGemeenschRekSamenv!$A15),1,0)*IF(ArgentaGemeenschRekData!$D$2:$D$2000&lt;0,1,0)*IF(ArgentaGemeenschRekData!$K$2:$K$2000=Categorieën!$D$1,1,0)*ArgentaGemeenschRekData!$D$2:$D$2000)*-1</f>
        <v>0</v>
      </c>
      <c r="F15" s="78">
        <f ca="1">SUM(IF(MONTH(ArgentaGemeenschRekData!$A$2:$A$2000)=MONTH($A15),1,0)*IF(YEAR(ArgentaGemeenschRekData!$A$2:$A$2000)=YEAR($A15),1,0)*IF(ArgentaGemeenschRekData!$K$2:$K$2000=F$1,1,0)*ArgentaGemeenschRekData!$D$2:$D$2000)</f>
        <v>0</v>
      </c>
      <c r="G15" s="78">
        <f ca="1">SUM(IF(MONTH(ArgentaGemeenschRekData!$A$2:$A$2000)=MONTH($A15),1,0)*IF(YEAR(ArgentaGemeenschRekData!$A$2:$A$2000)=YEAR($A15),1,0)*IF(ArgentaGemeenschRekData!$K$2:$K$2000=G$1,1,0)*ArgentaGemeenschRekData!$D$2:$D$2000)</f>
        <v>0</v>
      </c>
      <c r="H15" s="78">
        <f ca="1">SUM(IF(MONTH(ArgentaGemeenschRekData!$A$2:$A$2000)=MONTH($A15),1,0)*IF(YEAR(ArgentaGemeenschRekData!$A$2:$A$2000)=YEAR($A15),1,0)*IF(ArgentaGemeenschRekData!$K$2:$K$2000=H$1,1,0)*ArgentaGemeenschRekData!$D$2:$D$2000)</f>
        <v>0</v>
      </c>
      <c r="I15" s="77">
        <f t="shared" ref="I15:I22" si="2">$B15-$D15+$E15</f>
        <v>0</v>
      </c>
      <c r="J15" s="83">
        <f t="array" aca="1" ref="J15" ca="1">SUM((IF(MONTH(ArgentaGemeenschRekData!$A$2:$A$2000)=MONTH(ArgentaGemeenschRekSamenv!$A15),1,0))*(IF(YEAR(ArgentaGemeenschRekData!$A$2:$A$2000)=YEAR(ArgentaGemeenschRekSamenv!$A15),1,0))*(IF(ArgentaGemeenschRekData!$D$2:$D$2000&gt;0,1,0))*ArgentaGemeenschRekData!$D$2:$D$2000)</f>
        <v>0</v>
      </c>
      <c r="K15" s="78">
        <f t="array" aca="1" ref="K15" ca="1">SUM(IF(MONTH(ArgentaGemeenschRekData!$A$2:$A$2000)=MONTH(ArgentaGemeenschRekSamenv!$A15),1,0)*IF(YEAR(ArgentaGemeenschRekData!$A$2:$A$2000)=YEAR(ArgentaGemeenschRekSamenv!$A15),1,0)*IF(ArgentaGemeenschRekData!$D$2:$D$2000&gt;0,1,0)*IF(ArgentaGemeenschRekData!$K$2:$K$2000=K$2,1,0)*ArgentaGemeenschRekData!$D$2:$D$2000)</f>
        <v>0</v>
      </c>
      <c r="L15" s="78">
        <f t="array" aca="1" ref="L15" ca="1">SUM(IF(MONTH(ArgentaGemeenschRekData!$A$2:$A$2000)=MONTH(ArgentaGemeenschRekSamenv!$A15),1,0)*IF(YEAR(ArgentaGemeenschRekData!$A$2:$A$2000)=YEAR(ArgentaGemeenschRekSamenv!$A15),1,0)*IF(ArgentaGemeenschRekData!$D$2:$D$2000&gt;0,1,0)*IF(ArgentaGemeenschRekData!$K$2:$K$2000=L$2,1,0)*ArgentaGemeenschRekData!$D$2:$D$2000)</f>
        <v>0</v>
      </c>
      <c r="M15" s="77">
        <f t="shared" ref="M15:M22" si="3">J15-(K15+L15)</f>
        <v>0</v>
      </c>
    </row>
    <row r="16" spans="1:13" s="9" customFormat="1" outlineLevel="1">
      <c r="A16" s="19">
        <v>38808</v>
      </c>
      <c r="B16" s="78">
        <f t="array" aca="1" ref="B16" ca="1">SUM((IF(MONTH(ArgentaGemeenschRekData!$A$2:$A$2000)=MONTH(ArgentaGemeenschRekSamenv!$A16),1,0))*(IF(YEAR(ArgentaGemeenschRekData!$A$2:$A$2000)=YEAR(ArgentaGemeenschRekSamenv!$A16),1,0))*IF(ArgentaGemeenschRekData!$D$2:$D$2000&lt;0,1,0)*IF(ArgentaGemeenschRekData!$K$2:$K$2000=Categorieën!$C$1,0,1)*IF(ArgentaGemeenschRekData!$K$2:$K$2000=Categorieën!$B$1,0,1)*ArgentaGemeenschRekData!$D$2:$D$2000)</f>
        <v>0</v>
      </c>
      <c r="C16" s="78">
        <f t="shared" si="1"/>
        <v>0</v>
      </c>
      <c r="D16" s="78">
        <f t="array" aca="1" ref="D16" ca="1">SUM(IF(MONTH(ArgentaGemeenschRekData!$A$2:$A$2000)=MONTH(ArgentaGemeenschRekSamenv!$A16),1,0)*IF(YEAR(ArgentaGemeenschRekData!$A$2:$A$2000)=YEAR(ArgentaGemeenschRekSamenv!$A16),1,0)*IF(ArgentaGemeenschRekData!$D$2:$D$2000&lt;0,1,0)*IF(LEFT(ArgentaGemeenschRekData!$K$2:$K$2000,3)="VK-",1,0)*ArgentaGemeenschRekData!$D$2:$D$2000)</f>
        <v>0</v>
      </c>
      <c r="E16" s="78">
        <f t="array" aca="1" ref="E16" ca="1">SUM(IF(MONTH(ArgentaGemeenschRekData!$A$2:$A$2000)=MONTH(ArgentaGemeenschRekSamenv!$A16),1,0)*IF(YEAR(ArgentaGemeenschRekData!$A$2:$A$2000)=YEAR(ArgentaGemeenschRekSamenv!$A16),1,0)*IF(ArgentaGemeenschRekData!$D$2:$D$2000&lt;0,1,0)*IF(ArgentaGemeenschRekData!$K$2:$K$2000=Categorieën!$D$1,1,0)*ArgentaGemeenschRekData!$D$2:$D$2000)*-1</f>
        <v>0</v>
      </c>
      <c r="F16" s="78">
        <f ca="1">SUM(IF(MONTH(ArgentaGemeenschRekData!$A$2:$A$2000)=MONTH($A16),1,0)*IF(YEAR(ArgentaGemeenschRekData!$A$2:$A$2000)=YEAR($A16),1,0)*IF(ArgentaGemeenschRekData!$K$2:$K$2000=F$1,1,0)*ArgentaGemeenschRekData!$D$2:$D$2000)</f>
        <v>0</v>
      </c>
      <c r="G16" s="78">
        <f ca="1">SUM(IF(MONTH(ArgentaGemeenschRekData!$A$2:$A$2000)=MONTH($A16),1,0)*IF(YEAR(ArgentaGemeenschRekData!$A$2:$A$2000)=YEAR($A16),1,0)*IF(ArgentaGemeenschRekData!$K$2:$K$2000=G$1,1,0)*ArgentaGemeenschRekData!$D$2:$D$2000)</f>
        <v>0</v>
      </c>
      <c r="H16" s="78">
        <f ca="1">SUM(IF(MONTH(ArgentaGemeenschRekData!$A$2:$A$2000)=MONTH($A16),1,0)*IF(YEAR(ArgentaGemeenschRekData!$A$2:$A$2000)=YEAR($A16),1,0)*IF(ArgentaGemeenschRekData!$K$2:$K$2000=H$1,1,0)*ArgentaGemeenschRekData!$D$2:$D$2000)</f>
        <v>0</v>
      </c>
      <c r="I16" s="77">
        <f t="shared" si="2"/>
        <v>0</v>
      </c>
      <c r="J16" s="83">
        <f t="array" aca="1" ref="J16" ca="1">SUM((IF(MONTH(ArgentaGemeenschRekData!$A$2:$A$2000)=MONTH(ArgentaGemeenschRekSamenv!$A16),1,0))*(IF(YEAR(ArgentaGemeenschRekData!$A$2:$A$2000)=YEAR(ArgentaGemeenschRekSamenv!$A16),1,0))*(IF(ArgentaGemeenschRekData!$D$2:$D$2000&gt;0,1,0))*ArgentaGemeenschRekData!$D$2:$D$2000)</f>
        <v>0</v>
      </c>
      <c r="K16" s="78">
        <f t="array" aca="1" ref="K16" ca="1">SUM(IF(MONTH(ArgentaGemeenschRekData!$A$2:$A$2000)=MONTH(ArgentaGemeenschRekSamenv!$A16),1,0)*IF(YEAR(ArgentaGemeenschRekData!$A$2:$A$2000)=YEAR(ArgentaGemeenschRekSamenv!$A16),1,0)*IF(ArgentaGemeenschRekData!$D$2:$D$2000&gt;0,1,0)*IF(ArgentaGemeenschRekData!$K$2:$K$2000=K$2,1,0)*ArgentaGemeenschRekData!$D$2:$D$2000)</f>
        <v>0</v>
      </c>
      <c r="L16" s="78">
        <f t="array" aca="1" ref="L16" ca="1">SUM(IF(MONTH(ArgentaGemeenschRekData!$A$2:$A$2000)=MONTH(ArgentaGemeenschRekSamenv!$A16),1,0)*IF(YEAR(ArgentaGemeenschRekData!$A$2:$A$2000)=YEAR(ArgentaGemeenschRekSamenv!$A16),1,0)*IF(ArgentaGemeenschRekData!$D$2:$D$2000&gt;0,1,0)*IF(ArgentaGemeenschRekData!$K$2:$K$2000=L$2,1,0)*ArgentaGemeenschRekData!$D$2:$D$2000)</f>
        <v>0</v>
      </c>
      <c r="M16" s="77">
        <f t="shared" si="3"/>
        <v>0</v>
      </c>
    </row>
    <row r="17" spans="1:13" s="9" customFormat="1" outlineLevel="1">
      <c r="A17" s="19">
        <v>38838</v>
      </c>
      <c r="B17" s="78">
        <f t="array" aca="1" ref="B17" ca="1">SUM((IF(MONTH(ArgentaGemeenschRekData!$A$2:$A$2000)=MONTH(ArgentaGemeenschRekSamenv!$A17),1,0))*(IF(YEAR(ArgentaGemeenschRekData!$A$2:$A$2000)=YEAR(ArgentaGemeenschRekSamenv!$A17),1,0))*IF(ArgentaGemeenschRekData!$D$2:$D$2000&lt;0,1,0)*IF(ArgentaGemeenschRekData!$K$2:$K$2000=Categorieën!$C$1,0,1)*IF(ArgentaGemeenschRekData!$K$2:$K$2000=Categorieën!$B$1,0,1)*ArgentaGemeenschRekData!$D$2:$D$2000)</f>
        <v>0</v>
      </c>
      <c r="C17" s="78">
        <f t="shared" si="1"/>
        <v>0</v>
      </c>
      <c r="D17" s="78">
        <f t="array" aca="1" ref="D17" ca="1">SUM(IF(MONTH(ArgentaGemeenschRekData!$A$2:$A$2000)=MONTH(ArgentaGemeenschRekSamenv!$A17),1,0)*IF(YEAR(ArgentaGemeenschRekData!$A$2:$A$2000)=YEAR(ArgentaGemeenschRekSamenv!$A17),1,0)*IF(ArgentaGemeenschRekData!$D$2:$D$2000&lt;0,1,0)*IF(LEFT(ArgentaGemeenschRekData!$K$2:$K$2000,3)="VK-",1,0)*ArgentaGemeenschRekData!$D$2:$D$2000)</f>
        <v>0</v>
      </c>
      <c r="E17" s="78">
        <f t="array" aca="1" ref="E17" ca="1">SUM(IF(MONTH(ArgentaGemeenschRekData!$A$2:$A$2000)=MONTH(ArgentaGemeenschRekSamenv!$A17),1,0)*IF(YEAR(ArgentaGemeenschRekData!$A$2:$A$2000)=YEAR(ArgentaGemeenschRekSamenv!$A17),1,0)*IF(ArgentaGemeenschRekData!$D$2:$D$2000&lt;0,1,0)*IF(ArgentaGemeenschRekData!$K$2:$K$2000=Categorieën!$D$1,1,0)*ArgentaGemeenschRekData!$D$2:$D$2000)*-1</f>
        <v>0</v>
      </c>
      <c r="F17" s="78">
        <f ca="1">SUM(IF(MONTH(ArgentaGemeenschRekData!$A$2:$A$2000)=MONTH($A17),1,0)*IF(YEAR(ArgentaGemeenschRekData!$A$2:$A$2000)=YEAR($A17),1,0)*IF(ArgentaGemeenschRekData!$K$2:$K$2000=F$1,1,0)*ArgentaGemeenschRekData!$D$2:$D$2000)</f>
        <v>0</v>
      </c>
      <c r="G17" s="78">
        <f ca="1">SUM(IF(MONTH(ArgentaGemeenschRekData!$A$2:$A$2000)=MONTH($A17),1,0)*IF(YEAR(ArgentaGemeenschRekData!$A$2:$A$2000)=YEAR($A17),1,0)*IF(ArgentaGemeenschRekData!$K$2:$K$2000=G$1,1,0)*ArgentaGemeenschRekData!$D$2:$D$2000)</f>
        <v>0</v>
      </c>
      <c r="H17" s="78">
        <f ca="1">SUM(IF(MONTH(ArgentaGemeenschRekData!$A$2:$A$2000)=MONTH($A17),1,0)*IF(YEAR(ArgentaGemeenschRekData!$A$2:$A$2000)=YEAR($A17),1,0)*IF(ArgentaGemeenschRekData!$K$2:$K$2000=H$1,1,0)*ArgentaGemeenschRekData!$D$2:$D$2000)</f>
        <v>0</v>
      </c>
      <c r="I17" s="77">
        <f t="shared" si="2"/>
        <v>0</v>
      </c>
      <c r="J17" s="83">
        <f t="array" aca="1" ref="J17" ca="1">SUM((IF(MONTH(ArgentaGemeenschRekData!$A$2:$A$2000)=MONTH(ArgentaGemeenschRekSamenv!$A17),1,0))*(IF(YEAR(ArgentaGemeenschRekData!$A$2:$A$2000)=YEAR(ArgentaGemeenschRekSamenv!$A17),1,0))*(IF(ArgentaGemeenschRekData!$D$2:$D$2000&gt;0,1,0))*ArgentaGemeenschRekData!$D$2:$D$2000)</f>
        <v>0</v>
      </c>
      <c r="K17" s="78">
        <f t="array" aca="1" ref="K17" ca="1">SUM(IF(MONTH(ArgentaGemeenschRekData!$A$2:$A$2000)=MONTH(ArgentaGemeenschRekSamenv!$A17),1,0)*IF(YEAR(ArgentaGemeenschRekData!$A$2:$A$2000)=YEAR(ArgentaGemeenschRekSamenv!$A17),1,0)*IF(ArgentaGemeenschRekData!$D$2:$D$2000&gt;0,1,0)*IF(ArgentaGemeenschRekData!$K$2:$K$2000=K$2,1,0)*ArgentaGemeenschRekData!$D$2:$D$2000)</f>
        <v>0</v>
      </c>
      <c r="L17" s="78">
        <f t="array" aca="1" ref="L17" ca="1">SUM(IF(MONTH(ArgentaGemeenschRekData!$A$2:$A$2000)=MONTH(ArgentaGemeenschRekSamenv!$A17),1,0)*IF(YEAR(ArgentaGemeenschRekData!$A$2:$A$2000)=YEAR(ArgentaGemeenschRekSamenv!$A17),1,0)*IF(ArgentaGemeenschRekData!$D$2:$D$2000&gt;0,1,0)*IF(ArgentaGemeenschRekData!$K$2:$K$2000=L$2,1,0)*ArgentaGemeenschRekData!$D$2:$D$2000)</f>
        <v>0</v>
      </c>
      <c r="M17" s="77">
        <f t="shared" si="3"/>
        <v>0</v>
      </c>
    </row>
    <row r="18" spans="1:13" s="9" customFormat="1" outlineLevel="1">
      <c r="A18" s="19">
        <v>38869</v>
      </c>
      <c r="B18" s="78">
        <f t="array" aca="1" ref="B18" ca="1">SUM((IF(MONTH(ArgentaGemeenschRekData!$A$2:$A$2000)=MONTH(ArgentaGemeenschRekSamenv!$A18),1,0))*(IF(YEAR(ArgentaGemeenschRekData!$A$2:$A$2000)=YEAR(ArgentaGemeenschRekSamenv!$A18),1,0))*IF(ArgentaGemeenschRekData!$D$2:$D$2000&lt;0,1,0)*IF(ArgentaGemeenschRekData!$K$2:$K$2000=Categorieën!$C$1,0,1)*IF(ArgentaGemeenschRekData!$K$2:$K$2000=Categorieën!$B$1,0,1)*ArgentaGemeenschRekData!$D$2:$D$2000)</f>
        <v>0</v>
      </c>
      <c r="C18" s="78">
        <f t="shared" si="1"/>
        <v>0</v>
      </c>
      <c r="D18" s="78">
        <f t="array" aca="1" ref="D18" ca="1">SUM(IF(MONTH(ArgentaGemeenschRekData!$A$2:$A$2000)=MONTH(ArgentaGemeenschRekSamenv!$A18),1,0)*IF(YEAR(ArgentaGemeenschRekData!$A$2:$A$2000)=YEAR(ArgentaGemeenschRekSamenv!$A18),1,0)*IF(ArgentaGemeenschRekData!$D$2:$D$2000&lt;0,1,0)*IF(LEFT(ArgentaGemeenschRekData!$K$2:$K$2000,3)="VK-",1,0)*ArgentaGemeenschRekData!$D$2:$D$2000)</f>
        <v>0</v>
      </c>
      <c r="E18" s="78">
        <f t="array" aca="1" ref="E18" ca="1">SUM(IF(MONTH(ArgentaGemeenschRekData!$A$2:$A$2000)=MONTH(ArgentaGemeenschRekSamenv!$A18),1,0)*IF(YEAR(ArgentaGemeenschRekData!$A$2:$A$2000)=YEAR(ArgentaGemeenschRekSamenv!$A18),1,0)*IF(ArgentaGemeenschRekData!$D$2:$D$2000&lt;0,1,0)*IF(ArgentaGemeenschRekData!$K$2:$K$2000=Categorieën!$D$1,1,0)*ArgentaGemeenschRekData!$D$2:$D$2000)*-1</f>
        <v>0</v>
      </c>
      <c r="F18" s="78">
        <f ca="1">SUM(IF(MONTH(ArgentaGemeenschRekData!$A$2:$A$2000)=MONTH($A18),1,0)*IF(YEAR(ArgentaGemeenschRekData!$A$2:$A$2000)=YEAR($A18),1,0)*IF(ArgentaGemeenschRekData!$K$2:$K$2000=F$1,1,0)*ArgentaGemeenschRekData!$D$2:$D$2000)</f>
        <v>0</v>
      </c>
      <c r="G18" s="78">
        <f ca="1">SUM(IF(MONTH(ArgentaGemeenschRekData!$A$2:$A$2000)=MONTH($A18),1,0)*IF(YEAR(ArgentaGemeenschRekData!$A$2:$A$2000)=YEAR($A18),1,0)*IF(ArgentaGemeenschRekData!$K$2:$K$2000=G$1,1,0)*ArgentaGemeenschRekData!$D$2:$D$2000)</f>
        <v>0</v>
      </c>
      <c r="H18" s="78">
        <f ca="1">SUM(IF(MONTH(ArgentaGemeenschRekData!$A$2:$A$2000)=MONTH($A18),1,0)*IF(YEAR(ArgentaGemeenschRekData!$A$2:$A$2000)=YEAR($A18),1,0)*IF(ArgentaGemeenschRekData!$K$2:$K$2000=H$1,1,0)*ArgentaGemeenschRekData!$D$2:$D$2000)</f>
        <v>0</v>
      </c>
      <c r="I18" s="77">
        <f t="shared" si="2"/>
        <v>0</v>
      </c>
      <c r="J18" s="83">
        <f t="array" aca="1" ref="J18" ca="1">SUM((IF(MONTH(ArgentaGemeenschRekData!$A$2:$A$2000)=MONTH(ArgentaGemeenschRekSamenv!$A18),1,0))*(IF(YEAR(ArgentaGemeenschRekData!$A$2:$A$2000)=YEAR(ArgentaGemeenschRekSamenv!$A18),1,0))*(IF(ArgentaGemeenschRekData!$D$2:$D$2000&gt;0,1,0))*ArgentaGemeenschRekData!$D$2:$D$2000)</f>
        <v>0</v>
      </c>
      <c r="K18" s="78">
        <f t="array" aca="1" ref="K18" ca="1">SUM(IF(MONTH(ArgentaGemeenschRekData!$A$2:$A$2000)=MONTH(ArgentaGemeenschRekSamenv!$A18),1,0)*IF(YEAR(ArgentaGemeenschRekData!$A$2:$A$2000)=YEAR(ArgentaGemeenschRekSamenv!$A18),1,0)*IF(ArgentaGemeenschRekData!$D$2:$D$2000&gt;0,1,0)*IF(ArgentaGemeenschRekData!$K$2:$K$2000=K$2,1,0)*ArgentaGemeenschRekData!$D$2:$D$2000)</f>
        <v>0</v>
      </c>
      <c r="L18" s="78">
        <f t="array" aca="1" ref="L18" ca="1">SUM(IF(MONTH(ArgentaGemeenschRekData!$A$2:$A$2000)=MONTH(ArgentaGemeenschRekSamenv!$A18),1,0)*IF(YEAR(ArgentaGemeenschRekData!$A$2:$A$2000)=YEAR(ArgentaGemeenschRekSamenv!$A18),1,0)*IF(ArgentaGemeenschRekData!$D$2:$D$2000&gt;0,1,0)*IF(ArgentaGemeenschRekData!$K$2:$K$2000=L$2,1,0)*ArgentaGemeenschRekData!$D$2:$D$2000)</f>
        <v>0</v>
      </c>
      <c r="M18" s="77">
        <f t="shared" si="3"/>
        <v>0</v>
      </c>
    </row>
    <row r="19" spans="1:13" s="9" customFormat="1" outlineLevel="1">
      <c r="A19" s="19">
        <v>38899</v>
      </c>
      <c r="B19" s="78">
        <f t="array" aca="1" ref="B19" ca="1">SUM((IF(MONTH(ArgentaGemeenschRekData!$A$2:$A$2000)=MONTH(ArgentaGemeenschRekSamenv!$A19),1,0))*(IF(YEAR(ArgentaGemeenschRekData!$A$2:$A$2000)=YEAR(ArgentaGemeenschRekSamenv!$A19),1,0))*IF(ArgentaGemeenschRekData!$D$2:$D$2000&lt;0,1,0)*IF(ArgentaGemeenschRekData!$K$2:$K$2000=Categorieën!$C$1,0,1)*IF(ArgentaGemeenschRekData!$K$2:$K$2000=Categorieën!$B$1,0,1)*ArgentaGemeenschRekData!$D$2:$D$2000)</f>
        <v>0</v>
      </c>
      <c r="C19" s="78">
        <f t="shared" si="1"/>
        <v>0</v>
      </c>
      <c r="D19" s="78">
        <f t="array" aca="1" ref="D19" ca="1">SUM(IF(MONTH(ArgentaGemeenschRekData!$A$2:$A$2000)=MONTH(ArgentaGemeenschRekSamenv!$A19),1,0)*IF(YEAR(ArgentaGemeenschRekData!$A$2:$A$2000)=YEAR(ArgentaGemeenschRekSamenv!$A19),1,0)*IF(ArgentaGemeenschRekData!$D$2:$D$2000&lt;0,1,0)*IF(LEFT(ArgentaGemeenschRekData!$K$2:$K$2000,3)="VK-",1,0)*ArgentaGemeenschRekData!$D$2:$D$2000)</f>
        <v>0</v>
      </c>
      <c r="E19" s="78">
        <f t="array" aca="1" ref="E19" ca="1">SUM(IF(MONTH(ArgentaGemeenschRekData!$A$2:$A$2000)=MONTH(ArgentaGemeenschRekSamenv!$A19),1,0)*IF(YEAR(ArgentaGemeenschRekData!$A$2:$A$2000)=YEAR(ArgentaGemeenschRekSamenv!$A19),1,0)*IF(ArgentaGemeenschRekData!$D$2:$D$2000&lt;0,1,0)*IF(ArgentaGemeenschRekData!$K$2:$K$2000=Categorieën!$D$1,1,0)*ArgentaGemeenschRekData!$D$2:$D$2000)*-1</f>
        <v>0</v>
      </c>
      <c r="F19" s="78">
        <f ca="1">SUM(IF(MONTH(ArgentaGemeenschRekData!$A$2:$A$2000)=MONTH($A19),1,0)*IF(YEAR(ArgentaGemeenschRekData!$A$2:$A$2000)=YEAR($A19),1,0)*IF(ArgentaGemeenschRekData!$K$2:$K$2000=F$1,1,0)*ArgentaGemeenschRekData!$D$2:$D$2000)</f>
        <v>0</v>
      </c>
      <c r="G19" s="78">
        <f ca="1">SUM(IF(MONTH(ArgentaGemeenschRekData!$A$2:$A$2000)=MONTH($A19),1,0)*IF(YEAR(ArgentaGemeenschRekData!$A$2:$A$2000)=YEAR($A19),1,0)*IF(ArgentaGemeenschRekData!$K$2:$K$2000=G$1,1,0)*ArgentaGemeenschRekData!$D$2:$D$2000)</f>
        <v>0</v>
      </c>
      <c r="H19" s="78">
        <f ca="1">SUM(IF(MONTH(ArgentaGemeenschRekData!$A$2:$A$2000)=MONTH($A19),1,0)*IF(YEAR(ArgentaGemeenschRekData!$A$2:$A$2000)=YEAR($A19),1,0)*IF(ArgentaGemeenschRekData!$K$2:$K$2000=H$1,1,0)*ArgentaGemeenschRekData!$D$2:$D$2000)</f>
        <v>0</v>
      </c>
      <c r="I19" s="77">
        <f t="shared" si="2"/>
        <v>0</v>
      </c>
      <c r="J19" s="83">
        <f t="array" aca="1" ref="J19" ca="1">SUM((IF(MONTH(ArgentaGemeenschRekData!$A$2:$A$2000)=MONTH(ArgentaGemeenschRekSamenv!$A19),1,0))*(IF(YEAR(ArgentaGemeenschRekData!$A$2:$A$2000)=YEAR(ArgentaGemeenschRekSamenv!$A19),1,0))*(IF(ArgentaGemeenschRekData!$D$2:$D$2000&gt;0,1,0))*ArgentaGemeenschRekData!$D$2:$D$2000)</f>
        <v>0</v>
      </c>
      <c r="K19" s="78">
        <f t="array" aca="1" ref="K19" ca="1">SUM(IF(MONTH(ArgentaGemeenschRekData!$A$2:$A$2000)=MONTH(ArgentaGemeenschRekSamenv!$A19),1,0)*IF(YEAR(ArgentaGemeenschRekData!$A$2:$A$2000)=YEAR(ArgentaGemeenschRekSamenv!$A19),1,0)*IF(ArgentaGemeenschRekData!$D$2:$D$2000&gt;0,1,0)*IF(ArgentaGemeenschRekData!$K$2:$K$2000=K$2,1,0)*ArgentaGemeenschRekData!$D$2:$D$2000)</f>
        <v>0</v>
      </c>
      <c r="L19" s="78">
        <f t="array" aca="1" ref="L19" ca="1">SUM(IF(MONTH(ArgentaGemeenschRekData!$A$2:$A$2000)=MONTH(ArgentaGemeenschRekSamenv!$A19),1,0)*IF(YEAR(ArgentaGemeenschRekData!$A$2:$A$2000)=YEAR(ArgentaGemeenschRekSamenv!$A19),1,0)*IF(ArgentaGemeenschRekData!$D$2:$D$2000&gt;0,1,0)*IF(ArgentaGemeenschRekData!$K$2:$K$2000=L$2,1,0)*ArgentaGemeenschRekData!$D$2:$D$2000)</f>
        <v>0</v>
      </c>
      <c r="M19" s="77">
        <f t="shared" si="3"/>
        <v>0</v>
      </c>
    </row>
    <row r="20" spans="1:13" s="9" customFormat="1" outlineLevel="1">
      <c r="A20" s="19">
        <v>38930</v>
      </c>
      <c r="B20" s="78">
        <f t="array" aca="1" ref="B20" ca="1">SUM((IF(MONTH(ArgentaGemeenschRekData!$A$2:$A$2000)=MONTH(ArgentaGemeenschRekSamenv!$A20),1,0))*(IF(YEAR(ArgentaGemeenschRekData!$A$2:$A$2000)=YEAR(ArgentaGemeenschRekSamenv!$A20),1,0))*IF(ArgentaGemeenschRekData!$D$2:$D$2000&lt;0,1,0)*IF(ArgentaGemeenschRekData!$K$2:$K$2000=Categorieën!$C$1,0,1)*IF(ArgentaGemeenschRekData!$K$2:$K$2000=Categorieën!$B$1,0,1)*ArgentaGemeenschRekData!$D$2:$D$2000)</f>
        <v>0</v>
      </c>
      <c r="C20" s="78">
        <f t="shared" si="1"/>
        <v>0</v>
      </c>
      <c r="D20" s="78">
        <f t="array" aca="1" ref="D20" ca="1">SUM(IF(MONTH(ArgentaGemeenschRekData!$A$2:$A$2000)=MONTH(ArgentaGemeenschRekSamenv!$A20),1,0)*IF(YEAR(ArgentaGemeenschRekData!$A$2:$A$2000)=YEAR(ArgentaGemeenschRekSamenv!$A20),1,0)*IF(ArgentaGemeenschRekData!$D$2:$D$2000&lt;0,1,0)*IF(LEFT(ArgentaGemeenschRekData!$K$2:$K$2000,3)="VK-",1,0)*ArgentaGemeenschRekData!$D$2:$D$2000)</f>
        <v>0</v>
      </c>
      <c r="E20" s="78">
        <f t="array" aca="1" ref="E20" ca="1">SUM(IF(MONTH(ArgentaGemeenschRekData!$A$2:$A$2000)=MONTH(ArgentaGemeenschRekSamenv!$A20),1,0)*IF(YEAR(ArgentaGemeenschRekData!$A$2:$A$2000)=YEAR(ArgentaGemeenschRekSamenv!$A20),1,0)*IF(ArgentaGemeenschRekData!$D$2:$D$2000&lt;0,1,0)*IF(ArgentaGemeenschRekData!$K$2:$K$2000=Categorieën!$D$1,1,0)*ArgentaGemeenschRekData!$D$2:$D$2000)*-1</f>
        <v>0</v>
      </c>
      <c r="F20" s="78">
        <f ca="1">SUM(IF(MONTH(ArgentaGemeenschRekData!$A$2:$A$2000)=MONTH($A20),1,0)*IF(YEAR(ArgentaGemeenschRekData!$A$2:$A$2000)=YEAR($A20),1,0)*IF(ArgentaGemeenschRekData!$K$2:$K$2000=F$1,1,0)*ArgentaGemeenschRekData!$D$2:$D$2000)</f>
        <v>0</v>
      </c>
      <c r="G20" s="78">
        <f ca="1">SUM(IF(MONTH(ArgentaGemeenschRekData!$A$2:$A$2000)=MONTH($A20),1,0)*IF(YEAR(ArgentaGemeenschRekData!$A$2:$A$2000)=YEAR($A20),1,0)*IF(ArgentaGemeenschRekData!$K$2:$K$2000=G$1,1,0)*ArgentaGemeenschRekData!$D$2:$D$2000)</f>
        <v>0</v>
      </c>
      <c r="H20" s="78">
        <f ca="1">SUM(IF(MONTH(ArgentaGemeenschRekData!$A$2:$A$2000)=MONTH($A20),1,0)*IF(YEAR(ArgentaGemeenschRekData!$A$2:$A$2000)=YEAR($A20),1,0)*IF(ArgentaGemeenschRekData!$K$2:$K$2000=H$1,1,0)*ArgentaGemeenschRekData!$D$2:$D$2000)</f>
        <v>0</v>
      </c>
      <c r="I20" s="77">
        <f t="shared" si="2"/>
        <v>0</v>
      </c>
      <c r="J20" s="83">
        <f t="array" aca="1" ref="J20" ca="1">SUM((IF(MONTH(ArgentaGemeenschRekData!$A$2:$A$2000)=MONTH(ArgentaGemeenschRekSamenv!$A20),1,0))*(IF(YEAR(ArgentaGemeenschRekData!$A$2:$A$2000)=YEAR(ArgentaGemeenschRekSamenv!$A20),1,0))*(IF(ArgentaGemeenschRekData!$D$2:$D$2000&gt;0,1,0))*ArgentaGemeenschRekData!$D$2:$D$2000)</f>
        <v>0</v>
      </c>
      <c r="K20" s="78">
        <f t="array" aca="1" ref="K20" ca="1">SUM(IF(MONTH(ArgentaGemeenschRekData!$A$2:$A$2000)=MONTH(ArgentaGemeenschRekSamenv!$A20),1,0)*IF(YEAR(ArgentaGemeenschRekData!$A$2:$A$2000)=YEAR(ArgentaGemeenschRekSamenv!$A20),1,0)*IF(ArgentaGemeenschRekData!$D$2:$D$2000&gt;0,1,0)*IF(ArgentaGemeenschRekData!$K$2:$K$2000=K$2,1,0)*ArgentaGemeenschRekData!$D$2:$D$2000)</f>
        <v>0</v>
      </c>
      <c r="L20" s="78">
        <f t="array" aca="1" ref="L20" ca="1">SUM(IF(MONTH(ArgentaGemeenschRekData!$A$2:$A$2000)=MONTH(ArgentaGemeenschRekSamenv!$A20),1,0)*IF(YEAR(ArgentaGemeenschRekData!$A$2:$A$2000)=YEAR(ArgentaGemeenschRekSamenv!$A20),1,0)*IF(ArgentaGemeenschRekData!$D$2:$D$2000&gt;0,1,0)*IF(ArgentaGemeenschRekData!$K$2:$K$2000=L$2,1,0)*ArgentaGemeenschRekData!$D$2:$D$2000)</f>
        <v>0</v>
      </c>
      <c r="M20" s="77">
        <f t="shared" si="3"/>
        <v>0</v>
      </c>
    </row>
    <row r="21" spans="1:13" s="9" customFormat="1" outlineLevel="1">
      <c r="A21" s="19">
        <v>38961</v>
      </c>
      <c r="B21" s="78">
        <f t="array" aca="1" ref="B21" ca="1">SUM((IF(MONTH(ArgentaGemeenschRekData!$A$2:$A$2000)=MONTH(ArgentaGemeenschRekSamenv!$A21),1,0))*(IF(YEAR(ArgentaGemeenschRekData!$A$2:$A$2000)=YEAR(ArgentaGemeenschRekSamenv!$A21),1,0))*IF(ArgentaGemeenschRekData!$D$2:$D$2000&lt;0,1,0)*IF(ArgentaGemeenschRekData!$K$2:$K$2000=Categorieën!$C$1,0,1)*IF(ArgentaGemeenschRekData!$K$2:$K$2000=Categorieën!$B$1,0,1)*ArgentaGemeenschRekData!$D$2:$D$2000)</f>
        <v>0</v>
      </c>
      <c r="C21" s="78">
        <f t="shared" si="1"/>
        <v>0</v>
      </c>
      <c r="D21" s="78">
        <f t="array" aca="1" ref="D21" ca="1">SUM(IF(MONTH(ArgentaGemeenschRekData!$A$2:$A$2000)=MONTH(ArgentaGemeenschRekSamenv!$A21),1,0)*IF(YEAR(ArgentaGemeenschRekData!$A$2:$A$2000)=YEAR(ArgentaGemeenschRekSamenv!$A21),1,0)*IF(ArgentaGemeenschRekData!$D$2:$D$2000&lt;0,1,0)*IF(LEFT(ArgentaGemeenschRekData!$K$2:$K$2000,3)="VK-",1,0)*ArgentaGemeenschRekData!$D$2:$D$2000)</f>
        <v>0</v>
      </c>
      <c r="E21" s="78">
        <f t="array" aca="1" ref="E21" ca="1">SUM(IF(MONTH(ArgentaGemeenschRekData!$A$2:$A$2000)=MONTH(ArgentaGemeenschRekSamenv!$A21),1,0)*IF(YEAR(ArgentaGemeenschRekData!$A$2:$A$2000)=YEAR(ArgentaGemeenschRekSamenv!$A21),1,0)*IF(ArgentaGemeenschRekData!$D$2:$D$2000&lt;0,1,0)*IF(ArgentaGemeenschRekData!$K$2:$K$2000=Categorieën!$D$1,1,0)*ArgentaGemeenschRekData!$D$2:$D$2000)*-1</f>
        <v>0</v>
      </c>
      <c r="F21" s="78">
        <f ca="1">SUM(IF(MONTH(ArgentaGemeenschRekData!$A$2:$A$2000)=MONTH($A21),1,0)*IF(YEAR(ArgentaGemeenschRekData!$A$2:$A$2000)=YEAR($A21),1,0)*IF(ArgentaGemeenschRekData!$K$2:$K$2000=F$1,1,0)*ArgentaGemeenschRekData!$D$2:$D$2000)</f>
        <v>0</v>
      </c>
      <c r="G21" s="78">
        <f ca="1">SUM(IF(MONTH(ArgentaGemeenschRekData!$A$2:$A$2000)=MONTH($A21),1,0)*IF(YEAR(ArgentaGemeenschRekData!$A$2:$A$2000)=YEAR($A21),1,0)*IF(ArgentaGemeenschRekData!$K$2:$K$2000=G$1,1,0)*ArgentaGemeenschRekData!$D$2:$D$2000)</f>
        <v>0</v>
      </c>
      <c r="H21" s="78">
        <f ca="1">SUM(IF(MONTH(ArgentaGemeenschRekData!$A$2:$A$2000)=MONTH($A21),1,0)*IF(YEAR(ArgentaGemeenschRekData!$A$2:$A$2000)=YEAR($A21),1,0)*IF(ArgentaGemeenschRekData!$K$2:$K$2000=H$1,1,0)*ArgentaGemeenschRekData!$D$2:$D$2000)</f>
        <v>0</v>
      </c>
      <c r="I21" s="77">
        <f t="shared" si="2"/>
        <v>0</v>
      </c>
      <c r="J21" s="83">
        <f t="array" aca="1" ref="J21" ca="1">SUM((IF(MONTH(ArgentaGemeenschRekData!$A$2:$A$2000)=MONTH(ArgentaGemeenschRekSamenv!$A21),1,0))*(IF(YEAR(ArgentaGemeenschRekData!$A$2:$A$2000)=YEAR(ArgentaGemeenschRekSamenv!$A21),1,0))*(IF(ArgentaGemeenschRekData!$D$2:$D$2000&gt;0,1,0))*ArgentaGemeenschRekData!$D$2:$D$2000)</f>
        <v>0</v>
      </c>
      <c r="K21" s="78">
        <f t="array" aca="1" ref="K21" ca="1">SUM(IF(MONTH(ArgentaGemeenschRekData!$A$2:$A$2000)=MONTH(ArgentaGemeenschRekSamenv!$A21),1,0)*IF(YEAR(ArgentaGemeenschRekData!$A$2:$A$2000)=YEAR(ArgentaGemeenschRekSamenv!$A21),1,0)*IF(ArgentaGemeenschRekData!$D$2:$D$2000&gt;0,1,0)*IF(ArgentaGemeenschRekData!$K$2:$K$2000=K$2,1,0)*ArgentaGemeenschRekData!$D$2:$D$2000)</f>
        <v>0</v>
      </c>
      <c r="L21" s="78">
        <f t="array" aca="1" ref="L21" ca="1">SUM(IF(MONTH(ArgentaGemeenschRekData!$A$2:$A$2000)=MONTH(ArgentaGemeenschRekSamenv!$A21),1,0)*IF(YEAR(ArgentaGemeenschRekData!$A$2:$A$2000)=YEAR(ArgentaGemeenschRekSamenv!$A21),1,0)*IF(ArgentaGemeenschRekData!$D$2:$D$2000&gt;0,1,0)*IF(ArgentaGemeenschRekData!$K$2:$K$2000=L$2,1,0)*ArgentaGemeenschRekData!$D$2:$D$2000)</f>
        <v>0</v>
      </c>
      <c r="M21" s="77">
        <f t="shared" si="3"/>
        <v>0</v>
      </c>
    </row>
    <row r="22" spans="1:13" s="9" customFormat="1" outlineLevel="1">
      <c r="A22" s="19">
        <v>38991</v>
      </c>
      <c r="B22" s="78">
        <f t="array" aca="1" ref="B22" ca="1">SUM((IF(MONTH(ArgentaGemeenschRekData!$A$2:$A$2000)=MONTH(ArgentaGemeenschRekSamenv!$A22),1,0))*(IF(YEAR(ArgentaGemeenschRekData!$A$2:$A$2000)=YEAR(ArgentaGemeenschRekSamenv!$A22),1,0))*IF(ArgentaGemeenschRekData!$D$2:$D$2000&lt;0,1,0)*IF(ArgentaGemeenschRekData!$K$2:$K$2000=Categorieën!$C$1,0,1)*IF(ArgentaGemeenschRekData!$K$2:$K$2000=Categorieën!$B$1,0,1)*ArgentaGemeenschRekData!$D$2:$D$2000)</f>
        <v>0</v>
      </c>
      <c r="C22" s="78">
        <f t="shared" si="1"/>
        <v>0</v>
      </c>
      <c r="D22" s="78">
        <f t="array" aca="1" ref="D22" ca="1">SUM(IF(MONTH(ArgentaGemeenschRekData!$A$2:$A$2000)=MONTH(ArgentaGemeenschRekSamenv!$A22),1,0)*IF(YEAR(ArgentaGemeenschRekData!$A$2:$A$2000)=YEAR(ArgentaGemeenschRekSamenv!$A22),1,0)*IF(ArgentaGemeenschRekData!$D$2:$D$2000&lt;0,1,0)*IF(LEFT(ArgentaGemeenschRekData!$K$2:$K$2000,3)="VK-",1,0)*ArgentaGemeenschRekData!$D$2:$D$2000)</f>
        <v>0</v>
      </c>
      <c r="E22" s="78">
        <f t="array" aca="1" ref="E22" ca="1">SUM(IF(MONTH(ArgentaGemeenschRekData!$A$2:$A$2000)=MONTH(ArgentaGemeenschRekSamenv!$A22),1,0)*IF(YEAR(ArgentaGemeenschRekData!$A$2:$A$2000)=YEAR(ArgentaGemeenschRekSamenv!$A22),1,0)*IF(ArgentaGemeenschRekData!$D$2:$D$2000&lt;0,1,0)*IF(ArgentaGemeenschRekData!$K$2:$K$2000=Categorieën!$D$1,1,0)*ArgentaGemeenschRekData!$D$2:$D$2000)*-1</f>
        <v>0</v>
      </c>
      <c r="F22" s="78">
        <f ca="1">SUM(IF(MONTH(ArgentaGemeenschRekData!$A$2:$A$2000)=MONTH($A22),1,0)*IF(YEAR(ArgentaGemeenschRekData!$A$2:$A$2000)=YEAR($A22),1,0)*IF(ArgentaGemeenschRekData!$K$2:$K$2000=F$1,1,0)*ArgentaGemeenschRekData!$D$2:$D$2000)</f>
        <v>0</v>
      </c>
      <c r="G22" s="78">
        <f ca="1">SUM(IF(MONTH(ArgentaGemeenschRekData!$A$2:$A$2000)=MONTH($A22),1,0)*IF(YEAR(ArgentaGemeenschRekData!$A$2:$A$2000)=YEAR($A22),1,0)*IF(ArgentaGemeenschRekData!$K$2:$K$2000=G$1,1,0)*ArgentaGemeenschRekData!$D$2:$D$2000)</f>
        <v>0</v>
      </c>
      <c r="H22" s="78">
        <f ca="1">SUM(IF(MONTH(ArgentaGemeenschRekData!$A$2:$A$2000)=MONTH($A22),1,0)*IF(YEAR(ArgentaGemeenschRekData!$A$2:$A$2000)=YEAR($A22),1,0)*IF(ArgentaGemeenschRekData!$K$2:$K$2000=H$1,1,0)*ArgentaGemeenschRekData!$D$2:$D$2000)</f>
        <v>0</v>
      </c>
      <c r="I22" s="77">
        <f t="shared" si="2"/>
        <v>0</v>
      </c>
      <c r="J22" s="83">
        <f t="array" aca="1" ref="J22" ca="1">SUM((IF(MONTH(ArgentaGemeenschRekData!$A$2:$A$2000)=MONTH(ArgentaGemeenschRekSamenv!$A22),1,0))*(IF(YEAR(ArgentaGemeenschRekData!$A$2:$A$2000)=YEAR(ArgentaGemeenschRekSamenv!$A22),1,0))*(IF(ArgentaGemeenschRekData!$D$2:$D$2000&gt;0,1,0))*ArgentaGemeenschRekData!$D$2:$D$2000)</f>
        <v>0</v>
      </c>
      <c r="K22" s="78">
        <f t="array" aca="1" ref="K22" ca="1">SUM(IF(MONTH(ArgentaGemeenschRekData!$A$2:$A$2000)=MONTH(ArgentaGemeenschRekSamenv!$A22),1,0)*IF(YEAR(ArgentaGemeenschRekData!$A$2:$A$2000)=YEAR(ArgentaGemeenschRekSamenv!$A22),1,0)*IF(ArgentaGemeenschRekData!$D$2:$D$2000&gt;0,1,0)*IF(ArgentaGemeenschRekData!$K$2:$K$2000=K$2,1,0)*ArgentaGemeenschRekData!$D$2:$D$2000)</f>
        <v>0</v>
      </c>
      <c r="L22" s="78">
        <f t="array" aca="1" ref="L22" ca="1">SUM(IF(MONTH(ArgentaGemeenschRekData!$A$2:$A$2000)=MONTH(ArgentaGemeenschRekSamenv!$A22),1,0)*IF(YEAR(ArgentaGemeenschRekData!$A$2:$A$2000)=YEAR(ArgentaGemeenschRekSamenv!$A22),1,0)*IF(ArgentaGemeenschRekData!$D$2:$D$2000&gt;0,1,0)*IF(ArgentaGemeenschRekData!$K$2:$K$2000=L$2,1,0)*ArgentaGemeenschRekData!$D$2:$D$2000)</f>
        <v>0</v>
      </c>
      <c r="M22" s="77">
        <f t="shared" si="3"/>
        <v>0</v>
      </c>
    </row>
    <row r="23" spans="1:13" s="9" customFormat="1" outlineLevel="1">
      <c r="A23" s="19">
        <v>39022</v>
      </c>
      <c r="B23" s="78">
        <f t="array" aca="1" ref="B23" ca="1">SUM((IF(MONTH(ArgentaGemeenschRekData!$A$2:$A$2000)=MONTH(ArgentaGemeenschRekSamenv!$A23),1,0))*(IF(YEAR(ArgentaGemeenschRekData!$A$2:$A$2000)=YEAR(ArgentaGemeenschRekSamenv!$A23),1,0))*IF(ArgentaGemeenschRekData!$D$2:$D$2000&lt;0,1,0)*IF(ArgentaGemeenschRekData!$K$2:$K$2000=Categorieën!$C$1,0,1)*IF(ArgentaGemeenschRekData!$K$2:$K$2000=Categorieën!$B$1,0,1)*ArgentaGemeenschRekData!$D$2:$D$2000)</f>
        <v>0</v>
      </c>
      <c r="C23" s="78">
        <f>$B23-$D23</f>
        <v>0</v>
      </c>
      <c r="D23" s="78">
        <f t="array" aca="1" ref="D23" ca="1">SUM(IF(MONTH(ArgentaGemeenschRekData!$A$2:$A$2000)=MONTH(ArgentaGemeenschRekSamenv!$A23),1,0)*IF(YEAR(ArgentaGemeenschRekData!$A$2:$A$2000)=YEAR(ArgentaGemeenschRekSamenv!$A23),1,0)*IF(ArgentaGemeenschRekData!$D$2:$D$2000&lt;0,1,0)*IF(LEFT(ArgentaGemeenschRekData!$K$2:$K$2000,3)="VK-",1,0)*ArgentaGemeenschRekData!$D$2:$D$2000)</f>
        <v>0</v>
      </c>
      <c r="E23" s="78">
        <f t="array" aca="1" ref="E23" ca="1">SUM(IF(MONTH(ArgentaGemeenschRekData!$A$2:$A$2000)=MONTH(ArgentaGemeenschRekSamenv!$A23),1,0)*IF(YEAR(ArgentaGemeenschRekData!$A$2:$A$2000)=YEAR(ArgentaGemeenschRekSamenv!$A23),1,0)*IF(ArgentaGemeenschRekData!$D$2:$D$2000&lt;0,1,0)*IF(ArgentaGemeenschRekData!$K$2:$K$2000=Categorieën!$D$1,1,0)*ArgentaGemeenschRekData!$D$2:$D$2000)*-1</f>
        <v>0</v>
      </c>
      <c r="F23" s="78">
        <f ca="1">SUM(IF(MONTH(ArgentaGemeenschRekData!$A$2:$A$2000)=MONTH($A23),1,0)*IF(YEAR(ArgentaGemeenschRekData!$A$2:$A$2000)=YEAR($A23),1,0)*IF(ArgentaGemeenschRekData!$K$2:$K$2000=F$1,1,0)*ArgentaGemeenschRekData!$D$2:$D$2000)</f>
        <v>0</v>
      </c>
      <c r="G23" s="78">
        <f ca="1">SUM(IF(MONTH(ArgentaGemeenschRekData!$A$2:$A$2000)=MONTH($A23),1,0)*IF(YEAR(ArgentaGemeenschRekData!$A$2:$A$2000)=YEAR($A23),1,0)*IF(ArgentaGemeenschRekData!$K$2:$K$2000=G$1,1,0)*ArgentaGemeenschRekData!$D$2:$D$2000)</f>
        <v>0</v>
      </c>
      <c r="H23" s="78">
        <f ca="1">SUM(IF(MONTH(ArgentaGemeenschRekData!$A$2:$A$2000)=MONTH($A23),1,0)*IF(YEAR(ArgentaGemeenschRekData!$A$2:$A$2000)=YEAR($A23),1,0)*IF(ArgentaGemeenschRekData!$K$2:$K$2000=H$1,1,0)*ArgentaGemeenschRekData!$D$2:$D$2000)</f>
        <v>0</v>
      </c>
      <c r="I23" s="77">
        <f>$B23-$D23+$E23</f>
        <v>0</v>
      </c>
      <c r="J23" s="83">
        <f t="array" aca="1" ref="J23" ca="1">SUM((IF(MONTH(ArgentaGemeenschRekData!$A$2:$A$2000)=MONTH(ArgentaGemeenschRekSamenv!$A23),1,0))*(IF(YEAR(ArgentaGemeenschRekData!$A$2:$A$2000)=YEAR(ArgentaGemeenschRekSamenv!$A23),1,0))*(IF(ArgentaGemeenschRekData!$D$2:$D$2000&gt;0,1,0))*ArgentaGemeenschRekData!$D$2:$D$2000)</f>
        <v>0</v>
      </c>
      <c r="K23" s="78">
        <f t="array" aca="1" ref="K23" ca="1">SUM(IF(MONTH(ArgentaGemeenschRekData!$A$2:$A$2000)=MONTH(ArgentaGemeenschRekSamenv!$A23),1,0)*IF(YEAR(ArgentaGemeenschRekData!$A$2:$A$2000)=YEAR(ArgentaGemeenschRekSamenv!$A23),1,0)*IF(ArgentaGemeenschRekData!$D$2:$D$2000&gt;0,1,0)*IF(ArgentaGemeenschRekData!$K$2:$K$2000=K$2,1,0)*ArgentaGemeenschRekData!$D$2:$D$2000)</f>
        <v>0</v>
      </c>
      <c r="L23" s="78">
        <f t="array" aca="1" ref="L23" ca="1">SUM(IF(MONTH(ArgentaGemeenschRekData!$A$2:$A$2000)=MONTH(ArgentaGemeenschRekSamenv!$A23),1,0)*IF(YEAR(ArgentaGemeenschRekData!$A$2:$A$2000)=YEAR(ArgentaGemeenschRekSamenv!$A23),1,0)*IF(ArgentaGemeenschRekData!$D$2:$D$2000&gt;0,1,0)*IF(ArgentaGemeenschRekData!$K$2:$K$2000=L$2,1,0)*ArgentaGemeenschRekData!$D$2:$D$2000)</f>
        <v>0</v>
      </c>
      <c r="M23" s="77">
        <f>J23-(K23+L23)</f>
        <v>0</v>
      </c>
    </row>
    <row r="24" spans="1:13" s="9" customFormat="1">
      <c r="A24" s="19">
        <v>39052</v>
      </c>
      <c r="B24" s="78">
        <f t="array" aca="1" ref="B24" ca="1">SUM((IF(MONTH(ArgentaGemeenschRekData!$A$2:$A$2000)=MONTH(ArgentaGemeenschRekSamenv!$A24),1,0))*(IF(YEAR(ArgentaGemeenschRekData!$A$2:$A$2000)=YEAR(ArgentaGemeenschRekSamenv!$A24),1,0))*IF(ArgentaGemeenschRekData!$D$2:$D$2000&lt;0,1,0)*IF(ArgentaGemeenschRekData!$K$2:$K$2000=Categorieën!$C$1,0,1)*IF(ArgentaGemeenschRekData!$K$2:$K$2000=Categorieën!$B$1,0,1)*ArgentaGemeenschRekData!$D$2:$D$2000)</f>
        <v>0</v>
      </c>
      <c r="C24" s="78">
        <f t="shared" ref="C24:C39" si="4">$B24-$D24</f>
        <v>0</v>
      </c>
      <c r="D24" s="78">
        <f t="array" aca="1" ref="D24" ca="1">SUM(IF(MONTH(ArgentaGemeenschRekData!$A$2:$A$2000)=MONTH(ArgentaGemeenschRekSamenv!$A24),1,0)*IF(YEAR(ArgentaGemeenschRekData!$A$2:$A$2000)=YEAR(ArgentaGemeenschRekSamenv!$A24),1,0)*IF(ArgentaGemeenschRekData!$D$2:$D$2000&lt;0,1,0)*IF(LEFT(ArgentaGemeenschRekData!$K$2:$K$2000,3)="VK-",1,0)*ArgentaGemeenschRekData!$D$2:$D$2000)</f>
        <v>0</v>
      </c>
      <c r="E24" s="78">
        <f t="array" aca="1" ref="E24" ca="1">SUM(IF(MONTH(ArgentaGemeenschRekData!$A$2:$A$2000)=MONTH(ArgentaGemeenschRekSamenv!$A24),1,0)*IF(YEAR(ArgentaGemeenschRekData!$A$2:$A$2000)=YEAR(ArgentaGemeenschRekSamenv!$A24),1,0)*IF(ArgentaGemeenschRekData!$D$2:$D$2000&lt;0,1,0)*IF(ArgentaGemeenschRekData!$K$2:$K$2000=Categorieën!$D$1,1,0)*ArgentaGemeenschRekData!$D$2:$D$2000)*-1</f>
        <v>0</v>
      </c>
      <c r="F24" s="78">
        <f ca="1">SUM(IF(MONTH(ArgentaGemeenschRekData!$A$2:$A$2000)=MONTH($A24),1,0)*IF(YEAR(ArgentaGemeenschRekData!$A$2:$A$2000)=YEAR($A24),1,0)*IF(ArgentaGemeenschRekData!$K$2:$K$2000=F$1,1,0)*ArgentaGemeenschRekData!$D$2:$D$2000)</f>
        <v>0</v>
      </c>
      <c r="G24" s="78">
        <f ca="1">SUM(IF(MONTH(ArgentaGemeenschRekData!$A$2:$A$2000)=MONTH($A24),1,0)*IF(YEAR(ArgentaGemeenschRekData!$A$2:$A$2000)=YEAR($A24),1,0)*IF(ArgentaGemeenschRekData!$K$2:$K$2000=G$1,1,0)*ArgentaGemeenschRekData!$D$2:$D$2000)</f>
        <v>0</v>
      </c>
      <c r="H24" s="78">
        <f ca="1">SUM(IF(MONTH(ArgentaGemeenschRekData!$A$2:$A$2000)=MONTH($A24),1,0)*IF(YEAR(ArgentaGemeenschRekData!$A$2:$A$2000)=YEAR($A24),1,0)*IF(ArgentaGemeenschRekData!$K$2:$K$2000=H$1,1,0)*ArgentaGemeenschRekData!$D$2:$D$2000)</f>
        <v>0</v>
      </c>
      <c r="I24" s="77">
        <f t="shared" ref="I24:I39" si="5">$B24-$D24+$E24</f>
        <v>0</v>
      </c>
      <c r="J24" s="83">
        <f t="array" aca="1" ref="J24" ca="1">SUM((IF(MONTH(ArgentaGemeenschRekData!$A$2:$A$2000)=MONTH(ArgentaGemeenschRekSamenv!$A24),1,0))*(IF(YEAR(ArgentaGemeenschRekData!$A$2:$A$2000)=YEAR(ArgentaGemeenschRekSamenv!$A24),1,0))*(IF(ArgentaGemeenschRekData!$D$2:$D$2000&gt;0,1,0))*ArgentaGemeenschRekData!$D$2:$D$2000)</f>
        <v>0</v>
      </c>
      <c r="K24" s="78">
        <f t="array" aca="1" ref="K24" ca="1">SUM(IF(MONTH(ArgentaGemeenschRekData!$A$2:$A$2000)=MONTH(ArgentaGemeenschRekSamenv!$A24),1,0)*IF(YEAR(ArgentaGemeenschRekData!$A$2:$A$2000)=YEAR(ArgentaGemeenschRekSamenv!$A24),1,0)*IF(ArgentaGemeenschRekData!$D$2:$D$2000&gt;0,1,0)*IF(ArgentaGemeenschRekData!$K$2:$K$2000=K$2,1,0)*ArgentaGemeenschRekData!$D$2:$D$2000)</f>
        <v>0</v>
      </c>
      <c r="L24" s="78">
        <f t="array" aca="1" ref="L24" ca="1">SUM(IF(MONTH(ArgentaGemeenschRekData!$A$2:$A$2000)=MONTH(ArgentaGemeenschRekSamenv!$A24),1,0)*IF(YEAR(ArgentaGemeenschRekData!$A$2:$A$2000)=YEAR(ArgentaGemeenschRekSamenv!$A24),1,0)*IF(ArgentaGemeenschRekData!$D$2:$D$2000&gt;0,1,0)*IF(ArgentaGemeenschRekData!$K$2:$K$2000=L$2,1,0)*ArgentaGemeenschRekData!$D$2:$D$2000)</f>
        <v>0</v>
      </c>
      <c r="M24" s="77">
        <f t="shared" ref="M24:M39" si="6">J24-(K24+L24)</f>
        <v>0</v>
      </c>
    </row>
    <row r="25" spans="1:13" s="9" customFormat="1" outlineLevel="1">
      <c r="A25" s="19">
        <v>39083</v>
      </c>
      <c r="B25" s="78">
        <f t="array" aca="1" ref="B25" ca="1">SUM((IF(MONTH(ArgentaGemeenschRekData!$A$2:$A$2000)=MONTH(ArgentaGemeenschRekSamenv!$A25),1,0))*(IF(YEAR(ArgentaGemeenschRekData!$A$2:$A$2000)=YEAR(ArgentaGemeenschRekSamenv!$A25),1,0))*IF(ArgentaGemeenschRekData!$D$2:$D$2000&lt;0,1,0)*IF(ArgentaGemeenschRekData!$K$2:$K$2000=Categorieën!$C$1,0,1)*IF(ArgentaGemeenschRekData!$K$2:$K$2000=Categorieën!$B$1,0,1)*ArgentaGemeenschRekData!$D$2:$D$2000)</f>
        <v>0</v>
      </c>
      <c r="C25" s="78">
        <f t="shared" si="4"/>
        <v>0</v>
      </c>
      <c r="D25" s="78">
        <f t="array" aca="1" ref="D25" ca="1">SUM(IF(MONTH(ArgentaGemeenschRekData!$A$2:$A$2000)=MONTH(ArgentaGemeenschRekSamenv!$A25),1,0)*IF(YEAR(ArgentaGemeenschRekData!$A$2:$A$2000)=YEAR(ArgentaGemeenschRekSamenv!$A25),1,0)*IF(ArgentaGemeenschRekData!$D$2:$D$2000&lt;0,1,0)*IF(LEFT(ArgentaGemeenschRekData!$K$2:$K$2000,3)="VK-",1,0)*ArgentaGemeenschRekData!$D$2:$D$2000)</f>
        <v>0</v>
      </c>
      <c r="E25" s="78">
        <f t="array" aca="1" ref="E25" ca="1">SUM(IF(MONTH(ArgentaGemeenschRekData!$A$2:$A$2000)=MONTH(ArgentaGemeenschRekSamenv!$A25),1,0)*IF(YEAR(ArgentaGemeenschRekData!$A$2:$A$2000)=YEAR(ArgentaGemeenschRekSamenv!$A25),1,0)*IF(ArgentaGemeenschRekData!$D$2:$D$2000&lt;0,1,0)*IF(ArgentaGemeenschRekData!$K$2:$K$2000=Categorieën!$D$1,1,0)*ArgentaGemeenschRekData!$D$2:$D$2000)*-1</f>
        <v>0</v>
      </c>
      <c r="F25" s="78">
        <f ca="1">SUM(IF(MONTH(ArgentaGemeenschRekData!$A$2:$A$2000)=MONTH($A25),1,0)*IF(YEAR(ArgentaGemeenschRekData!$A$2:$A$2000)=YEAR($A25),1,0)*IF(ArgentaGemeenschRekData!$K$2:$K$2000=F$1,1,0)*ArgentaGemeenschRekData!$D$2:$D$2000)</f>
        <v>0</v>
      </c>
      <c r="G25" s="78">
        <f ca="1">SUM(IF(MONTH(ArgentaGemeenschRekData!$A$2:$A$2000)=MONTH($A25),1,0)*IF(YEAR(ArgentaGemeenschRekData!$A$2:$A$2000)=YEAR($A25),1,0)*IF(ArgentaGemeenschRekData!$K$2:$K$2000=G$1,1,0)*ArgentaGemeenschRekData!$D$2:$D$2000)</f>
        <v>0</v>
      </c>
      <c r="H25" s="78">
        <f ca="1">SUM(IF(MONTH(ArgentaGemeenschRekData!$A$2:$A$2000)=MONTH($A25),1,0)*IF(YEAR(ArgentaGemeenschRekData!$A$2:$A$2000)=YEAR($A25),1,0)*IF(ArgentaGemeenschRekData!$K$2:$K$2000=H$1,1,0)*ArgentaGemeenschRekData!$D$2:$D$2000)</f>
        <v>0</v>
      </c>
      <c r="I25" s="77">
        <f t="shared" si="5"/>
        <v>0</v>
      </c>
      <c r="J25" s="83">
        <f t="array" aca="1" ref="J25" ca="1">SUM((IF(MONTH(ArgentaGemeenschRekData!$A$2:$A$2000)=MONTH(ArgentaGemeenschRekSamenv!$A25),1,0))*(IF(YEAR(ArgentaGemeenschRekData!$A$2:$A$2000)=YEAR(ArgentaGemeenschRekSamenv!$A25),1,0))*(IF(ArgentaGemeenschRekData!$D$2:$D$2000&gt;0,1,0))*ArgentaGemeenschRekData!$D$2:$D$2000)</f>
        <v>0</v>
      </c>
      <c r="K25" s="78">
        <f t="array" aca="1" ref="K25" ca="1">SUM(IF(MONTH(ArgentaGemeenschRekData!$A$2:$A$2000)=MONTH(ArgentaGemeenschRekSamenv!$A25),1,0)*IF(YEAR(ArgentaGemeenschRekData!$A$2:$A$2000)=YEAR(ArgentaGemeenschRekSamenv!$A25),1,0)*IF(ArgentaGemeenschRekData!$D$2:$D$2000&gt;0,1,0)*IF(ArgentaGemeenschRekData!$K$2:$K$2000=K$2,1,0)*ArgentaGemeenschRekData!$D$2:$D$2000)</f>
        <v>0</v>
      </c>
      <c r="L25" s="78">
        <f t="array" aca="1" ref="L25" ca="1">SUM(IF(MONTH(ArgentaGemeenschRekData!$A$2:$A$2000)=MONTH(ArgentaGemeenschRekSamenv!$A25),1,0)*IF(YEAR(ArgentaGemeenschRekData!$A$2:$A$2000)=YEAR(ArgentaGemeenschRekSamenv!$A25),1,0)*IF(ArgentaGemeenschRekData!$D$2:$D$2000&gt;0,1,0)*IF(ArgentaGemeenschRekData!$K$2:$K$2000=L$2,1,0)*ArgentaGemeenschRekData!$D$2:$D$2000)</f>
        <v>0</v>
      </c>
      <c r="M25" s="77">
        <f t="shared" si="6"/>
        <v>0</v>
      </c>
    </row>
    <row r="26" spans="1:13" s="9" customFormat="1" outlineLevel="1">
      <c r="A26" s="19">
        <v>39114</v>
      </c>
      <c r="B26" s="78">
        <f t="array" aca="1" ref="B26" ca="1">SUM((IF(MONTH(ArgentaGemeenschRekData!$A$2:$A$2000)=MONTH(ArgentaGemeenschRekSamenv!$A26),1,0))*(IF(YEAR(ArgentaGemeenschRekData!$A$2:$A$2000)=YEAR(ArgentaGemeenschRekSamenv!$A26),1,0))*IF(ArgentaGemeenschRekData!$D$2:$D$2000&lt;0,1,0)*IF(ArgentaGemeenschRekData!$K$2:$K$2000=Categorieën!$C$1,0,1)*IF(ArgentaGemeenschRekData!$K$2:$K$2000=Categorieën!$B$1,0,1)*ArgentaGemeenschRekData!$D$2:$D$2000)</f>
        <v>0</v>
      </c>
      <c r="C26" s="78">
        <f t="shared" si="4"/>
        <v>0</v>
      </c>
      <c r="D26" s="78">
        <f t="array" aca="1" ref="D26" ca="1">SUM(IF(MONTH(ArgentaGemeenschRekData!$A$2:$A$2000)=MONTH(ArgentaGemeenschRekSamenv!$A26),1,0)*IF(YEAR(ArgentaGemeenschRekData!$A$2:$A$2000)=YEAR(ArgentaGemeenschRekSamenv!$A26),1,0)*IF(ArgentaGemeenschRekData!$D$2:$D$2000&lt;0,1,0)*IF(LEFT(ArgentaGemeenschRekData!$K$2:$K$2000,3)="VK-",1,0)*ArgentaGemeenschRekData!$D$2:$D$2000)</f>
        <v>0</v>
      </c>
      <c r="E26" s="78">
        <f t="array" aca="1" ref="E26" ca="1">SUM(IF(MONTH(ArgentaGemeenschRekData!$A$2:$A$2000)=MONTH(ArgentaGemeenschRekSamenv!$A26),1,0)*IF(YEAR(ArgentaGemeenschRekData!$A$2:$A$2000)=YEAR(ArgentaGemeenschRekSamenv!$A26),1,0)*IF(ArgentaGemeenschRekData!$D$2:$D$2000&lt;0,1,0)*IF(ArgentaGemeenschRekData!$K$2:$K$2000=Categorieën!$D$1,1,0)*ArgentaGemeenschRekData!$D$2:$D$2000)*-1</f>
        <v>0</v>
      </c>
      <c r="F26" s="78">
        <f ca="1">SUM(IF(MONTH(ArgentaGemeenschRekData!$A$2:$A$2000)=MONTH($A26),1,0)*IF(YEAR(ArgentaGemeenschRekData!$A$2:$A$2000)=YEAR($A26),1,0)*IF(ArgentaGemeenschRekData!$K$2:$K$2000=F$1,1,0)*ArgentaGemeenschRekData!$D$2:$D$2000)</f>
        <v>0</v>
      </c>
      <c r="G26" s="78">
        <f ca="1">SUM(IF(MONTH(ArgentaGemeenschRekData!$A$2:$A$2000)=MONTH($A26),1,0)*IF(YEAR(ArgentaGemeenschRekData!$A$2:$A$2000)=YEAR($A26),1,0)*IF(ArgentaGemeenschRekData!$K$2:$K$2000=G$1,1,0)*ArgentaGemeenschRekData!$D$2:$D$2000)</f>
        <v>0</v>
      </c>
      <c r="H26" s="78">
        <f ca="1">SUM(IF(MONTH(ArgentaGemeenschRekData!$A$2:$A$2000)=MONTH($A26),1,0)*IF(YEAR(ArgentaGemeenschRekData!$A$2:$A$2000)=YEAR($A26),1,0)*IF(ArgentaGemeenschRekData!$K$2:$K$2000=H$1,1,0)*ArgentaGemeenschRekData!$D$2:$D$2000)</f>
        <v>0</v>
      </c>
      <c r="I26" s="77">
        <f t="shared" si="5"/>
        <v>0</v>
      </c>
      <c r="J26" s="83">
        <f t="array" aca="1" ref="J26" ca="1">SUM((IF(MONTH(ArgentaGemeenschRekData!$A$2:$A$2000)=MONTH(ArgentaGemeenschRekSamenv!$A26),1,0))*(IF(YEAR(ArgentaGemeenschRekData!$A$2:$A$2000)=YEAR(ArgentaGemeenschRekSamenv!$A26),1,0))*(IF(ArgentaGemeenschRekData!$D$2:$D$2000&gt;0,1,0))*ArgentaGemeenschRekData!$D$2:$D$2000)</f>
        <v>0</v>
      </c>
      <c r="K26" s="78">
        <f t="array" aca="1" ref="K26" ca="1">SUM(IF(MONTH(ArgentaGemeenschRekData!$A$2:$A$2000)=MONTH(ArgentaGemeenschRekSamenv!$A26),1,0)*IF(YEAR(ArgentaGemeenschRekData!$A$2:$A$2000)=YEAR(ArgentaGemeenschRekSamenv!$A26),1,0)*IF(ArgentaGemeenschRekData!$D$2:$D$2000&gt;0,1,0)*IF(ArgentaGemeenschRekData!$K$2:$K$2000=K$2,1,0)*ArgentaGemeenschRekData!$D$2:$D$2000)</f>
        <v>0</v>
      </c>
      <c r="L26" s="78">
        <f t="array" aca="1" ref="L26" ca="1">SUM(IF(MONTH(ArgentaGemeenschRekData!$A$2:$A$2000)=MONTH(ArgentaGemeenschRekSamenv!$A26),1,0)*IF(YEAR(ArgentaGemeenschRekData!$A$2:$A$2000)=YEAR(ArgentaGemeenschRekSamenv!$A26),1,0)*IF(ArgentaGemeenschRekData!$D$2:$D$2000&gt;0,1,0)*IF(ArgentaGemeenschRekData!$K$2:$K$2000=L$2,1,0)*ArgentaGemeenschRekData!$D$2:$D$2000)</f>
        <v>0</v>
      </c>
      <c r="M26" s="77">
        <f t="shared" si="6"/>
        <v>0</v>
      </c>
    </row>
    <row r="27" spans="1:13" s="9" customFormat="1" outlineLevel="1">
      <c r="A27" s="19">
        <v>39142</v>
      </c>
      <c r="B27" s="78">
        <f t="array" aca="1" ref="B27" ca="1">SUM((IF(MONTH(ArgentaGemeenschRekData!$A$2:$A$2000)=MONTH(ArgentaGemeenschRekSamenv!$A27),1,0))*(IF(YEAR(ArgentaGemeenschRekData!$A$2:$A$2000)=YEAR(ArgentaGemeenschRekSamenv!$A27),1,0))*IF(ArgentaGemeenschRekData!$D$2:$D$2000&lt;0,1,0)*IF(ArgentaGemeenschRekData!$K$2:$K$2000=Categorieën!$C$1,0,1)*IF(ArgentaGemeenschRekData!$K$2:$K$2000=Categorieën!$B$1,0,1)*ArgentaGemeenschRekData!$D$2:$D$2000)</f>
        <v>0</v>
      </c>
      <c r="C27" s="78">
        <f t="shared" si="4"/>
        <v>0</v>
      </c>
      <c r="D27" s="78">
        <f t="array" aca="1" ref="D27" ca="1">SUM(IF(MONTH(ArgentaGemeenschRekData!$A$2:$A$2000)=MONTH(ArgentaGemeenschRekSamenv!$A27),1,0)*IF(YEAR(ArgentaGemeenschRekData!$A$2:$A$2000)=YEAR(ArgentaGemeenschRekSamenv!$A27),1,0)*IF(ArgentaGemeenschRekData!$D$2:$D$2000&lt;0,1,0)*IF(LEFT(ArgentaGemeenschRekData!$K$2:$K$2000,3)="VK-",1,0)*ArgentaGemeenschRekData!$D$2:$D$2000)</f>
        <v>0</v>
      </c>
      <c r="E27" s="78">
        <f t="array" aca="1" ref="E27" ca="1">SUM(IF(MONTH(ArgentaGemeenschRekData!$A$2:$A$2000)=MONTH(ArgentaGemeenschRekSamenv!$A27),1,0)*IF(YEAR(ArgentaGemeenschRekData!$A$2:$A$2000)=YEAR(ArgentaGemeenschRekSamenv!$A27),1,0)*IF(ArgentaGemeenschRekData!$D$2:$D$2000&lt;0,1,0)*IF(ArgentaGemeenschRekData!$K$2:$K$2000=Categorieën!$D$1,1,0)*ArgentaGemeenschRekData!$D$2:$D$2000)*-1</f>
        <v>0</v>
      </c>
      <c r="F27" s="78">
        <f ca="1">SUM(IF(MONTH(ArgentaGemeenschRekData!$A$2:$A$2000)=MONTH($A27),1,0)*IF(YEAR(ArgentaGemeenschRekData!$A$2:$A$2000)=YEAR($A27),1,0)*IF(ArgentaGemeenschRekData!$K$2:$K$2000=F$1,1,0)*ArgentaGemeenschRekData!$D$2:$D$2000)</f>
        <v>0</v>
      </c>
      <c r="G27" s="78">
        <f ca="1">SUM(IF(MONTH(ArgentaGemeenschRekData!$A$2:$A$2000)=MONTH($A27),1,0)*IF(YEAR(ArgentaGemeenschRekData!$A$2:$A$2000)=YEAR($A27),1,0)*IF(ArgentaGemeenschRekData!$K$2:$K$2000=G$1,1,0)*ArgentaGemeenschRekData!$D$2:$D$2000)</f>
        <v>0</v>
      </c>
      <c r="H27" s="78">
        <f ca="1">SUM(IF(MONTH(ArgentaGemeenschRekData!$A$2:$A$2000)=MONTH($A27),1,0)*IF(YEAR(ArgentaGemeenschRekData!$A$2:$A$2000)=YEAR($A27),1,0)*IF(ArgentaGemeenschRekData!$K$2:$K$2000=H$1,1,0)*ArgentaGemeenschRekData!$D$2:$D$2000)</f>
        <v>0</v>
      </c>
      <c r="I27" s="77">
        <f t="shared" si="5"/>
        <v>0</v>
      </c>
      <c r="J27" s="83">
        <f t="array" aca="1" ref="J27" ca="1">SUM((IF(MONTH(ArgentaGemeenschRekData!$A$2:$A$2000)=MONTH(ArgentaGemeenschRekSamenv!$A27),1,0))*(IF(YEAR(ArgentaGemeenschRekData!$A$2:$A$2000)=YEAR(ArgentaGemeenschRekSamenv!$A27),1,0))*(IF(ArgentaGemeenschRekData!$D$2:$D$2000&gt;0,1,0))*ArgentaGemeenschRekData!$D$2:$D$2000)</f>
        <v>0</v>
      </c>
      <c r="K27" s="78">
        <f t="array" aca="1" ref="K27" ca="1">SUM(IF(MONTH(ArgentaGemeenschRekData!$A$2:$A$2000)=MONTH(ArgentaGemeenschRekSamenv!$A27),1,0)*IF(YEAR(ArgentaGemeenschRekData!$A$2:$A$2000)=YEAR(ArgentaGemeenschRekSamenv!$A27),1,0)*IF(ArgentaGemeenschRekData!$D$2:$D$2000&gt;0,1,0)*IF(ArgentaGemeenschRekData!$K$2:$K$2000=K$2,1,0)*ArgentaGemeenschRekData!$D$2:$D$2000)</f>
        <v>0</v>
      </c>
      <c r="L27" s="78">
        <f t="array" aca="1" ref="L27" ca="1">SUM(IF(MONTH(ArgentaGemeenschRekData!$A$2:$A$2000)=MONTH(ArgentaGemeenschRekSamenv!$A27),1,0)*IF(YEAR(ArgentaGemeenschRekData!$A$2:$A$2000)=YEAR(ArgentaGemeenschRekSamenv!$A27),1,0)*IF(ArgentaGemeenschRekData!$D$2:$D$2000&gt;0,1,0)*IF(ArgentaGemeenschRekData!$K$2:$K$2000=L$2,1,0)*ArgentaGemeenschRekData!$D$2:$D$2000)</f>
        <v>0</v>
      </c>
      <c r="M27" s="77">
        <f t="shared" si="6"/>
        <v>0</v>
      </c>
    </row>
    <row r="28" spans="1:13" s="9" customFormat="1" outlineLevel="1">
      <c r="A28" s="19">
        <v>39173</v>
      </c>
      <c r="B28" s="78">
        <f t="array" aca="1" ref="B28" ca="1">SUM((IF(MONTH(ArgentaGemeenschRekData!$A$2:$A$2000)=MONTH(ArgentaGemeenschRekSamenv!$A28),1,0))*(IF(YEAR(ArgentaGemeenschRekData!$A$2:$A$2000)=YEAR(ArgentaGemeenschRekSamenv!$A28),1,0))*IF(ArgentaGemeenschRekData!$D$2:$D$2000&lt;0,1,0)*IF(ArgentaGemeenschRekData!$K$2:$K$2000=Categorieën!$C$1,0,1)*IF(ArgentaGemeenschRekData!$K$2:$K$2000=Categorieën!$B$1,0,1)*ArgentaGemeenschRekData!$D$2:$D$2000)</f>
        <v>0</v>
      </c>
      <c r="C28" s="78">
        <f t="shared" si="4"/>
        <v>0</v>
      </c>
      <c r="D28" s="78">
        <f t="array" aca="1" ref="D28" ca="1">SUM(IF(MONTH(ArgentaGemeenschRekData!$A$2:$A$2000)=MONTH(ArgentaGemeenschRekSamenv!$A28),1,0)*IF(YEAR(ArgentaGemeenschRekData!$A$2:$A$2000)=YEAR(ArgentaGemeenschRekSamenv!$A28),1,0)*IF(ArgentaGemeenschRekData!$D$2:$D$2000&lt;0,1,0)*IF(LEFT(ArgentaGemeenschRekData!$K$2:$K$2000,3)="VK-",1,0)*ArgentaGemeenschRekData!$D$2:$D$2000)</f>
        <v>0</v>
      </c>
      <c r="E28" s="78">
        <f t="array" aca="1" ref="E28" ca="1">SUM(IF(MONTH(ArgentaGemeenschRekData!$A$2:$A$2000)=MONTH(ArgentaGemeenschRekSamenv!$A28),1,0)*IF(YEAR(ArgentaGemeenschRekData!$A$2:$A$2000)=YEAR(ArgentaGemeenschRekSamenv!$A28),1,0)*IF(ArgentaGemeenschRekData!$D$2:$D$2000&lt;0,1,0)*IF(ArgentaGemeenschRekData!$K$2:$K$2000=Categorieën!$D$1,1,0)*ArgentaGemeenschRekData!$D$2:$D$2000)*-1</f>
        <v>0</v>
      </c>
      <c r="F28" s="78">
        <f ca="1">SUM(IF(MONTH(ArgentaGemeenschRekData!$A$2:$A$2000)=MONTH($A28),1,0)*IF(YEAR(ArgentaGemeenschRekData!$A$2:$A$2000)=YEAR($A28),1,0)*IF(ArgentaGemeenschRekData!$K$2:$K$2000=F$1,1,0)*ArgentaGemeenschRekData!$D$2:$D$2000)</f>
        <v>0</v>
      </c>
      <c r="G28" s="78">
        <f ca="1">SUM(IF(MONTH(ArgentaGemeenschRekData!$A$2:$A$2000)=MONTH($A28),1,0)*IF(YEAR(ArgentaGemeenschRekData!$A$2:$A$2000)=YEAR($A28),1,0)*IF(ArgentaGemeenschRekData!$K$2:$K$2000=G$1,1,0)*ArgentaGemeenschRekData!$D$2:$D$2000)</f>
        <v>0</v>
      </c>
      <c r="H28" s="78">
        <f ca="1">SUM(IF(MONTH(ArgentaGemeenschRekData!$A$2:$A$2000)=MONTH($A28),1,0)*IF(YEAR(ArgentaGemeenschRekData!$A$2:$A$2000)=YEAR($A28),1,0)*IF(ArgentaGemeenschRekData!$K$2:$K$2000=H$1,1,0)*ArgentaGemeenschRekData!$D$2:$D$2000)</f>
        <v>0</v>
      </c>
      <c r="I28" s="77">
        <f t="shared" si="5"/>
        <v>0</v>
      </c>
      <c r="J28" s="83">
        <f t="array" aca="1" ref="J28" ca="1">SUM((IF(MONTH(ArgentaGemeenschRekData!$A$2:$A$2000)=MONTH(ArgentaGemeenschRekSamenv!$A28),1,0))*(IF(YEAR(ArgentaGemeenschRekData!$A$2:$A$2000)=YEAR(ArgentaGemeenschRekSamenv!$A28),1,0))*(IF(ArgentaGemeenschRekData!$D$2:$D$2000&gt;0,1,0))*ArgentaGemeenschRekData!$D$2:$D$2000)</f>
        <v>0</v>
      </c>
      <c r="K28" s="78">
        <f t="array" aca="1" ref="K28" ca="1">SUM(IF(MONTH(ArgentaGemeenschRekData!$A$2:$A$2000)=MONTH(ArgentaGemeenschRekSamenv!$A28),1,0)*IF(YEAR(ArgentaGemeenschRekData!$A$2:$A$2000)=YEAR(ArgentaGemeenschRekSamenv!$A28),1,0)*IF(ArgentaGemeenschRekData!$D$2:$D$2000&gt;0,1,0)*IF(ArgentaGemeenschRekData!$K$2:$K$2000=K$2,1,0)*ArgentaGemeenschRekData!$D$2:$D$2000)</f>
        <v>0</v>
      </c>
      <c r="L28" s="78">
        <f t="array" aca="1" ref="L28" ca="1">SUM(IF(MONTH(ArgentaGemeenschRekData!$A$2:$A$2000)=MONTH(ArgentaGemeenschRekSamenv!$A28),1,0)*IF(YEAR(ArgentaGemeenschRekData!$A$2:$A$2000)=YEAR(ArgentaGemeenschRekSamenv!$A28),1,0)*IF(ArgentaGemeenschRekData!$D$2:$D$2000&gt;0,1,0)*IF(ArgentaGemeenschRekData!$K$2:$K$2000=L$2,1,0)*ArgentaGemeenschRekData!$D$2:$D$2000)</f>
        <v>0</v>
      </c>
      <c r="M28" s="77">
        <f t="shared" si="6"/>
        <v>0</v>
      </c>
    </row>
    <row r="29" spans="1:13" s="9" customFormat="1" outlineLevel="1">
      <c r="A29" s="19">
        <v>39203</v>
      </c>
      <c r="B29" s="78">
        <f t="array" aca="1" ref="B29" ca="1">SUM((IF(MONTH(ArgentaGemeenschRekData!$A$2:$A$2000)=MONTH(ArgentaGemeenschRekSamenv!$A29),1,0))*(IF(YEAR(ArgentaGemeenschRekData!$A$2:$A$2000)=YEAR(ArgentaGemeenschRekSamenv!$A29),1,0))*IF(ArgentaGemeenschRekData!$D$2:$D$2000&lt;0,1,0)*IF(ArgentaGemeenschRekData!$K$2:$K$2000=Categorieën!$C$1,0,1)*IF(ArgentaGemeenschRekData!$K$2:$K$2000=Categorieën!$B$1,0,1)*ArgentaGemeenschRekData!$D$2:$D$2000)</f>
        <v>0</v>
      </c>
      <c r="C29" s="78">
        <f t="shared" si="4"/>
        <v>0</v>
      </c>
      <c r="D29" s="78">
        <f t="array" aca="1" ref="D29" ca="1">SUM(IF(MONTH(ArgentaGemeenschRekData!$A$2:$A$2000)=MONTH(ArgentaGemeenschRekSamenv!$A29),1,0)*IF(YEAR(ArgentaGemeenschRekData!$A$2:$A$2000)=YEAR(ArgentaGemeenschRekSamenv!$A29),1,0)*IF(ArgentaGemeenschRekData!$D$2:$D$2000&lt;0,1,0)*IF(LEFT(ArgentaGemeenschRekData!$K$2:$K$2000,3)="VK-",1,0)*ArgentaGemeenschRekData!$D$2:$D$2000)</f>
        <v>0</v>
      </c>
      <c r="E29" s="78">
        <f t="array" aca="1" ref="E29" ca="1">SUM(IF(MONTH(ArgentaGemeenschRekData!$A$2:$A$2000)=MONTH(ArgentaGemeenschRekSamenv!$A29),1,0)*IF(YEAR(ArgentaGemeenschRekData!$A$2:$A$2000)=YEAR(ArgentaGemeenschRekSamenv!$A29),1,0)*IF(ArgentaGemeenschRekData!$D$2:$D$2000&lt;0,1,0)*IF(ArgentaGemeenschRekData!$K$2:$K$2000=Categorieën!$D$1,1,0)*ArgentaGemeenschRekData!$D$2:$D$2000)*-1</f>
        <v>0</v>
      </c>
      <c r="F29" s="78">
        <f ca="1">SUM(IF(MONTH(ArgentaGemeenschRekData!$A$2:$A$2000)=MONTH($A29),1,0)*IF(YEAR(ArgentaGemeenschRekData!$A$2:$A$2000)=YEAR($A29),1,0)*IF(ArgentaGemeenschRekData!$K$2:$K$2000=F$1,1,0)*ArgentaGemeenschRekData!$D$2:$D$2000)</f>
        <v>0</v>
      </c>
      <c r="G29" s="78">
        <f ca="1">SUM(IF(MONTH(ArgentaGemeenschRekData!$A$2:$A$2000)=MONTH($A29),1,0)*IF(YEAR(ArgentaGemeenschRekData!$A$2:$A$2000)=YEAR($A29),1,0)*IF(ArgentaGemeenschRekData!$K$2:$K$2000=G$1,1,0)*ArgentaGemeenschRekData!$D$2:$D$2000)</f>
        <v>0</v>
      </c>
      <c r="H29" s="78">
        <f ca="1">SUM(IF(MONTH(ArgentaGemeenschRekData!$A$2:$A$2000)=MONTH($A29),1,0)*IF(YEAR(ArgentaGemeenschRekData!$A$2:$A$2000)=YEAR($A29),1,0)*IF(ArgentaGemeenschRekData!$K$2:$K$2000=H$1,1,0)*ArgentaGemeenschRekData!$D$2:$D$2000)</f>
        <v>0</v>
      </c>
      <c r="I29" s="77">
        <f t="shared" si="5"/>
        <v>0</v>
      </c>
      <c r="J29" s="83">
        <f t="array" aca="1" ref="J29" ca="1">SUM((IF(MONTH(ArgentaGemeenschRekData!$A$2:$A$2000)=MONTH(ArgentaGemeenschRekSamenv!$A29),1,0))*(IF(YEAR(ArgentaGemeenschRekData!$A$2:$A$2000)=YEAR(ArgentaGemeenschRekSamenv!$A29),1,0))*(IF(ArgentaGemeenschRekData!$D$2:$D$2000&gt;0,1,0))*ArgentaGemeenschRekData!$D$2:$D$2000)</f>
        <v>0</v>
      </c>
      <c r="K29" s="78">
        <f t="array" aca="1" ref="K29" ca="1">SUM(IF(MONTH(ArgentaGemeenschRekData!$A$2:$A$2000)=MONTH(ArgentaGemeenschRekSamenv!$A29),1,0)*IF(YEAR(ArgentaGemeenschRekData!$A$2:$A$2000)=YEAR(ArgentaGemeenschRekSamenv!$A29),1,0)*IF(ArgentaGemeenschRekData!$D$2:$D$2000&gt;0,1,0)*IF(ArgentaGemeenschRekData!$K$2:$K$2000=K$2,1,0)*ArgentaGemeenschRekData!$D$2:$D$2000)</f>
        <v>0</v>
      </c>
      <c r="L29" s="78">
        <f t="array" aca="1" ref="L29" ca="1">SUM(IF(MONTH(ArgentaGemeenschRekData!$A$2:$A$2000)=MONTH(ArgentaGemeenschRekSamenv!$A29),1,0)*IF(YEAR(ArgentaGemeenschRekData!$A$2:$A$2000)=YEAR(ArgentaGemeenschRekSamenv!$A29),1,0)*IF(ArgentaGemeenschRekData!$D$2:$D$2000&gt;0,1,0)*IF(ArgentaGemeenschRekData!$K$2:$K$2000=L$2,1,0)*ArgentaGemeenschRekData!$D$2:$D$2000)</f>
        <v>0</v>
      </c>
      <c r="M29" s="77">
        <f t="shared" si="6"/>
        <v>0</v>
      </c>
    </row>
    <row r="30" spans="1:13" s="9" customFormat="1" outlineLevel="1">
      <c r="A30" s="19">
        <v>39234</v>
      </c>
      <c r="B30" s="78">
        <f t="array" aca="1" ref="B30" ca="1">SUM((IF(MONTH(ArgentaGemeenschRekData!$A$2:$A$2000)=MONTH(ArgentaGemeenschRekSamenv!$A30),1,0))*(IF(YEAR(ArgentaGemeenschRekData!$A$2:$A$2000)=YEAR(ArgentaGemeenschRekSamenv!$A30),1,0))*IF(ArgentaGemeenschRekData!$D$2:$D$2000&lt;0,1,0)*IF(ArgentaGemeenschRekData!$K$2:$K$2000=Categorieën!$C$1,0,1)*IF(ArgentaGemeenschRekData!$K$2:$K$2000=Categorieën!$B$1,0,1)*ArgentaGemeenschRekData!$D$2:$D$2000)</f>
        <v>0</v>
      </c>
      <c r="C30" s="78">
        <f t="shared" si="4"/>
        <v>0</v>
      </c>
      <c r="D30" s="78">
        <f t="array" aca="1" ref="D30" ca="1">SUM(IF(MONTH(ArgentaGemeenschRekData!$A$2:$A$2000)=MONTH(ArgentaGemeenschRekSamenv!$A30),1,0)*IF(YEAR(ArgentaGemeenschRekData!$A$2:$A$2000)=YEAR(ArgentaGemeenschRekSamenv!$A30),1,0)*IF(ArgentaGemeenschRekData!$D$2:$D$2000&lt;0,1,0)*IF(LEFT(ArgentaGemeenschRekData!$K$2:$K$2000,3)="VK-",1,0)*ArgentaGemeenschRekData!$D$2:$D$2000)</f>
        <v>0</v>
      </c>
      <c r="E30" s="78">
        <f t="array" aca="1" ref="E30" ca="1">SUM(IF(MONTH(ArgentaGemeenschRekData!$A$2:$A$2000)=MONTH(ArgentaGemeenschRekSamenv!$A30),1,0)*IF(YEAR(ArgentaGemeenschRekData!$A$2:$A$2000)=YEAR(ArgentaGemeenschRekSamenv!$A30),1,0)*IF(ArgentaGemeenschRekData!$D$2:$D$2000&lt;0,1,0)*IF(ArgentaGemeenschRekData!$K$2:$K$2000=Categorieën!$D$1,1,0)*ArgentaGemeenschRekData!$D$2:$D$2000)*-1</f>
        <v>0</v>
      </c>
      <c r="F30" s="78">
        <f ca="1">SUM(IF(MONTH(ArgentaGemeenschRekData!$A$2:$A$2000)=MONTH($A30),1,0)*IF(YEAR(ArgentaGemeenschRekData!$A$2:$A$2000)=YEAR($A30),1,0)*IF(ArgentaGemeenschRekData!$K$2:$K$2000=F$1,1,0)*ArgentaGemeenschRekData!$D$2:$D$2000)</f>
        <v>0</v>
      </c>
      <c r="G30" s="78">
        <f ca="1">SUM(IF(MONTH(ArgentaGemeenschRekData!$A$2:$A$2000)=MONTH($A30),1,0)*IF(YEAR(ArgentaGemeenschRekData!$A$2:$A$2000)=YEAR($A30),1,0)*IF(ArgentaGemeenschRekData!$K$2:$K$2000=G$1,1,0)*ArgentaGemeenschRekData!$D$2:$D$2000)</f>
        <v>0</v>
      </c>
      <c r="H30" s="78">
        <f ca="1">SUM(IF(MONTH(ArgentaGemeenschRekData!$A$2:$A$2000)=MONTH($A30),1,0)*IF(YEAR(ArgentaGemeenschRekData!$A$2:$A$2000)=YEAR($A30),1,0)*IF(ArgentaGemeenschRekData!$K$2:$K$2000=H$1,1,0)*ArgentaGemeenschRekData!$D$2:$D$2000)</f>
        <v>0</v>
      </c>
      <c r="I30" s="77">
        <f t="shared" si="5"/>
        <v>0</v>
      </c>
      <c r="J30" s="83">
        <f t="array" aca="1" ref="J30" ca="1">SUM((IF(MONTH(ArgentaGemeenschRekData!$A$2:$A$2000)=MONTH(ArgentaGemeenschRekSamenv!$A30),1,0))*(IF(YEAR(ArgentaGemeenschRekData!$A$2:$A$2000)=YEAR(ArgentaGemeenschRekSamenv!$A30),1,0))*(IF(ArgentaGemeenschRekData!$D$2:$D$2000&gt;0,1,0))*ArgentaGemeenschRekData!$D$2:$D$2000)</f>
        <v>0</v>
      </c>
      <c r="K30" s="78">
        <f t="array" aca="1" ref="K30" ca="1">SUM(IF(MONTH(ArgentaGemeenschRekData!$A$2:$A$2000)=MONTH(ArgentaGemeenschRekSamenv!$A30),1,0)*IF(YEAR(ArgentaGemeenschRekData!$A$2:$A$2000)=YEAR(ArgentaGemeenschRekSamenv!$A30),1,0)*IF(ArgentaGemeenschRekData!$D$2:$D$2000&gt;0,1,0)*IF(ArgentaGemeenschRekData!$K$2:$K$2000=K$2,1,0)*ArgentaGemeenschRekData!$D$2:$D$2000)</f>
        <v>0</v>
      </c>
      <c r="L30" s="78">
        <f t="array" aca="1" ref="L30" ca="1">SUM(IF(MONTH(ArgentaGemeenschRekData!$A$2:$A$2000)=MONTH(ArgentaGemeenschRekSamenv!$A30),1,0)*IF(YEAR(ArgentaGemeenschRekData!$A$2:$A$2000)=YEAR(ArgentaGemeenschRekSamenv!$A30),1,0)*IF(ArgentaGemeenschRekData!$D$2:$D$2000&gt;0,1,0)*IF(ArgentaGemeenschRekData!$K$2:$K$2000=L$2,1,0)*ArgentaGemeenschRekData!$D$2:$D$2000)</f>
        <v>0</v>
      </c>
      <c r="M30" s="77">
        <f t="shared" si="6"/>
        <v>0</v>
      </c>
    </row>
    <row r="31" spans="1:13" s="9" customFormat="1" outlineLevel="1">
      <c r="A31" s="19">
        <v>39264</v>
      </c>
      <c r="B31" s="78">
        <f t="array" aca="1" ref="B31" ca="1">SUM((IF(MONTH(ArgentaGemeenschRekData!$A$2:$A$2000)=MONTH(ArgentaGemeenschRekSamenv!$A31),1,0))*(IF(YEAR(ArgentaGemeenschRekData!$A$2:$A$2000)=YEAR(ArgentaGemeenschRekSamenv!$A31),1,0))*IF(ArgentaGemeenschRekData!$D$2:$D$2000&lt;0,1,0)*IF(ArgentaGemeenschRekData!$K$2:$K$2000=Categorieën!$C$1,0,1)*IF(ArgentaGemeenschRekData!$K$2:$K$2000=Categorieën!$B$1,0,1)*ArgentaGemeenschRekData!$D$2:$D$2000)</f>
        <v>0</v>
      </c>
      <c r="C31" s="78">
        <f t="shared" si="4"/>
        <v>0</v>
      </c>
      <c r="D31" s="78">
        <f t="array" aca="1" ref="D31" ca="1">SUM(IF(MONTH(ArgentaGemeenschRekData!$A$2:$A$2000)=MONTH(ArgentaGemeenschRekSamenv!$A31),1,0)*IF(YEAR(ArgentaGemeenschRekData!$A$2:$A$2000)=YEAR(ArgentaGemeenschRekSamenv!$A31),1,0)*IF(ArgentaGemeenschRekData!$D$2:$D$2000&lt;0,1,0)*IF(LEFT(ArgentaGemeenschRekData!$K$2:$K$2000,3)="VK-",1,0)*ArgentaGemeenschRekData!$D$2:$D$2000)</f>
        <v>0</v>
      </c>
      <c r="E31" s="78">
        <f t="array" aca="1" ref="E31" ca="1">SUM(IF(MONTH(ArgentaGemeenschRekData!$A$2:$A$2000)=MONTH(ArgentaGemeenschRekSamenv!$A31),1,0)*IF(YEAR(ArgentaGemeenschRekData!$A$2:$A$2000)=YEAR(ArgentaGemeenschRekSamenv!$A31),1,0)*IF(ArgentaGemeenschRekData!$D$2:$D$2000&lt;0,1,0)*IF(ArgentaGemeenschRekData!$K$2:$K$2000=Categorieën!$D$1,1,0)*ArgentaGemeenschRekData!$D$2:$D$2000)*-1</f>
        <v>0</v>
      </c>
      <c r="F31" s="78">
        <f ca="1">SUM(IF(MONTH(ArgentaGemeenschRekData!$A$2:$A$2000)=MONTH($A31),1,0)*IF(YEAR(ArgentaGemeenschRekData!$A$2:$A$2000)=YEAR($A31),1,0)*IF(ArgentaGemeenschRekData!$K$2:$K$2000=F$1,1,0)*ArgentaGemeenschRekData!$D$2:$D$2000)</f>
        <v>0</v>
      </c>
      <c r="G31" s="78">
        <f ca="1">SUM(IF(MONTH(ArgentaGemeenschRekData!$A$2:$A$2000)=MONTH($A31),1,0)*IF(YEAR(ArgentaGemeenschRekData!$A$2:$A$2000)=YEAR($A31),1,0)*IF(ArgentaGemeenschRekData!$K$2:$K$2000=G$1,1,0)*ArgentaGemeenschRekData!$D$2:$D$2000)</f>
        <v>0</v>
      </c>
      <c r="H31" s="78">
        <f ca="1">SUM(IF(MONTH(ArgentaGemeenschRekData!$A$2:$A$2000)=MONTH($A31),1,0)*IF(YEAR(ArgentaGemeenschRekData!$A$2:$A$2000)=YEAR($A31),1,0)*IF(ArgentaGemeenschRekData!$K$2:$K$2000=H$1,1,0)*ArgentaGemeenschRekData!$D$2:$D$2000)</f>
        <v>0</v>
      </c>
      <c r="I31" s="77">
        <f t="shared" si="5"/>
        <v>0</v>
      </c>
      <c r="J31" s="83">
        <f t="array" aca="1" ref="J31" ca="1">SUM((IF(MONTH(ArgentaGemeenschRekData!$A$2:$A$2000)=MONTH(ArgentaGemeenschRekSamenv!$A31),1,0))*(IF(YEAR(ArgentaGemeenschRekData!$A$2:$A$2000)=YEAR(ArgentaGemeenschRekSamenv!$A31),1,0))*(IF(ArgentaGemeenschRekData!$D$2:$D$2000&gt;0,1,0))*ArgentaGemeenschRekData!$D$2:$D$2000)</f>
        <v>0</v>
      </c>
      <c r="K31" s="78">
        <f t="array" aca="1" ref="K31" ca="1">SUM(IF(MONTH(ArgentaGemeenschRekData!$A$2:$A$2000)=MONTH(ArgentaGemeenschRekSamenv!$A31),1,0)*IF(YEAR(ArgentaGemeenschRekData!$A$2:$A$2000)=YEAR(ArgentaGemeenschRekSamenv!$A31),1,0)*IF(ArgentaGemeenschRekData!$D$2:$D$2000&gt;0,1,0)*IF(ArgentaGemeenschRekData!$K$2:$K$2000=K$2,1,0)*ArgentaGemeenschRekData!$D$2:$D$2000)</f>
        <v>0</v>
      </c>
      <c r="L31" s="78">
        <f t="array" aca="1" ref="L31" ca="1">SUM(IF(MONTH(ArgentaGemeenschRekData!$A$2:$A$2000)=MONTH(ArgentaGemeenschRekSamenv!$A31),1,0)*IF(YEAR(ArgentaGemeenschRekData!$A$2:$A$2000)=YEAR(ArgentaGemeenschRekSamenv!$A31),1,0)*IF(ArgentaGemeenschRekData!$D$2:$D$2000&gt;0,1,0)*IF(ArgentaGemeenschRekData!$K$2:$K$2000=L$2,1,0)*ArgentaGemeenschRekData!$D$2:$D$2000)</f>
        <v>0</v>
      </c>
      <c r="M31" s="77">
        <f t="shared" si="6"/>
        <v>0</v>
      </c>
    </row>
    <row r="32" spans="1:13" s="9" customFormat="1" outlineLevel="1">
      <c r="A32" s="19">
        <v>39295</v>
      </c>
      <c r="B32" s="78">
        <f t="array" aca="1" ref="B32" ca="1">SUM((IF(MONTH(ArgentaGemeenschRekData!$A$2:$A$2000)=MONTH(ArgentaGemeenschRekSamenv!$A32),1,0))*(IF(YEAR(ArgentaGemeenschRekData!$A$2:$A$2000)=YEAR(ArgentaGemeenschRekSamenv!$A32),1,0))*IF(ArgentaGemeenschRekData!$D$2:$D$2000&lt;0,1,0)*IF(ArgentaGemeenschRekData!$K$2:$K$2000=Categorieën!$C$1,0,1)*IF(ArgentaGemeenschRekData!$K$2:$K$2000=Categorieën!$B$1,0,1)*ArgentaGemeenschRekData!$D$2:$D$2000)</f>
        <v>0</v>
      </c>
      <c r="C32" s="78">
        <f t="shared" si="4"/>
        <v>0</v>
      </c>
      <c r="D32" s="78">
        <f t="array" aca="1" ref="D32" ca="1">SUM(IF(MONTH(ArgentaGemeenschRekData!$A$2:$A$2000)=MONTH(ArgentaGemeenschRekSamenv!$A32),1,0)*IF(YEAR(ArgentaGemeenschRekData!$A$2:$A$2000)=YEAR(ArgentaGemeenschRekSamenv!$A32),1,0)*IF(ArgentaGemeenschRekData!$D$2:$D$2000&lt;0,1,0)*IF(LEFT(ArgentaGemeenschRekData!$K$2:$K$2000,3)="VK-",1,0)*ArgentaGemeenschRekData!$D$2:$D$2000)</f>
        <v>0</v>
      </c>
      <c r="E32" s="78">
        <f t="array" aca="1" ref="E32" ca="1">SUM(IF(MONTH(ArgentaGemeenschRekData!$A$2:$A$2000)=MONTH(ArgentaGemeenschRekSamenv!$A32),1,0)*IF(YEAR(ArgentaGemeenschRekData!$A$2:$A$2000)=YEAR(ArgentaGemeenschRekSamenv!$A32),1,0)*IF(ArgentaGemeenschRekData!$D$2:$D$2000&lt;0,1,0)*IF(ArgentaGemeenschRekData!$K$2:$K$2000=Categorieën!$D$1,1,0)*ArgentaGemeenschRekData!$D$2:$D$2000)*-1</f>
        <v>0</v>
      </c>
      <c r="F32" s="78">
        <f ca="1">SUM(IF(MONTH(ArgentaGemeenschRekData!$A$2:$A$2000)=MONTH($A32),1,0)*IF(YEAR(ArgentaGemeenschRekData!$A$2:$A$2000)=YEAR($A32),1,0)*IF(ArgentaGemeenschRekData!$K$2:$K$2000=F$1,1,0)*ArgentaGemeenschRekData!$D$2:$D$2000)</f>
        <v>0</v>
      </c>
      <c r="G32" s="78">
        <f ca="1">SUM(IF(MONTH(ArgentaGemeenschRekData!$A$2:$A$2000)=MONTH($A32),1,0)*IF(YEAR(ArgentaGemeenschRekData!$A$2:$A$2000)=YEAR($A32),1,0)*IF(ArgentaGemeenschRekData!$K$2:$K$2000=G$1,1,0)*ArgentaGemeenschRekData!$D$2:$D$2000)</f>
        <v>0</v>
      </c>
      <c r="H32" s="78">
        <f ca="1">SUM(IF(MONTH(ArgentaGemeenschRekData!$A$2:$A$2000)=MONTH($A32),1,0)*IF(YEAR(ArgentaGemeenschRekData!$A$2:$A$2000)=YEAR($A32),1,0)*IF(ArgentaGemeenschRekData!$K$2:$K$2000=H$1,1,0)*ArgentaGemeenschRekData!$D$2:$D$2000)</f>
        <v>0</v>
      </c>
      <c r="I32" s="77">
        <f t="shared" si="5"/>
        <v>0</v>
      </c>
      <c r="J32" s="83">
        <f t="array" aca="1" ref="J32" ca="1">SUM((IF(MONTH(ArgentaGemeenschRekData!$A$2:$A$2000)=MONTH(ArgentaGemeenschRekSamenv!$A32),1,0))*(IF(YEAR(ArgentaGemeenschRekData!$A$2:$A$2000)=YEAR(ArgentaGemeenschRekSamenv!$A32),1,0))*(IF(ArgentaGemeenschRekData!$D$2:$D$2000&gt;0,1,0))*ArgentaGemeenschRekData!$D$2:$D$2000)</f>
        <v>0</v>
      </c>
      <c r="K32" s="78">
        <f t="array" aca="1" ref="K32" ca="1">SUM(IF(MONTH(ArgentaGemeenschRekData!$A$2:$A$2000)=MONTH(ArgentaGemeenschRekSamenv!$A32),1,0)*IF(YEAR(ArgentaGemeenschRekData!$A$2:$A$2000)=YEAR(ArgentaGemeenschRekSamenv!$A32),1,0)*IF(ArgentaGemeenschRekData!$D$2:$D$2000&gt;0,1,0)*IF(ArgentaGemeenschRekData!$K$2:$K$2000=K$2,1,0)*ArgentaGemeenschRekData!$D$2:$D$2000)</f>
        <v>0</v>
      </c>
      <c r="L32" s="78">
        <f t="array" aca="1" ref="L32" ca="1">SUM(IF(MONTH(ArgentaGemeenschRekData!$A$2:$A$2000)=MONTH(ArgentaGemeenschRekSamenv!$A32),1,0)*IF(YEAR(ArgentaGemeenschRekData!$A$2:$A$2000)=YEAR(ArgentaGemeenschRekSamenv!$A32),1,0)*IF(ArgentaGemeenschRekData!$D$2:$D$2000&gt;0,1,0)*IF(ArgentaGemeenschRekData!$K$2:$K$2000=L$2,1,0)*ArgentaGemeenschRekData!$D$2:$D$2000)</f>
        <v>0</v>
      </c>
      <c r="M32" s="77">
        <f t="shared" si="6"/>
        <v>0</v>
      </c>
    </row>
    <row r="33" spans="1:13" s="9" customFormat="1" outlineLevel="1">
      <c r="A33" s="19">
        <v>39326</v>
      </c>
      <c r="B33" s="78">
        <f t="array" aca="1" ref="B33" ca="1">SUM((IF(MONTH(ArgentaGemeenschRekData!$A$2:$A$2000)=MONTH(ArgentaGemeenschRekSamenv!$A33),1,0))*(IF(YEAR(ArgentaGemeenschRekData!$A$2:$A$2000)=YEAR(ArgentaGemeenschRekSamenv!$A33),1,0))*IF(ArgentaGemeenschRekData!$D$2:$D$2000&lt;0,1,0)*IF(ArgentaGemeenschRekData!$K$2:$K$2000=Categorieën!$C$1,0,1)*IF(ArgentaGemeenschRekData!$K$2:$K$2000=Categorieën!$B$1,0,1)*ArgentaGemeenschRekData!$D$2:$D$2000)</f>
        <v>0</v>
      </c>
      <c r="C33" s="78">
        <f t="shared" si="4"/>
        <v>0</v>
      </c>
      <c r="D33" s="78">
        <f t="array" aca="1" ref="D33" ca="1">SUM(IF(MONTH(ArgentaGemeenschRekData!$A$2:$A$2000)=MONTH(ArgentaGemeenschRekSamenv!$A33),1,0)*IF(YEAR(ArgentaGemeenschRekData!$A$2:$A$2000)=YEAR(ArgentaGemeenschRekSamenv!$A33),1,0)*IF(ArgentaGemeenschRekData!$D$2:$D$2000&lt;0,1,0)*IF(LEFT(ArgentaGemeenschRekData!$K$2:$K$2000,3)="VK-",1,0)*ArgentaGemeenschRekData!$D$2:$D$2000)</f>
        <v>0</v>
      </c>
      <c r="E33" s="78">
        <f t="array" aca="1" ref="E33" ca="1">SUM(IF(MONTH(ArgentaGemeenschRekData!$A$2:$A$2000)=MONTH(ArgentaGemeenschRekSamenv!$A33),1,0)*IF(YEAR(ArgentaGemeenschRekData!$A$2:$A$2000)=YEAR(ArgentaGemeenschRekSamenv!$A33),1,0)*IF(ArgentaGemeenschRekData!$D$2:$D$2000&lt;0,1,0)*IF(ArgentaGemeenschRekData!$K$2:$K$2000=Categorieën!$D$1,1,0)*ArgentaGemeenschRekData!$D$2:$D$2000)*-1</f>
        <v>0</v>
      </c>
      <c r="F33" s="78">
        <f ca="1">SUM(IF(MONTH(ArgentaGemeenschRekData!$A$2:$A$2000)=MONTH($A33),1,0)*IF(YEAR(ArgentaGemeenschRekData!$A$2:$A$2000)=YEAR($A33),1,0)*IF(ArgentaGemeenschRekData!$K$2:$K$2000=F$1,1,0)*ArgentaGemeenschRekData!$D$2:$D$2000)</f>
        <v>0</v>
      </c>
      <c r="G33" s="78">
        <f ca="1">SUM(IF(MONTH(ArgentaGemeenschRekData!$A$2:$A$2000)=MONTH($A33),1,0)*IF(YEAR(ArgentaGemeenschRekData!$A$2:$A$2000)=YEAR($A33),1,0)*IF(ArgentaGemeenschRekData!$K$2:$K$2000=G$1,1,0)*ArgentaGemeenschRekData!$D$2:$D$2000)</f>
        <v>0</v>
      </c>
      <c r="H33" s="78">
        <f ca="1">SUM(IF(MONTH(ArgentaGemeenschRekData!$A$2:$A$2000)=MONTH($A33),1,0)*IF(YEAR(ArgentaGemeenschRekData!$A$2:$A$2000)=YEAR($A33),1,0)*IF(ArgentaGemeenschRekData!$K$2:$K$2000=H$1,1,0)*ArgentaGemeenschRekData!$D$2:$D$2000)</f>
        <v>0</v>
      </c>
      <c r="I33" s="77">
        <f t="shared" si="5"/>
        <v>0</v>
      </c>
      <c r="J33" s="83">
        <f t="array" aca="1" ref="J33" ca="1">SUM((IF(MONTH(ArgentaGemeenschRekData!$A$2:$A$2000)=MONTH(ArgentaGemeenschRekSamenv!$A33),1,0))*(IF(YEAR(ArgentaGemeenschRekData!$A$2:$A$2000)=YEAR(ArgentaGemeenschRekSamenv!$A33),1,0))*(IF(ArgentaGemeenschRekData!$D$2:$D$2000&gt;0,1,0))*ArgentaGemeenschRekData!$D$2:$D$2000)</f>
        <v>0</v>
      </c>
      <c r="K33" s="78">
        <f t="array" aca="1" ref="K33" ca="1">SUM(IF(MONTH(ArgentaGemeenschRekData!$A$2:$A$2000)=MONTH(ArgentaGemeenschRekSamenv!$A33),1,0)*IF(YEAR(ArgentaGemeenschRekData!$A$2:$A$2000)=YEAR(ArgentaGemeenschRekSamenv!$A33),1,0)*IF(ArgentaGemeenschRekData!$D$2:$D$2000&gt;0,1,0)*IF(ArgentaGemeenschRekData!$K$2:$K$2000=K$2,1,0)*ArgentaGemeenschRekData!$D$2:$D$2000)</f>
        <v>0</v>
      </c>
      <c r="L33" s="78">
        <f t="array" aca="1" ref="L33" ca="1">SUM(IF(MONTH(ArgentaGemeenschRekData!$A$2:$A$2000)=MONTH(ArgentaGemeenschRekSamenv!$A33),1,0)*IF(YEAR(ArgentaGemeenschRekData!$A$2:$A$2000)=YEAR(ArgentaGemeenschRekSamenv!$A33),1,0)*IF(ArgentaGemeenschRekData!$D$2:$D$2000&gt;0,1,0)*IF(ArgentaGemeenschRekData!$K$2:$K$2000=L$2,1,0)*ArgentaGemeenschRekData!$D$2:$D$2000)</f>
        <v>0</v>
      </c>
      <c r="M33" s="77">
        <f t="shared" si="6"/>
        <v>0</v>
      </c>
    </row>
    <row r="34" spans="1:13" s="9" customFormat="1" outlineLevel="1">
      <c r="A34" s="19">
        <v>39356</v>
      </c>
      <c r="B34" s="78">
        <f t="array" aca="1" ref="B34" ca="1">SUM((IF(MONTH(ArgentaGemeenschRekData!$A$2:$A$2000)=MONTH(ArgentaGemeenschRekSamenv!$A34),1,0))*(IF(YEAR(ArgentaGemeenschRekData!$A$2:$A$2000)=YEAR(ArgentaGemeenschRekSamenv!$A34),1,0))*IF(ArgentaGemeenschRekData!$D$2:$D$2000&lt;0,1,0)*IF(ArgentaGemeenschRekData!$K$2:$K$2000=Categorieën!$C$1,0,1)*IF(ArgentaGemeenschRekData!$K$2:$K$2000=Categorieën!$B$1,0,1)*ArgentaGemeenschRekData!$D$2:$D$2000)</f>
        <v>0</v>
      </c>
      <c r="C34" s="78">
        <f t="shared" si="4"/>
        <v>0</v>
      </c>
      <c r="D34" s="78">
        <f t="array" aca="1" ref="D34" ca="1">SUM(IF(MONTH(ArgentaGemeenschRekData!$A$2:$A$2000)=MONTH(ArgentaGemeenschRekSamenv!$A34),1,0)*IF(YEAR(ArgentaGemeenschRekData!$A$2:$A$2000)=YEAR(ArgentaGemeenschRekSamenv!$A34),1,0)*IF(ArgentaGemeenschRekData!$D$2:$D$2000&lt;0,1,0)*IF(LEFT(ArgentaGemeenschRekData!$K$2:$K$2000,3)="VK-",1,0)*ArgentaGemeenschRekData!$D$2:$D$2000)</f>
        <v>0</v>
      </c>
      <c r="E34" s="78">
        <f t="array" aca="1" ref="E34" ca="1">SUM(IF(MONTH(ArgentaGemeenschRekData!$A$2:$A$2000)=MONTH(ArgentaGemeenschRekSamenv!$A34),1,0)*IF(YEAR(ArgentaGemeenschRekData!$A$2:$A$2000)=YEAR(ArgentaGemeenschRekSamenv!$A34),1,0)*IF(ArgentaGemeenschRekData!$D$2:$D$2000&lt;0,1,0)*IF(ArgentaGemeenschRekData!$K$2:$K$2000=Categorieën!$D$1,1,0)*ArgentaGemeenschRekData!$D$2:$D$2000)*-1</f>
        <v>0</v>
      </c>
      <c r="F34" s="78">
        <f ca="1">SUM(IF(MONTH(ArgentaGemeenschRekData!$A$2:$A$2000)=MONTH($A34),1,0)*IF(YEAR(ArgentaGemeenschRekData!$A$2:$A$2000)=YEAR($A34),1,0)*IF(ArgentaGemeenschRekData!$K$2:$K$2000=F$1,1,0)*ArgentaGemeenschRekData!$D$2:$D$2000)</f>
        <v>0</v>
      </c>
      <c r="G34" s="78">
        <f ca="1">SUM(IF(MONTH(ArgentaGemeenschRekData!$A$2:$A$2000)=MONTH($A34),1,0)*IF(YEAR(ArgentaGemeenschRekData!$A$2:$A$2000)=YEAR($A34),1,0)*IF(ArgentaGemeenschRekData!$K$2:$K$2000=G$1,1,0)*ArgentaGemeenschRekData!$D$2:$D$2000)</f>
        <v>0</v>
      </c>
      <c r="H34" s="78">
        <f ca="1">SUM(IF(MONTH(ArgentaGemeenschRekData!$A$2:$A$2000)=MONTH($A34),1,0)*IF(YEAR(ArgentaGemeenschRekData!$A$2:$A$2000)=YEAR($A34),1,0)*IF(ArgentaGemeenschRekData!$K$2:$K$2000=H$1,1,0)*ArgentaGemeenschRekData!$D$2:$D$2000)</f>
        <v>0</v>
      </c>
      <c r="I34" s="77">
        <f t="shared" si="5"/>
        <v>0</v>
      </c>
      <c r="J34" s="83">
        <f t="array" aca="1" ref="J34" ca="1">SUM((IF(MONTH(ArgentaGemeenschRekData!$A$2:$A$2000)=MONTH(ArgentaGemeenschRekSamenv!$A34),1,0))*(IF(YEAR(ArgentaGemeenschRekData!$A$2:$A$2000)=YEAR(ArgentaGemeenschRekSamenv!$A34),1,0))*(IF(ArgentaGemeenschRekData!$D$2:$D$2000&gt;0,1,0))*ArgentaGemeenschRekData!$D$2:$D$2000)</f>
        <v>0</v>
      </c>
      <c r="K34" s="78">
        <f t="array" aca="1" ref="K34" ca="1">SUM(IF(MONTH(ArgentaGemeenschRekData!$A$2:$A$2000)=MONTH(ArgentaGemeenschRekSamenv!$A34),1,0)*IF(YEAR(ArgentaGemeenschRekData!$A$2:$A$2000)=YEAR(ArgentaGemeenschRekSamenv!$A34),1,0)*IF(ArgentaGemeenschRekData!$D$2:$D$2000&gt;0,1,0)*IF(ArgentaGemeenschRekData!$K$2:$K$2000=K$2,1,0)*ArgentaGemeenschRekData!$D$2:$D$2000)</f>
        <v>0</v>
      </c>
      <c r="L34" s="78">
        <f t="array" aca="1" ref="L34" ca="1">SUM(IF(MONTH(ArgentaGemeenschRekData!$A$2:$A$2000)=MONTH(ArgentaGemeenschRekSamenv!$A34),1,0)*IF(YEAR(ArgentaGemeenschRekData!$A$2:$A$2000)=YEAR(ArgentaGemeenschRekSamenv!$A34),1,0)*IF(ArgentaGemeenschRekData!$D$2:$D$2000&gt;0,1,0)*IF(ArgentaGemeenschRekData!$K$2:$K$2000=L$2,1,0)*ArgentaGemeenschRekData!$D$2:$D$2000)</f>
        <v>0</v>
      </c>
      <c r="M34" s="77">
        <f t="shared" si="6"/>
        <v>0</v>
      </c>
    </row>
    <row r="35" spans="1:13" s="9" customFormat="1" outlineLevel="1">
      <c r="A35" s="19">
        <v>39387</v>
      </c>
      <c r="B35" s="78">
        <f t="array" aca="1" ref="B35" ca="1">SUM((IF(MONTH(ArgentaGemeenschRekData!$A$2:$A$2000)=MONTH(ArgentaGemeenschRekSamenv!$A35),1,0))*(IF(YEAR(ArgentaGemeenschRekData!$A$2:$A$2000)=YEAR(ArgentaGemeenschRekSamenv!$A35),1,0))*IF(ArgentaGemeenschRekData!$D$2:$D$2000&lt;0,1,0)*IF(ArgentaGemeenschRekData!$K$2:$K$2000=Categorieën!$C$1,0,1)*IF(ArgentaGemeenschRekData!$K$2:$K$2000=Categorieën!$B$1,0,1)*ArgentaGemeenschRekData!$D$2:$D$2000)</f>
        <v>0</v>
      </c>
      <c r="C35" s="78">
        <f t="shared" si="4"/>
        <v>0</v>
      </c>
      <c r="D35" s="78">
        <f t="array" aca="1" ref="D35" ca="1">SUM(IF(MONTH(ArgentaGemeenschRekData!$A$2:$A$2000)=MONTH(ArgentaGemeenschRekSamenv!$A35),1,0)*IF(YEAR(ArgentaGemeenschRekData!$A$2:$A$2000)=YEAR(ArgentaGemeenschRekSamenv!$A35),1,0)*IF(ArgentaGemeenschRekData!$D$2:$D$2000&lt;0,1,0)*IF(LEFT(ArgentaGemeenschRekData!$K$2:$K$2000,3)="VK-",1,0)*ArgentaGemeenschRekData!$D$2:$D$2000)</f>
        <v>0</v>
      </c>
      <c r="E35" s="78">
        <f t="array" aca="1" ref="E35" ca="1">SUM(IF(MONTH(ArgentaGemeenschRekData!$A$2:$A$2000)=MONTH(ArgentaGemeenschRekSamenv!$A35),1,0)*IF(YEAR(ArgentaGemeenschRekData!$A$2:$A$2000)=YEAR(ArgentaGemeenschRekSamenv!$A35),1,0)*IF(ArgentaGemeenschRekData!$D$2:$D$2000&lt;0,1,0)*IF(ArgentaGemeenschRekData!$K$2:$K$2000=Categorieën!$D$1,1,0)*ArgentaGemeenschRekData!$D$2:$D$2000)*-1</f>
        <v>0</v>
      </c>
      <c r="F35" s="78">
        <f ca="1">SUM(IF(MONTH(ArgentaGemeenschRekData!$A$2:$A$2000)=MONTH($A35),1,0)*IF(YEAR(ArgentaGemeenschRekData!$A$2:$A$2000)=YEAR($A35),1,0)*IF(ArgentaGemeenschRekData!$K$2:$K$2000=F$1,1,0)*ArgentaGemeenschRekData!$D$2:$D$2000)</f>
        <v>0</v>
      </c>
      <c r="G35" s="78">
        <f ca="1">SUM(IF(MONTH(ArgentaGemeenschRekData!$A$2:$A$2000)=MONTH($A35),1,0)*IF(YEAR(ArgentaGemeenschRekData!$A$2:$A$2000)=YEAR($A35),1,0)*IF(ArgentaGemeenschRekData!$K$2:$K$2000=G$1,1,0)*ArgentaGemeenschRekData!$D$2:$D$2000)</f>
        <v>0</v>
      </c>
      <c r="H35" s="78">
        <f ca="1">SUM(IF(MONTH(ArgentaGemeenschRekData!$A$2:$A$2000)=MONTH($A35),1,0)*IF(YEAR(ArgentaGemeenschRekData!$A$2:$A$2000)=YEAR($A35),1,0)*IF(ArgentaGemeenschRekData!$K$2:$K$2000=H$1,1,0)*ArgentaGemeenschRekData!$D$2:$D$2000)</f>
        <v>0</v>
      </c>
      <c r="I35" s="77">
        <f t="shared" si="5"/>
        <v>0</v>
      </c>
      <c r="J35" s="83">
        <f t="array" aca="1" ref="J35" ca="1">SUM((IF(MONTH(ArgentaGemeenschRekData!$A$2:$A$2000)=MONTH(ArgentaGemeenschRekSamenv!$A35),1,0))*(IF(YEAR(ArgentaGemeenschRekData!$A$2:$A$2000)=YEAR(ArgentaGemeenschRekSamenv!$A35),1,0))*(IF(ArgentaGemeenschRekData!$D$2:$D$2000&gt;0,1,0))*ArgentaGemeenschRekData!$D$2:$D$2000)</f>
        <v>0</v>
      </c>
      <c r="K35" s="78">
        <f t="array" aca="1" ref="K35" ca="1">SUM(IF(MONTH(ArgentaGemeenschRekData!$A$2:$A$2000)=MONTH(ArgentaGemeenschRekSamenv!$A35),1,0)*IF(YEAR(ArgentaGemeenschRekData!$A$2:$A$2000)=YEAR(ArgentaGemeenschRekSamenv!$A35),1,0)*IF(ArgentaGemeenschRekData!$D$2:$D$2000&gt;0,1,0)*IF(ArgentaGemeenschRekData!$K$2:$K$2000=K$2,1,0)*ArgentaGemeenschRekData!$D$2:$D$2000)</f>
        <v>0</v>
      </c>
      <c r="L35" s="78">
        <f t="array" aca="1" ref="L35" ca="1">SUM(IF(MONTH(ArgentaGemeenschRekData!$A$2:$A$2000)=MONTH(ArgentaGemeenschRekSamenv!$A35),1,0)*IF(YEAR(ArgentaGemeenschRekData!$A$2:$A$2000)=YEAR(ArgentaGemeenschRekSamenv!$A35),1,0)*IF(ArgentaGemeenschRekData!$D$2:$D$2000&gt;0,1,0)*IF(ArgentaGemeenschRekData!$K$2:$K$2000=L$2,1,0)*ArgentaGemeenschRekData!$D$2:$D$2000)</f>
        <v>0</v>
      </c>
      <c r="M35" s="77">
        <f t="shared" si="6"/>
        <v>0</v>
      </c>
    </row>
    <row r="36" spans="1:13" s="9" customFormat="1">
      <c r="A36" s="19">
        <v>39417</v>
      </c>
      <c r="B36" s="78">
        <f t="array" aca="1" ref="B36" ca="1">SUM((IF(MONTH(ArgentaGemeenschRekData!$A$2:$A$2000)=MONTH(ArgentaGemeenschRekSamenv!$A36),1,0))*(IF(YEAR(ArgentaGemeenschRekData!$A$2:$A$2000)=YEAR(ArgentaGemeenschRekSamenv!$A36),1,0))*IF(ArgentaGemeenschRekData!$D$2:$D$2000&lt;0,1,0)*IF(ArgentaGemeenschRekData!$K$2:$K$2000=Categorieën!$C$1,0,1)*IF(ArgentaGemeenschRekData!$K$2:$K$2000=Categorieën!$B$1,0,1)*ArgentaGemeenschRekData!$D$2:$D$2000)</f>
        <v>0</v>
      </c>
      <c r="C36" s="78">
        <f t="shared" si="4"/>
        <v>0</v>
      </c>
      <c r="D36" s="78">
        <f t="array" aca="1" ref="D36" ca="1">SUM(IF(MONTH(ArgentaGemeenschRekData!$A$2:$A$2000)=MONTH(ArgentaGemeenschRekSamenv!$A36),1,0)*IF(YEAR(ArgentaGemeenschRekData!$A$2:$A$2000)=YEAR(ArgentaGemeenschRekSamenv!$A36),1,0)*IF(ArgentaGemeenschRekData!$D$2:$D$2000&lt;0,1,0)*IF(LEFT(ArgentaGemeenschRekData!$K$2:$K$2000,3)="VK-",1,0)*ArgentaGemeenschRekData!$D$2:$D$2000)</f>
        <v>0</v>
      </c>
      <c r="E36" s="78">
        <f t="array" aca="1" ref="E36" ca="1">SUM(IF(MONTH(ArgentaGemeenschRekData!$A$2:$A$2000)=MONTH(ArgentaGemeenschRekSamenv!$A36),1,0)*IF(YEAR(ArgentaGemeenschRekData!$A$2:$A$2000)=YEAR(ArgentaGemeenschRekSamenv!$A36),1,0)*IF(ArgentaGemeenschRekData!$D$2:$D$2000&lt;0,1,0)*IF(ArgentaGemeenschRekData!$K$2:$K$2000=Categorieën!$D$1,1,0)*ArgentaGemeenschRekData!$D$2:$D$2000)*-1</f>
        <v>0</v>
      </c>
      <c r="F36" s="78">
        <f ca="1">SUM(IF(MONTH(ArgentaGemeenschRekData!$A$2:$A$2000)=MONTH($A36),1,0)*IF(YEAR(ArgentaGemeenschRekData!$A$2:$A$2000)=YEAR($A36),1,0)*IF(ArgentaGemeenschRekData!$K$2:$K$2000=F$1,1,0)*ArgentaGemeenschRekData!$D$2:$D$2000)</f>
        <v>0</v>
      </c>
      <c r="G36" s="78">
        <f ca="1">SUM(IF(MONTH(ArgentaGemeenschRekData!$A$2:$A$2000)=MONTH($A36),1,0)*IF(YEAR(ArgentaGemeenschRekData!$A$2:$A$2000)=YEAR($A36),1,0)*IF(ArgentaGemeenschRekData!$K$2:$K$2000=G$1,1,0)*ArgentaGemeenschRekData!$D$2:$D$2000)</f>
        <v>0</v>
      </c>
      <c r="H36" s="78">
        <f ca="1">SUM(IF(MONTH(ArgentaGemeenschRekData!$A$2:$A$2000)=MONTH($A36),1,0)*IF(YEAR(ArgentaGemeenschRekData!$A$2:$A$2000)=YEAR($A36),1,0)*IF(ArgentaGemeenschRekData!$K$2:$K$2000=H$1,1,0)*ArgentaGemeenschRekData!$D$2:$D$2000)</f>
        <v>0</v>
      </c>
      <c r="I36" s="77">
        <f t="shared" si="5"/>
        <v>0</v>
      </c>
      <c r="J36" s="83">
        <f t="array" aca="1" ref="J36" ca="1">SUM((IF(MONTH(ArgentaGemeenschRekData!$A$2:$A$2000)=MONTH(ArgentaGemeenschRekSamenv!$A36),1,0))*(IF(YEAR(ArgentaGemeenschRekData!$A$2:$A$2000)=YEAR(ArgentaGemeenschRekSamenv!$A36),1,0))*(IF(ArgentaGemeenschRekData!$D$2:$D$2000&gt;0,1,0))*ArgentaGemeenschRekData!$D$2:$D$2000)</f>
        <v>0</v>
      </c>
      <c r="K36" s="78">
        <f t="array" aca="1" ref="K36" ca="1">SUM(IF(MONTH(ArgentaGemeenschRekData!$A$2:$A$2000)=MONTH(ArgentaGemeenschRekSamenv!$A36),1,0)*IF(YEAR(ArgentaGemeenschRekData!$A$2:$A$2000)=YEAR(ArgentaGemeenschRekSamenv!$A36),1,0)*IF(ArgentaGemeenschRekData!$D$2:$D$2000&gt;0,1,0)*IF(ArgentaGemeenschRekData!$K$2:$K$2000=K$2,1,0)*ArgentaGemeenschRekData!$D$2:$D$2000)</f>
        <v>0</v>
      </c>
      <c r="L36" s="78">
        <f t="array" aca="1" ref="L36" ca="1">SUM(IF(MONTH(ArgentaGemeenschRekData!$A$2:$A$2000)=MONTH(ArgentaGemeenschRekSamenv!$A36),1,0)*IF(YEAR(ArgentaGemeenschRekData!$A$2:$A$2000)=YEAR(ArgentaGemeenschRekSamenv!$A36),1,0)*IF(ArgentaGemeenschRekData!$D$2:$D$2000&gt;0,1,0)*IF(ArgentaGemeenschRekData!$K$2:$K$2000=L$2,1,0)*ArgentaGemeenschRekData!$D$2:$D$2000)</f>
        <v>0</v>
      </c>
      <c r="M36" s="77">
        <f t="shared" si="6"/>
        <v>0</v>
      </c>
    </row>
    <row r="37" spans="1:13" s="9" customFormat="1" outlineLevel="1">
      <c r="A37" s="19">
        <v>39448</v>
      </c>
      <c r="B37" s="78">
        <f t="array" aca="1" ref="B37" ca="1">SUM((IF(MONTH(ArgentaGemeenschRekData!$A$2:$A$2000)=MONTH(ArgentaGemeenschRekSamenv!$A37),1,0))*(IF(YEAR(ArgentaGemeenschRekData!$A$2:$A$2000)=YEAR(ArgentaGemeenschRekSamenv!$A37),1,0))*IF(ArgentaGemeenschRekData!$D$2:$D$2000&lt;0,1,0)*IF(ArgentaGemeenschRekData!$K$2:$K$2000=Categorieën!$C$1,0,1)*IF(ArgentaGemeenschRekData!$K$2:$K$2000=Categorieën!$B$1,0,1)*ArgentaGemeenschRekData!$D$2:$D$2000)</f>
        <v>0</v>
      </c>
      <c r="C37" s="78">
        <f t="shared" si="4"/>
        <v>0</v>
      </c>
      <c r="D37" s="78">
        <f t="array" aca="1" ref="D37" ca="1">SUM(IF(MONTH(ArgentaGemeenschRekData!$A$2:$A$2000)=MONTH(ArgentaGemeenschRekSamenv!$A37),1,0)*IF(YEAR(ArgentaGemeenschRekData!$A$2:$A$2000)=YEAR(ArgentaGemeenschRekSamenv!$A37),1,0)*IF(ArgentaGemeenschRekData!$D$2:$D$2000&lt;0,1,0)*IF(LEFT(ArgentaGemeenschRekData!$K$2:$K$2000,3)="VK-",1,0)*ArgentaGemeenschRekData!$D$2:$D$2000)</f>
        <v>0</v>
      </c>
      <c r="E37" s="78">
        <f t="array" aca="1" ref="E37" ca="1">SUM(IF(MONTH(ArgentaGemeenschRekData!$A$2:$A$2000)=MONTH(ArgentaGemeenschRekSamenv!$A37),1,0)*IF(YEAR(ArgentaGemeenschRekData!$A$2:$A$2000)=YEAR(ArgentaGemeenschRekSamenv!$A37),1,0)*IF(ArgentaGemeenschRekData!$D$2:$D$2000&lt;0,1,0)*IF(ArgentaGemeenschRekData!$K$2:$K$2000=Categorieën!$D$1,1,0)*ArgentaGemeenschRekData!$D$2:$D$2000)*-1</f>
        <v>0</v>
      </c>
      <c r="F37" s="78">
        <f ca="1">SUM(IF(MONTH(ArgentaGemeenschRekData!$A$2:$A$2000)=MONTH($A37),1,0)*IF(YEAR(ArgentaGemeenschRekData!$A$2:$A$2000)=YEAR($A37),1,0)*IF(ArgentaGemeenschRekData!$K$2:$K$2000=F$1,1,0)*ArgentaGemeenschRekData!$D$2:$D$2000)</f>
        <v>0</v>
      </c>
      <c r="G37" s="78">
        <f ca="1">SUM(IF(MONTH(ArgentaGemeenschRekData!$A$2:$A$2000)=MONTH($A37),1,0)*IF(YEAR(ArgentaGemeenschRekData!$A$2:$A$2000)=YEAR($A37),1,0)*IF(ArgentaGemeenschRekData!$K$2:$K$2000=G$1,1,0)*ArgentaGemeenschRekData!$D$2:$D$2000)</f>
        <v>0</v>
      </c>
      <c r="H37" s="78">
        <f ca="1">SUM(IF(MONTH(ArgentaGemeenschRekData!$A$2:$A$2000)=MONTH($A37),1,0)*IF(YEAR(ArgentaGemeenschRekData!$A$2:$A$2000)=YEAR($A37),1,0)*IF(ArgentaGemeenschRekData!$K$2:$K$2000=H$1,1,0)*ArgentaGemeenschRekData!$D$2:$D$2000)</f>
        <v>0</v>
      </c>
      <c r="I37" s="77">
        <f t="shared" si="5"/>
        <v>0</v>
      </c>
      <c r="J37" s="83">
        <f t="array" aca="1" ref="J37" ca="1">SUM((IF(MONTH(ArgentaGemeenschRekData!$A$2:$A$2000)=MONTH(ArgentaGemeenschRekSamenv!$A37),1,0))*(IF(YEAR(ArgentaGemeenschRekData!$A$2:$A$2000)=YEAR(ArgentaGemeenschRekSamenv!$A37),1,0))*(IF(ArgentaGemeenschRekData!$D$2:$D$2000&gt;0,1,0))*ArgentaGemeenschRekData!$D$2:$D$2000)</f>
        <v>0</v>
      </c>
      <c r="K37" s="78">
        <f t="array" aca="1" ref="K37" ca="1">SUM(IF(MONTH(ArgentaGemeenschRekData!$A$2:$A$2000)=MONTH(ArgentaGemeenschRekSamenv!$A37),1,0)*IF(YEAR(ArgentaGemeenschRekData!$A$2:$A$2000)=YEAR(ArgentaGemeenschRekSamenv!$A37),1,0)*IF(ArgentaGemeenschRekData!$D$2:$D$2000&gt;0,1,0)*IF(ArgentaGemeenschRekData!$K$2:$K$2000=K$2,1,0)*ArgentaGemeenschRekData!$D$2:$D$2000)</f>
        <v>0</v>
      </c>
      <c r="L37" s="78">
        <f t="array" aca="1" ref="L37" ca="1">SUM(IF(MONTH(ArgentaGemeenschRekData!$A$2:$A$2000)=MONTH(ArgentaGemeenschRekSamenv!$A37),1,0)*IF(YEAR(ArgentaGemeenschRekData!$A$2:$A$2000)=YEAR(ArgentaGemeenschRekSamenv!$A37),1,0)*IF(ArgentaGemeenschRekData!$D$2:$D$2000&gt;0,1,0)*IF(ArgentaGemeenschRekData!$K$2:$K$2000=L$2,1,0)*ArgentaGemeenschRekData!$D$2:$D$2000)</f>
        <v>0</v>
      </c>
      <c r="M37" s="77">
        <f t="shared" si="6"/>
        <v>0</v>
      </c>
    </row>
    <row r="38" spans="1:13" s="9" customFormat="1" outlineLevel="1">
      <c r="A38" s="19">
        <v>39479</v>
      </c>
      <c r="B38" s="78">
        <f t="array" aca="1" ref="B38" ca="1">SUM((IF(MONTH(ArgentaGemeenschRekData!$A$2:$A$2000)=MONTH(ArgentaGemeenschRekSamenv!$A38),1,0))*(IF(YEAR(ArgentaGemeenschRekData!$A$2:$A$2000)=YEAR(ArgentaGemeenschRekSamenv!$A38),1,0))*IF(ArgentaGemeenschRekData!$D$2:$D$2000&lt;0,1,0)*IF(ArgentaGemeenschRekData!$K$2:$K$2000=Categorieën!$C$1,0,1)*IF(ArgentaGemeenschRekData!$K$2:$K$2000=Categorieën!$B$1,0,1)*ArgentaGemeenschRekData!$D$2:$D$2000)</f>
        <v>0</v>
      </c>
      <c r="C38" s="78">
        <f t="shared" si="4"/>
        <v>0</v>
      </c>
      <c r="D38" s="78">
        <f t="array" aca="1" ref="D38" ca="1">SUM(IF(MONTH(ArgentaGemeenschRekData!$A$2:$A$2000)=MONTH(ArgentaGemeenschRekSamenv!$A38),1,0)*IF(YEAR(ArgentaGemeenschRekData!$A$2:$A$2000)=YEAR(ArgentaGemeenschRekSamenv!$A38),1,0)*IF(ArgentaGemeenschRekData!$D$2:$D$2000&lt;0,1,0)*IF(LEFT(ArgentaGemeenschRekData!$K$2:$K$2000,3)="VK-",1,0)*ArgentaGemeenschRekData!$D$2:$D$2000)</f>
        <v>0</v>
      </c>
      <c r="E38" s="78">
        <f t="array" aca="1" ref="E38" ca="1">SUM(IF(MONTH(ArgentaGemeenschRekData!$A$2:$A$2000)=MONTH(ArgentaGemeenschRekSamenv!$A38),1,0)*IF(YEAR(ArgentaGemeenschRekData!$A$2:$A$2000)=YEAR(ArgentaGemeenschRekSamenv!$A38),1,0)*IF(ArgentaGemeenschRekData!$D$2:$D$2000&lt;0,1,0)*IF(ArgentaGemeenschRekData!$K$2:$K$2000=Categorieën!$D$1,1,0)*ArgentaGemeenschRekData!$D$2:$D$2000)*-1</f>
        <v>0</v>
      </c>
      <c r="F38" s="78">
        <f ca="1">SUM(IF(MONTH(ArgentaGemeenschRekData!$A$2:$A$2000)=MONTH($A38),1,0)*IF(YEAR(ArgentaGemeenschRekData!$A$2:$A$2000)=YEAR($A38),1,0)*IF(ArgentaGemeenschRekData!$K$2:$K$2000=F$1,1,0)*ArgentaGemeenschRekData!$D$2:$D$2000)</f>
        <v>0</v>
      </c>
      <c r="G38" s="78">
        <f ca="1">SUM(IF(MONTH(ArgentaGemeenschRekData!$A$2:$A$2000)=MONTH($A38),1,0)*IF(YEAR(ArgentaGemeenschRekData!$A$2:$A$2000)=YEAR($A38),1,0)*IF(ArgentaGemeenschRekData!$K$2:$K$2000=G$1,1,0)*ArgentaGemeenschRekData!$D$2:$D$2000)</f>
        <v>0</v>
      </c>
      <c r="H38" s="78">
        <f ca="1">SUM(IF(MONTH(ArgentaGemeenschRekData!$A$2:$A$2000)=MONTH($A38),1,0)*IF(YEAR(ArgentaGemeenschRekData!$A$2:$A$2000)=YEAR($A38),1,0)*IF(ArgentaGemeenschRekData!$K$2:$K$2000=H$1,1,0)*ArgentaGemeenschRekData!$D$2:$D$2000)</f>
        <v>0</v>
      </c>
      <c r="I38" s="77">
        <f t="shared" si="5"/>
        <v>0</v>
      </c>
      <c r="J38" s="83">
        <f t="array" aca="1" ref="J38" ca="1">SUM((IF(MONTH(ArgentaGemeenschRekData!$A$2:$A$2000)=MONTH(ArgentaGemeenschRekSamenv!$A38),1,0))*(IF(YEAR(ArgentaGemeenschRekData!$A$2:$A$2000)=YEAR(ArgentaGemeenschRekSamenv!$A38),1,0))*(IF(ArgentaGemeenschRekData!$D$2:$D$2000&gt;0,1,0))*ArgentaGemeenschRekData!$D$2:$D$2000)</f>
        <v>0</v>
      </c>
      <c r="K38" s="78">
        <f t="array" aca="1" ref="K38" ca="1">SUM(IF(MONTH(ArgentaGemeenschRekData!$A$2:$A$2000)=MONTH(ArgentaGemeenschRekSamenv!$A38),1,0)*IF(YEAR(ArgentaGemeenschRekData!$A$2:$A$2000)=YEAR(ArgentaGemeenschRekSamenv!$A38),1,0)*IF(ArgentaGemeenschRekData!$D$2:$D$2000&gt;0,1,0)*IF(ArgentaGemeenschRekData!$K$2:$K$2000=K$2,1,0)*ArgentaGemeenschRekData!$D$2:$D$2000)</f>
        <v>0</v>
      </c>
      <c r="L38" s="78">
        <f t="array" aca="1" ref="L38" ca="1">SUM(IF(MONTH(ArgentaGemeenschRekData!$A$2:$A$2000)=MONTH(ArgentaGemeenschRekSamenv!$A38),1,0)*IF(YEAR(ArgentaGemeenschRekData!$A$2:$A$2000)=YEAR(ArgentaGemeenschRekSamenv!$A38),1,0)*IF(ArgentaGemeenschRekData!$D$2:$D$2000&gt;0,1,0)*IF(ArgentaGemeenschRekData!$K$2:$K$2000=L$2,1,0)*ArgentaGemeenschRekData!$D$2:$D$2000)</f>
        <v>0</v>
      </c>
      <c r="M38" s="77">
        <f t="shared" si="6"/>
        <v>0</v>
      </c>
    </row>
    <row r="39" spans="1:13" s="9" customFormat="1" outlineLevel="1">
      <c r="A39" s="19">
        <v>39508</v>
      </c>
      <c r="B39" s="78">
        <f t="array" aca="1" ref="B39" ca="1">SUM((IF(MONTH(ArgentaGemeenschRekData!$A$2:$A$2000)=MONTH(ArgentaGemeenschRekSamenv!$A39),1,0))*(IF(YEAR(ArgentaGemeenschRekData!$A$2:$A$2000)=YEAR(ArgentaGemeenschRekSamenv!$A39),1,0))*IF(ArgentaGemeenschRekData!$D$2:$D$2000&lt;0,1,0)*IF(ArgentaGemeenschRekData!$K$2:$K$2000=Categorieën!$C$1,0,1)*IF(ArgentaGemeenschRekData!$K$2:$K$2000=Categorieën!$B$1,0,1)*ArgentaGemeenschRekData!$D$2:$D$2000)</f>
        <v>0</v>
      </c>
      <c r="C39" s="78">
        <f t="shared" si="4"/>
        <v>0</v>
      </c>
      <c r="D39" s="78">
        <f t="array" aca="1" ref="D39" ca="1">SUM(IF(MONTH(ArgentaGemeenschRekData!$A$2:$A$2000)=MONTH(ArgentaGemeenschRekSamenv!$A39),1,0)*IF(YEAR(ArgentaGemeenschRekData!$A$2:$A$2000)=YEAR(ArgentaGemeenschRekSamenv!$A39),1,0)*IF(ArgentaGemeenschRekData!$D$2:$D$2000&lt;0,1,0)*IF(LEFT(ArgentaGemeenschRekData!$K$2:$K$2000,3)="VK-",1,0)*ArgentaGemeenschRekData!$D$2:$D$2000)</f>
        <v>0</v>
      </c>
      <c r="E39" s="78">
        <f t="array" aca="1" ref="E39" ca="1">SUM(IF(MONTH(ArgentaGemeenschRekData!$A$2:$A$2000)=MONTH(ArgentaGemeenschRekSamenv!$A39),1,0)*IF(YEAR(ArgentaGemeenschRekData!$A$2:$A$2000)=YEAR(ArgentaGemeenschRekSamenv!$A39),1,0)*IF(ArgentaGemeenschRekData!$D$2:$D$2000&lt;0,1,0)*IF(ArgentaGemeenschRekData!$K$2:$K$2000=Categorieën!$D$1,1,0)*ArgentaGemeenschRekData!$D$2:$D$2000)*-1</f>
        <v>0</v>
      </c>
      <c r="F39" s="78">
        <f ca="1">SUM(IF(MONTH(ArgentaGemeenschRekData!$A$2:$A$2000)=MONTH($A39),1,0)*IF(YEAR(ArgentaGemeenschRekData!$A$2:$A$2000)=YEAR($A39),1,0)*IF(ArgentaGemeenschRekData!$K$2:$K$2000=F$1,1,0)*ArgentaGemeenschRekData!$D$2:$D$2000)</f>
        <v>0</v>
      </c>
      <c r="G39" s="78">
        <f ca="1">SUM(IF(MONTH(ArgentaGemeenschRekData!$A$2:$A$2000)=MONTH($A39),1,0)*IF(YEAR(ArgentaGemeenschRekData!$A$2:$A$2000)=YEAR($A39),1,0)*IF(ArgentaGemeenschRekData!$K$2:$K$2000=G$1,1,0)*ArgentaGemeenschRekData!$D$2:$D$2000)</f>
        <v>0</v>
      </c>
      <c r="H39" s="78">
        <f ca="1">SUM(IF(MONTH(ArgentaGemeenschRekData!$A$2:$A$2000)=MONTH($A39),1,0)*IF(YEAR(ArgentaGemeenschRekData!$A$2:$A$2000)=YEAR($A39),1,0)*IF(ArgentaGemeenschRekData!$K$2:$K$2000=H$1,1,0)*ArgentaGemeenschRekData!$D$2:$D$2000)</f>
        <v>0</v>
      </c>
      <c r="I39" s="77">
        <f t="shared" si="5"/>
        <v>0</v>
      </c>
      <c r="J39" s="83">
        <f t="array" aca="1" ref="J39" ca="1">SUM((IF(MONTH(ArgentaGemeenschRekData!$A$2:$A$2000)=MONTH(ArgentaGemeenschRekSamenv!$A39),1,0))*(IF(YEAR(ArgentaGemeenschRekData!$A$2:$A$2000)=YEAR(ArgentaGemeenschRekSamenv!$A39),1,0))*(IF(ArgentaGemeenschRekData!$D$2:$D$2000&gt;0,1,0))*ArgentaGemeenschRekData!$D$2:$D$2000)</f>
        <v>0</v>
      </c>
      <c r="K39" s="78">
        <f t="array" aca="1" ref="K39" ca="1">SUM(IF(MONTH(ArgentaGemeenschRekData!$A$2:$A$2000)=MONTH(ArgentaGemeenschRekSamenv!$A39),1,0)*IF(YEAR(ArgentaGemeenschRekData!$A$2:$A$2000)=YEAR(ArgentaGemeenschRekSamenv!$A39),1,0)*IF(ArgentaGemeenschRekData!$D$2:$D$2000&gt;0,1,0)*IF(ArgentaGemeenschRekData!$K$2:$K$2000=K$2,1,0)*ArgentaGemeenschRekData!$D$2:$D$2000)</f>
        <v>0</v>
      </c>
      <c r="L39" s="78">
        <f t="array" aca="1" ref="L39" ca="1">SUM(IF(MONTH(ArgentaGemeenschRekData!$A$2:$A$2000)=MONTH(ArgentaGemeenschRekSamenv!$A39),1,0)*IF(YEAR(ArgentaGemeenschRekData!$A$2:$A$2000)=YEAR(ArgentaGemeenschRekSamenv!$A39),1,0)*IF(ArgentaGemeenschRekData!$D$2:$D$2000&gt;0,1,0)*IF(ArgentaGemeenschRekData!$K$2:$K$2000=L$2,1,0)*ArgentaGemeenschRekData!$D$2:$D$2000)</f>
        <v>0</v>
      </c>
      <c r="M39" s="77">
        <f t="shared" si="6"/>
        <v>0</v>
      </c>
    </row>
    <row r="40" spans="1:13" s="9" customFormat="1" outlineLevel="1">
      <c r="A40" s="19">
        <v>39539</v>
      </c>
      <c r="B40" s="78">
        <f t="array" aca="1" ref="B40" ca="1">SUM((IF(MONTH(ArgentaGemeenschRekData!$A$2:$A$2000)=MONTH(ArgentaGemeenschRekSamenv!$A40),1,0))*(IF(YEAR(ArgentaGemeenschRekData!$A$2:$A$2000)=YEAR(ArgentaGemeenschRekSamenv!$A40),1,0))*IF(ArgentaGemeenschRekData!$D$2:$D$2000&lt;0,1,0)*IF(ArgentaGemeenschRekData!$K$2:$K$2000=Categorieën!$C$1,0,1)*IF(ArgentaGemeenschRekData!$K$2:$K$2000=Categorieën!$B$1,0,1)*ArgentaGemeenschRekData!$D$2:$D$2000)</f>
        <v>0</v>
      </c>
      <c r="C40" s="78">
        <f>$B40-$D40</f>
        <v>0</v>
      </c>
      <c r="D40" s="78">
        <f t="array" aca="1" ref="D40" ca="1">SUM(IF(MONTH(ArgentaGemeenschRekData!$A$2:$A$2000)=MONTH(ArgentaGemeenschRekSamenv!$A40),1,0)*IF(YEAR(ArgentaGemeenschRekData!$A$2:$A$2000)=YEAR(ArgentaGemeenschRekSamenv!$A40),1,0)*IF(ArgentaGemeenschRekData!$D$2:$D$2000&lt;0,1,0)*IF(LEFT(ArgentaGemeenschRekData!$K$2:$K$2000,3)="VK-",1,0)*ArgentaGemeenschRekData!$D$2:$D$2000)</f>
        <v>0</v>
      </c>
      <c r="E40" s="78">
        <f t="array" aca="1" ref="E40" ca="1">SUM(IF(MONTH(ArgentaGemeenschRekData!$A$2:$A$2000)=MONTH(ArgentaGemeenschRekSamenv!$A40),1,0)*IF(YEAR(ArgentaGemeenschRekData!$A$2:$A$2000)=YEAR(ArgentaGemeenschRekSamenv!$A40),1,0)*IF(ArgentaGemeenschRekData!$D$2:$D$2000&lt;0,1,0)*IF(ArgentaGemeenschRekData!$K$2:$K$2000=Categorieën!$D$1,1,0)*ArgentaGemeenschRekData!$D$2:$D$2000)*-1</f>
        <v>0</v>
      </c>
      <c r="F40" s="78">
        <f ca="1">SUM(IF(MONTH(ArgentaGemeenschRekData!$A$2:$A$2000)=MONTH($A40),1,0)*IF(YEAR(ArgentaGemeenschRekData!$A$2:$A$2000)=YEAR($A40),1,0)*IF(ArgentaGemeenschRekData!$K$2:$K$2000=F$1,1,0)*ArgentaGemeenschRekData!$D$2:$D$2000)</f>
        <v>0</v>
      </c>
      <c r="G40" s="78">
        <f ca="1">SUM(IF(MONTH(ArgentaGemeenschRekData!$A$2:$A$2000)=MONTH($A40),1,0)*IF(YEAR(ArgentaGemeenschRekData!$A$2:$A$2000)=YEAR($A40),1,0)*IF(ArgentaGemeenschRekData!$K$2:$K$2000=G$1,1,0)*ArgentaGemeenschRekData!$D$2:$D$2000)</f>
        <v>0</v>
      </c>
      <c r="H40" s="78">
        <f ca="1">SUM(IF(MONTH(ArgentaGemeenschRekData!$A$2:$A$2000)=MONTH($A40),1,0)*IF(YEAR(ArgentaGemeenschRekData!$A$2:$A$2000)=YEAR($A40),1,0)*IF(ArgentaGemeenschRekData!$K$2:$K$2000=H$1,1,0)*ArgentaGemeenschRekData!$D$2:$D$2000)</f>
        <v>0</v>
      </c>
      <c r="I40" s="77">
        <f>$B40-$D40+$E40</f>
        <v>0</v>
      </c>
      <c r="J40" s="83">
        <f t="array" aca="1" ref="J40" ca="1">SUM((IF(MONTH(ArgentaGemeenschRekData!$A$2:$A$2000)=MONTH(ArgentaGemeenschRekSamenv!$A40),1,0))*(IF(YEAR(ArgentaGemeenschRekData!$A$2:$A$2000)=YEAR(ArgentaGemeenschRekSamenv!$A40),1,0))*(IF(ArgentaGemeenschRekData!$D$2:$D$2000&gt;0,1,0))*ArgentaGemeenschRekData!$D$2:$D$2000)</f>
        <v>0</v>
      </c>
      <c r="K40" s="78">
        <f t="array" aca="1" ref="K40" ca="1">SUM(IF(MONTH(ArgentaGemeenschRekData!$A$2:$A$2000)=MONTH(ArgentaGemeenschRekSamenv!$A40),1,0)*IF(YEAR(ArgentaGemeenschRekData!$A$2:$A$2000)=YEAR(ArgentaGemeenschRekSamenv!$A40),1,0)*IF(ArgentaGemeenschRekData!$D$2:$D$2000&gt;0,1,0)*IF(ArgentaGemeenschRekData!$K$2:$K$2000=K$2,1,0)*ArgentaGemeenschRekData!$D$2:$D$2000)</f>
        <v>0</v>
      </c>
      <c r="L40" s="78">
        <f t="array" aca="1" ref="L40" ca="1">SUM(IF(MONTH(ArgentaGemeenschRekData!$A$2:$A$2000)=MONTH(ArgentaGemeenschRekSamenv!$A40),1,0)*IF(YEAR(ArgentaGemeenschRekData!$A$2:$A$2000)=YEAR(ArgentaGemeenschRekSamenv!$A40),1,0)*IF(ArgentaGemeenschRekData!$D$2:$D$2000&gt;0,1,0)*IF(ArgentaGemeenschRekData!$K$2:$K$2000=L$2,1,0)*ArgentaGemeenschRekData!$D$2:$D$2000)</f>
        <v>0</v>
      </c>
      <c r="M40" s="77">
        <f>J40-(K40+L40)</f>
        <v>0</v>
      </c>
    </row>
    <row r="41" spans="1:13" s="9" customFormat="1" outlineLevel="1">
      <c r="A41" s="19">
        <v>39569</v>
      </c>
      <c r="B41" s="78">
        <f t="array" aca="1" ref="B41" ca="1">SUM((IF(MONTH(ArgentaGemeenschRekData!$A$2:$A$2000)=MONTH(ArgentaGemeenschRekSamenv!$A41),1,0))*(IF(YEAR(ArgentaGemeenschRekData!$A$2:$A$2000)=YEAR(ArgentaGemeenschRekSamenv!$A41),1,0))*IF(ArgentaGemeenschRekData!$D$2:$D$2000&lt;0,1,0)*IF(ArgentaGemeenschRekData!$K$2:$K$2000=Categorieën!$C$1,0,1)*IF(ArgentaGemeenschRekData!$K$2:$K$2000=Categorieën!$B$1,0,1)*ArgentaGemeenschRekData!$D$2:$D$2000)</f>
        <v>0</v>
      </c>
      <c r="C41" s="78">
        <f t="shared" ref="C41:C52" si="7">$B41-$D41</f>
        <v>0</v>
      </c>
      <c r="D41" s="78">
        <f t="array" aca="1" ref="D41" ca="1">SUM(IF(MONTH(ArgentaGemeenschRekData!$A$2:$A$2000)=MONTH(ArgentaGemeenschRekSamenv!$A41),1,0)*IF(YEAR(ArgentaGemeenschRekData!$A$2:$A$2000)=YEAR(ArgentaGemeenschRekSamenv!$A41),1,0)*IF(ArgentaGemeenschRekData!$D$2:$D$2000&lt;0,1,0)*IF(LEFT(ArgentaGemeenschRekData!$K$2:$K$2000,3)="VK-",1,0)*ArgentaGemeenschRekData!$D$2:$D$2000)</f>
        <v>0</v>
      </c>
      <c r="E41" s="78">
        <f t="array" aca="1" ref="E41" ca="1">SUM(IF(MONTH(ArgentaGemeenschRekData!$A$2:$A$2000)=MONTH(ArgentaGemeenschRekSamenv!$A41),1,0)*IF(YEAR(ArgentaGemeenschRekData!$A$2:$A$2000)=YEAR(ArgentaGemeenschRekSamenv!$A41),1,0)*IF(ArgentaGemeenschRekData!$D$2:$D$2000&lt;0,1,0)*IF(ArgentaGemeenschRekData!$K$2:$K$2000=Categorieën!$D$1,1,0)*ArgentaGemeenschRekData!$D$2:$D$2000)*-1</f>
        <v>0</v>
      </c>
      <c r="F41" s="78">
        <f ca="1">SUM(IF(MONTH(ArgentaGemeenschRekData!$A$2:$A$2000)=MONTH($A41),1,0)*IF(YEAR(ArgentaGemeenschRekData!$A$2:$A$2000)=YEAR($A41),1,0)*IF(ArgentaGemeenschRekData!$K$2:$K$2000=F$1,1,0)*ArgentaGemeenschRekData!$D$2:$D$2000)</f>
        <v>0</v>
      </c>
      <c r="G41" s="78">
        <f ca="1">SUM(IF(MONTH(ArgentaGemeenschRekData!$A$2:$A$2000)=MONTH($A41),1,0)*IF(YEAR(ArgentaGemeenschRekData!$A$2:$A$2000)=YEAR($A41),1,0)*IF(ArgentaGemeenschRekData!$K$2:$K$2000=G$1,1,0)*ArgentaGemeenschRekData!$D$2:$D$2000)</f>
        <v>0</v>
      </c>
      <c r="H41" s="78">
        <f ca="1">SUM(IF(MONTH(ArgentaGemeenschRekData!$A$2:$A$2000)=MONTH($A41),1,0)*IF(YEAR(ArgentaGemeenschRekData!$A$2:$A$2000)=YEAR($A41),1,0)*IF(ArgentaGemeenschRekData!$K$2:$K$2000=H$1,1,0)*ArgentaGemeenschRekData!$D$2:$D$2000)</f>
        <v>0</v>
      </c>
      <c r="I41" s="77">
        <f t="shared" ref="I41:I52" si="8">$B41-$D41+$E41</f>
        <v>0</v>
      </c>
      <c r="J41" s="83">
        <f t="array" aca="1" ref="J41" ca="1">SUM((IF(MONTH(ArgentaGemeenschRekData!$A$2:$A$2000)=MONTH(ArgentaGemeenschRekSamenv!$A41),1,0))*(IF(YEAR(ArgentaGemeenschRekData!$A$2:$A$2000)=YEAR(ArgentaGemeenschRekSamenv!$A41),1,0))*(IF(ArgentaGemeenschRekData!$D$2:$D$2000&gt;0,1,0))*ArgentaGemeenschRekData!$D$2:$D$2000)</f>
        <v>0</v>
      </c>
      <c r="K41" s="78">
        <f t="array" aca="1" ref="K41" ca="1">SUM(IF(MONTH(ArgentaGemeenschRekData!$A$2:$A$2000)=MONTH(ArgentaGemeenschRekSamenv!$A41),1,0)*IF(YEAR(ArgentaGemeenschRekData!$A$2:$A$2000)=YEAR(ArgentaGemeenschRekSamenv!$A41),1,0)*IF(ArgentaGemeenschRekData!$D$2:$D$2000&gt;0,1,0)*IF(ArgentaGemeenschRekData!$K$2:$K$2000=K$2,1,0)*ArgentaGemeenschRekData!$D$2:$D$2000)</f>
        <v>0</v>
      </c>
      <c r="L41" s="78">
        <f t="array" aca="1" ref="L41" ca="1">SUM(IF(MONTH(ArgentaGemeenschRekData!$A$2:$A$2000)=MONTH(ArgentaGemeenschRekSamenv!$A41),1,0)*IF(YEAR(ArgentaGemeenschRekData!$A$2:$A$2000)=YEAR(ArgentaGemeenschRekSamenv!$A41),1,0)*IF(ArgentaGemeenschRekData!$D$2:$D$2000&gt;0,1,0)*IF(ArgentaGemeenschRekData!$K$2:$K$2000=L$2,1,0)*ArgentaGemeenschRekData!$D$2:$D$2000)</f>
        <v>0</v>
      </c>
      <c r="M41" s="77">
        <f t="shared" ref="M41:M53" si="9">J41-(K41+L41)</f>
        <v>0</v>
      </c>
    </row>
    <row r="42" spans="1:13" s="9" customFormat="1" outlineLevel="1">
      <c r="A42" s="19">
        <v>39600</v>
      </c>
      <c r="B42" s="78">
        <f t="array" aca="1" ref="B42" ca="1">SUM((IF(MONTH(ArgentaGemeenschRekData!$A$2:$A$2000)=MONTH(ArgentaGemeenschRekSamenv!$A42),1,0))*(IF(YEAR(ArgentaGemeenschRekData!$A$2:$A$2000)=YEAR(ArgentaGemeenschRekSamenv!$A42),1,0))*IF(ArgentaGemeenschRekData!$D$2:$D$2000&lt;0,1,0)*IF(ArgentaGemeenschRekData!$K$2:$K$2000=Categorieën!$C$1,0,1)*IF(ArgentaGemeenschRekData!$K$2:$K$2000=Categorieën!$B$1,0,1)*ArgentaGemeenschRekData!$D$2:$D$2000)</f>
        <v>0</v>
      </c>
      <c r="C42" s="78">
        <f t="shared" si="7"/>
        <v>0</v>
      </c>
      <c r="D42" s="78">
        <f t="array" aca="1" ref="D42" ca="1">SUM(IF(MONTH(ArgentaGemeenschRekData!$A$2:$A$2000)=MONTH(ArgentaGemeenschRekSamenv!$A42),1,0)*IF(YEAR(ArgentaGemeenschRekData!$A$2:$A$2000)=YEAR(ArgentaGemeenschRekSamenv!$A42),1,0)*IF(ArgentaGemeenschRekData!$D$2:$D$2000&lt;0,1,0)*IF(LEFT(ArgentaGemeenschRekData!$K$2:$K$2000,3)="VK-",1,0)*ArgentaGemeenschRekData!$D$2:$D$2000)</f>
        <v>0</v>
      </c>
      <c r="E42" s="78">
        <f t="array" aca="1" ref="E42" ca="1">SUM(IF(MONTH(ArgentaGemeenschRekData!$A$2:$A$2000)=MONTH(ArgentaGemeenschRekSamenv!$A42),1,0)*IF(YEAR(ArgentaGemeenschRekData!$A$2:$A$2000)=YEAR(ArgentaGemeenschRekSamenv!$A42),1,0)*IF(ArgentaGemeenschRekData!$D$2:$D$2000&lt;0,1,0)*IF(ArgentaGemeenschRekData!$K$2:$K$2000=Categorieën!$D$1,1,0)*ArgentaGemeenschRekData!$D$2:$D$2000)*-1</f>
        <v>0</v>
      </c>
      <c r="F42" s="78">
        <f ca="1">SUM(IF(MONTH(ArgentaGemeenschRekData!$A$2:$A$2000)=MONTH($A42),1,0)*IF(YEAR(ArgentaGemeenschRekData!$A$2:$A$2000)=YEAR($A42),1,0)*IF(ArgentaGemeenschRekData!$K$2:$K$2000=F$1,1,0)*ArgentaGemeenschRekData!$D$2:$D$2000)</f>
        <v>0</v>
      </c>
      <c r="G42" s="78">
        <f ca="1">SUM(IF(MONTH(ArgentaGemeenschRekData!$A$2:$A$2000)=MONTH($A42),1,0)*IF(YEAR(ArgentaGemeenschRekData!$A$2:$A$2000)=YEAR($A42),1,0)*IF(ArgentaGemeenschRekData!$K$2:$K$2000=G$1,1,0)*ArgentaGemeenschRekData!$D$2:$D$2000)</f>
        <v>0</v>
      </c>
      <c r="H42" s="78">
        <f ca="1">SUM(IF(MONTH(ArgentaGemeenschRekData!$A$2:$A$2000)=MONTH($A42),1,0)*IF(YEAR(ArgentaGemeenschRekData!$A$2:$A$2000)=YEAR($A42),1,0)*IF(ArgentaGemeenschRekData!$K$2:$K$2000=H$1,1,0)*ArgentaGemeenschRekData!$D$2:$D$2000)</f>
        <v>0</v>
      </c>
      <c r="I42" s="77">
        <f t="shared" si="8"/>
        <v>0</v>
      </c>
      <c r="J42" s="83">
        <f t="array" aca="1" ref="J42" ca="1">SUM((IF(MONTH(ArgentaGemeenschRekData!$A$2:$A$2000)=MONTH(ArgentaGemeenschRekSamenv!$A42),1,0))*(IF(YEAR(ArgentaGemeenschRekData!$A$2:$A$2000)=YEAR(ArgentaGemeenschRekSamenv!$A42),1,0))*(IF(ArgentaGemeenschRekData!$D$2:$D$2000&gt;0,1,0))*ArgentaGemeenschRekData!$D$2:$D$2000)</f>
        <v>0</v>
      </c>
      <c r="K42" s="78">
        <f t="array" aca="1" ref="K42" ca="1">SUM(IF(MONTH(ArgentaGemeenschRekData!$A$2:$A$2000)=MONTH(ArgentaGemeenschRekSamenv!$A42),1,0)*IF(YEAR(ArgentaGemeenschRekData!$A$2:$A$2000)=YEAR(ArgentaGemeenschRekSamenv!$A42),1,0)*IF(ArgentaGemeenschRekData!$D$2:$D$2000&gt;0,1,0)*IF(ArgentaGemeenschRekData!$K$2:$K$2000=K$2,1,0)*ArgentaGemeenschRekData!$D$2:$D$2000)</f>
        <v>0</v>
      </c>
      <c r="L42" s="78">
        <f t="array" aca="1" ref="L42" ca="1">SUM(IF(MONTH(ArgentaGemeenschRekData!$A$2:$A$2000)=MONTH(ArgentaGemeenschRekSamenv!$A42),1,0)*IF(YEAR(ArgentaGemeenschRekData!$A$2:$A$2000)=YEAR(ArgentaGemeenschRekSamenv!$A42),1,0)*IF(ArgentaGemeenschRekData!$D$2:$D$2000&gt;0,1,0)*IF(ArgentaGemeenschRekData!$K$2:$K$2000=L$2,1,0)*ArgentaGemeenschRekData!$D$2:$D$2000)</f>
        <v>0</v>
      </c>
      <c r="M42" s="77">
        <f t="shared" si="9"/>
        <v>0</v>
      </c>
    </row>
    <row r="43" spans="1:13" s="9" customFormat="1" outlineLevel="1">
      <c r="A43" s="19">
        <v>39630</v>
      </c>
      <c r="B43" s="78">
        <f t="array" aca="1" ref="B43" ca="1">SUM((IF(MONTH(ArgentaGemeenschRekData!$A$2:$A$2000)=MONTH(ArgentaGemeenschRekSamenv!$A43),1,0))*(IF(YEAR(ArgentaGemeenschRekData!$A$2:$A$2000)=YEAR(ArgentaGemeenschRekSamenv!$A43),1,0))*IF(ArgentaGemeenschRekData!$D$2:$D$2000&lt;0,1,0)*IF(ArgentaGemeenschRekData!$K$2:$K$2000=Categorieën!$C$1,0,1)*IF(ArgentaGemeenschRekData!$K$2:$K$2000=Categorieën!$B$1,0,1)*ArgentaGemeenschRekData!$D$2:$D$2000)</f>
        <v>0</v>
      </c>
      <c r="C43" s="78">
        <f t="shared" si="7"/>
        <v>0</v>
      </c>
      <c r="D43" s="78">
        <f t="array" aca="1" ref="D43" ca="1">SUM(IF(MONTH(ArgentaGemeenschRekData!$A$2:$A$2000)=MONTH(ArgentaGemeenschRekSamenv!$A43),1,0)*IF(YEAR(ArgentaGemeenschRekData!$A$2:$A$2000)=YEAR(ArgentaGemeenschRekSamenv!$A43),1,0)*IF(ArgentaGemeenschRekData!$D$2:$D$2000&lt;0,1,0)*IF(LEFT(ArgentaGemeenschRekData!$K$2:$K$2000,3)="VK-",1,0)*ArgentaGemeenschRekData!$D$2:$D$2000)</f>
        <v>0</v>
      </c>
      <c r="E43" s="78">
        <f t="array" aca="1" ref="E43" ca="1">SUM(IF(MONTH(ArgentaGemeenschRekData!$A$2:$A$2000)=MONTH(ArgentaGemeenschRekSamenv!$A43),1,0)*IF(YEAR(ArgentaGemeenschRekData!$A$2:$A$2000)=YEAR(ArgentaGemeenschRekSamenv!$A43),1,0)*IF(ArgentaGemeenschRekData!$D$2:$D$2000&lt;0,1,0)*IF(ArgentaGemeenschRekData!$K$2:$K$2000=Categorieën!$D$1,1,0)*ArgentaGemeenschRekData!$D$2:$D$2000)*-1</f>
        <v>0</v>
      </c>
      <c r="F43" s="78">
        <f ca="1">SUM(IF(MONTH(ArgentaGemeenschRekData!$A$2:$A$2000)=MONTH($A43),1,0)*IF(YEAR(ArgentaGemeenschRekData!$A$2:$A$2000)=YEAR($A43),1,0)*IF(ArgentaGemeenschRekData!$K$2:$K$2000=F$1,1,0)*ArgentaGemeenschRekData!$D$2:$D$2000)</f>
        <v>0</v>
      </c>
      <c r="G43" s="78">
        <f ca="1">SUM(IF(MONTH(ArgentaGemeenschRekData!$A$2:$A$2000)=MONTH($A43),1,0)*IF(YEAR(ArgentaGemeenschRekData!$A$2:$A$2000)=YEAR($A43),1,0)*IF(ArgentaGemeenschRekData!$K$2:$K$2000=G$1,1,0)*ArgentaGemeenschRekData!$D$2:$D$2000)</f>
        <v>0</v>
      </c>
      <c r="H43" s="78">
        <f ca="1">SUM(IF(MONTH(ArgentaGemeenschRekData!$A$2:$A$2000)=MONTH($A43),1,0)*IF(YEAR(ArgentaGemeenschRekData!$A$2:$A$2000)=YEAR($A43),1,0)*IF(ArgentaGemeenschRekData!$K$2:$K$2000=H$1,1,0)*ArgentaGemeenschRekData!$D$2:$D$2000)</f>
        <v>0</v>
      </c>
      <c r="I43" s="77">
        <f t="shared" si="8"/>
        <v>0</v>
      </c>
      <c r="J43" s="83">
        <f t="array" aca="1" ref="J43" ca="1">SUM((IF(MONTH(ArgentaGemeenschRekData!$A$2:$A$2000)=MONTH(ArgentaGemeenschRekSamenv!$A43),1,0))*(IF(YEAR(ArgentaGemeenschRekData!$A$2:$A$2000)=YEAR(ArgentaGemeenschRekSamenv!$A43),1,0))*(IF(ArgentaGemeenschRekData!$D$2:$D$2000&gt;0,1,0))*ArgentaGemeenschRekData!$D$2:$D$2000)</f>
        <v>0</v>
      </c>
      <c r="K43" s="78">
        <f t="array" aca="1" ref="K43" ca="1">SUM(IF(MONTH(ArgentaGemeenschRekData!$A$2:$A$2000)=MONTH(ArgentaGemeenschRekSamenv!$A43),1,0)*IF(YEAR(ArgentaGemeenschRekData!$A$2:$A$2000)=YEAR(ArgentaGemeenschRekSamenv!$A43),1,0)*IF(ArgentaGemeenschRekData!$D$2:$D$2000&gt;0,1,0)*IF(ArgentaGemeenschRekData!$K$2:$K$2000=K$2,1,0)*ArgentaGemeenschRekData!$D$2:$D$2000)</f>
        <v>0</v>
      </c>
      <c r="L43" s="78">
        <f t="array" aca="1" ref="L43" ca="1">SUM(IF(MONTH(ArgentaGemeenschRekData!$A$2:$A$2000)=MONTH(ArgentaGemeenschRekSamenv!$A43),1,0)*IF(YEAR(ArgentaGemeenschRekData!$A$2:$A$2000)=YEAR(ArgentaGemeenschRekSamenv!$A43),1,0)*IF(ArgentaGemeenschRekData!$D$2:$D$2000&gt;0,1,0)*IF(ArgentaGemeenschRekData!$K$2:$K$2000=L$2,1,0)*ArgentaGemeenschRekData!$D$2:$D$2000)</f>
        <v>0</v>
      </c>
      <c r="M43" s="77">
        <f t="shared" si="9"/>
        <v>0</v>
      </c>
    </row>
    <row r="44" spans="1:13" s="9" customFormat="1" outlineLevel="1">
      <c r="A44" s="19">
        <v>39661</v>
      </c>
      <c r="B44" s="78">
        <f t="array" aca="1" ref="B44" ca="1">SUM((IF(MONTH(ArgentaGemeenschRekData!$A$2:$A$2000)=MONTH(ArgentaGemeenschRekSamenv!$A44),1,0))*(IF(YEAR(ArgentaGemeenschRekData!$A$2:$A$2000)=YEAR(ArgentaGemeenschRekSamenv!$A44),1,0))*IF(ArgentaGemeenschRekData!$D$2:$D$2000&lt;0,1,0)*IF(ArgentaGemeenschRekData!$K$2:$K$2000=Categorieën!$C$1,0,1)*IF(ArgentaGemeenschRekData!$K$2:$K$2000=Categorieën!$B$1,0,1)*ArgentaGemeenschRekData!$D$2:$D$2000)</f>
        <v>0</v>
      </c>
      <c r="C44" s="78">
        <f t="shared" si="7"/>
        <v>0</v>
      </c>
      <c r="D44" s="78">
        <f t="array" aca="1" ref="D44" ca="1">SUM(IF(MONTH(ArgentaGemeenschRekData!$A$2:$A$2000)=MONTH(ArgentaGemeenschRekSamenv!$A44),1,0)*IF(YEAR(ArgentaGemeenschRekData!$A$2:$A$2000)=YEAR(ArgentaGemeenschRekSamenv!$A44),1,0)*IF(ArgentaGemeenschRekData!$D$2:$D$2000&lt;0,1,0)*IF(LEFT(ArgentaGemeenschRekData!$K$2:$K$2000,3)="VK-",1,0)*ArgentaGemeenschRekData!$D$2:$D$2000)</f>
        <v>0</v>
      </c>
      <c r="E44" s="78">
        <f t="array" aca="1" ref="E44" ca="1">SUM(IF(MONTH(ArgentaGemeenschRekData!$A$2:$A$2000)=MONTH(ArgentaGemeenschRekSamenv!$A44),1,0)*IF(YEAR(ArgentaGemeenschRekData!$A$2:$A$2000)=YEAR(ArgentaGemeenschRekSamenv!$A44),1,0)*IF(ArgentaGemeenschRekData!$D$2:$D$2000&lt;0,1,0)*IF(ArgentaGemeenschRekData!$K$2:$K$2000=Categorieën!$D$1,1,0)*ArgentaGemeenschRekData!$D$2:$D$2000)*-1</f>
        <v>0</v>
      </c>
      <c r="F44" s="78">
        <f ca="1">SUM(IF(MONTH(ArgentaGemeenschRekData!$A$2:$A$2000)=MONTH($A44),1,0)*IF(YEAR(ArgentaGemeenschRekData!$A$2:$A$2000)=YEAR($A44),1,0)*IF(ArgentaGemeenschRekData!$K$2:$K$2000=F$1,1,0)*ArgentaGemeenschRekData!$D$2:$D$2000)</f>
        <v>0</v>
      </c>
      <c r="G44" s="78">
        <f ca="1">SUM(IF(MONTH(ArgentaGemeenschRekData!$A$2:$A$2000)=MONTH($A44),1,0)*IF(YEAR(ArgentaGemeenschRekData!$A$2:$A$2000)=YEAR($A44),1,0)*IF(ArgentaGemeenschRekData!$K$2:$K$2000=G$1,1,0)*ArgentaGemeenschRekData!$D$2:$D$2000)</f>
        <v>0</v>
      </c>
      <c r="H44" s="78">
        <f ca="1">SUM(IF(MONTH(ArgentaGemeenschRekData!$A$2:$A$2000)=MONTH($A44),1,0)*IF(YEAR(ArgentaGemeenschRekData!$A$2:$A$2000)=YEAR($A44),1,0)*IF(ArgentaGemeenschRekData!$K$2:$K$2000=H$1,1,0)*ArgentaGemeenschRekData!$D$2:$D$2000)</f>
        <v>0</v>
      </c>
      <c r="I44" s="77">
        <f t="shared" si="8"/>
        <v>0</v>
      </c>
      <c r="J44" s="83">
        <f t="array" aca="1" ref="J44" ca="1">SUM((IF(MONTH(ArgentaGemeenschRekData!$A$2:$A$2000)=MONTH(ArgentaGemeenschRekSamenv!$A44),1,0))*(IF(YEAR(ArgentaGemeenschRekData!$A$2:$A$2000)=YEAR(ArgentaGemeenschRekSamenv!$A44),1,0))*(IF(ArgentaGemeenschRekData!$D$2:$D$2000&gt;0,1,0))*ArgentaGemeenschRekData!$D$2:$D$2000)</f>
        <v>0</v>
      </c>
      <c r="K44" s="78">
        <f t="array" aca="1" ref="K44" ca="1">SUM(IF(MONTH(ArgentaGemeenschRekData!$A$2:$A$2000)=MONTH(ArgentaGemeenschRekSamenv!$A44),1,0)*IF(YEAR(ArgentaGemeenschRekData!$A$2:$A$2000)=YEAR(ArgentaGemeenschRekSamenv!$A44),1,0)*IF(ArgentaGemeenschRekData!$D$2:$D$2000&gt;0,1,0)*IF(ArgentaGemeenschRekData!$K$2:$K$2000=K$2,1,0)*ArgentaGemeenschRekData!$D$2:$D$2000)</f>
        <v>0</v>
      </c>
      <c r="L44" s="78">
        <f t="array" aca="1" ref="L44" ca="1">SUM(IF(MONTH(ArgentaGemeenschRekData!$A$2:$A$2000)=MONTH(ArgentaGemeenschRekSamenv!$A44),1,0)*IF(YEAR(ArgentaGemeenschRekData!$A$2:$A$2000)=YEAR(ArgentaGemeenschRekSamenv!$A44),1,0)*IF(ArgentaGemeenschRekData!$D$2:$D$2000&gt;0,1,0)*IF(ArgentaGemeenschRekData!$K$2:$K$2000=L$2,1,0)*ArgentaGemeenschRekData!$D$2:$D$2000)</f>
        <v>0</v>
      </c>
      <c r="M44" s="77">
        <f t="shared" si="9"/>
        <v>0</v>
      </c>
    </row>
    <row r="45" spans="1:13" s="9" customFormat="1" outlineLevel="1">
      <c r="A45" s="19">
        <v>39692</v>
      </c>
      <c r="B45" s="78">
        <f t="array" aca="1" ref="B45" ca="1">SUM((IF(MONTH(ArgentaGemeenschRekData!$A$2:$A$2000)=MONTH(ArgentaGemeenschRekSamenv!$A45),1,0))*(IF(YEAR(ArgentaGemeenschRekData!$A$2:$A$2000)=YEAR(ArgentaGemeenschRekSamenv!$A45),1,0))*IF(ArgentaGemeenschRekData!$D$2:$D$2000&lt;0,1,0)*IF(ArgentaGemeenschRekData!$K$2:$K$2000=Categorieën!$C$1,0,1)*IF(ArgentaGemeenschRekData!$K$2:$K$2000=Categorieën!$B$1,0,1)*ArgentaGemeenschRekData!$D$2:$D$2000)</f>
        <v>0</v>
      </c>
      <c r="C45" s="78">
        <f t="shared" si="7"/>
        <v>0</v>
      </c>
      <c r="D45" s="78">
        <f t="array" aca="1" ref="D45" ca="1">SUM(IF(MONTH(ArgentaGemeenschRekData!$A$2:$A$2000)=MONTH(ArgentaGemeenschRekSamenv!$A45),1,0)*IF(YEAR(ArgentaGemeenschRekData!$A$2:$A$2000)=YEAR(ArgentaGemeenschRekSamenv!$A45),1,0)*IF(ArgentaGemeenschRekData!$D$2:$D$2000&lt;0,1,0)*IF(LEFT(ArgentaGemeenschRekData!$K$2:$K$2000,3)="VK-",1,0)*ArgentaGemeenschRekData!$D$2:$D$2000)</f>
        <v>0</v>
      </c>
      <c r="E45" s="78">
        <f t="array" aca="1" ref="E45" ca="1">SUM(IF(MONTH(ArgentaGemeenschRekData!$A$2:$A$2000)=MONTH(ArgentaGemeenschRekSamenv!$A45),1,0)*IF(YEAR(ArgentaGemeenschRekData!$A$2:$A$2000)=YEAR(ArgentaGemeenschRekSamenv!$A45),1,0)*IF(ArgentaGemeenschRekData!$D$2:$D$2000&lt;0,1,0)*IF(ArgentaGemeenschRekData!$K$2:$K$2000=Categorieën!$D$1,1,0)*ArgentaGemeenschRekData!$D$2:$D$2000)*-1</f>
        <v>0</v>
      </c>
      <c r="F45" s="78">
        <f ca="1">SUM(IF(MONTH(ArgentaGemeenschRekData!$A$2:$A$2000)=MONTH($A45),1,0)*IF(YEAR(ArgentaGemeenschRekData!$A$2:$A$2000)=YEAR($A45),1,0)*IF(ArgentaGemeenschRekData!$K$2:$K$2000=F$1,1,0)*ArgentaGemeenschRekData!$D$2:$D$2000)</f>
        <v>0</v>
      </c>
      <c r="G45" s="78">
        <f ca="1">SUM(IF(MONTH(ArgentaGemeenschRekData!$A$2:$A$2000)=MONTH($A45),1,0)*IF(YEAR(ArgentaGemeenschRekData!$A$2:$A$2000)=YEAR($A45),1,0)*IF(ArgentaGemeenschRekData!$K$2:$K$2000=G$1,1,0)*ArgentaGemeenschRekData!$D$2:$D$2000)</f>
        <v>0</v>
      </c>
      <c r="H45" s="78">
        <f ca="1">SUM(IF(MONTH(ArgentaGemeenschRekData!$A$2:$A$2000)=MONTH($A45),1,0)*IF(YEAR(ArgentaGemeenschRekData!$A$2:$A$2000)=YEAR($A45),1,0)*IF(ArgentaGemeenschRekData!$K$2:$K$2000=H$1,1,0)*ArgentaGemeenschRekData!$D$2:$D$2000)</f>
        <v>0</v>
      </c>
      <c r="I45" s="77">
        <f t="shared" si="8"/>
        <v>0</v>
      </c>
      <c r="J45" s="83">
        <f t="array" aca="1" ref="J45" ca="1">SUM((IF(MONTH(ArgentaGemeenschRekData!$A$2:$A$2000)=MONTH(ArgentaGemeenschRekSamenv!$A45),1,0))*(IF(YEAR(ArgentaGemeenschRekData!$A$2:$A$2000)=YEAR(ArgentaGemeenschRekSamenv!$A45),1,0))*(IF(ArgentaGemeenschRekData!$D$2:$D$2000&gt;0,1,0))*ArgentaGemeenschRekData!$D$2:$D$2000)</f>
        <v>0</v>
      </c>
      <c r="K45" s="78">
        <f t="array" aca="1" ref="K45" ca="1">SUM(IF(MONTH(ArgentaGemeenschRekData!$A$2:$A$2000)=MONTH(ArgentaGemeenschRekSamenv!$A45),1,0)*IF(YEAR(ArgentaGemeenschRekData!$A$2:$A$2000)=YEAR(ArgentaGemeenschRekSamenv!$A45),1,0)*IF(ArgentaGemeenschRekData!$D$2:$D$2000&gt;0,1,0)*IF(ArgentaGemeenschRekData!$K$2:$K$2000=K$2,1,0)*ArgentaGemeenschRekData!$D$2:$D$2000)</f>
        <v>0</v>
      </c>
      <c r="L45" s="78">
        <f t="array" aca="1" ref="L45" ca="1">SUM(IF(MONTH(ArgentaGemeenschRekData!$A$2:$A$2000)=MONTH(ArgentaGemeenschRekSamenv!$A45),1,0)*IF(YEAR(ArgentaGemeenschRekData!$A$2:$A$2000)=YEAR(ArgentaGemeenschRekSamenv!$A45),1,0)*IF(ArgentaGemeenschRekData!$D$2:$D$2000&gt;0,1,0)*IF(ArgentaGemeenschRekData!$K$2:$K$2000=L$2,1,0)*ArgentaGemeenschRekData!$D$2:$D$2000)</f>
        <v>0</v>
      </c>
      <c r="M45" s="77">
        <f t="shared" si="9"/>
        <v>0</v>
      </c>
    </row>
    <row r="46" spans="1:13" s="9" customFormat="1" outlineLevel="1">
      <c r="A46" s="19">
        <v>39722</v>
      </c>
      <c r="B46" s="78">
        <f t="array" aca="1" ref="B46" ca="1">SUM((IF(MONTH(ArgentaGemeenschRekData!$A$2:$A$2000)=MONTH(ArgentaGemeenschRekSamenv!$A46),1,0))*(IF(YEAR(ArgentaGemeenschRekData!$A$2:$A$2000)=YEAR(ArgentaGemeenschRekSamenv!$A46),1,0))*IF(ArgentaGemeenschRekData!$D$2:$D$2000&lt;0,1,0)*IF(ArgentaGemeenschRekData!$K$2:$K$2000=Categorieën!$C$1,0,1)*IF(ArgentaGemeenschRekData!$K$2:$K$2000=Categorieën!$B$1,0,1)*ArgentaGemeenschRekData!$D$2:$D$2000)</f>
        <v>0</v>
      </c>
      <c r="C46" s="78">
        <f t="shared" si="7"/>
        <v>0</v>
      </c>
      <c r="D46" s="78">
        <f t="array" aca="1" ref="D46" ca="1">SUM(IF(MONTH(ArgentaGemeenschRekData!$A$2:$A$2000)=MONTH(ArgentaGemeenschRekSamenv!$A46),1,0)*IF(YEAR(ArgentaGemeenschRekData!$A$2:$A$2000)=YEAR(ArgentaGemeenschRekSamenv!$A46),1,0)*IF(ArgentaGemeenschRekData!$D$2:$D$2000&lt;0,1,0)*IF(LEFT(ArgentaGemeenschRekData!$K$2:$K$2000,3)="VK-",1,0)*ArgentaGemeenschRekData!$D$2:$D$2000)</f>
        <v>0</v>
      </c>
      <c r="E46" s="78">
        <f t="array" aca="1" ref="E46" ca="1">SUM(IF(MONTH(ArgentaGemeenschRekData!$A$2:$A$2000)=MONTH(ArgentaGemeenschRekSamenv!$A46),1,0)*IF(YEAR(ArgentaGemeenschRekData!$A$2:$A$2000)=YEAR(ArgentaGemeenschRekSamenv!$A46),1,0)*IF(ArgentaGemeenschRekData!$D$2:$D$2000&lt;0,1,0)*IF(ArgentaGemeenschRekData!$K$2:$K$2000=Categorieën!$D$1,1,0)*ArgentaGemeenschRekData!$D$2:$D$2000)*-1</f>
        <v>0</v>
      </c>
      <c r="F46" s="78">
        <f ca="1">SUM(IF(MONTH(ArgentaGemeenschRekData!$A$2:$A$2000)=MONTH($A46),1,0)*IF(YEAR(ArgentaGemeenschRekData!$A$2:$A$2000)=YEAR($A46),1,0)*IF(ArgentaGemeenschRekData!$K$2:$K$2000=F$1,1,0)*ArgentaGemeenschRekData!$D$2:$D$2000)</f>
        <v>0</v>
      </c>
      <c r="G46" s="78">
        <f ca="1">SUM(IF(MONTH(ArgentaGemeenschRekData!$A$2:$A$2000)=MONTH($A46),1,0)*IF(YEAR(ArgentaGemeenschRekData!$A$2:$A$2000)=YEAR($A46),1,0)*IF(ArgentaGemeenschRekData!$K$2:$K$2000=G$1,1,0)*ArgentaGemeenschRekData!$D$2:$D$2000)</f>
        <v>0</v>
      </c>
      <c r="H46" s="78">
        <f ca="1">SUM(IF(MONTH(ArgentaGemeenschRekData!$A$2:$A$2000)=MONTH($A46),1,0)*IF(YEAR(ArgentaGemeenschRekData!$A$2:$A$2000)=YEAR($A46),1,0)*IF(ArgentaGemeenschRekData!$K$2:$K$2000=H$1,1,0)*ArgentaGemeenschRekData!$D$2:$D$2000)</f>
        <v>0</v>
      </c>
      <c r="I46" s="77">
        <f t="shared" si="8"/>
        <v>0</v>
      </c>
      <c r="J46" s="83">
        <f t="array" aca="1" ref="J46" ca="1">SUM((IF(MONTH(ArgentaGemeenschRekData!$A$2:$A$2000)=MONTH(ArgentaGemeenschRekSamenv!$A46),1,0))*(IF(YEAR(ArgentaGemeenschRekData!$A$2:$A$2000)=YEAR(ArgentaGemeenschRekSamenv!$A46),1,0))*(IF(ArgentaGemeenschRekData!$D$2:$D$2000&gt;0,1,0))*ArgentaGemeenschRekData!$D$2:$D$2000)</f>
        <v>0</v>
      </c>
      <c r="K46" s="78">
        <f t="array" aca="1" ref="K46" ca="1">SUM(IF(MONTH(ArgentaGemeenschRekData!$A$2:$A$2000)=MONTH(ArgentaGemeenschRekSamenv!$A46),1,0)*IF(YEAR(ArgentaGemeenschRekData!$A$2:$A$2000)=YEAR(ArgentaGemeenschRekSamenv!$A46),1,0)*IF(ArgentaGemeenschRekData!$D$2:$D$2000&gt;0,1,0)*IF(ArgentaGemeenschRekData!$K$2:$K$2000=K$2,1,0)*ArgentaGemeenschRekData!$D$2:$D$2000)</f>
        <v>0</v>
      </c>
      <c r="L46" s="78">
        <f t="array" aca="1" ref="L46" ca="1">SUM(IF(MONTH(ArgentaGemeenschRekData!$A$2:$A$2000)=MONTH(ArgentaGemeenschRekSamenv!$A46),1,0)*IF(YEAR(ArgentaGemeenschRekData!$A$2:$A$2000)=YEAR(ArgentaGemeenschRekSamenv!$A46),1,0)*IF(ArgentaGemeenschRekData!$D$2:$D$2000&gt;0,1,0)*IF(ArgentaGemeenschRekData!$K$2:$K$2000=L$2,1,0)*ArgentaGemeenschRekData!$D$2:$D$2000)</f>
        <v>0</v>
      </c>
      <c r="M46" s="77">
        <f t="shared" si="9"/>
        <v>0</v>
      </c>
    </row>
    <row r="47" spans="1:13" s="9" customFormat="1" outlineLevel="1">
      <c r="A47" s="19">
        <v>39753</v>
      </c>
      <c r="B47" s="78">
        <f t="array" aca="1" ref="B47" ca="1">SUM((IF(MONTH(ArgentaGemeenschRekData!$A$2:$A$2000)=MONTH(ArgentaGemeenschRekSamenv!$A47),1,0))*(IF(YEAR(ArgentaGemeenschRekData!$A$2:$A$2000)=YEAR(ArgentaGemeenschRekSamenv!$A47),1,0))*IF(ArgentaGemeenschRekData!$D$2:$D$2000&lt;0,1,0)*IF(ArgentaGemeenschRekData!$K$2:$K$2000=Categorieën!$C$1,0,1)*IF(ArgentaGemeenschRekData!$K$2:$K$2000=Categorieën!$B$1,0,1)*ArgentaGemeenschRekData!$D$2:$D$2000)</f>
        <v>0</v>
      </c>
      <c r="C47" s="78">
        <f t="shared" si="7"/>
        <v>0</v>
      </c>
      <c r="D47" s="78">
        <f t="array" aca="1" ref="D47" ca="1">SUM(IF(MONTH(ArgentaGemeenschRekData!$A$2:$A$2000)=MONTH(ArgentaGemeenschRekSamenv!$A47),1,0)*IF(YEAR(ArgentaGemeenschRekData!$A$2:$A$2000)=YEAR(ArgentaGemeenschRekSamenv!$A47),1,0)*IF(ArgentaGemeenschRekData!$D$2:$D$2000&lt;0,1,0)*IF(LEFT(ArgentaGemeenschRekData!$K$2:$K$2000,3)="VK-",1,0)*ArgentaGemeenschRekData!$D$2:$D$2000)</f>
        <v>0</v>
      </c>
      <c r="E47" s="78">
        <f t="array" aca="1" ref="E47" ca="1">SUM(IF(MONTH(ArgentaGemeenschRekData!$A$2:$A$2000)=MONTH(ArgentaGemeenschRekSamenv!$A47),1,0)*IF(YEAR(ArgentaGemeenschRekData!$A$2:$A$2000)=YEAR(ArgentaGemeenschRekSamenv!$A47),1,0)*IF(ArgentaGemeenschRekData!$D$2:$D$2000&lt;0,1,0)*IF(ArgentaGemeenschRekData!$K$2:$K$2000=Categorieën!$D$1,1,0)*ArgentaGemeenschRekData!$D$2:$D$2000)*-1</f>
        <v>0</v>
      </c>
      <c r="F47" s="78">
        <f ca="1">SUM(IF(MONTH(ArgentaGemeenschRekData!$A$2:$A$2000)=MONTH($A47),1,0)*IF(YEAR(ArgentaGemeenschRekData!$A$2:$A$2000)=YEAR($A47),1,0)*IF(ArgentaGemeenschRekData!$K$2:$K$2000=F$1,1,0)*ArgentaGemeenschRekData!$D$2:$D$2000)</f>
        <v>0</v>
      </c>
      <c r="G47" s="78">
        <f ca="1">SUM(IF(MONTH(ArgentaGemeenschRekData!$A$2:$A$2000)=MONTH($A47),1,0)*IF(YEAR(ArgentaGemeenschRekData!$A$2:$A$2000)=YEAR($A47),1,0)*IF(ArgentaGemeenschRekData!$K$2:$K$2000=G$1,1,0)*ArgentaGemeenschRekData!$D$2:$D$2000)</f>
        <v>0</v>
      </c>
      <c r="H47" s="78">
        <f ca="1">SUM(IF(MONTH(ArgentaGemeenschRekData!$A$2:$A$2000)=MONTH($A47),1,0)*IF(YEAR(ArgentaGemeenschRekData!$A$2:$A$2000)=YEAR($A47),1,0)*IF(ArgentaGemeenschRekData!$K$2:$K$2000=H$1,1,0)*ArgentaGemeenschRekData!$D$2:$D$2000)</f>
        <v>0</v>
      </c>
      <c r="I47" s="77">
        <f t="shared" si="8"/>
        <v>0</v>
      </c>
      <c r="J47" s="83">
        <f t="array" aca="1" ref="J47" ca="1">SUM((IF(MONTH(ArgentaGemeenschRekData!$A$2:$A$2000)=MONTH(ArgentaGemeenschRekSamenv!$A47),1,0))*(IF(YEAR(ArgentaGemeenschRekData!$A$2:$A$2000)=YEAR(ArgentaGemeenschRekSamenv!$A47),1,0))*(IF(ArgentaGemeenschRekData!$D$2:$D$2000&gt;0,1,0))*ArgentaGemeenschRekData!$D$2:$D$2000)</f>
        <v>0</v>
      </c>
      <c r="K47" s="78">
        <f t="array" aca="1" ref="K47" ca="1">SUM(IF(MONTH(ArgentaGemeenschRekData!$A$2:$A$2000)=MONTH(ArgentaGemeenschRekSamenv!$A47),1,0)*IF(YEAR(ArgentaGemeenschRekData!$A$2:$A$2000)=YEAR(ArgentaGemeenschRekSamenv!$A47),1,0)*IF(ArgentaGemeenschRekData!$D$2:$D$2000&gt;0,1,0)*IF(ArgentaGemeenschRekData!$K$2:$K$2000=K$2,1,0)*ArgentaGemeenschRekData!$D$2:$D$2000)</f>
        <v>0</v>
      </c>
      <c r="L47" s="78">
        <f t="array" aca="1" ref="L47" ca="1">SUM(IF(MONTH(ArgentaGemeenschRekData!$A$2:$A$2000)=MONTH(ArgentaGemeenschRekSamenv!$A47),1,0)*IF(YEAR(ArgentaGemeenschRekData!$A$2:$A$2000)=YEAR(ArgentaGemeenschRekSamenv!$A47),1,0)*IF(ArgentaGemeenschRekData!$D$2:$D$2000&gt;0,1,0)*IF(ArgentaGemeenschRekData!$K$2:$K$2000=L$2,1,0)*ArgentaGemeenschRekData!$D$2:$D$2000)</f>
        <v>0</v>
      </c>
      <c r="M47" s="77">
        <f t="shared" si="9"/>
        <v>0</v>
      </c>
    </row>
    <row r="48" spans="1:13" s="9" customFormat="1">
      <c r="A48" s="19">
        <v>39783</v>
      </c>
      <c r="B48" s="78">
        <f t="array" aca="1" ref="B48" ca="1">SUM((IF(MONTH(ArgentaGemeenschRekData!$A$2:$A$2000)=MONTH(ArgentaGemeenschRekSamenv!$A48),1,0))*(IF(YEAR(ArgentaGemeenschRekData!$A$2:$A$2000)=YEAR(ArgentaGemeenschRekSamenv!$A48),1,0))*IF(ArgentaGemeenschRekData!$D$2:$D$2000&lt;0,1,0)*IF(ArgentaGemeenschRekData!$K$2:$K$2000=Categorieën!$C$1,0,1)*IF(ArgentaGemeenschRekData!$K$2:$K$2000=Categorieën!$B$1,0,1)*ArgentaGemeenschRekData!$D$2:$D$2000)</f>
        <v>0</v>
      </c>
      <c r="C48" s="78">
        <f t="shared" si="7"/>
        <v>0</v>
      </c>
      <c r="D48" s="78">
        <f t="array" aca="1" ref="D48" ca="1">SUM(IF(MONTH(ArgentaGemeenschRekData!$A$2:$A$2000)=MONTH(ArgentaGemeenschRekSamenv!$A48),1,0)*IF(YEAR(ArgentaGemeenschRekData!$A$2:$A$2000)=YEAR(ArgentaGemeenschRekSamenv!$A48),1,0)*IF(ArgentaGemeenschRekData!$D$2:$D$2000&lt;0,1,0)*IF(LEFT(ArgentaGemeenschRekData!$K$2:$K$2000,3)="VK-",1,0)*ArgentaGemeenschRekData!$D$2:$D$2000)</f>
        <v>0</v>
      </c>
      <c r="E48" s="78">
        <f t="array" aca="1" ref="E48" ca="1">SUM(IF(MONTH(ArgentaGemeenschRekData!$A$2:$A$2000)=MONTH(ArgentaGemeenschRekSamenv!$A48),1,0)*IF(YEAR(ArgentaGemeenschRekData!$A$2:$A$2000)=YEAR(ArgentaGemeenschRekSamenv!$A48),1,0)*IF(ArgentaGemeenschRekData!$D$2:$D$2000&lt;0,1,0)*IF(ArgentaGemeenschRekData!$K$2:$K$2000=Categorieën!$D$1,1,0)*ArgentaGemeenschRekData!$D$2:$D$2000)*-1</f>
        <v>0</v>
      </c>
      <c r="F48" s="78">
        <f ca="1">SUM(IF(MONTH(ArgentaGemeenschRekData!$A$2:$A$2000)=MONTH($A48),1,0)*IF(YEAR(ArgentaGemeenschRekData!$A$2:$A$2000)=YEAR($A48),1,0)*IF(ArgentaGemeenschRekData!$K$2:$K$2000=F$1,1,0)*ArgentaGemeenschRekData!$D$2:$D$2000)</f>
        <v>0</v>
      </c>
      <c r="G48" s="78">
        <f ca="1">SUM(IF(MONTH(ArgentaGemeenschRekData!$A$2:$A$2000)=MONTH($A48),1,0)*IF(YEAR(ArgentaGemeenschRekData!$A$2:$A$2000)=YEAR($A48),1,0)*IF(ArgentaGemeenschRekData!$K$2:$K$2000=G$1,1,0)*ArgentaGemeenschRekData!$D$2:$D$2000)</f>
        <v>0</v>
      </c>
      <c r="H48" s="78">
        <f ca="1">SUM(IF(MONTH(ArgentaGemeenschRekData!$A$2:$A$2000)=MONTH($A48),1,0)*IF(YEAR(ArgentaGemeenschRekData!$A$2:$A$2000)=YEAR($A48),1,0)*IF(ArgentaGemeenschRekData!$K$2:$K$2000=H$1,1,0)*ArgentaGemeenschRekData!$D$2:$D$2000)</f>
        <v>0</v>
      </c>
      <c r="I48" s="77">
        <f t="shared" si="8"/>
        <v>0</v>
      </c>
      <c r="J48" s="83">
        <f t="array" aca="1" ref="J48" ca="1">SUM((IF(MONTH(ArgentaGemeenschRekData!$A$2:$A$2000)=MONTH(ArgentaGemeenschRekSamenv!$A48),1,0))*(IF(YEAR(ArgentaGemeenschRekData!$A$2:$A$2000)=YEAR(ArgentaGemeenschRekSamenv!$A48),1,0))*(IF(ArgentaGemeenschRekData!$D$2:$D$2000&gt;0,1,0))*ArgentaGemeenschRekData!$D$2:$D$2000)</f>
        <v>0</v>
      </c>
      <c r="K48" s="78">
        <f t="array" aca="1" ref="K48" ca="1">SUM(IF(MONTH(ArgentaGemeenschRekData!$A$2:$A$2000)=MONTH(ArgentaGemeenschRekSamenv!$A48),1,0)*IF(YEAR(ArgentaGemeenschRekData!$A$2:$A$2000)=YEAR(ArgentaGemeenschRekSamenv!$A48),1,0)*IF(ArgentaGemeenschRekData!$D$2:$D$2000&gt;0,1,0)*IF(ArgentaGemeenschRekData!$K$2:$K$2000=K$2,1,0)*ArgentaGemeenschRekData!$D$2:$D$2000)</f>
        <v>0</v>
      </c>
      <c r="L48" s="78">
        <f t="array" aca="1" ref="L48" ca="1">SUM(IF(MONTH(ArgentaGemeenschRekData!$A$2:$A$2000)=MONTH(ArgentaGemeenschRekSamenv!$A48),1,0)*IF(YEAR(ArgentaGemeenschRekData!$A$2:$A$2000)=YEAR(ArgentaGemeenschRekSamenv!$A48),1,0)*IF(ArgentaGemeenschRekData!$D$2:$D$2000&gt;0,1,0)*IF(ArgentaGemeenschRekData!$K$2:$K$2000=L$2,1,0)*ArgentaGemeenschRekData!$D$2:$D$2000)</f>
        <v>0</v>
      </c>
      <c r="M48" s="77">
        <f t="shared" si="9"/>
        <v>0</v>
      </c>
    </row>
    <row r="49" spans="1:13" s="9" customFormat="1">
      <c r="A49" s="19">
        <v>39814</v>
      </c>
      <c r="B49" s="78">
        <f t="array" aca="1" ref="B49" ca="1">SUM((IF(MONTH(ArgentaGemeenschRekData!$A$2:$A$2000)=MONTH(ArgentaGemeenschRekSamenv!$A49),1,0))*(IF(YEAR(ArgentaGemeenschRekData!$A$2:$A$2000)=YEAR(ArgentaGemeenschRekSamenv!$A49),1,0))*IF(ArgentaGemeenschRekData!$D$2:$D$2000&lt;0,1,0)*IF(ArgentaGemeenschRekData!$K$2:$K$2000=Categorieën!$C$1,0,1)*IF(ArgentaGemeenschRekData!$K$2:$K$2000=Categorieën!$B$1,0,1)*ArgentaGemeenschRekData!$D$2:$D$2000)</f>
        <v>0</v>
      </c>
      <c r="C49" s="78">
        <f t="shared" si="7"/>
        <v>0</v>
      </c>
      <c r="D49" s="78">
        <f t="array" aca="1" ref="D49" ca="1">SUM(IF(MONTH(ArgentaGemeenschRekData!$A$2:$A$2000)=MONTH(ArgentaGemeenschRekSamenv!$A49),1,0)*IF(YEAR(ArgentaGemeenschRekData!$A$2:$A$2000)=YEAR(ArgentaGemeenschRekSamenv!$A49),1,0)*IF(ArgentaGemeenschRekData!$D$2:$D$2000&lt;0,1,0)*IF(LEFT(ArgentaGemeenschRekData!$K$2:$K$2000,3)="VK-",1,0)*ArgentaGemeenschRekData!$D$2:$D$2000)</f>
        <v>0</v>
      </c>
      <c r="E49" s="78">
        <f t="array" aca="1" ref="E49" ca="1">SUM(IF(MONTH(ArgentaGemeenschRekData!$A$2:$A$2000)=MONTH(ArgentaGemeenschRekSamenv!$A49),1,0)*IF(YEAR(ArgentaGemeenschRekData!$A$2:$A$2000)=YEAR(ArgentaGemeenschRekSamenv!$A49),1,0)*IF(ArgentaGemeenschRekData!$D$2:$D$2000&lt;0,1,0)*IF(ArgentaGemeenschRekData!$K$2:$K$2000=Categorieën!$D$1,1,0)*ArgentaGemeenschRekData!$D$2:$D$2000)*-1</f>
        <v>0</v>
      </c>
      <c r="F49" s="78">
        <f ca="1">SUM(IF(MONTH(ArgentaGemeenschRekData!$A$2:$A$2000)=MONTH($A49),1,0)*IF(YEAR(ArgentaGemeenschRekData!$A$2:$A$2000)=YEAR($A49),1,0)*IF(ArgentaGemeenschRekData!$K$2:$K$2000=F$1,1,0)*ArgentaGemeenschRekData!$D$2:$D$2000)</f>
        <v>0</v>
      </c>
      <c r="G49" s="78">
        <f ca="1">SUM(IF(MONTH(ArgentaGemeenschRekData!$A$2:$A$2000)=MONTH($A49),1,0)*IF(YEAR(ArgentaGemeenschRekData!$A$2:$A$2000)=YEAR($A49),1,0)*IF(ArgentaGemeenschRekData!$K$2:$K$2000=G$1,1,0)*ArgentaGemeenschRekData!$D$2:$D$2000)</f>
        <v>0</v>
      </c>
      <c r="H49" s="78">
        <f ca="1">SUM(IF(MONTH(ArgentaGemeenschRekData!$A$2:$A$2000)=MONTH($A49),1,0)*IF(YEAR(ArgentaGemeenschRekData!$A$2:$A$2000)=YEAR($A49),1,0)*IF(ArgentaGemeenschRekData!$K$2:$K$2000=H$1,1,0)*ArgentaGemeenschRekData!$D$2:$D$2000)</f>
        <v>0</v>
      </c>
      <c r="I49" s="77">
        <f t="shared" si="8"/>
        <v>0</v>
      </c>
      <c r="J49" s="83">
        <f t="array" aca="1" ref="J49" ca="1">SUM((IF(MONTH(ArgentaGemeenschRekData!$A$2:$A$2000)=MONTH(ArgentaGemeenschRekSamenv!$A49),1,0))*(IF(YEAR(ArgentaGemeenschRekData!$A$2:$A$2000)=YEAR(ArgentaGemeenschRekSamenv!$A49),1,0))*(IF(ArgentaGemeenschRekData!$D$2:$D$2000&gt;0,1,0))*ArgentaGemeenschRekData!$D$2:$D$2000)</f>
        <v>0</v>
      </c>
      <c r="K49" s="78">
        <f t="array" aca="1" ref="K49" ca="1">SUM(IF(MONTH(ArgentaGemeenschRekData!$A$2:$A$2000)=MONTH(ArgentaGemeenschRekSamenv!$A49),1,0)*IF(YEAR(ArgentaGemeenschRekData!$A$2:$A$2000)=YEAR(ArgentaGemeenschRekSamenv!$A49),1,0)*IF(ArgentaGemeenschRekData!$D$2:$D$2000&gt;0,1,0)*IF(ArgentaGemeenschRekData!$K$2:$K$2000=K$2,1,0)*ArgentaGemeenschRekData!$D$2:$D$2000)</f>
        <v>0</v>
      </c>
      <c r="L49" s="78">
        <f t="array" aca="1" ref="L49" ca="1">SUM(IF(MONTH(ArgentaGemeenschRekData!$A$2:$A$2000)=MONTH(ArgentaGemeenschRekSamenv!$A49),1,0)*IF(YEAR(ArgentaGemeenschRekData!$A$2:$A$2000)=YEAR(ArgentaGemeenschRekSamenv!$A49),1,0)*IF(ArgentaGemeenschRekData!$D$2:$D$2000&gt;0,1,0)*IF(ArgentaGemeenschRekData!$K$2:$K$2000=L$2,1,0)*ArgentaGemeenschRekData!$D$2:$D$2000)</f>
        <v>0</v>
      </c>
      <c r="M49" s="77">
        <f t="shared" si="9"/>
        <v>0</v>
      </c>
    </row>
    <row r="50" spans="1:13" s="9" customFormat="1">
      <c r="A50" s="19">
        <v>39845</v>
      </c>
      <c r="B50" s="78">
        <f t="array" aca="1" ref="B50" ca="1">SUM((IF(MONTH(ArgentaGemeenschRekData!$A$2:$A$2000)=MONTH(ArgentaGemeenschRekSamenv!$A50),1,0))*(IF(YEAR(ArgentaGemeenschRekData!$A$2:$A$2000)=YEAR(ArgentaGemeenschRekSamenv!$A50),1,0))*IF(ArgentaGemeenschRekData!$D$2:$D$2000&lt;0,1,0)*IF(ArgentaGemeenschRekData!$K$2:$K$2000=Categorieën!$C$1,0,1)*IF(ArgentaGemeenschRekData!$K$2:$K$2000=Categorieën!$B$1,0,1)*ArgentaGemeenschRekData!$D$2:$D$2000)</f>
        <v>0</v>
      </c>
      <c r="C50" s="78">
        <f t="shared" si="7"/>
        <v>0</v>
      </c>
      <c r="D50" s="78">
        <f t="array" aca="1" ref="D50" ca="1">SUM(IF(MONTH(ArgentaGemeenschRekData!$A$2:$A$2000)=MONTH(ArgentaGemeenschRekSamenv!$A50),1,0)*IF(YEAR(ArgentaGemeenschRekData!$A$2:$A$2000)=YEAR(ArgentaGemeenschRekSamenv!$A50),1,0)*IF(ArgentaGemeenschRekData!$D$2:$D$2000&lt;0,1,0)*IF(LEFT(ArgentaGemeenschRekData!$K$2:$K$2000,3)="VK-",1,0)*ArgentaGemeenschRekData!$D$2:$D$2000)</f>
        <v>0</v>
      </c>
      <c r="E50" s="78">
        <f t="array" aca="1" ref="E50" ca="1">SUM(IF(MONTH(ArgentaGemeenschRekData!$A$2:$A$2000)=MONTH(ArgentaGemeenschRekSamenv!$A50),1,0)*IF(YEAR(ArgentaGemeenschRekData!$A$2:$A$2000)=YEAR(ArgentaGemeenschRekSamenv!$A50),1,0)*IF(ArgentaGemeenschRekData!$D$2:$D$2000&lt;0,1,0)*IF(ArgentaGemeenschRekData!$K$2:$K$2000=Categorieën!$D$1,1,0)*ArgentaGemeenschRekData!$D$2:$D$2000)*-1</f>
        <v>0</v>
      </c>
      <c r="F50" s="78">
        <f ca="1">SUM(IF(MONTH(ArgentaGemeenschRekData!$A$2:$A$2000)=MONTH($A50),1,0)*IF(YEAR(ArgentaGemeenschRekData!$A$2:$A$2000)=YEAR($A50),1,0)*IF(ArgentaGemeenschRekData!$K$2:$K$2000=F$1,1,0)*ArgentaGemeenschRekData!$D$2:$D$2000)</f>
        <v>0</v>
      </c>
      <c r="G50" s="78">
        <f ca="1">SUM(IF(MONTH(ArgentaGemeenschRekData!$A$2:$A$2000)=MONTH($A50),1,0)*IF(YEAR(ArgentaGemeenschRekData!$A$2:$A$2000)=YEAR($A50),1,0)*IF(ArgentaGemeenschRekData!$K$2:$K$2000=G$1,1,0)*ArgentaGemeenschRekData!$D$2:$D$2000)</f>
        <v>0</v>
      </c>
      <c r="H50" s="78">
        <f ca="1">SUM(IF(MONTH(ArgentaGemeenschRekData!$A$2:$A$2000)=MONTH($A50),1,0)*IF(YEAR(ArgentaGemeenschRekData!$A$2:$A$2000)=YEAR($A50),1,0)*IF(ArgentaGemeenschRekData!$K$2:$K$2000=H$1,1,0)*ArgentaGemeenschRekData!$D$2:$D$2000)</f>
        <v>0</v>
      </c>
      <c r="I50" s="77">
        <f t="shared" si="8"/>
        <v>0</v>
      </c>
      <c r="J50" s="83">
        <f t="array" aca="1" ref="J50" ca="1">SUM((IF(MONTH(ArgentaGemeenschRekData!$A$2:$A$2000)=MONTH(ArgentaGemeenschRekSamenv!$A50),1,0))*(IF(YEAR(ArgentaGemeenschRekData!$A$2:$A$2000)=YEAR(ArgentaGemeenschRekSamenv!$A50),1,0))*(IF(ArgentaGemeenschRekData!$D$2:$D$2000&gt;0,1,0))*ArgentaGemeenschRekData!$D$2:$D$2000)</f>
        <v>0</v>
      </c>
      <c r="K50" s="78">
        <f t="array" aca="1" ref="K50" ca="1">SUM(IF(MONTH(ArgentaGemeenschRekData!$A$2:$A$2000)=MONTH(ArgentaGemeenschRekSamenv!$A50),1,0)*IF(YEAR(ArgentaGemeenschRekData!$A$2:$A$2000)=YEAR(ArgentaGemeenschRekSamenv!$A50),1,0)*IF(ArgentaGemeenschRekData!$D$2:$D$2000&gt;0,1,0)*IF(ArgentaGemeenschRekData!$K$2:$K$2000=K$2,1,0)*ArgentaGemeenschRekData!$D$2:$D$2000)</f>
        <v>0</v>
      </c>
      <c r="L50" s="78">
        <f t="array" aca="1" ref="L50" ca="1">SUM(IF(MONTH(ArgentaGemeenschRekData!$A$2:$A$2000)=MONTH(ArgentaGemeenschRekSamenv!$A50),1,0)*IF(YEAR(ArgentaGemeenschRekData!$A$2:$A$2000)=YEAR(ArgentaGemeenschRekSamenv!$A50),1,0)*IF(ArgentaGemeenschRekData!$D$2:$D$2000&gt;0,1,0)*IF(ArgentaGemeenschRekData!$K$2:$K$2000=L$2,1,0)*ArgentaGemeenschRekData!$D$2:$D$2000)</f>
        <v>0</v>
      </c>
      <c r="M50" s="77">
        <f t="shared" si="9"/>
        <v>0</v>
      </c>
    </row>
    <row r="51" spans="1:13" s="9" customFormat="1">
      <c r="A51" s="19">
        <v>39873</v>
      </c>
      <c r="B51" s="78">
        <f t="array" aca="1" ref="B51" ca="1">SUM((IF(MONTH(ArgentaGemeenschRekData!$A$2:$A$2000)=MONTH(ArgentaGemeenschRekSamenv!$A51),1,0))*(IF(YEAR(ArgentaGemeenschRekData!$A$2:$A$2000)=YEAR(ArgentaGemeenschRekSamenv!$A51),1,0))*IF(ArgentaGemeenschRekData!$D$2:$D$2000&lt;0,1,0)*IF(ArgentaGemeenschRekData!$K$2:$K$2000=Categorieën!$C$1,0,1)*IF(ArgentaGemeenschRekData!$K$2:$K$2000=Categorieën!$B$1,0,1)*ArgentaGemeenschRekData!$D$2:$D$2000)</f>
        <v>0</v>
      </c>
      <c r="C51" s="78">
        <f t="shared" si="7"/>
        <v>0</v>
      </c>
      <c r="D51" s="78">
        <f t="array" aca="1" ref="D51" ca="1">SUM(IF(MONTH(ArgentaGemeenschRekData!$A$2:$A$2000)=MONTH(ArgentaGemeenschRekSamenv!$A51),1,0)*IF(YEAR(ArgentaGemeenschRekData!$A$2:$A$2000)=YEAR(ArgentaGemeenschRekSamenv!$A51),1,0)*IF(ArgentaGemeenschRekData!$D$2:$D$2000&lt;0,1,0)*IF(LEFT(ArgentaGemeenschRekData!$K$2:$K$2000,3)="VK-",1,0)*ArgentaGemeenschRekData!$D$2:$D$2000)</f>
        <v>0</v>
      </c>
      <c r="E51" s="78">
        <f t="array" aca="1" ref="E51" ca="1">SUM(IF(MONTH(ArgentaGemeenschRekData!$A$2:$A$2000)=MONTH(ArgentaGemeenschRekSamenv!$A51),1,0)*IF(YEAR(ArgentaGemeenschRekData!$A$2:$A$2000)=YEAR(ArgentaGemeenschRekSamenv!$A51),1,0)*IF(ArgentaGemeenschRekData!$D$2:$D$2000&lt;0,1,0)*IF(ArgentaGemeenschRekData!$K$2:$K$2000=Categorieën!$D$1,1,0)*ArgentaGemeenschRekData!$D$2:$D$2000)*-1</f>
        <v>0</v>
      </c>
      <c r="F51" s="78">
        <f ca="1">SUM(IF(MONTH(ArgentaGemeenschRekData!$A$2:$A$2000)=MONTH($A51),1,0)*IF(YEAR(ArgentaGemeenschRekData!$A$2:$A$2000)=YEAR($A51),1,0)*IF(ArgentaGemeenschRekData!$K$2:$K$2000=F$1,1,0)*ArgentaGemeenschRekData!$D$2:$D$2000)</f>
        <v>0</v>
      </c>
      <c r="G51" s="78">
        <f ca="1">SUM(IF(MONTH(ArgentaGemeenschRekData!$A$2:$A$2000)=MONTH($A51),1,0)*IF(YEAR(ArgentaGemeenschRekData!$A$2:$A$2000)=YEAR($A51),1,0)*IF(ArgentaGemeenschRekData!$K$2:$K$2000=G$1,1,0)*ArgentaGemeenschRekData!$D$2:$D$2000)</f>
        <v>0</v>
      </c>
      <c r="H51" s="78">
        <f ca="1">SUM(IF(MONTH(ArgentaGemeenschRekData!$A$2:$A$2000)=MONTH($A51),1,0)*IF(YEAR(ArgentaGemeenschRekData!$A$2:$A$2000)=YEAR($A51),1,0)*IF(ArgentaGemeenschRekData!$K$2:$K$2000=H$1,1,0)*ArgentaGemeenschRekData!$D$2:$D$2000)</f>
        <v>0</v>
      </c>
      <c r="I51" s="77">
        <f t="shared" si="8"/>
        <v>0</v>
      </c>
      <c r="J51" s="83">
        <f t="array" aca="1" ref="J51" ca="1">SUM((IF(MONTH(ArgentaGemeenschRekData!$A$2:$A$2000)=MONTH(ArgentaGemeenschRekSamenv!$A51),1,0))*(IF(YEAR(ArgentaGemeenschRekData!$A$2:$A$2000)=YEAR(ArgentaGemeenschRekSamenv!$A51),1,0))*(IF(ArgentaGemeenschRekData!$D$2:$D$2000&gt;0,1,0))*ArgentaGemeenschRekData!$D$2:$D$2000)</f>
        <v>0</v>
      </c>
      <c r="K51" s="78">
        <f t="array" aca="1" ref="K51" ca="1">SUM(IF(MONTH(ArgentaGemeenschRekData!$A$2:$A$2000)=MONTH(ArgentaGemeenschRekSamenv!$A51),1,0)*IF(YEAR(ArgentaGemeenschRekData!$A$2:$A$2000)=YEAR(ArgentaGemeenschRekSamenv!$A51),1,0)*IF(ArgentaGemeenschRekData!$D$2:$D$2000&gt;0,1,0)*IF(ArgentaGemeenschRekData!$K$2:$K$2000=K$2,1,0)*ArgentaGemeenschRekData!$D$2:$D$2000)</f>
        <v>0</v>
      </c>
      <c r="L51" s="78">
        <f t="array" aca="1" ref="L51" ca="1">SUM(IF(MONTH(ArgentaGemeenschRekData!$A$2:$A$2000)=MONTH(ArgentaGemeenschRekSamenv!$A51),1,0)*IF(YEAR(ArgentaGemeenschRekData!$A$2:$A$2000)=YEAR(ArgentaGemeenschRekSamenv!$A51),1,0)*IF(ArgentaGemeenschRekData!$D$2:$D$2000&gt;0,1,0)*IF(ArgentaGemeenschRekData!$K$2:$K$2000=L$2,1,0)*ArgentaGemeenschRekData!$D$2:$D$2000)</f>
        <v>0</v>
      </c>
      <c r="M51" s="77">
        <f t="shared" si="9"/>
        <v>0</v>
      </c>
    </row>
    <row r="52" spans="1:13" s="9" customFormat="1">
      <c r="A52" s="19">
        <v>39904</v>
      </c>
      <c r="B52" s="78">
        <f t="array" aca="1" ref="B52" ca="1">SUM((IF(MONTH(ArgentaGemeenschRekData!$A$2:$A$2000)=MONTH(ArgentaGemeenschRekSamenv!$A52),1,0))*(IF(YEAR(ArgentaGemeenschRekData!$A$2:$A$2000)=YEAR(ArgentaGemeenschRekSamenv!$A52),1,0))*IF(ArgentaGemeenschRekData!$D$2:$D$2000&lt;0,1,0)*IF(ArgentaGemeenschRekData!$K$2:$K$2000=Categorieën!$C$1,0,1)*IF(ArgentaGemeenschRekData!$K$2:$K$2000=Categorieën!$B$1,0,1)*ArgentaGemeenschRekData!$D$2:$D$2000)</f>
        <v>0</v>
      </c>
      <c r="C52" s="78">
        <f t="shared" si="7"/>
        <v>0</v>
      </c>
      <c r="D52" s="78">
        <f t="array" aca="1" ref="D52" ca="1">SUM(IF(MONTH(ArgentaGemeenschRekData!$A$2:$A$2000)=MONTH(ArgentaGemeenschRekSamenv!$A52),1,0)*IF(YEAR(ArgentaGemeenschRekData!$A$2:$A$2000)=YEAR(ArgentaGemeenschRekSamenv!$A52),1,0)*IF(ArgentaGemeenschRekData!$D$2:$D$2000&lt;0,1,0)*IF(LEFT(ArgentaGemeenschRekData!$K$2:$K$2000,3)="VK-",1,0)*ArgentaGemeenschRekData!$D$2:$D$2000)</f>
        <v>0</v>
      </c>
      <c r="E52" s="78">
        <f t="array" aca="1" ref="E52" ca="1">SUM(IF(MONTH(ArgentaGemeenschRekData!$A$2:$A$2000)=MONTH(ArgentaGemeenschRekSamenv!$A52),1,0)*IF(YEAR(ArgentaGemeenschRekData!$A$2:$A$2000)=YEAR(ArgentaGemeenschRekSamenv!$A52),1,0)*IF(ArgentaGemeenschRekData!$D$2:$D$2000&lt;0,1,0)*IF(ArgentaGemeenschRekData!$K$2:$K$2000=Categorieën!$D$1,1,0)*ArgentaGemeenschRekData!$D$2:$D$2000)*-1</f>
        <v>0</v>
      </c>
      <c r="F52" s="78">
        <f ca="1">SUM(IF(MONTH(ArgentaGemeenschRekData!$A$2:$A$2000)=MONTH($A52),1,0)*IF(YEAR(ArgentaGemeenschRekData!$A$2:$A$2000)=YEAR($A52),1,0)*IF(ArgentaGemeenschRekData!$K$2:$K$2000=F$1,1,0)*ArgentaGemeenschRekData!$D$2:$D$2000)</f>
        <v>0</v>
      </c>
      <c r="G52" s="78">
        <f ca="1">SUM(IF(MONTH(ArgentaGemeenschRekData!$A$2:$A$2000)=MONTH($A52),1,0)*IF(YEAR(ArgentaGemeenschRekData!$A$2:$A$2000)=YEAR($A52),1,0)*IF(ArgentaGemeenschRekData!$K$2:$K$2000=G$1,1,0)*ArgentaGemeenschRekData!$D$2:$D$2000)</f>
        <v>0</v>
      </c>
      <c r="H52" s="78">
        <f ca="1">SUM(IF(MONTH(ArgentaGemeenschRekData!$A$2:$A$2000)=MONTH($A52),1,0)*IF(YEAR(ArgentaGemeenschRekData!$A$2:$A$2000)=YEAR($A52),1,0)*IF(ArgentaGemeenschRekData!$K$2:$K$2000=H$1,1,0)*ArgentaGemeenschRekData!$D$2:$D$2000)</f>
        <v>0</v>
      </c>
      <c r="I52" s="77">
        <f t="shared" si="8"/>
        <v>0</v>
      </c>
      <c r="J52" s="83">
        <f t="array" aca="1" ref="J52" ca="1">SUM((IF(MONTH(ArgentaGemeenschRekData!$A$2:$A$2000)=MONTH(ArgentaGemeenschRekSamenv!$A52),1,0))*(IF(YEAR(ArgentaGemeenschRekData!$A$2:$A$2000)=YEAR(ArgentaGemeenschRekSamenv!$A52),1,0))*(IF(ArgentaGemeenschRekData!$D$2:$D$2000&gt;0,1,0))*ArgentaGemeenschRekData!$D$2:$D$2000)</f>
        <v>0</v>
      </c>
      <c r="K52" s="78">
        <f t="array" aca="1" ref="K52" ca="1">SUM(IF(MONTH(ArgentaGemeenschRekData!$A$2:$A$2000)=MONTH(ArgentaGemeenschRekSamenv!$A52),1,0)*IF(YEAR(ArgentaGemeenschRekData!$A$2:$A$2000)=YEAR(ArgentaGemeenschRekSamenv!$A52),1,0)*IF(ArgentaGemeenschRekData!$D$2:$D$2000&gt;0,1,0)*IF(ArgentaGemeenschRekData!$K$2:$K$2000=K$2,1,0)*ArgentaGemeenschRekData!$D$2:$D$2000)</f>
        <v>0</v>
      </c>
      <c r="L52" s="78">
        <f t="array" aca="1" ref="L52" ca="1">SUM(IF(MONTH(ArgentaGemeenschRekData!$A$2:$A$2000)=MONTH(ArgentaGemeenschRekSamenv!$A52),1,0)*IF(YEAR(ArgentaGemeenschRekData!$A$2:$A$2000)=YEAR(ArgentaGemeenschRekSamenv!$A52),1,0)*IF(ArgentaGemeenschRekData!$D$2:$D$2000&gt;0,1,0)*IF(ArgentaGemeenschRekData!$K$2:$K$2000=L$2,1,0)*ArgentaGemeenschRekData!$D$2:$D$2000)</f>
        <v>0</v>
      </c>
      <c r="M52" s="77">
        <f t="shared" si="9"/>
        <v>0</v>
      </c>
    </row>
    <row r="53" spans="1:13" s="9" customFormat="1">
      <c r="A53" s="19">
        <v>39934</v>
      </c>
      <c r="B53" s="78">
        <f t="array" aca="1" ref="B53" ca="1">SUM((IF(MONTH(ArgentaGemeenschRekData!$A$2:$A$2000)=MONTH(ArgentaGemeenschRekSamenv!$A53),1,0))*(IF(YEAR(ArgentaGemeenschRekData!$A$2:$A$2000)=YEAR(ArgentaGemeenschRekSamenv!$A53),1,0))*IF(ArgentaGemeenschRekData!$D$2:$D$2000&lt;0,1,0)*IF(ArgentaGemeenschRekData!$K$2:$K$2000=Categorieën!$C$1,0,1)*IF(ArgentaGemeenschRekData!$K$2:$K$2000=Categorieën!$B$1,0,1)*ArgentaGemeenschRekData!$D$2:$D$2000)</f>
        <v>0</v>
      </c>
      <c r="C53" s="78">
        <f>$B53-$D53</f>
        <v>0</v>
      </c>
      <c r="D53" s="78">
        <f t="array" aca="1" ref="D53" ca="1">SUM(IF(MONTH(ArgentaGemeenschRekData!$A$2:$A$2000)=MONTH(ArgentaGemeenschRekSamenv!$A53),1,0)*IF(YEAR(ArgentaGemeenschRekData!$A$2:$A$2000)=YEAR(ArgentaGemeenschRekSamenv!$A53),1,0)*IF(ArgentaGemeenschRekData!$D$2:$D$2000&lt;0,1,0)*IF(LEFT(ArgentaGemeenschRekData!$K$2:$K$2000,3)="VK-",1,0)*ArgentaGemeenschRekData!$D$2:$D$2000)</f>
        <v>0</v>
      </c>
      <c r="E53" s="78">
        <f t="array" aca="1" ref="E53" ca="1">SUM(IF(MONTH(ArgentaGemeenschRekData!$A$2:$A$2000)=MONTH(ArgentaGemeenschRekSamenv!$A53),1,0)*IF(YEAR(ArgentaGemeenschRekData!$A$2:$A$2000)=YEAR(ArgentaGemeenschRekSamenv!$A53),1,0)*IF(ArgentaGemeenschRekData!$D$2:$D$2000&lt;0,1,0)*IF(ArgentaGemeenschRekData!$K$2:$K$2000=Categorieën!$D$1,1,0)*ArgentaGemeenschRekData!$D$2:$D$2000)*-1</f>
        <v>0</v>
      </c>
      <c r="F53" s="78">
        <f ca="1">SUM(IF(MONTH(ArgentaGemeenschRekData!$A$2:$A$2000)=MONTH($A53),1,0)*IF(YEAR(ArgentaGemeenschRekData!$A$2:$A$2000)=YEAR($A53),1,0)*IF(ArgentaGemeenschRekData!$K$2:$K$2000=F$1,1,0)*ArgentaGemeenschRekData!$D$2:$D$2000)</f>
        <v>0</v>
      </c>
      <c r="G53" s="78">
        <f ca="1">SUM(IF(MONTH(ArgentaGemeenschRekData!$A$2:$A$2000)=MONTH($A53),1,0)*IF(YEAR(ArgentaGemeenschRekData!$A$2:$A$2000)=YEAR($A53),1,0)*IF(ArgentaGemeenschRekData!$K$2:$K$2000=G$1,1,0)*ArgentaGemeenschRekData!$D$2:$D$2000)</f>
        <v>0</v>
      </c>
      <c r="H53" s="78">
        <f ca="1">SUM(IF(MONTH(ArgentaGemeenschRekData!$A$2:$A$2000)=MONTH($A53),1,0)*IF(YEAR(ArgentaGemeenschRekData!$A$2:$A$2000)=YEAR($A53),1,0)*IF(ArgentaGemeenschRekData!$K$2:$K$2000=H$1,1,0)*ArgentaGemeenschRekData!$D$2:$D$2000)</f>
        <v>0</v>
      </c>
      <c r="I53" s="77">
        <f>$B53-$D53+$E53</f>
        <v>0</v>
      </c>
      <c r="J53" s="83">
        <f t="array" aca="1" ref="J53" ca="1">SUM((IF(MONTH(ArgentaGemeenschRekData!$A$2:$A$2000)=MONTH(ArgentaGemeenschRekSamenv!$A53),1,0))*(IF(YEAR(ArgentaGemeenschRekData!$A$2:$A$2000)=YEAR(ArgentaGemeenschRekSamenv!$A53),1,0))*(IF(ArgentaGemeenschRekData!$D$2:$D$2000&gt;0,1,0))*ArgentaGemeenschRekData!$D$2:$D$2000)</f>
        <v>0</v>
      </c>
      <c r="K53" s="78">
        <f t="array" aca="1" ref="K53" ca="1">SUM(IF(MONTH(ArgentaGemeenschRekData!$A$2:$A$2000)=MONTH(ArgentaGemeenschRekSamenv!$A53),1,0)*IF(YEAR(ArgentaGemeenschRekData!$A$2:$A$2000)=YEAR(ArgentaGemeenschRekSamenv!$A53),1,0)*IF(ArgentaGemeenschRekData!$D$2:$D$2000&gt;0,1,0)*IF(ArgentaGemeenschRekData!$K$2:$K$2000=K$2,1,0)*ArgentaGemeenschRekData!$D$2:$D$2000)</f>
        <v>0</v>
      </c>
      <c r="L53" s="78">
        <f t="array" aca="1" ref="L53" ca="1">SUM(IF(MONTH(ArgentaGemeenschRekData!$A$2:$A$2000)=MONTH(ArgentaGemeenschRekSamenv!$A53),1,0)*IF(YEAR(ArgentaGemeenschRekData!$A$2:$A$2000)=YEAR(ArgentaGemeenschRekSamenv!$A53),1,0)*IF(ArgentaGemeenschRekData!$D$2:$D$2000&gt;0,1,0)*IF(ArgentaGemeenschRekData!$K$2:$K$2000=L$2,1,0)*ArgentaGemeenschRekData!$D$2:$D$2000)</f>
        <v>0</v>
      </c>
      <c r="M53" s="77">
        <f t="shared" si="9"/>
        <v>0</v>
      </c>
    </row>
    <row r="54" spans="1:13" s="9" customFormat="1">
      <c r="A54" s="19">
        <v>39965</v>
      </c>
      <c r="B54" s="78">
        <f t="array" aca="1" ref="B54" ca="1">SUM((IF(MONTH(ArgentaGemeenschRekData!$A$2:$A$2000)=MONTH(ArgentaGemeenschRekSamenv!$A54),1,0))*(IF(YEAR(ArgentaGemeenschRekData!$A$2:$A$2000)=YEAR(ArgentaGemeenschRekSamenv!$A54),1,0))*IF(ArgentaGemeenschRekData!$D$2:$D$2000&lt;0,1,0)*IF(ArgentaGemeenschRekData!$K$2:$K$2000=Categorieën!$C$1,0,1)*IF(ArgentaGemeenschRekData!$K$2:$K$2000=Categorieën!$B$1,0,1)*ArgentaGemeenschRekData!$D$2:$D$2000)</f>
        <v>0</v>
      </c>
      <c r="C54" s="78">
        <f>$B54-$D54</f>
        <v>0</v>
      </c>
      <c r="D54" s="78">
        <f t="array" aca="1" ref="D54" ca="1">SUM(IF(MONTH(ArgentaGemeenschRekData!$A$2:$A$2000)=MONTH(ArgentaGemeenschRekSamenv!$A54),1,0)*IF(YEAR(ArgentaGemeenschRekData!$A$2:$A$2000)=YEAR(ArgentaGemeenschRekSamenv!$A54),1,0)*IF(ArgentaGemeenschRekData!$D$2:$D$2000&lt;0,1,0)*IF(LEFT(ArgentaGemeenschRekData!$K$2:$K$2000,3)="VK-",1,0)*ArgentaGemeenschRekData!$D$2:$D$2000)</f>
        <v>0</v>
      </c>
      <c r="E54" s="78">
        <f t="array" aca="1" ref="E54" ca="1">SUM(IF(MONTH(ArgentaGemeenschRekData!$A$2:$A$2000)=MONTH(ArgentaGemeenschRekSamenv!$A54),1,0)*IF(YEAR(ArgentaGemeenschRekData!$A$2:$A$2000)=YEAR(ArgentaGemeenschRekSamenv!$A54),1,0)*IF(ArgentaGemeenschRekData!$D$2:$D$2000&lt;0,1,0)*IF(ArgentaGemeenschRekData!$K$2:$K$2000=Categorieën!$D$1,1,0)*ArgentaGemeenschRekData!$D$2:$D$2000)*-1</f>
        <v>0</v>
      </c>
      <c r="F54" s="78">
        <f ca="1">SUM(IF(MONTH(ArgentaGemeenschRekData!$A$2:$A$2000)=MONTH($A54),1,0)*IF(YEAR(ArgentaGemeenschRekData!$A$2:$A$2000)=YEAR($A54),1,0)*IF(ArgentaGemeenschRekData!$K$2:$K$2000=F$1,1,0)*ArgentaGemeenschRekData!$D$2:$D$2000)</f>
        <v>0</v>
      </c>
      <c r="G54" s="78">
        <f ca="1">SUM(IF(MONTH(ArgentaGemeenschRekData!$A$2:$A$2000)=MONTH($A54),1,0)*IF(YEAR(ArgentaGemeenschRekData!$A$2:$A$2000)=YEAR($A54),1,0)*IF(ArgentaGemeenschRekData!$K$2:$K$2000=G$1,1,0)*ArgentaGemeenschRekData!$D$2:$D$2000)</f>
        <v>0</v>
      </c>
      <c r="H54" s="78">
        <f ca="1">SUM(IF(MONTH(ArgentaGemeenschRekData!$A$2:$A$2000)=MONTH($A54),1,0)*IF(YEAR(ArgentaGemeenschRekData!$A$2:$A$2000)=YEAR($A54),1,0)*IF(ArgentaGemeenschRekData!$K$2:$K$2000=H$1,1,0)*ArgentaGemeenschRekData!$D$2:$D$2000)</f>
        <v>0</v>
      </c>
      <c r="I54" s="77">
        <f>$B54-$D54+$E54</f>
        <v>0</v>
      </c>
      <c r="J54" s="83">
        <f t="array" aca="1" ref="J54" ca="1">SUM((IF(MONTH(ArgentaGemeenschRekData!$A$2:$A$2000)=MONTH(ArgentaGemeenschRekSamenv!$A54),1,0))*(IF(YEAR(ArgentaGemeenschRekData!$A$2:$A$2000)=YEAR(ArgentaGemeenschRekSamenv!$A54),1,0))*(IF(ArgentaGemeenschRekData!$D$2:$D$2000&gt;0,1,0))*ArgentaGemeenschRekData!$D$2:$D$2000)</f>
        <v>0</v>
      </c>
      <c r="K54" s="78">
        <f t="array" aca="1" ref="K54" ca="1">SUM(IF(MONTH(ArgentaGemeenschRekData!$A$2:$A$2000)=MONTH(ArgentaGemeenschRekSamenv!$A54),1,0)*IF(YEAR(ArgentaGemeenschRekData!$A$2:$A$2000)=YEAR(ArgentaGemeenschRekSamenv!$A54),1,0)*IF(ArgentaGemeenschRekData!$D$2:$D$2000&gt;0,1,0)*IF(ArgentaGemeenschRekData!$K$2:$K$2000=K$2,1,0)*ArgentaGemeenschRekData!$D$2:$D$2000)</f>
        <v>0</v>
      </c>
      <c r="L54" s="78">
        <f t="array" aca="1" ref="L54" ca="1">SUM(IF(MONTH(ArgentaGemeenschRekData!$A$2:$A$2000)=MONTH(ArgentaGemeenschRekSamenv!$A54),1,0)*IF(YEAR(ArgentaGemeenschRekData!$A$2:$A$2000)=YEAR(ArgentaGemeenschRekSamenv!$A54),1,0)*IF(ArgentaGemeenschRekData!$D$2:$D$2000&gt;0,1,0)*IF(ArgentaGemeenschRekData!$K$2:$K$2000=L$2,1,0)*ArgentaGemeenschRekData!$D$2:$D$2000)</f>
        <v>0</v>
      </c>
      <c r="M54" s="77">
        <f>J54-(K54+L54)</f>
        <v>0</v>
      </c>
    </row>
  </sheetData>
  <mergeCells count="11">
    <mergeCell ref="M1:M2"/>
    <mergeCell ref="G1:G2"/>
    <mergeCell ref="H1:H2"/>
    <mergeCell ref="I1:I2"/>
    <mergeCell ref="J1:L1"/>
    <mergeCell ref="E1:E2"/>
    <mergeCell ref="A1:A2"/>
    <mergeCell ref="B1:B2"/>
    <mergeCell ref="C1:C2"/>
    <mergeCell ref="D1:D2"/>
    <mergeCell ref="F1:F2"/>
  </mergeCells>
  <phoneticPr fontId="8" type="noConversion"/>
  <conditionalFormatting sqref="B1:M1048576">
    <cfRule type="cellIs" dxfId="16" priority="12" operator="lessThan">
      <formula>0</formula>
    </cfRule>
  </conditionalFormatting>
  <conditionalFormatting sqref="M1:M1048576 F55:F65536 F1:F15 I1:J1048576 K55:K65536 K1:K15 A1:C1048576 E1:E1048576 D1:D15 D55:D65536">
    <cfRule type="expression" dxfId="15" priority="21">
      <formula>IFERROR(IF(YEAR($A1)=YEAR($A2),0,1),0)</formula>
    </cfRule>
  </conditionalFormatting>
  <dataValidations count="2">
    <dataValidation type="list" allowBlank="1" showInputMessage="1" showErrorMessage="1" sqref="A1:A2">
      <formula1>"2006,2007,2008,2009"</formula1>
    </dataValidation>
    <dataValidation type="list" allowBlank="1" showInputMessage="1" showErrorMessage="1" sqref="F1:H2 K2:L2">
      <formula1>ManualTypes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>
    <tabColor theme="1"/>
  </sheetPr>
  <dimension ref="A1:L300"/>
  <sheetViews>
    <sheetView zoomScale="85" zoomScaleNormal="85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B2" sqref="B2"/>
    </sheetView>
  </sheetViews>
  <sheetFormatPr defaultRowHeight="15"/>
  <cols>
    <col min="1" max="1" width="11.85546875" customWidth="1"/>
    <col min="2" max="2" width="18.5703125" bestFit="1" customWidth="1"/>
    <col min="3" max="3" width="28" customWidth="1"/>
    <col min="4" max="4" width="11.140625" customWidth="1"/>
    <col min="5" max="5" width="4.42578125" customWidth="1"/>
    <col min="6" max="6" width="10.5703125" customWidth="1"/>
    <col min="7" max="7" width="14.5703125" customWidth="1"/>
    <col min="8" max="8" width="19" customWidth="1"/>
    <col min="9" max="9" width="49.85546875" customWidth="1"/>
    <col min="10" max="10" width="18.42578125" customWidth="1"/>
    <col min="11" max="11" width="15.85546875" style="17" customWidth="1"/>
    <col min="12" max="12" width="14.5703125" customWidth="1"/>
  </cols>
  <sheetData>
    <row r="1" spans="1:12" s="3" customFormat="1">
      <c r="A1" s="3" t="s">
        <v>20</v>
      </c>
      <c r="B1" s="3" t="s">
        <v>16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14</v>
      </c>
      <c r="J1" s="3" t="s">
        <v>15</v>
      </c>
      <c r="K1" s="94" t="s">
        <v>32</v>
      </c>
      <c r="L1" s="34" t="s">
        <v>33</v>
      </c>
    </row>
    <row r="2" spans="1:12">
      <c r="A2" s="1"/>
      <c r="D2" s="7"/>
      <c r="F2" s="1"/>
      <c r="K2" s="17" t="str">
        <f ca="1">IF(L2="",SearchHLookup(G2&amp;H2&amp;I2&amp;J2,Categorieën!$D$1:$P$31),L2)</f>
        <v/>
      </c>
    </row>
    <row r="3" spans="1:12">
      <c r="A3" s="1"/>
      <c r="F3" s="1"/>
      <c r="K3" s="17" t="str">
        <f ca="1">IF(L3="",SearchHLookup(G3&amp;H3&amp;I3&amp;J3,Categorieën!$D$1:$P$31),L3)</f>
        <v/>
      </c>
      <c r="L3" s="98"/>
    </row>
    <row r="4" spans="1:12">
      <c r="A4" s="1"/>
      <c r="D4" s="7"/>
      <c r="F4" s="1"/>
      <c r="K4" s="17" t="str">
        <f ca="1">IF(L4="",SearchHLookup(G4&amp;H4&amp;I4&amp;J4,Categorieën!$D$1:$P$31),L4)</f>
        <v/>
      </c>
    </row>
    <row r="5" spans="1:12">
      <c r="A5" s="1"/>
      <c r="D5" s="7"/>
      <c r="F5" s="1"/>
      <c r="K5" s="17" t="str">
        <f ca="1">IF(L5="",SearchHLookup(G5&amp;H5&amp;I5&amp;J5,Categorieën!$D$1:$P$31),L5)</f>
        <v/>
      </c>
    </row>
    <row r="6" spans="1:12">
      <c r="A6" s="1"/>
      <c r="D6" s="7"/>
      <c r="F6" s="1"/>
      <c r="K6" s="17" t="str">
        <f ca="1">IF(L6="",SearchHLookup(G6&amp;H6&amp;I6&amp;J6,Categorieën!$D$1:$P$31),L6)</f>
        <v/>
      </c>
    </row>
    <row r="7" spans="1:12">
      <c r="A7" s="1"/>
      <c r="D7" s="7"/>
      <c r="F7" s="1"/>
      <c r="K7" s="17" t="str">
        <f ca="1">IF(L7="",SearchHLookup(G7&amp;H7&amp;I7&amp;J7,Categorieën!$D$1:$P$31),L7)</f>
        <v/>
      </c>
    </row>
    <row r="8" spans="1:12">
      <c r="A8" s="1"/>
      <c r="F8" s="1"/>
      <c r="K8" s="17" t="str">
        <f ca="1">IF(L8="",SearchHLookup(G8&amp;H8&amp;I8&amp;J8,Categorieën!$D$1:$P$31),L8)</f>
        <v/>
      </c>
    </row>
    <row r="9" spans="1:12">
      <c r="A9" s="1"/>
      <c r="D9" s="7"/>
      <c r="F9" s="1"/>
      <c r="K9" s="17" t="str">
        <f ca="1">IF(L9="",SearchHLookup(G9&amp;H9&amp;I9&amp;J9,Categorieën!$D$1:$P$31),L9)</f>
        <v/>
      </c>
    </row>
    <row r="10" spans="1:12">
      <c r="A10" s="1"/>
      <c r="F10" s="1"/>
      <c r="K10" s="17" t="str">
        <f ca="1">IF(L10="",SearchHLookup(G10&amp;H10&amp;I10&amp;J10,Categorieën!$D$1:$P$31),L10)</f>
        <v/>
      </c>
    </row>
    <row r="11" spans="1:12">
      <c r="A11" s="1"/>
      <c r="F11" s="1"/>
      <c r="K11" s="17" t="str">
        <f ca="1">IF(L11="",SearchHLookup(G11&amp;H11&amp;I11&amp;J11,Categorieën!$D$1:$P$31),L11)</f>
        <v/>
      </c>
    </row>
    <row r="12" spans="1:12">
      <c r="A12" s="1"/>
      <c r="D12" s="7"/>
      <c r="F12" s="1"/>
      <c r="K12" s="17" t="str">
        <f ca="1">IF(L12="",SearchHLookup(G12&amp;H12&amp;I12&amp;J12,Categorieën!$D$1:$P$31),L12)</f>
        <v/>
      </c>
    </row>
    <row r="13" spans="1:12">
      <c r="A13" s="1"/>
      <c r="F13" s="1"/>
      <c r="K13" s="17" t="str">
        <f ca="1">IF(L13="",SearchHLookup(G13&amp;H13&amp;I13&amp;J13,Categorieën!$D$1:$P$31),L13)</f>
        <v/>
      </c>
    </row>
    <row r="14" spans="1:12">
      <c r="A14" s="1"/>
      <c r="F14" s="1"/>
      <c r="K14" s="17" t="str">
        <f ca="1">IF(L14="",SearchHLookup(G14&amp;H14&amp;I14&amp;J14,Categorieën!$D$1:$P$31),L14)</f>
        <v/>
      </c>
    </row>
    <row r="15" spans="1:12">
      <c r="A15" s="1"/>
      <c r="F15" s="1"/>
      <c r="K15" s="17" t="str">
        <f ca="1">IF(L15="",SearchHLookup(G15&amp;H15&amp;I15&amp;J15,Categorieën!$D$1:$P$31),L15)</f>
        <v/>
      </c>
    </row>
    <row r="16" spans="1:12">
      <c r="A16" s="1"/>
      <c r="D16" s="7"/>
      <c r="F16" s="1"/>
      <c r="K16" s="17" t="str">
        <f ca="1">IF(L16="",SearchHLookup(G16&amp;H16&amp;I16&amp;J16,Categorieën!$D$1:$P$31),L16)</f>
        <v/>
      </c>
    </row>
    <row r="17" spans="1:11">
      <c r="A17" s="1"/>
      <c r="F17" s="1"/>
      <c r="K17" s="17" t="str">
        <f ca="1">IF(L17="",SearchHLookup(G17&amp;H17&amp;I17&amp;J17,Categorieën!$D$1:$P$31),L17)</f>
        <v/>
      </c>
    </row>
    <row r="18" spans="1:11">
      <c r="A18" s="1"/>
      <c r="F18" s="1"/>
      <c r="K18" s="17" t="str">
        <f ca="1">IF(L18="",SearchHLookup(G18&amp;H18&amp;I18&amp;J18,Categorieën!$D$1:$P$31),L18)</f>
        <v/>
      </c>
    </row>
    <row r="19" spans="1:11">
      <c r="A19" s="1"/>
      <c r="F19" s="1"/>
      <c r="K19" s="17" t="str">
        <f ca="1">IF(L19="",SearchHLookup(G19&amp;H19&amp;I19&amp;J19,Categorieën!$D$1:$P$31),L19)</f>
        <v/>
      </c>
    </row>
    <row r="20" spans="1:11">
      <c r="A20" s="1"/>
      <c r="F20" s="1"/>
      <c r="K20" s="17" t="str">
        <f ca="1">IF(L20="",SearchHLookup(G20&amp;H20&amp;I20&amp;J20,Categorieën!$D$1:$P$31),L20)</f>
        <v/>
      </c>
    </row>
    <row r="21" spans="1:11">
      <c r="A21" s="1"/>
      <c r="F21" s="1"/>
      <c r="K21" s="17" t="str">
        <f ca="1">IF(L21="",SearchHLookup(G21&amp;H21&amp;I21&amp;J21,Categorieën!$D$1:$P$31),L21)</f>
        <v/>
      </c>
    </row>
    <row r="22" spans="1:11">
      <c r="A22" s="1"/>
      <c r="F22" s="1"/>
      <c r="K22" s="17" t="str">
        <f ca="1">IF(L22="",SearchHLookup(G22&amp;H22&amp;I22&amp;J22,Categorieën!$D$1:$P$31),L22)</f>
        <v/>
      </c>
    </row>
    <row r="23" spans="1:11">
      <c r="A23" s="1"/>
      <c r="D23" s="7"/>
      <c r="F23" s="1"/>
      <c r="K23" s="17" t="str">
        <f ca="1">IF(L23="",SearchHLookup(G23&amp;H23&amp;I23&amp;J23,Categorieën!$D$1:$P$31),L23)</f>
        <v/>
      </c>
    </row>
    <row r="24" spans="1:11">
      <c r="A24" s="1"/>
      <c r="F24" s="1"/>
      <c r="K24" s="17" t="str">
        <f ca="1">IF(L24="",SearchHLookup(G24&amp;H24&amp;I24&amp;J24,Categorieën!$D$1:$P$31),L24)</f>
        <v/>
      </c>
    </row>
    <row r="25" spans="1:11">
      <c r="A25" s="1"/>
      <c r="F25" s="1"/>
      <c r="K25" s="17" t="str">
        <f ca="1">IF(L25="",SearchHLookup(G25&amp;H25&amp;I25&amp;J25,Categorieën!$D$1:$P$31),L25)</f>
        <v/>
      </c>
    </row>
    <row r="26" spans="1:11">
      <c r="A26" s="1"/>
      <c r="F26" s="1"/>
      <c r="K26" s="17" t="str">
        <f ca="1">IF(L26="",SearchHLookup(G26&amp;H26&amp;I26&amp;J26,Categorieën!$D$1:$P$31),L26)</f>
        <v/>
      </c>
    </row>
    <row r="27" spans="1:11">
      <c r="A27" s="1"/>
      <c r="F27" s="1"/>
      <c r="K27" s="17" t="str">
        <f ca="1">IF(L27="",SearchHLookup(G27&amp;H27&amp;I27&amp;J27,Categorieën!$D$1:$P$31),L27)</f>
        <v/>
      </c>
    </row>
    <row r="28" spans="1:11">
      <c r="A28" s="1"/>
      <c r="D28" s="7"/>
      <c r="F28" s="1"/>
      <c r="K28" s="17" t="str">
        <f ca="1">IF(L28="",SearchHLookup(G28&amp;H28&amp;I28&amp;J28,Categorieën!$D$1:$P$31),L28)</f>
        <v/>
      </c>
    </row>
    <row r="29" spans="1:11">
      <c r="A29" s="1"/>
      <c r="F29" s="1"/>
      <c r="K29" s="17" t="str">
        <f ca="1">IF(L29="",SearchHLookup(G29&amp;H29&amp;I29&amp;J29,Categorieën!$D$1:$P$31),L29)</f>
        <v/>
      </c>
    </row>
    <row r="30" spans="1:11">
      <c r="A30" s="1"/>
      <c r="D30" s="7"/>
      <c r="F30" s="1"/>
      <c r="K30" s="17" t="str">
        <f ca="1">IF(L30="",SearchHLookup(G30&amp;H30&amp;I30&amp;J30,Categorieën!$D$1:$P$31),L30)</f>
        <v/>
      </c>
    </row>
    <row r="31" spans="1:11">
      <c r="A31" s="1"/>
      <c r="F31" s="1"/>
      <c r="K31" s="17" t="str">
        <f ca="1">IF(L31="",SearchHLookup(G31&amp;H31&amp;I31&amp;J31,Categorieën!$D$1:$P$31),L31)</f>
        <v/>
      </c>
    </row>
    <row r="32" spans="1:11">
      <c r="A32" s="1"/>
      <c r="D32" s="7"/>
      <c r="F32" s="1"/>
      <c r="K32" s="17" t="str">
        <f ca="1">IF(L32="",SearchHLookup(G32&amp;H32&amp;I32&amp;J32,Categorieën!$D$1:$P$31),L32)</f>
        <v/>
      </c>
    </row>
    <row r="33" spans="1:11">
      <c r="A33" s="1"/>
      <c r="F33" s="1"/>
      <c r="K33" s="17" t="str">
        <f ca="1">IF(L33="",SearchHLookup(G33&amp;H33&amp;I33&amp;J33,Categorieën!$D$1:$P$31),L33)</f>
        <v/>
      </c>
    </row>
    <row r="34" spans="1:11">
      <c r="A34" s="1"/>
      <c r="F34" s="1"/>
      <c r="K34" s="17" t="str">
        <f ca="1">IF(L34="",SearchHLookup(G34&amp;H34&amp;I34&amp;J34,Categorieën!$D$1:$P$31),L34)</f>
        <v/>
      </c>
    </row>
    <row r="35" spans="1:11">
      <c r="A35" s="1"/>
      <c r="D35" s="7"/>
      <c r="F35" s="1"/>
      <c r="K35" s="17" t="str">
        <f ca="1">IF(L35="",SearchHLookup(G35&amp;H35&amp;I35&amp;J35,Categorieën!$D$1:$P$31),L35)</f>
        <v/>
      </c>
    </row>
    <row r="36" spans="1:11">
      <c r="A36" s="1"/>
      <c r="F36" s="1"/>
      <c r="K36" s="17" t="str">
        <f ca="1">IF(L36="",SearchHLookup(G36&amp;H36&amp;I36&amp;J36,Categorieën!$D$1:$P$31),L36)</f>
        <v/>
      </c>
    </row>
    <row r="37" spans="1:11">
      <c r="A37" s="1"/>
      <c r="D37" s="7"/>
      <c r="F37" s="1"/>
      <c r="K37" s="17" t="str">
        <f ca="1">IF(L37="",SearchHLookup(G37&amp;H37&amp;I37&amp;J37,Categorieën!$D$1:$P$31),L37)</f>
        <v/>
      </c>
    </row>
    <row r="38" spans="1:11">
      <c r="A38" s="1"/>
      <c r="F38" s="1"/>
      <c r="K38" s="17" t="str">
        <f ca="1">IF(L38="",SearchHLookup(G38&amp;H38&amp;I38&amp;J38,Categorieën!$D$1:$P$31),L38)</f>
        <v/>
      </c>
    </row>
    <row r="39" spans="1:11">
      <c r="A39" s="1"/>
      <c r="F39" s="1"/>
      <c r="K39" s="17" t="str">
        <f ca="1">IF(L39="",SearchHLookup(G39&amp;H39&amp;I39&amp;J39,Categorieën!$D$1:$P$31),L39)</f>
        <v/>
      </c>
    </row>
    <row r="40" spans="1:11">
      <c r="A40" s="1"/>
      <c r="D40" s="7"/>
      <c r="F40" s="1"/>
      <c r="K40" s="17" t="str">
        <f ca="1">IF(L40="",SearchHLookup(G40&amp;H40&amp;I40&amp;J40,Categorieën!$D$1:$P$31),L40)</f>
        <v/>
      </c>
    </row>
    <row r="41" spans="1:11">
      <c r="A41" s="1"/>
      <c r="D41" s="7"/>
      <c r="F41" s="1"/>
      <c r="K41" s="17" t="str">
        <f ca="1">IF(L41="",SearchHLookup(G41&amp;H41&amp;I41&amp;J41,Categorieën!$D$1:$P$31),L41)</f>
        <v/>
      </c>
    </row>
    <row r="42" spans="1:11">
      <c r="A42" s="1"/>
      <c r="D42" s="7"/>
      <c r="F42" s="1"/>
      <c r="K42" s="17" t="str">
        <f ca="1">IF(L42="",SearchHLookup(G42&amp;H42&amp;I42&amp;J42,Categorieën!$D$1:$P$31),L42)</f>
        <v/>
      </c>
    </row>
    <row r="43" spans="1:11">
      <c r="A43" s="1"/>
      <c r="D43" s="7"/>
      <c r="F43" s="1"/>
      <c r="K43" s="17" t="str">
        <f ca="1">IF(L43="",SearchHLookup(G43&amp;H43&amp;I43&amp;J43,Categorieën!$D$1:$P$31),L43)</f>
        <v/>
      </c>
    </row>
    <row r="44" spans="1:11">
      <c r="A44" s="1"/>
      <c r="F44" s="1"/>
      <c r="K44" s="17" t="str">
        <f ca="1">IF(L44="",SearchHLookup(G44&amp;H44&amp;I44&amp;J44,Categorieën!$D$1:$P$31),L44)</f>
        <v/>
      </c>
    </row>
    <row r="45" spans="1:11">
      <c r="A45" s="1"/>
      <c r="F45" s="1"/>
      <c r="K45" s="17" t="str">
        <f ca="1">IF(L45="",SearchHLookup(G45&amp;H45&amp;I45&amp;J45,Categorieën!$D$1:$P$31),L45)</f>
        <v/>
      </c>
    </row>
    <row r="46" spans="1:11">
      <c r="A46" s="1"/>
      <c r="F46" s="1"/>
      <c r="K46" s="17" t="str">
        <f ca="1">IF(L46="",SearchHLookup(G46&amp;H46&amp;I46&amp;J46,Categorieën!$D$1:$P$31),L46)</f>
        <v/>
      </c>
    </row>
    <row r="47" spans="1:11">
      <c r="A47" s="1"/>
      <c r="F47" s="1"/>
      <c r="K47" s="17" t="str">
        <f ca="1">IF(L47="",SearchHLookup(G47&amp;H47&amp;I47&amp;J47,Categorieën!$D$1:$P$31),L47)</f>
        <v/>
      </c>
    </row>
    <row r="48" spans="1:11">
      <c r="A48" s="1"/>
      <c r="F48" s="1"/>
      <c r="K48" s="17" t="str">
        <f ca="1">IF(L48="",SearchHLookup(G48&amp;H48&amp;I48&amp;J48,Categorieën!$D$1:$P$31),L48)</f>
        <v/>
      </c>
    </row>
    <row r="49" spans="1:11">
      <c r="A49" s="1"/>
      <c r="D49" s="7"/>
      <c r="F49" s="1"/>
      <c r="K49" s="17" t="str">
        <f ca="1">IF(L49="",SearchHLookup(G49&amp;H49&amp;I49&amp;J49,Categorieën!$D$1:$P$31),L49)</f>
        <v/>
      </c>
    </row>
    <row r="50" spans="1:11">
      <c r="A50" s="1"/>
      <c r="D50" s="7"/>
      <c r="F50" s="1"/>
      <c r="K50" s="17" t="str">
        <f ca="1">IF(L50="",SearchHLookup(G50&amp;H50&amp;I50&amp;J50,Categorieën!$D$1:$P$31),L50)</f>
        <v/>
      </c>
    </row>
    <row r="51" spans="1:11">
      <c r="A51" s="1"/>
      <c r="F51" s="1"/>
      <c r="K51" s="17" t="str">
        <f ca="1">IF(L51="",SearchHLookup(G51&amp;H51&amp;I51&amp;J51,Categorieën!$D$1:$P$31),L51)</f>
        <v/>
      </c>
    </row>
    <row r="52" spans="1:11">
      <c r="A52" s="1"/>
      <c r="D52" s="7"/>
      <c r="F52" s="1"/>
      <c r="K52" s="17" t="str">
        <f ca="1">IF(L52="",SearchHLookup(G52&amp;H52&amp;I52&amp;J52,Categorieën!$D$1:$P$31),L52)</f>
        <v/>
      </c>
    </row>
    <row r="53" spans="1:11">
      <c r="A53" s="1"/>
      <c r="F53" s="1"/>
      <c r="K53" s="17" t="str">
        <f ca="1">IF(L53="",SearchHLookup(G53&amp;H53&amp;I53&amp;J53,Categorieën!$D$1:$P$31),L53)</f>
        <v/>
      </c>
    </row>
    <row r="54" spans="1:11">
      <c r="A54" s="1"/>
      <c r="D54" s="7"/>
      <c r="F54" s="1"/>
      <c r="K54" s="17" t="str">
        <f ca="1">IF(L54="",SearchHLookup(G54&amp;H54&amp;I54&amp;J54,Categorieën!$D$1:$P$31),L54)</f>
        <v/>
      </c>
    </row>
    <row r="55" spans="1:11">
      <c r="A55" s="1"/>
      <c r="D55" s="7"/>
      <c r="F55" s="1"/>
      <c r="K55" s="17" t="str">
        <f ca="1">IF(L55="",SearchHLookup(G55&amp;H55&amp;I55&amp;J55,Categorieën!$D$1:$P$31),L55)</f>
        <v/>
      </c>
    </row>
    <row r="56" spans="1:11">
      <c r="A56" s="1"/>
      <c r="D56" s="7"/>
      <c r="F56" s="1"/>
      <c r="K56" s="17" t="str">
        <f ca="1">IF(L56="",SearchHLookup(G56&amp;H56&amp;I56&amp;J56,Categorieën!$D$1:$P$31),L56)</f>
        <v/>
      </c>
    </row>
    <row r="57" spans="1:11">
      <c r="A57" s="1"/>
      <c r="D57" s="7"/>
      <c r="F57" s="1"/>
      <c r="K57" s="17" t="str">
        <f ca="1">IF(L57="",SearchHLookup(G57&amp;H57&amp;I57&amp;J57,Categorieën!$D$1:$P$31),L57)</f>
        <v/>
      </c>
    </row>
    <row r="58" spans="1:11">
      <c r="A58" s="1"/>
      <c r="D58" s="7"/>
      <c r="F58" s="1"/>
      <c r="K58" s="17" t="str">
        <f ca="1">IF(L58="",SearchHLookup(G58&amp;H58&amp;I58&amp;J58,Categorieën!$D$1:$P$31),L58)</f>
        <v/>
      </c>
    </row>
    <row r="59" spans="1:11">
      <c r="A59" s="1"/>
      <c r="D59" s="7"/>
      <c r="F59" s="1"/>
      <c r="K59" s="17" t="str">
        <f ca="1">IF(L59="",SearchHLookup(G59&amp;H59&amp;I59&amp;J59,Categorieën!$D$1:$P$31),L59)</f>
        <v/>
      </c>
    </row>
    <row r="60" spans="1:11">
      <c r="A60" s="1"/>
      <c r="D60" s="7"/>
      <c r="F60" s="1"/>
      <c r="K60" s="17" t="str">
        <f ca="1">IF(L60="",SearchHLookup(G60&amp;H60&amp;I60&amp;J60,Categorieën!$D$1:$P$31),L60)</f>
        <v/>
      </c>
    </row>
    <row r="61" spans="1:11">
      <c r="A61" s="1"/>
      <c r="D61" s="7"/>
      <c r="F61" s="1"/>
      <c r="K61" s="17" t="str">
        <f ca="1">IF(L61="",SearchHLookup(G61&amp;H61&amp;I61&amp;J61,Categorieën!$D$1:$P$31),L61)</f>
        <v/>
      </c>
    </row>
    <row r="62" spans="1:11">
      <c r="A62" s="1"/>
      <c r="D62" s="7"/>
      <c r="F62" s="1"/>
      <c r="K62" s="17" t="str">
        <f ca="1">IF(L62="",SearchHLookup(G62&amp;H62&amp;I62&amp;J62,Categorieën!$D$1:$P$31),L62)</f>
        <v/>
      </c>
    </row>
    <row r="63" spans="1:11">
      <c r="A63" s="1"/>
      <c r="D63" s="7"/>
      <c r="F63" s="1"/>
      <c r="K63" s="17" t="str">
        <f ca="1">IF(L63="",SearchHLookup(G63&amp;H63&amp;I63&amp;J63,Categorieën!$D$1:$P$31),L63)</f>
        <v/>
      </c>
    </row>
    <row r="64" spans="1:11">
      <c r="A64" s="1"/>
      <c r="F64" s="1"/>
      <c r="K64" s="17" t="str">
        <f ca="1">IF(L64="",SearchHLookup(G64&amp;H64&amp;I64&amp;J64,Categorieën!$D$1:$P$31),L64)</f>
        <v/>
      </c>
    </row>
    <row r="65" spans="1:11">
      <c r="A65" s="1"/>
      <c r="D65" s="7"/>
      <c r="F65" s="1"/>
      <c r="K65" s="17" t="str">
        <f ca="1">IF(L65="",SearchHLookup(G65&amp;H65&amp;I65&amp;J65,Categorieën!$D$1:$P$31),L65)</f>
        <v/>
      </c>
    </row>
    <row r="66" spans="1:11">
      <c r="A66" s="1"/>
      <c r="F66" s="1"/>
      <c r="K66" s="17" t="str">
        <f ca="1">IF(L66="",SearchHLookup(G66&amp;H66&amp;I66&amp;J66,Categorieën!$D$1:$P$31),L66)</f>
        <v/>
      </c>
    </row>
    <row r="67" spans="1:11">
      <c r="A67" s="1"/>
      <c r="F67" s="1"/>
      <c r="K67" s="17" t="str">
        <f ca="1">IF(L67="",SearchHLookup(G67&amp;H67&amp;I67&amp;J67,Categorieën!$D$1:$P$31),L67)</f>
        <v/>
      </c>
    </row>
    <row r="68" spans="1:11">
      <c r="A68" s="1"/>
      <c r="D68" s="7"/>
      <c r="F68" s="1"/>
      <c r="K68" s="17" t="str">
        <f ca="1">IF(L68="",SearchHLookup(G68&amp;H68&amp;I68&amp;J68,Categorieën!$D$1:$P$31),L68)</f>
        <v/>
      </c>
    </row>
    <row r="69" spans="1:11">
      <c r="A69" s="1"/>
      <c r="D69" s="7"/>
      <c r="F69" s="1"/>
      <c r="K69" s="17" t="str">
        <f ca="1">IF(L69="",SearchHLookup(G69&amp;H69&amp;I69&amp;J69,Categorieën!$D$1:$P$31),L69)</f>
        <v/>
      </c>
    </row>
    <row r="70" spans="1:11">
      <c r="A70" s="1"/>
      <c r="D70" s="7"/>
      <c r="F70" s="1"/>
      <c r="K70" s="17" t="str">
        <f ca="1">IF(L70="",SearchHLookup(G70&amp;H70&amp;I70&amp;J70,Categorieën!$D$1:$P$31),L70)</f>
        <v/>
      </c>
    </row>
    <row r="71" spans="1:11">
      <c r="A71" s="1"/>
      <c r="F71" s="1"/>
      <c r="K71" s="17" t="str">
        <f ca="1">IF(L71="",SearchHLookup(G71&amp;H71&amp;I71&amp;J71,Categorieën!$D$1:$P$31),L71)</f>
        <v/>
      </c>
    </row>
    <row r="72" spans="1:11">
      <c r="A72" s="1"/>
      <c r="F72" s="1"/>
      <c r="K72" s="17" t="str">
        <f ca="1">IF(L72="",SearchHLookup(G72&amp;H72&amp;I72&amp;J72,Categorieën!$D$1:$P$31),L72)</f>
        <v/>
      </c>
    </row>
    <row r="73" spans="1:11">
      <c r="A73" s="1"/>
      <c r="D73" s="7"/>
      <c r="F73" s="1"/>
      <c r="K73" s="17" t="str">
        <f ca="1">IF(L73="",SearchHLookup(G73&amp;H73&amp;I73&amp;J73,Categorieën!$D$1:$P$31),L73)</f>
        <v/>
      </c>
    </row>
    <row r="74" spans="1:11">
      <c r="A74" s="1"/>
      <c r="D74" s="7"/>
      <c r="F74" s="1"/>
      <c r="K74" s="17" t="str">
        <f ca="1">IF(L74="",SearchHLookup(G74&amp;H74&amp;I74&amp;J74,Categorieën!$D$1:$P$31),L74)</f>
        <v/>
      </c>
    </row>
    <row r="75" spans="1:11">
      <c r="A75" s="1"/>
      <c r="F75" s="1"/>
      <c r="K75" s="17" t="str">
        <f ca="1">IF(L75="",SearchHLookup(G75&amp;H75&amp;I75&amp;J75,Categorieën!$D$1:$P$31),L75)</f>
        <v/>
      </c>
    </row>
    <row r="76" spans="1:11">
      <c r="A76" s="1"/>
      <c r="F76" s="1"/>
      <c r="K76" s="17" t="str">
        <f ca="1">IF(L76="",SearchHLookup(G76&amp;H76&amp;I76&amp;J76,Categorieën!$D$1:$P$31),L76)</f>
        <v/>
      </c>
    </row>
    <row r="77" spans="1:11">
      <c r="A77" s="1"/>
      <c r="F77" s="1"/>
      <c r="K77" s="17" t="str">
        <f ca="1">IF(L77="",SearchHLookup(G77&amp;H77&amp;I77&amp;J77,Categorieën!$D$1:$P$31),L77)</f>
        <v/>
      </c>
    </row>
    <row r="78" spans="1:11">
      <c r="A78" s="1"/>
      <c r="F78" s="1"/>
      <c r="K78" s="17" t="str">
        <f ca="1">IF(L78="",SearchHLookup(G78&amp;H78&amp;I78&amp;J78,Categorieën!$D$1:$P$31),L78)</f>
        <v/>
      </c>
    </row>
    <row r="79" spans="1:11">
      <c r="A79" s="1"/>
      <c r="F79" s="1"/>
      <c r="K79" s="17" t="str">
        <f ca="1">IF(L79="",SearchHLookup(G79&amp;H79&amp;I79&amp;J79,Categorieën!$D$1:$P$31),L79)</f>
        <v/>
      </c>
    </row>
    <row r="80" spans="1:11">
      <c r="A80" s="1"/>
      <c r="D80" s="7"/>
      <c r="F80" s="1"/>
      <c r="K80" s="17" t="str">
        <f ca="1">IF(L80="",SearchHLookup(G80&amp;H80&amp;I80&amp;J80,Categorieën!$D$1:$P$31),L80)</f>
        <v/>
      </c>
    </row>
    <row r="81" spans="1:11">
      <c r="A81" s="1"/>
      <c r="D81" s="7"/>
      <c r="F81" s="1"/>
      <c r="K81" s="17" t="str">
        <f ca="1">IF(L81="",SearchHLookup(G81&amp;H81&amp;I81&amp;J81,Categorieën!$D$1:$P$31),L81)</f>
        <v/>
      </c>
    </row>
    <row r="82" spans="1:11">
      <c r="A82" s="1"/>
      <c r="F82" s="1"/>
      <c r="K82" s="17" t="str">
        <f ca="1">IF(L82="",SearchHLookup(G82&amp;H82&amp;I82&amp;J82,Categorieën!$D$1:$P$31),L82)</f>
        <v/>
      </c>
    </row>
    <row r="83" spans="1:11">
      <c r="A83" s="1"/>
      <c r="D83" s="7"/>
      <c r="F83" s="1"/>
      <c r="K83" s="17" t="str">
        <f ca="1">IF(L83="",SearchHLookup(G83&amp;H83&amp;I83&amp;J83,Categorieën!$D$1:$P$31),L83)</f>
        <v/>
      </c>
    </row>
    <row r="84" spans="1:11">
      <c r="A84" s="1"/>
      <c r="D84" s="7"/>
      <c r="F84" s="1"/>
      <c r="K84" s="17" t="str">
        <f ca="1">IF(L84="",SearchHLookup(G84&amp;H84&amp;I84&amp;J84,Categorieën!$D$1:$P$31),L84)</f>
        <v/>
      </c>
    </row>
    <row r="85" spans="1:11">
      <c r="A85" s="1"/>
      <c r="F85" s="1"/>
      <c r="K85" s="17" t="str">
        <f ca="1">IF(L85="",SearchHLookup(G85&amp;H85&amp;I85&amp;J85,Categorieën!$D$1:$P$31),L85)</f>
        <v/>
      </c>
    </row>
    <row r="86" spans="1:11">
      <c r="A86" s="1"/>
      <c r="D86" s="7"/>
      <c r="F86" s="1"/>
      <c r="K86" s="17" t="str">
        <f ca="1">IF(L86="",SearchHLookup(G86&amp;H86&amp;I86&amp;J86,Categorieën!$D$1:$P$31),L86)</f>
        <v/>
      </c>
    </row>
    <row r="87" spans="1:11">
      <c r="A87" s="1"/>
      <c r="F87" s="1"/>
      <c r="K87" s="17" t="str">
        <f ca="1">IF(L87="",SearchHLookup(G87&amp;H87&amp;I87&amp;J87,Categorieën!$D$1:$P$31),L87)</f>
        <v/>
      </c>
    </row>
    <row r="88" spans="1:11">
      <c r="A88" s="1"/>
      <c r="F88" s="1"/>
      <c r="K88" s="17" t="str">
        <f ca="1">IF(L88="",SearchHLookup(G88&amp;H88&amp;I88&amp;J88,Categorieën!$D$1:$P$31),L88)</f>
        <v/>
      </c>
    </row>
    <row r="89" spans="1:11">
      <c r="A89" s="1"/>
      <c r="D89" s="7"/>
      <c r="F89" s="1"/>
      <c r="K89" s="17" t="str">
        <f ca="1">IF(L89="",SearchHLookup(G89&amp;H89&amp;I89&amp;J89,Categorieën!$D$1:$P$31),L89)</f>
        <v/>
      </c>
    </row>
    <row r="90" spans="1:11">
      <c r="A90" s="1"/>
      <c r="D90" s="7"/>
      <c r="F90" s="1"/>
      <c r="K90" s="17" t="str">
        <f ca="1">IF(L90="",SearchHLookup(G90&amp;H90&amp;I90&amp;J90,Categorieën!$D$1:$P$31),L90)</f>
        <v/>
      </c>
    </row>
    <row r="91" spans="1:11">
      <c r="A91" s="1"/>
      <c r="F91" s="1"/>
      <c r="K91" s="17" t="str">
        <f ca="1">IF(L91="",SearchHLookup(G91&amp;H91&amp;I91&amp;J91,Categorieën!$D$1:$P$31),L91)</f>
        <v/>
      </c>
    </row>
    <row r="92" spans="1:11">
      <c r="A92" s="1"/>
      <c r="F92" s="1"/>
      <c r="K92" s="17" t="str">
        <f ca="1">IF(L92="",SearchHLookup(G92&amp;H92&amp;I92&amp;J92,Categorieën!$D$1:$P$31),L92)</f>
        <v/>
      </c>
    </row>
    <row r="93" spans="1:11">
      <c r="A93" s="1"/>
      <c r="D93" s="7"/>
      <c r="F93" s="1"/>
      <c r="K93" s="17" t="str">
        <f ca="1">IF(L93="",SearchHLookup(G93&amp;H93&amp;I93&amp;J93,Categorieën!$D$1:$P$31),L93)</f>
        <v/>
      </c>
    </row>
    <row r="94" spans="1:11">
      <c r="A94" s="1"/>
      <c r="D94" s="7"/>
      <c r="F94" s="1"/>
      <c r="K94" s="17" t="str">
        <f ca="1">IF(L94="",SearchHLookup(G94&amp;H94&amp;I94&amp;J94,Categorieën!$D$1:$P$31),L94)</f>
        <v/>
      </c>
    </row>
    <row r="95" spans="1:11">
      <c r="A95" s="1"/>
      <c r="D95" s="7"/>
      <c r="F95" s="1"/>
      <c r="K95" s="17" t="str">
        <f ca="1">IF(L95="",SearchHLookup(G95&amp;H95&amp;I95&amp;J95,Categorieën!$D$1:$P$31),L95)</f>
        <v/>
      </c>
    </row>
    <row r="96" spans="1:11">
      <c r="A96" s="1"/>
      <c r="F96" s="1"/>
      <c r="K96" s="17" t="str">
        <f ca="1">IF(L96="",SearchHLookup(G96&amp;H96&amp;I96&amp;J96,Categorieën!$D$1:$P$31),L96)</f>
        <v/>
      </c>
    </row>
    <row r="97" spans="11:11">
      <c r="K97" s="17" t="str">
        <f ca="1">IF(L97="",SearchHLookup(G97&amp;H97&amp;I97&amp;J97,Categorieën!$D$1:$P$31),L97)</f>
        <v/>
      </c>
    </row>
    <row r="98" spans="11:11">
      <c r="K98" s="17" t="str">
        <f ca="1">IF(L98="",SearchHLookup(G98&amp;H98&amp;I98&amp;J98,Categorieën!$D$1:$P$31),L98)</f>
        <v/>
      </c>
    </row>
    <row r="99" spans="11:11">
      <c r="K99" s="17" t="str">
        <f ca="1">IF(L99="",SearchHLookup(G99&amp;H99&amp;I99&amp;J99,Categorieën!$D$1:$P$31),L99)</f>
        <v/>
      </c>
    </row>
    <row r="100" spans="11:11">
      <c r="K100" s="17" t="str">
        <f ca="1">IF(L100="",SearchHLookup(G100&amp;H100&amp;I100&amp;J100,Categorieën!$D$1:$P$31),L100)</f>
        <v/>
      </c>
    </row>
    <row r="101" spans="11:11">
      <c r="K101" s="17" t="str">
        <f ca="1">IF(L101="",SearchHLookup(G101&amp;H101&amp;I101&amp;J101,Categorieën!$D$1:$P$31),L101)</f>
        <v/>
      </c>
    </row>
    <row r="102" spans="11:11">
      <c r="K102" s="17" t="str">
        <f ca="1">IF(L102="",SearchHLookup(G102&amp;H102&amp;I102&amp;J102,Categorieën!$D$1:$P$31),L102)</f>
        <v/>
      </c>
    </row>
    <row r="103" spans="11:11">
      <c r="K103" s="17" t="str">
        <f ca="1">IF(L103="",SearchHLookup(G103&amp;H103&amp;I103&amp;J103,Categorieën!$D$1:$P$31),L103)</f>
        <v/>
      </c>
    </row>
    <row r="104" spans="11:11">
      <c r="K104" s="17" t="str">
        <f ca="1">IF(L104="",SearchHLookup(G104&amp;H104&amp;I104&amp;J104,Categorieën!$D$1:$P$31),L104)</f>
        <v/>
      </c>
    </row>
    <row r="105" spans="11:11">
      <c r="K105" s="17" t="str">
        <f ca="1">IF(L105="",SearchHLookup(G105&amp;H105&amp;I105&amp;J105,Categorieën!$D$1:$P$31),L105)</f>
        <v/>
      </c>
    </row>
    <row r="106" spans="11:11">
      <c r="K106" s="17" t="str">
        <f ca="1">IF(L106="",SearchHLookup(G106&amp;H106&amp;I106&amp;J106,Categorieën!$D$1:$P$31),L106)</f>
        <v/>
      </c>
    </row>
    <row r="107" spans="11:11">
      <c r="K107" s="17" t="str">
        <f ca="1">IF(L107="",SearchHLookup(G107&amp;H107&amp;I107&amp;J107,Categorieën!$D$1:$P$31),L107)</f>
        <v/>
      </c>
    </row>
    <row r="108" spans="11:11">
      <c r="K108" s="17" t="str">
        <f ca="1">IF(L108="",SearchHLookup(G108&amp;H108&amp;I108&amp;J108,Categorieën!$D$1:$P$31),L108)</f>
        <v/>
      </c>
    </row>
    <row r="109" spans="11:11">
      <c r="K109" s="17" t="str">
        <f ca="1">IF(L109="",SearchHLookup(G109&amp;H109&amp;I109&amp;J109,Categorieën!$D$1:$P$31),L109)</f>
        <v/>
      </c>
    </row>
    <row r="110" spans="11:11">
      <c r="K110" s="17" t="str">
        <f ca="1">IF(L110="",SearchHLookup(G110&amp;H110&amp;I110&amp;J110,Categorieën!$D$1:$P$31),L110)</f>
        <v/>
      </c>
    </row>
    <row r="111" spans="11:11">
      <c r="K111" s="17" t="str">
        <f ca="1">IF(L111="",SearchHLookup(G111&amp;H111&amp;I111&amp;J111,Categorieën!$D$1:$P$31),L111)</f>
        <v/>
      </c>
    </row>
    <row r="112" spans="11:11">
      <c r="K112" s="17" t="str">
        <f ca="1">IF(L112="",SearchHLookup(G112&amp;H112&amp;I112&amp;J112,Categorieën!$D$1:$P$31),L112)</f>
        <v/>
      </c>
    </row>
    <row r="113" spans="11:11">
      <c r="K113" s="17" t="str">
        <f ca="1">IF(L113="",SearchHLookup(G113&amp;H113&amp;I113&amp;J113,Categorieën!$D$1:$P$31),L113)</f>
        <v/>
      </c>
    </row>
    <row r="114" spans="11:11">
      <c r="K114" s="17" t="str">
        <f ca="1">IF(L114="",SearchHLookup(G114&amp;H114&amp;I114&amp;J114,Categorieën!$D$1:$P$31),L114)</f>
        <v/>
      </c>
    </row>
    <row r="115" spans="11:11">
      <c r="K115" s="17" t="str">
        <f ca="1">IF(L115="",SearchHLookup(G115&amp;H115&amp;I115&amp;J115,Categorieën!$D$1:$P$31),L115)</f>
        <v/>
      </c>
    </row>
    <row r="116" spans="11:11">
      <c r="K116" s="17" t="str">
        <f ca="1">IF(L116="",SearchHLookup(G116&amp;H116&amp;I116&amp;J116,Categorieën!$D$1:$P$31),L116)</f>
        <v/>
      </c>
    </row>
    <row r="117" spans="11:11">
      <c r="K117" s="17" t="str">
        <f ca="1">IF(L117="",SearchHLookup(G117&amp;H117&amp;I117&amp;J117,Categorieën!$D$1:$P$31),L117)</f>
        <v/>
      </c>
    </row>
    <row r="118" spans="11:11">
      <c r="K118" s="17" t="str">
        <f ca="1">IF(L118="",SearchHLookup(G118&amp;H118&amp;I118&amp;J118,Categorieën!$D$1:$P$31),L118)</f>
        <v/>
      </c>
    </row>
    <row r="119" spans="11:11">
      <c r="K119" s="17" t="str">
        <f ca="1">IF(L119="",SearchHLookup(G119&amp;H119&amp;I119&amp;J119,Categorieën!$D$1:$P$31),L119)</f>
        <v/>
      </c>
    </row>
    <row r="120" spans="11:11">
      <c r="K120" s="17" t="str">
        <f ca="1">IF(L120="",SearchHLookup(G120&amp;H120&amp;I120&amp;J120,Categorieën!$D$1:$P$31),L120)</f>
        <v/>
      </c>
    </row>
    <row r="121" spans="11:11">
      <c r="K121" s="17" t="str">
        <f ca="1">IF(L121="",SearchHLookup(G121&amp;H121&amp;I121&amp;J121,Categorieën!$D$1:$P$31),L121)</f>
        <v/>
      </c>
    </row>
    <row r="122" spans="11:11">
      <c r="K122" s="17" t="str">
        <f ca="1">IF(L122="",SearchHLookup(G122&amp;H122&amp;I122&amp;J122,Categorieën!$D$1:$P$31),L122)</f>
        <v/>
      </c>
    </row>
    <row r="123" spans="11:11">
      <c r="K123" s="17" t="str">
        <f ca="1">IF(L123="",SearchHLookup(G123&amp;H123&amp;I123&amp;J123,Categorieën!$D$1:$P$31),L123)</f>
        <v/>
      </c>
    </row>
    <row r="124" spans="11:11">
      <c r="K124" s="17" t="str">
        <f ca="1">IF(L124="",SearchHLookup(G124&amp;H124&amp;I124&amp;J124,Categorieën!$D$1:$P$31),L124)</f>
        <v/>
      </c>
    </row>
    <row r="125" spans="11:11">
      <c r="K125" s="17" t="str">
        <f ca="1">IF(L125="",SearchHLookup(G125&amp;H125&amp;I125&amp;J125,Categorieën!$D$1:$P$31),L125)</f>
        <v/>
      </c>
    </row>
    <row r="126" spans="11:11">
      <c r="K126" s="17" t="str">
        <f ca="1">IF(L126="",SearchHLookup(G126&amp;H126&amp;I126&amp;J126,Categorieën!$D$1:$P$31),L126)</f>
        <v/>
      </c>
    </row>
    <row r="127" spans="11:11">
      <c r="K127" s="17" t="str">
        <f ca="1">IF(L127="",SearchHLookup(G127&amp;H127&amp;I127&amp;J127,Categorieën!$D$1:$P$31),L127)</f>
        <v/>
      </c>
    </row>
    <row r="128" spans="11:11">
      <c r="K128" s="17" t="str">
        <f ca="1">IF(L128="",SearchHLookup(G128&amp;H128&amp;I128&amp;J128,Categorieën!$D$1:$P$31),L128)</f>
        <v/>
      </c>
    </row>
    <row r="129" spans="11:11">
      <c r="K129" s="17" t="str">
        <f ca="1">IF(L129="",SearchHLookup(G129&amp;H129&amp;I129&amp;J129,Categorieën!$D$1:$P$31),L129)</f>
        <v/>
      </c>
    </row>
    <row r="130" spans="11:11">
      <c r="K130" s="17" t="str">
        <f ca="1">IF(L130="",SearchHLookup(G130&amp;H130&amp;I130&amp;J130,Categorieën!$D$1:$P$31),L130)</f>
        <v/>
      </c>
    </row>
    <row r="131" spans="11:11">
      <c r="K131" s="17" t="str">
        <f ca="1">IF(L131="",SearchHLookup(G131&amp;H131&amp;I131&amp;J131,Categorieën!$D$1:$P$31),L131)</f>
        <v/>
      </c>
    </row>
    <row r="132" spans="11:11">
      <c r="K132" s="17" t="str">
        <f ca="1">IF(L132="",SearchHLookup(G132&amp;H132&amp;I132&amp;J132,Categorieën!$D$1:$P$31),L132)</f>
        <v/>
      </c>
    </row>
    <row r="133" spans="11:11">
      <c r="K133" s="17" t="str">
        <f ca="1">IF(L133="",SearchHLookup(G133&amp;H133&amp;I133&amp;J133,Categorieën!$D$1:$P$31),L133)</f>
        <v/>
      </c>
    </row>
    <row r="134" spans="11:11">
      <c r="K134" s="17" t="str">
        <f ca="1">IF(L134="",SearchHLookup(G134&amp;H134&amp;I134&amp;J134,Categorieën!$D$1:$P$31),L134)</f>
        <v/>
      </c>
    </row>
    <row r="135" spans="11:11">
      <c r="K135" s="17" t="str">
        <f ca="1">IF(L135="",SearchHLookup(G135&amp;H135&amp;I135&amp;J135,Categorieën!$D$1:$P$31),L135)</f>
        <v/>
      </c>
    </row>
    <row r="136" spans="11:11">
      <c r="K136" s="17" t="str">
        <f ca="1">IF(L136="",SearchHLookup(G136&amp;H136&amp;I136&amp;J136,Categorieën!$D$1:$P$31),L136)</f>
        <v/>
      </c>
    </row>
    <row r="137" spans="11:11">
      <c r="K137" s="17" t="str">
        <f ca="1">IF(L137="",SearchHLookup(G137&amp;H137&amp;I137&amp;J137,Categorieën!$D$1:$P$31),L137)</f>
        <v/>
      </c>
    </row>
    <row r="138" spans="11:11">
      <c r="K138" s="17" t="str">
        <f ca="1">IF(L138="",SearchHLookup(G138&amp;H138&amp;I138&amp;J138,Categorieën!$D$1:$P$31),L138)</f>
        <v/>
      </c>
    </row>
    <row r="139" spans="11:11">
      <c r="K139" s="17" t="str">
        <f ca="1">IF(L139="",SearchHLookup(G139&amp;H139&amp;I139&amp;J139,Categorieën!$D$1:$P$31),L139)</f>
        <v/>
      </c>
    </row>
    <row r="140" spans="11:11">
      <c r="K140" s="17" t="str">
        <f ca="1">IF(L140="",SearchHLookup(G140&amp;H140&amp;I140&amp;J140,Categorieën!$D$1:$P$31),L140)</f>
        <v/>
      </c>
    </row>
    <row r="141" spans="11:11">
      <c r="K141" s="17" t="str">
        <f ca="1">IF(L141="",SearchHLookup(G141&amp;H141&amp;I141&amp;J141,Categorieën!$D$1:$P$31),L141)</f>
        <v/>
      </c>
    </row>
    <row r="142" spans="11:11">
      <c r="K142" s="17" t="str">
        <f ca="1">IF(L142="",SearchHLookup(G142&amp;H142&amp;I142&amp;J142,Categorieën!$D$1:$P$31),L142)</f>
        <v/>
      </c>
    </row>
    <row r="143" spans="11:11">
      <c r="K143" s="17" t="str">
        <f ca="1">IF(L143="",SearchHLookup(G143&amp;H143&amp;I143&amp;J143,Categorieën!$D$1:$P$31),L143)</f>
        <v/>
      </c>
    </row>
    <row r="144" spans="11:11">
      <c r="K144" s="17" t="str">
        <f ca="1">IF(L144="",SearchHLookup(G144&amp;H144&amp;I144&amp;J144,Categorieën!$D$1:$P$31),L144)</f>
        <v/>
      </c>
    </row>
    <row r="145" spans="11:11">
      <c r="K145" s="17" t="str">
        <f ca="1">IF(L145="",SearchHLookup(G145&amp;H145&amp;I145&amp;J145,Categorieën!$D$1:$P$31),L145)</f>
        <v/>
      </c>
    </row>
    <row r="146" spans="11:11">
      <c r="K146" s="17" t="str">
        <f ca="1">IF(L146="",SearchHLookup(G146&amp;H146&amp;I146&amp;J146,Categorieën!$D$1:$P$31),L146)</f>
        <v/>
      </c>
    </row>
    <row r="147" spans="11:11">
      <c r="K147" s="17" t="str">
        <f ca="1">IF(L147="",SearchHLookup(G147&amp;H147&amp;I147&amp;J147,Categorieën!$D$1:$P$31),L147)</f>
        <v/>
      </c>
    </row>
    <row r="148" spans="11:11">
      <c r="K148" s="17" t="str">
        <f ca="1">IF(L148="",SearchHLookup(G148&amp;H148&amp;I148&amp;J148,Categorieën!$D$1:$P$31),L148)</f>
        <v/>
      </c>
    </row>
    <row r="149" spans="11:11">
      <c r="K149" s="17" t="str">
        <f ca="1">IF(L149="",SearchHLookup(G149&amp;H149&amp;I149&amp;J149,Categorieën!$D$1:$P$31),L149)</f>
        <v/>
      </c>
    </row>
    <row r="150" spans="11:11">
      <c r="K150" s="17" t="str">
        <f ca="1">IF(L150="",SearchHLookup(G150&amp;H150&amp;I150&amp;J150,Categorieën!$D$1:$P$31),L150)</f>
        <v/>
      </c>
    </row>
    <row r="151" spans="11:11">
      <c r="K151" s="17" t="str">
        <f ca="1">IF(L151="",SearchHLookup(G151&amp;H151&amp;I151&amp;J151,Categorieën!$D$1:$P$31),L151)</f>
        <v/>
      </c>
    </row>
    <row r="152" spans="11:11">
      <c r="K152" s="17" t="str">
        <f ca="1">IF(L152="",SearchHLookup(G152&amp;H152&amp;I152&amp;J152,Categorieën!$D$1:$P$31),L152)</f>
        <v/>
      </c>
    </row>
    <row r="153" spans="11:11">
      <c r="K153" s="17" t="str">
        <f ca="1">IF(L153="",SearchHLookup(G153&amp;H153&amp;I153&amp;J153,Categorieën!$D$1:$P$31),L153)</f>
        <v/>
      </c>
    </row>
    <row r="154" spans="11:11">
      <c r="K154" s="17" t="str">
        <f ca="1">IF(L154="",SearchHLookup(G154&amp;H154&amp;I154&amp;J154,Categorieën!$D$1:$P$31),L154)</f>
        <v/>
      </c>
    </row>
    <row r="155" spans="11:11">
      <c r="K155" s="17" t="str">
        <f ca="1">IF(L155="",SearchHLookup(G155&amp;H155&amp;I155&amp;J155,Categorieën!$D$1:$P$31),L155)</f>
        <v/>
      </c>
    </row>
    <row r="156" spans="11:11">
      <c r="K156" s="17" t="str">
        <f ca="1">IF(L156="",SearchHLookup(G156&amp;H156&amp;I156&amp;J156,Categorieën!$D$1:$P$31),L156)</f>
        <v/>
      </c>
    </row>
    <row r="157" spans="11:11">
      <c r="K157" s="17" t="str">
        <f ca="1">IF(L157="",SearchHLookup(G157&amp;H157&amp;I157&amp;J157,Categorieën!$D$1:$P$31),L157)</f>
        <v/>
      </c>
    </row>
    <row r="158" spans="11:11">
      <c r="K158" s="17" t="str">
        <f ca="1">IF(L158="",SearchHLookup(G158&amp;H158&amp;I158&amp;J158,Categorieën!$D$1:$P$31),L158)</f>
        <v/>
      </c>
    </row>
    <row r="159" spans="11:11">
      <c r="K159" s="17" t="str">
        <f ca="1">IF(L159="",SearchHLookup(G159&amp;H159&amp;I159&amp;J159,Categorieën!$D$1:$P$31),L159)</f>
        <v/>
      </c>
    </row>
    <row r="160" spans="11:11">
      <c r="K160" s="17" t="str">
        <f ca="1">IF(L160="",SearchHLookup(G160&amp;H160&amp;I160&amp;J160,Categorieën!$D$1:$P$31),L160)</f>
        <v/>
      </c>
    </row>
    <row r="161" spans="11:11">
      <c r="K161" s="17" t="str">
        <f ca="1">IF(L161="",SearchHLookup(G161&amp;H161&amp;I161&amp;J161,Categorieën!$D$1:$P$31),L161)</f>
        <v/>
      </c>
    </row>
    <row r="162" spans="11:11">
      <c r="K162" s="17" t="str">
        <f ca="1">IF(L162="",SearchHLookup(G162&amp;H162&amp;I162&amp;J162,Categorieën!$D$1:$P$31),L162)</f>
        <v/>
      </c>
    </row>
    <row r="163" spans="11:11">
      <c r="K163" s="17" t="str">
        <f ca="1">IF(L163="",SearchHLookup(G163&amp;H163&amp;I163&amp;J163,Categorieën!$D$1:$P$31),L163)</f>
        <v/>
      </c>
    </row>
    <row r="164" spans="11:11">
      <c r="K164" s="17" t="str">
        <f ca="1">IF(L164="",SearchHLookup(G164&amp;H164&amp;I164&amp;J164,Categorieën!$D$1:$P$31),L164)</f>
        <v/>
      </c>
    </row>
    <row r="165" spans="11:11">
      <c r="K165" s="17" t="str">
        <f ca="1">IF(L165="",SearchHLookup(G165&amp;H165&amp;I165&amp;J165,Categorieën!$D$1:$P$31),L165)</f>
        <v/>
      </c>
    </row>
    <row r="166" spans="11:11">
      <c r="K166" s="17" t="str">
        <f ca="1">IF(L166="",SearchHLookup(G166&amp;H166&amp;I166&amp;J166,Categorieën!$D$1:$P$31),L166)</f>
        <v/>
      </c>
    </row>
    <row r="167" spans="11:11">
      <c r="K167" s="17" t="str">
        <f ca="1">IF(L167="",SearchHLookup(G167&amp;H167&amp;I167&amp;J167,Categorieën!$D$1:$P$31),L167)</f>
        <v/>
      </c>
    </row>
    <row r="168" spans="11:11">
      <c r="K168" s="17" t="str">
        <f ca="1">IF(L168="",SearchHLookup(G168&amp;H168&amp;I168&amp;J168,Categorieën!$D$1:$P$31),L168)</f>
        <v/>
      </c>
    </row>
    <row r="169" spans="11:11">
      <c r="K169" s="17" t="str">
        <f ca="1">IF(L169="",SearchHLookup(G169&amp;H169&amp;I169&amp;J169,Categorieën!$D$1:$P$31),L169)</f>
        <v/>
      </c>
    </row>
    <row r="170" spans="11:11">
      <c r="K170" s="17" t="str">
        <f ca="1">IF(L170="",SearchHLookup(G170&amp;H170&amp;I170&amp;J170,Categorieën!$D$1:$P$31),L170)</f>
        <v/>
      </c>
    </row>
    <row r="171" spans="11:11">
      <c r="K171" s="17" t="str">
        <f ca="1">IF(L171="",SearchHLookup(G171&amp;H171&amp;I171&amp;J171,Categorieën!$D$1:$P$31),L171)</f>
        <v/>
      </c>
    </row>
    <row r="172" spans="11:11">
      <c r="K172" s="17" t="str">
        <f ca="1">IF(L172="",SearchHLookup(G172&amp;H172&amp;I172&amp;J172,Categorieën!$D$1:$P$31),L172)</f>
        <v/>
      </c>
    </row>
    <row r="173" spans="11:11">
      <c r="K173" s="17" t="str">
        <f ca="1">IF(L173="",SearchHLookup(G173&amp;H173&amp;I173&amp;J173,Categorieën!$D$1:$P$31),L173)</f>
        <v/>
      </c>
    </row>
    <row r="174" spans="11:11">
      <c r="K174" s="17" t="str">
        <f ca="1">IF(L174="",SearchHLookup(G174&amp;H174&amp;I174&amp;J174,Categorieën!$D$1:$P$31),L174)</f>
        <v/>
      </c>
    </row>
    <row r="175" spans="11:11">
      <c r="K175" s="17" t="str">
        <f ca="1">IF(L175="",SearchHLookup(G175&amp;H175&amp;I175&amp;J175,Categorieën!$D$1:$P$31),L175)</f>
        <v/>
      </c>
    </row>
    <row r="176" spans="11:11">
      <c r="K176" s="17" t="str">
        <f ca="1">IF(L176="",SearchHLookup(G176&amp;H176&amp;I176&amp;J176,Categorieën!$D$1:$P$31),L176)</f>
        <v/>
      </c>
    </row>
    <row r="177" spans="11:11">
      <c r="K177" s="17" t="str">
        <f ca="1">IF(L177="",SearchHLookup(G177&amp;H177&amp;I177&amp;J177,Categorieën!$D$1:$P$31),L177)</f>
        <v/>
      </c>
    </row>
    <row r="178" spans="11:11">
      <c r="K178" s="17" t="str">
        <f ca="1">IF(L178="",SearchHLookup(G178&amp;H178&amp;I178&amp;J178,Categorieën!$D$1:$P$31),L178)</f>
        <v/>
      </c>
    </row>
    <row r="179" spans="11:11">
      <c r="K179" s="17" t="str">
        <f ca="1">IF(L179="",SearchHLookup(G179&amp;H179&amp;I179&amp;J179,Categorieën!$D$1:$P$31),L179)</f>
        <v/>
      </c>
    </row>
    <row r="180" spans="11:11">
      <c r="K180" s="17" t="str">
        <f ca="1">IF(L180="",SearchHLookup(G180&amp;H180&amp;I180&amp;J180,Categorieën!$D$1:$P$31),L180)</f>
        <v/>
      </c>
    </row>
    <row r="181" spans="11:11">
      <c r="K181" s="17" t="str">
        <f ca="1">IF(L181="",SearchHLookup(G181&amp;H181&amp;I181&amp;J181,Categorieën!$D$1:$P$31),L181)</f>
        <v/>
      </c>
    </row>
    <row r="182" spans="11:11">
      <c r="K182" s="17" t="str">
        <f ca="1">IF(L182="",SearchHLookup(G182&amp;H182&amp;I182&amp;J182,Categorieën!$D$1:$P$31),L182)</f>
        <v/>
      </c>
    </row>
    <row r="183" spans="11:11">
      <c r="K183" s="17" t="str">
        <f ca="1">IF(L183="",SearchHLookup(G183&amp;H183&amp;I183&amp;J183,Categorieën!$D$1:$P$31),L183)</f>
        <v/>
      </c>
    </row>
    <row r="184" spans="11:11">
      <c r="K184" s="17" t="str">
        <f ca="1">IF(L184="",SearchHLookup(G184&amp;H184&amp;I184&amp;J184,Categorieën!$D$1:$P$31),L184)</f>
        <v/>
      </c>
    </row>
    <row r="185" spans="11:11">
      <c r="K185" s="17" t="str">
        <f ca="1">IF(L185="",SearchHLookup(G185&amp;H185&amp;I185&amp;J185,Categorieën!$D$1:$P$31),L185)</f>
        <v/>
      </c>
    </row>
    <row r="186" spans="11:11">
      <c r="K186" s="17" t="str">
        <f ca="1">IF(L186="",SearchHLookup(G186&amp;H186&amp;I186&amp;J186,Categorieën!$D$1:$P$31),L186)</f>
        <v/>
      </c>
    </row>
    <row r="187" spans="11:11">
      <c r="K187" s="17" t="str">
        <f ca="1">IF(L187="",SearchHLookup(G187&amp;H187&amp;I187&amp;J187,Categorieën!$D$1:$P$31),L187)</f>
        <v/>
      </c>
    </row>
    <row r="188" spans="11:11">
      <c r="K188" s="17" t="str">
        <f ca="1">IF(L188="",SearchHLookup(G188&amp;H188&amp;I188&amp;J188,Categorieën!$D$1:$P$31),L188)</f>
        <v/>
      </c>
    </row>
    <row r="189" spans="11:11">
      <c r="K189" s="17" t="str">
        <f ca="1">IF(L189="",SearchHLookup(G189&amp;H189&amp;I189&amp;J189,Categorieën!$D$1:$P$31),L189)</f>
        <v/>
      </c>
    </row>
    <row r="190" spans="11:11">
      <c r="K190" s="17" t="str">
        <f ca="1">IF(L190="",SearchHLookup(G190&amp;H190&amp;I190&amp;J190,Categorieën!$D$1:$P$31),L190)</f>
        <v/>
      </c>
    </row>
    <row r="191" spans="11:11">
      <c r="K191" s="17" t="str">
        <f ca="1">IF(L191="",SearchHLookup(G191&amp;H191&amp;I191&amp;J191,Categorieën!$D$1:$P$31),L191)</f>
        <v/>
      </c>
    </row>
    <row r="192" spans="11:11">
      <c r="K192" s="17" t="str">
        <f ca="1">IF(L192="",SearchHLookup(G192&amp;H192&amp;I192&amp;J192,Categorieën!$D$1:$P$31),L192)</f>
        <v/>
      </c>
    </row>
    <row r="193" spans="11:11">
      <c r="K193" s="17" t="str">
        <f ca="1">IF(L193="",SearchHLookup(G193&amp;H193&amp;I193&amp;J193,Categorieën!$D$1:$P$31),L193)</f>
        <v/>
      </c>
    </row>
    <row r="194" spans="11:11">
      <c r="K194" s="17" t="str">
        <f ca="1">IF(L194="",SearchHLookup(G194&amp;H194&amp;I194&amp;J194,Categorieën!$D$1:$P$31),L194)</f>
        <v/>
      </c>
    </row>
    <row r="195" spans="11:11">
      <c r="K195" s="17" t="str">
        <f ca="1">IF(L195="",SearchHLookup(G195&amp;H195&amp;I195&amp;J195,Categorieën!$D$1:$P$31),L195)</f>
        <v/>
      </c>
    </row>
    <row r="196" spans="11:11">
      <c r="K196" s="17" t="str">
        <f ca="1">IF(L196="",SearchHLookup(G196&amp;H196&amp;I196&amp;J196,Categorieën!$D$1:$P$31),L196)</f>
        <v/>
      </c>
    </row>
    <row r="197" spans="11:11">
      <c r="K197" s="17" t="str">
        <f ca="1">IF(L197="",SearchHLookup(G197&amp;H197&amp;I197&amp;J197,Categorieën!$D$1:$P$31),L197)</f>
        <v/>
      </c>
    </row>
    <row r="198" spans="11:11">
      <c r="K198" s="17" t="str">
        <f ca="1">IF(L198="",SearchHLookup(G198&amp;H198&amp;I198&amp;J198,Categorieën!$D$1:$P$31),L198)</f>
        <v/>
      </c>
    </row>
    <row r="199" spans="11:11">
      <c r="K199" s="17" t="str">
        <f ca="1">IF(L199="",SearchHLookup(G199&amp;H199&amp;I199&amp;J199,Categorieën!$D$1:$P$31),L199)</f>
        <v/>
      </c>
    </row>
    <row r="200" spans="11:11">
      <c r="K200" s="17" t="str">
        <f ca="1">IF(L200="",SearchHLookup(G200&amp;H200&amp;I200&amp;J200,Categorieën!$D$1:$P$31),L200)</f>
        <v/>
      </c>
    </row>
    <row r="201" spans="11:11">
      <c r="K201" s="17" t="str">
        <f ca="1">IF(L201="",SearchHLookup(G201&amp;H201&amp;I201&amp;J201,Categorieën!$D$1:$P$31),L201)</f>
        <v/>
      </c>
    </row>
    <row r="202" spans="11:11">
      <c r="K202" s="17" t="str">
        <f ca="1">IF(L202="",SearchHLookup(G202&amp;H202&amp;I202&amp;J202,Categorieën!$D$1:$P$31),L202)</f>
        <v/>
      </c>
    </row>
    <row r="203" spans="11:11">
      <c r="K203" s="17" t="str">
        <f ca="1">IF(L203="",SearchHLookup(G203&amp;H203&amp;I203&amp;J203,Categorieën!$D$1:$P$31),L203)</f>
        <v/>
      </c>
    </row>
    <row r="204" spans="11:11">
      <c r="K204" s="17" t="str">
        <f ca="1">IF(L204="",SearchHLookup(G204&amp;H204&amp;I204&amp;J204,Categorieën!$D$1:$P$31),L204)</f>
        <v/>
      </c>
    </row>
    <row r="205" spans="11:11">
      <c r="K205" s="17" t="str">
        <f ca="1">IF(L205="",SearchHLookup(G205&amp;H205&amp;I205&amp;J205,Categorieën!$D$1:$P$31),L205)</f>
        <v/>
      </c>
    </row>
    <row r="206" spans="11:11">
      <c r="K206" s="17" t="str">
        <f ca="1">IF(L206="",SearchHLookup(G206&amp;H206&amp;I206&amp;J206,Categorieën!$D$1:$P$31),L206)</f>
        <v/>
      </c>
    </row>
    <row r="207" spans="11:11">
      <c r="K207" s="17" t="str">
        <f ca="1">IF(L207="",SearchHLookup(G207&amp;H207&amp;I207&amp;J207,Categorieën!$D$1:$P$31),L207)</f>
        <v/>
      </c>
    </row>
    <row r="208" spans="11:11">
      <c r="K208" s="17" t="str">
        <f ca="1">IF(L208="",SearchHLookup(G208&amp;H208&amp;I208&amp;J208,Categorieën!$D$1:$P$31),L208)</f>
        <v/>
      </c>
    </row>
    <row r="209" spans="11:11">
      <c r="K209" s="17" t="str">
        <f ca="1">IF(L209="",SearchHLookup(G209&amp;H209&amp;I209&amp;J209,Categorieën!$D$1:$P$31),L209)</f>
        <v/>
      </c>
    </row>
    <row r="210" spans="11:11">
      <c r="K210" s="17" t="str">
        <f ca="1">IF(L210="",SearchHLookup(G210&amp;H210&amp;I210&amp;J210,Categorieën!$D$1:$P$31),L210)</f>
        <v/>
      </c>
    </row>
    <row r="211" spans="11:11">
      <c r="K211" s="17" t="str">
        <f ca="1">IF(L211="",SearchHLookup(G211&amp;H211&amp;I211&amp;J211,Categorieën!$D$1:$P$31),L211)</f>
        <v/>
      </c>
    </row>
    <row r="212" spans="11:11">
      <c r="K212" s="17" t="str">
        <f ca="1">IF(L212="",SearchHLookup(G212&amp;H212&amp;I212&amp;J212,Categorieën!$D$1:$P$31),L212)</f>
        <v/>
      </c>
    </row>
    <row r="213" spans="11:11">
      <c r="K213" s="17" t="str">
        <f ca="1">IF(L213="",SearchHLookup(G213&amp;H213&amp;I213&amp;J213,Categorieën!$D$1:$P$31),L213)</f>
        <v/>
      </c>
    </row>
    <row r="214" spans="11:11">
      <c r="K214" s="17" t="str">
        <f ca="1">IF(L214="",SearchHLookup(G214&amp;H214&amp;I214&amp;J214,Categorieën!$D$1:$P$31),L214)</f>
        <v/>
      </c>
    </row>
    <row r="215" spans="11:11">
      <c r="K215" s="17" t="str">
        <f ca="1">IF(L215="",SearchHLookup(G215&amp;H215&amp;I215&amp;J215,Categorieën!$D$1:$P$31),L215)</f>
        <v/>
      </c>
    </row>
    <row r="216" spans="11:11">
      <c r="K216" s="17" t="str">
        <f ca="1">IF(L216="",SearchHLookup(G216&amp;H216&amp;I216&amp;J216,Categorieën!$D$1:$P$31),L216)</f>
        <v/>
      </c>
    </row>
    <row r="217" spans="11:11">
      <c r="K217" s="17" t="str">
        <f ca="1">IF(L217="",SearchHLookup(G217&amp;H217&amp;I217&amp;J217,Categorieën!$D$1:$P$31),L217)</f>
        <v/>
      </c>
    </row>
    <row r="218" spans="11:11">
      <c r="K218" s="17" t="str">
        <f ca="1">IF(L218="",SearchHLookup(G218&amp;H218&amp;I218&amp;J218,Categorieën!$D$1:$P$31),L218)</f>
        <v/>
      </c>
    </row>
    <row r="219" spans="11:11">
      <c r="K219" s="17" t="str">
        <f ca="1">IF(L219="",SearchHLookup(G219&amp;H219&amp;I219&amp;J219,Categorieën!$D$1:$P$31),L219)</f>
        <v/>
      </c>
    </row>
    <row r="220" spans="11:11">
      <c r="K220" s="17" t="str">
        <f ca="1">IF(L220="",SearchHLookup(G220&amp;H220&amp;I220&amp;J220,Categorieën!$D$1:$P$31),L220)</f>
        <v/>
      </c>
    </row>
    <row r="221" spans="11:11">
      <c r="K221" s="17" t="str">
        <f ca="1">IF(L221="",SearchHLookup(G221&amp;H221&amp;I221&amp;J221,Categorieën!$D$1:$P$31),L221)</f>
        <v/>
      </c>
    </row>
    <row r="222" spans="11:11">
      <c r="K222" s="17" t="str">
        <f ca="1">IF(L222="",SearchHLookup(G222&amp;H222&amp;I222&amp;J222,Categorieën!$D$1:$P$31),L222)</f>
        <v/>
      </c>
    </row>
    <row r="223" spans="11:11">
      <c r="K223" s="17" t="str">
        <f ca="1">IF(L223="",SearchHLookup(G223&amp;H223&amp;I223&amp;J223,Categorieën!$D$1:$P$31),L223)</f>
        <v/>
      </c>
    </row>
    <row r="224" spans="11:11">
      <c r="K224" s="17" t="str">
        <f ca="1">IF(L224="",SearchHLookup(G224&amp;H224&amp;I224&amp;J224,Categorieën!$D$1:$P$31),L224)</f>
        <v/>
      </c>
    </row>
    <row r="225" spans="11:11">
      <c r="K225" s="17" t="str">
        <f ca="1">IF(L225="",SearchHLookup(G225&amp;H225&amp;I225&amp;J225,Categorieën!$D$1:$P$31),L225)</f>
        <v/>
      </c>
    </row>
    <row r="226" spans="11:11">
      <c r="K226" s="17" t="str">
        <f ca="1">IF(L226="",SearchHLookup(G226&amp;H226&amp;I226&amp;J226,Categorieën!$D$1:$P$31),L226)</f>
        <v/>
      </c>
    </row>
    <row r="227" spans="11:11">
      <c r="K227" s="17" t="str">
        <f ca="1">IF(L227="",SearchHLookup(G227&amp;H227&amp;I227&amp;J227,Categorieën!$D$1:$P$31),L227)</f>
        <v/>
      </c>
    </row>
    <row r="228" spans="11:11">
      <c r="K228" s="17" t="str">
        <f ca="1">IF(L228="",SearchHLookup(G228&amp;H228&amp;I228&amp;J228,Categorieën!$D$1:$P$31),L228)</f>
        <v/>
      </c>
    </row>
    <row r="229" spans="11:11">
      <c r="K229" s="17" t="str">
        <f ca="1">IF(L229="",SearchHLookup(G229&amp;H229&amp;I229&amp;J229,Categorieën!$D$1:$P$31),L229)</f>
        <v/>
      </c>
    </row>
    <row r="230" spans="11:11">
      <c r="K230" s="17" t="str">
        <f ca="1">IF(L230="",SearchHLookup(G230&amp;H230&amp;I230&amp;J230,Categorieën!$D$1:$P$31),L230)</f>
        <v/>
      </c>
    </row>
    <row r="231" spans="11:11">
      <c r="K231" s="17" t="str">
        <f ca="1">IF(L231="",SearchHLookup(G231&amp;H231&amp;I231&amp;J231,Categorieën!$D$1:$P$31),L231)</f>
        <v/>
      </c>
    </row>
    <row r="232" spans="11:11">
      <c r="K232" s="17" t="str">
        <f ca="1">IF(L232="",SearchHLookup(G232&amp;H232&amp;I232&amp;J232,Categorieën!$D$1:$P$31),L232)</f>
        <v/>
      </c>
    </row>
    <row r="233" spans="11:11">
      <c r="K233" s="17" t="str">
        <f ca="1">IF(L233="",SearchHLookup(G233&amp;H233&amp;I233&amp;J233,Categorieën!$D$1:$P$31),L233)</f>
        <v/>
      </c>
    </row>
    <row r="234" spans="11:11">
      <c r="K234" s="17" t="str">
        <f ca="1">IF(L234="",SearchHLookup(G234&amp;H234&amp;I234&amp;J234,Categorieën!$D$1:$P$31),L234)</f>
        <v/>
      </c>
    </row>
    <row r="235" spans="11:11">
      <c r="K235" s="17" t="str">
        <f ca="1">IF(L235="",SearchHLookup(G235&amp;H235&amp;I235&amp;J235,Categorieën!$D$1:$P$31),L235)</f>
        <v/>
      </c>
    </row>
    <row r="236" spans="11:11">
      <c r="K236" s="17" t="str">
        <f ca="1">IF(L236="",SearchHLookup(G236&amp;H236&amp;I236&amp;J236,Categorieën!$D$1:$P$31),L236)</f>
        <v/>
      </c>
    </row>
    <row r="237" spans="11:11">
      <c r="K237" s="17" t="str">
        <f ca="1">IF(L237="",SearchHLookup(G237&amp;H237&amp;I237&amp;J237,Categorieën!$D$1:$P$31),L237)</f>
        <v/>
      </c>
    </row>
    <row r="238" spans="11:11">
      <c r="K238" s="17" t="str">
        <f ca="1">IF(L238="",SearchHLookup(G238&amp;H238&amp;I238&amp;J238,Categorieën!$D$1:$P$31),L238)</f>
        <v/>
      </c>
    </row>
    <row r="239" spans="11:11">
      <c r="K239" s="17" t="str">
        <f ca="1">IF(L239="",SearchHLookup(G239&amp;H239&amp;I239&amp;J239,Categorieën!$D$1:$P$31),L239)</f>
        <v/>
      </c>
    </row>
    <row r="240" spans="11:11">
      <c r="K240" s="17" t="str">
        <f ca="1">IF(L240="",SearchHLookup(G240&amp;H240&amp;I240&amp;J240,Categorieën!$D$1:$P$31),L240)</f>
        <v/>
      </c>
    </row>
    <row r="241" spans="11:11">
      <c r="K241" s="17" t="str">
        <f ca="1">IF(L241="",SearchHLookup(G241&amp;H241&amp;I241&amp;J241,Categorieën!$D$1:$P$31),L241)</f>
        <v/>
      </c>
    </row>
    <row r="242" spans="11:11">
      <c r="K242" s="17" t="str">
        <f ca="1">IF(L242="",SearchHLookup(G242&amp;H242&amp;I242&amp;J242,Categorieën!$D$1:$P$31),L242)</f>
        <v/>
      </c>
    </row>
    <row r="243" spans="11:11">
      <c r="K243" s="17" t="str">
        <f ca="1">IF(L243="",SearchHLookup(G243&amp;H243&amp;I243&amp;J243,Categorieën!$D$1:$P$31),L243)</f>
        <v/>
      </c>
    </row>
    <row r="244" spans="11:11">
      <c r="K244" s="17" t="str">
        <f ca="1">IF(L244="",SearchHLookup(G244&amp;H244&amp;I244&amp;J244,Categorieën!$D$1:$P$31),L244)</f>
        <v/>
      </c>
    </row>
    <row r="245" spans="11:11">
      <c r="K245" s="17" t="str">
        <f ca="1">IF(L245="",SearchHLookup(G245&amp;H245&amp;I245&amp;J245,Categorieën!$D$1:$P$31),L245)</f>
        <v/>
      </c>
    </row>
    <row r="246" spans="11:11">
      <c r="K246" s="17" t="str">
        <f ca="1">IF(L246="",SearchHLookup(G246&amp;H246&amp;I246&amp;J246,Categorieën!$D$1:$P$31),L246)</f>
        <v/>
      </c>
    </row>
    <row r="247" spans="11:11">
      <c r="K247" s="17" t="str">
        <f ca="1">IF(L247="",SearchHLookup(G247&amp;H247&amp;I247&amp;J247,Categorieën!$D$1:$P$31),L247)</f>
        <v/>
      </c>
    </row>
    <row r="248" spans="11:11">
      <c r="K248" s="17" t="str">
        <f ca="1">IF(L248="",SearchHLookup(G248&amp;H248&amp;I248&amp;J248,Categorieën!$D$1:$P$31),L248)</f>
        <v/>
      </c>
    </row>
    <row r="249" spans="11:11">
      <c r="K249" s="17" t="str">
        <f ca="1">IF(L249="",SearchHLookup(G249&amp;H249&amp;I249&amp;J249,Categorieën!$D$1:$P$31),L249)</f>
        <v/>
      </c>
    </row>
    <row r="250" spans="11:11">
      <c r="K250" s="17" t="str">
        <f ca="1">IF(L250="",SearchHLookup(G250&amp;H250&amp;I250&amp;J250,Categorieën!$D$1:$P$31),L250)</f>
        <v/>
      </c>
    </row>
    <row r="251" spans="11:11">
      <c r="K251" s="17" t="str">
        <f ca="1">IF(L251="",SearchHLookup(G251&amp;H251&amp;I251&amp;J251,Categorieën!$D$1:$P$31),L251)</f>
        <v/>
      </c>
    </row>
    <row r="252" spans="11:11">
      <c r="K252" s="17" t="str">
        <f ca="1">IF(L252="",SearchHLookup(G252&amp;H252&amp;I252&amp;J252,Categorieën!$D$1:$P$31),L252)</f>
        <v/>
      </c>
    </row>
    <row r="253" spans="11:11">
      <c r="K253" s="17" t="str">
        <f ca="1">IF(L253="",SearchHLookup(G253&amp;H253&amp;I253&amp;J253,Categorieën!$D$1:$P$31),L253)</f>
        <v/>
      </c>
    </row>
    <row r="254" spans="11:11">
      <c r="K254" s="17" t="str">
        <f ca="1">IF(L254="",SearchHLookup(G254&amp;H254&amp;I254&amp;J254,Categorieën!$D$1:$P$31),L254)</f>
        <v/>
      </c>
    </row>
    <row r="255" spans="11:11">
      <c r="K255" s="17" t="str">
        <f ca="1">IF(L255="",SearchHLookup(G255&amp;H255&amp;I255&amp;J255,Categorieën!$D$1:$P$31),L255)</f>
        <v/>
      </c>
    </row>
    <row r="256" spans="11:11">
      <c r="K256" s="17" t="str">
        <f ca="1">IF(L256="",SearchHLookup(G256&amp;H256&amp;I256&amp;J256,Categorieën!$D$1:$P$31),L256)</f>
        <v/>
      </c>
    </row>
    <row r="257" spans="11:11">
      <c r="K257" s="17" t="str">
        <f ca="1">IF(L257="",SearchHLookup(G257&amp;H257&amp;I257&amp;J257,Categorieën!$D$1:$P$31),L257)</f>
        <v/>
      </c>
    </row>
    <row r="258" spans="11:11">
      <c r="K258" s="17" t="str">
        <f ca="1">IF(L258="",SearchHLookup(G258&amp;H258&amp;I258&amp;J258,Categorieën!$D$1:$P$31),L258)</f>
        <v/>
      </c>
    </row>
    <row r="259" spans="11:11">
      <c r="K259" s="17" t="str">
        <f ca="1">IF(L259="",SearchHLookup(G259&amp;H259&amp;I259&amp;J259,Categorieën!$D$1:$P$31),L259)</f>
        <v/>
      </c>
    </row>
    <row r="260" spans="11:11">
      <c r="K260" s="17" t="str">
        <f ca="1">IF(L260="",SearchHLookup(G260&amp;H260&amp;I260&amp;J260,Categorieën!$D$1:$P$31),L260)</f>
        <v/>
      </c>
    </row>
    <row r="261" spans="11:11">
      <c r="K261" s="17" t="str">
        <f ca="1">IF(L261="",SearchHLookup(G261&amp;H261&amp;I261&amp;J261,Categorieën!$D$1:$P$31),L261)</f>
        <v/>
      </c>
    </row>
    <row r="262" spans="11:11">
      <c r="K262" s="17" t="str">
        <f ca="1">IF(L262="",SearchHLookup(G262&amp;H262&amp;I262&amp;J262,Categorieën!$D$1:$P$31),L262)</f>
        <v/>
      </c>
    </row>
    <row r="263" spans="11:11">
      <c r="K263" s="17" t="str">
        <f ca="1">IF(L263="",SearchHLookup(G263&amp;H263&amp;I263&amp;J263,Categorieën!$D$1:$P$31),L263)</f>
        <v/>
      </c>
    </row>
    <row r="264" spans="11:11">
      <c r="K264" s="17" t="str">
        <f ca="1">IF(L264="",SearchHLookup(G264&amp;H264&amp;I264&amp;J264,Categorieën!$D$1:$P$31),L264)</f>
        <v/>
      </c>
    </row>
    <row r="265" spans="11:11">
      <c r="K265" s="17" t="str">
        <f ca="1">IF(L265="",SearchHLookup(G265&amp;H265&amp;I265&amp;J265,Categorieën!$D$1:$P$31),L265)</f>
        <v/>
      </c>
    </row>
    <row r="266" spans="11:11">
      <c r="K266" s="17" t="str">
        <f ca="1">IF(L266="",SearchHLookup(G266&amp;H266&amp;I266&amp;J266,Categorieën!$D$1:$P$31),L266)</f>
        <v/>
      </c>
    </row>
    <row r="267" spans="11:11">
      <c r="K267" s="17" t="str">
        <f ca="1">IF(L267="",SearchHLookup(G267&amp;H267&amp;I267&amp;J267,Categorieën!$D$1:$P$31),L267)</f>
        <v/>
      </c>
    </row>
    <row r="268" spans="11:11">
      <c r="K268" s="17" t="str">
        <f ca="1">IF(L268="",SearchHLookup(G268&amp;H268&amp;I268&amp;J268,Categorieën!$D$1:$P$31),L268)</f>
        <v/>
      </c>
    </row>
    <row r="269" spans="11:11">
      <c r="K269" s="17" t="str">
        <f ca="1">IF(L269="",SearchHLookup(G269&amp;H269&amp;I269&amp;J269,Categorieën!$D$1:$P$31),L269)</f>
        <v/>
      </c>
    </row>
    <row r="270" spans="11:11">
      <c r="K270" s="17" t="str">
        <f ca="1">IF(L270="",SearchHLookup(G270&amp;H270&amp;I270&amp;J270,Categorieën!$D$1:$P$31),L270)</f>
        <v/>
      </c>
    </row>
    <row r="271" spans="11:11">
      <c r="K271" s="17" t="str">
        <f ca="1">IF(L271="",SearchHLookup(G271&amp;H271&amp;I271&amp;J271,Categorieën!$D$1:$P$31),L271)</f>
        <v/>
      </c>
    </row>
    <row r="272" spans="11:11">
      <c r="K272" s="17" t="str">
        <f ca="1">IF(L272="",SearchHLookup(G272&amp;H272&amp;I272&amp;J272,Categorieën!$D$1:$P$31),L272)</f>
        <v/>
      </c>
    </row>
    <row r="273" spans="11:11">
      <c r="K273" s="17" t="str">
        <f ca="1">IF(L273="",SearchHLookup(G273&amp;H273&amp;I273&amp;J273,Categorieën!$D$1:$P$31),L273)</f>
        <v/>
      </c>
    </row>
    <row r="274" spans="11:11">
      <c r="K274" s="17" t="str">
        <f ca="1">IF(L274="",SearchHLookup(G274&amp;H274&amp;I274&amp;J274,Categorieën!$D$1:$P$31),L274)</f>
        <v/>
      </c>
    </row>
    <row r="275" spans="11:11">
      <c r="K275" s="17" t="str">
        <f ca="1">IF(L275="",SearchHLookup(G275&amp;H275&amp;I275&amp;J275,Categorieën!$D$1:$P$31),L275)</f>
        <v/>
      </c>
    </row>
    <row r="276" spans="11:11">
      <c r="K276" s="17" t="str">
        <f ca="1">IF(L276="",SearchHLookup(G276&amp;H276&amp;I276&amp;J276,Categorieën!$D$1:$P$31),L276)</f>
        <v/>
      </c>
    </row>
    <row r="277" spans="11:11">
      <c r="K277" s="17" t="str">
        <f ca="1">IF(L277="",SearchHLookup(G277&amp;H277&amp;I277&amp;J277,Categorieën!$D$1:$P$31),L277)</f>
        <v/>
      </c>
    </row>
    <row r="278" spans="11:11">
      <c r="K278" s="17" t="str">
        <f ca="1">IF(L278="",SearchHLookup(G278&amp;H278&amp;I278&amp;J278,Categorieën!$D$1:$P$31),L278)</f>
        <v/>
      </c>
    </row>
    <row r="279" spans="11:11">
      <c r="K279" s="17" t="str">
        <f ca="1">IF(L279="",SearchHLookup(G279&amp;H279&amp;I279&amp;J279,Categorieën!$D$1:$P$31),L279)</f>
        <v/>
      </c>
    </row>
    <row r="280" spans="11:11">
      <c r="K280" s="17" t="str">
        <f ca="1">IF(L280="",SearchHLookup(G280&amp;H280&amp;I280&amp;J280,Categorieën!$D$1:$P$31),L280)</f>
        <v/>
      </c>
    </row>
    <row r="281" spans="11:11">
      <c r="K281" s="17" t="str">
        <f ca="1">IF(L281="",SearchHLookup(G281&amp;H281&amp;I281&amp;J281,Categorieën!$D$1:$P$31),L281)</f>
        <v/>
      </c>
    </row>
    <row r="282" spans="11:11">
      <c r="K282" s="17" t="str">
        <f ca="1">IF(L282="",SearchHLookup(G282&amp;H282&amp;I282&amp;J282,Categorieën!$D$1:$P$31),L282)</f>
        <v/>
      </c>
    </row>
    <row r="283" spans="11:11">
      <c r="K283" s="17" t="str">
        <f ca="1">IF(L283="",SearchHLookup(G283&amp;H283&amp;I283&amp;J283,Categorieën!$D$1:$P$31),L283)</f>
        <v/>
      </c>
    </row>
    <row r="284" spans="11:11">
      <c r="K284" s="17" t="str">
        <f ca="1">IF(L284="",SearchHLookup(G284&amp;H284&amp;I284&amp;J284,Categorieën!$D$1:$P$31),L284)</f>
        <v/>
      </c>
    </row>
    <row r="285" spans="11:11">
      <c r="K285" s="17" t="str">
        <f ca="1">IF(L285="",SearchHLookup(G285&amp;H285&amp;I285&amp;J285,Categorieën!$D$1:$P$31),L285)</f>
        <v/>
      </c>
    </row>
    <row r="286" spans="11:11">
      <c r="K286" s="17" t="str">
        <f ca="1">IF(L286="",SearchHLookup(G286&amp;H286&amp;I286&amp;J286,Categorieën!$D$1:$P$31),L286)</f>
        <v/>
      </c>
    </row>
    <row r="287" spans="11:11">
      <c r="K287" s="17" t="str">
        <f ca="1">IF(L287="",SearchHLookup(G287&amp;H287&amp;I287&amp;J287,Categorieën!$D$1:$P$31),L287)</f>
        <v/>
      </c>
    </row>
    <row r="288" spans="11:11">
      <c r="K288" s="17" t="str">
        <f ca="1">IF(L288="",SearchHLookup(G288&amp;H288&amp;I288&amp;J288,Categorieën!$D$1:$P$31),L288)</f>
        <v/>
      </c>
    </row>
    <row r="289" spans="11:11">
      <c r="K289" s="17" t="str">
        <f ca="1">IF(L289="",SearchHLookup(G289&amp;H289&amp;I289&amp;J289,Categorieën!$D$1:$P$31),L289)</f>
        <v/>
      </c>
    </row>
    <row r="290" spans="11:11">
      <c r="K290" s="17" t="str">
        <f ca="1">IF(L290="",SearchHLookup(G290&amp;H290&amp;I290&amp;J290,Categorieën!$D$1:$P$31),L290)</f>
        <v/>
      </c>
    </row>
    <row r="291" spans="11:11">
      <c r="K291" s="17" t="str">
        <f ca="1">IF(L291="",SearchHLookup(G291&amp;H291&amp;I291&amp;J291,Categorieën!$D$1:$P$31),L291)</f>
        <v/>
      </c>
    </row>
    <row r="292" spans="11:11">
      <c r="K292" s="17" t="str">
        <f ca="1">IF(L292="",SearchHLookup(G292&amp;H292&amp;I292&amp;J292,Categorieën!$D$1:$P$31),L292)</f>
        <v/>
      </c>
    </row>
    <row r="293" spans="11:11">
      <c r="K293" s="17" t="str">
        <f ca="1">IF(L293="",SearchHLookup(G293&amp;H293&amp;I293&amp;J293,Categorieën!$D$1:$P$31),L293)</f>
        <v/>
      </c>
    </row>
    <row r="294" spans="11:11">
      <c r="K294" s="17" t="str">
        <f ca="1">IF(L294="",SearchHLookup(G294&amp;H294&amp;I294&amp;J294,Categorieën!$D$1:$P$31),L294)</f>
        <v/>
      </c>
    </row>
    <row r="295" spans="11:11">
      <c r="K295" s="17" t="str">
        <f ca="1">IF(L295="",SearchHLookup(G295&amp;H295&amp;I295&amp;J295,Categorieën!$D$1:$P$31),L295)</f>
        <v/>
      </c>
    </row>
    <row r="296" spans="11:11">
      <c r="K296" s="17" t="str">
        <f ca="1">IF(L296="",SearchHLookup(G296&amp;H296&amp;I296&amp;J296,Categorieën!$D$1:$P$31),L296)</f>
        <v/>
      </c>
    </row>
    <row r="297" spans="11:11">
      <c r="K297" s="17" t="str">
        <f ca="1">IF(L297="",SearchHLookup(G297&amp;H297&amp;I297&amp;J297,Categorieën!$D$1:$P$31),L297)</f>
        <v/>
      </c>
    </row>
    <row r="298" spans="11:11">
      <c r="K298" s="17" t="str">
        <f ca="1">IF(L298="",SearchHLookup(G298&amp;H298&amp;I298&amp;J298,Categorieën!$D$1:$P$31),L298)</f>
        <v/>
      </c>
    </row>
    <row r="299" spans="11:11">
      <c r="K299" s="17" t="str">
        <f ca="1">IF(L299="",SearchHLookup(G299&amp;H299&amp;I299&amp;J299,Categorieën!$D$1:$P$31),L299)</f>
        <v/>
      </c>
    </row>
    <row r="300" spans="11:11">
      <c r="K300" s="17" t="str">
        <f ca="1">IF(L300="",SearchHLookup(G300&amp;H300&amp;I300&amp;J300,Categorieën!$D$1:$P$31),L300)</f>
        <v/>
      </c>
    </row>
  </sheetData>
  <autoFilter ref="A1:L96"/>
  <phoneticPr fontId="8" type="noConversion"/>
  <conditionalFormatting sqref="D1:E1048576">
    <cfRule type="cellIs" dxfId="14" priority="3" operator="lessThan">
      <formula>0</formula>
    </cfRule>
  </conditionalFormatting>
  <conditionalFormatting sqref="A1:L1048576">
    <cfRule type="expression" dxfId="13" priority="1">
      <formula>IF(OR($D1&gt;2000,$D1&lt;-500),1,0)</formula>
    </cfRule>
  </conditionalFormatting>
  <dataValidations count="1">
    <dataValidation type="list" allowBlank="1" showInputMessage="1" sqref="L1:L1048576">
      <formula1>ManualTypes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>
    <tabColor theme="8" tint="-0.249977111117893"/>
  </sheetPr>
  <dimension ref="A1:Q68"/>
  <sheetViews>
    <sheetView workbookViewId="0">
      <pane xSplit="1" ySplit="9" topLeftCell="B10" activePane="bottomRight" state="frozenSplit"/>
      <selection pane="topRight" activeCell="B1" sqref="B1"/>
      <selection pane="bottomLeft" activeCell="A6" sqref="A6:A7"/>
      <selection pane="bottomRight" activeCell="F11" sqref="F11"/>
    </sheetView>
  </sheetViews>
  <sheetFormatPr defaultRowHeight="15" outlineLevelRow="1" outlineLevelCol="1"/>
  <cols>
    <col min="1" max="1" width="20.28515625" customWidth="1"/>
    <col min="2" max="2" width="13.140625" customWidth="1"/>
    <col min="3" max="3" width="15.28515625" customWidth="1"/>
    <col min="4" max="4" width="13" customWidth="1"/>
    <col min="5" max="5" width="17.140625" style="9" customWidth="1"/>
    <col min="6" max="6" width="9.7109375" bestFit="1" customWidth="1"/>
    <col min="9" max="16" width="9.140625" hidden="1" customWidth="1" outlineLevel="1"/>
    <col min="17" max="17" width="9.140625" collapsed="1"/>
  </cols>
  <sheetData>
    <row r="1" spans="1:6" s="4" customFormat="1">
      <c r="A1" s="84">
        <v>2006</v>
      </c>
      <c r="B1" s="6" t="s">
        <v>17</v>
      </c>
      <c r="C1" s="8" t="s">
        <v>18</v>
      </c>
      <c r="D1" s="8" t="s">
        <v>23</v>
      </c>
      <c r="E1" s="32" t="s">
        <v>60</v>
      </c>
    </row>
    <row r="2" spans="1:6" s="9" customFormat="1">
      <c r="A2" s="102" t="s">
        <v>31</v>
      </c>
      <c r="B2" s="25">
        <f t="array" ref="B2">IF(SUM((IF(YEAR($A$10:$A$200)&gt;=$A$1,1,0))*B$10:B$200)=0,0,SUM((IF(YEAR($A$10:$A$200)&gt;=$A$1,1,0))*B$10:B$200)/SUM((IF(YEAR($A$10:$A$200)&gt;=$A$1,1,0))*1))</f>
        <v>0</v>
      </c>
      <c r="C2" s="20">
        <f>AVERAGE(C$11:C$206)</f>
        <v>0</v>
      </c>
      <c r="D2" s="20">
        <f>AVERAGE(D$11:D$206)</f>
        <v>0</v>
      </c>
      <c r="E2" s="20">
        <f>VLOOKUP(MAX(A$10:A$200),$A$10:$E$200,5,FALSE)</f>
        <v>0</v>
      </c>
    </row>
    <row r="3" spans="1:6" s="9" customFormat="1">
      <c r="A3" s="71" t="s">
        <v>46</v>
      </c>
      <c r="B3" s="25">
        <f t="array" aca="1" ref="B3" ca="1">SUM((IF(YEAR($A$10:$A$200)&gt;=$A$1,1,0))*B$10:B$200)/(YEAR(TODAY())-$A$1+1)</f>
        <v>0</v>
      </c>
      <c r="C3" s="25">
        <f>AVERAGE(C$11:C$206)</f>
        <v>0</v>
      </c>
      <c r="D3" s="25">
        <f>AVERAGE(D$11:D$206)</f>
        <v>0</v>
      </c>
      <c r="E3" s="25"/>
    </row>
    <row r="4" spans="1:6" s="30" customFormat="1" ht="15.75" thickBot="1">
      <c r="A4" s="103" t="s">
        <v>29</v>
      </c>
      <c r="B4" s="29">
        <f t="array" ref="B4">IF(SUM((IF(YEAR($A$10:$A$200)&gt;=$A$1,1,0))*B$10:B$200)=0,0,SUM((IF(YEAR($A$10:$A$200)&gt;=$A$1,1,0))*B$10:B$200))</f>
        <v>0</v>
      </c>
      <c r="C4" s="29">
        <f>SUM(C$11:C$206)</f>
        <v>0</v>
      </c>
      <c r="D4" s="29">
        <f>SUM(D$11:D$206)</f>
        <v>0</v>
      </c>
      <c r="E4" s="29"/>
    </row>
    <row r="5" spans="1:6" s="9" customFormat="1">
      <c r="A5" s="52" t="s">
        <v>48</v>
      </c>
      <c r="B5" s="25">
        <f t="array" ref="B5">(SUM((IF(YEAR($A$10:$A$200)=YEAR($F5),1,0))*B$10:B$200))/SUM((IF(YEAR($A$10:$A$200)=YEAR($F5),1,0))*1)</f>
        <v>0</v>
      </c>
      <c r="C5" s="25">
        <f t="array" ref="C5">(SUM((IF(YEAR($A$10:$A$200)=YEAR($F5),1,0))*C$10:C$200))/SUM((IF(YEAR($A$10:$A$200)=YEAR($F5),1,0))*1)</f>
        <v>0</v>
      </c>
      <c r="D5" s="25">
        <f t="array" ref="D5">(SUM((IF(YEAR($A$10:$A$200)=YEAR($F5),1,0))*D$10:D$200))/SUM((IF(YEAR($A$10:$A$200)=YEAR($F5),1,0))*1)</f>
        <v>0</v>
      </c>
      <c r="E5" s="25"/>
      <c r="F5" s="66">
        <v>38718</v>
      </c>
    </row>
    <row r="6" spans="1:6" s="9" customFormat="1">
      <c r="A6" s="52" t="s">
        <v>49</v>
      </c>
      <c r="B6" s="25">
        <f t="array" ref="B6">(SUM((IF(YEAR($A$10:$A$200)=YEAR($F6),1,0))*B$10:B$200))/SUM((IF(YEAR($A$10:$A$200)=YEAR($F6),1,0))*1)</f>
        <v>0</v>
      </c>
      <c r="C6" s="25">
        <f t="array" ref="C6">(SUM((IF(YEAR($A$10:$A$200)=YEAR($F6),1,0))*C$10:C$200))/SUM((IF(YEAR($A$10:$A$200)=YEAR($F6),1,0))*1)</f>
        <v>0</v>
      </c>
      <c r="D6" s="25">
        <f t="array" ref="D6">(SUM((IF(YEAR($A$10:$A$200)=YEAR($F6),1,0))*D$10:D$200))/SUM((IF(YEAR($A$10:$A$200)=YEAR($F6),1,0))*1)</f>
        <v>0</v>
      </c>
      <c r="E6" s="25"/>
      <c r="F6" s="66">
        <v>39083</v>
      </c>
    </row>
    <row r="7" spans="1:6" s="9" customFormat="1">
      <c r="A7" s="52" t="s">
        <v>50</v>
      </c>
      <c r="B7" s="25">
        <f t="array" ref="B7">(SUM((IF(YEAR($A$10:$A$200)=YEAR($F7),1,0))*B$10:B$200))/SUM((IF(YEAR($A$10:$A$200)=YEAR($F7),1,0))*1)</f>
        <v>0</v>
      </c>
      <c r="C7" s="25">
        <f t="array" ref="C7">(SUM((IF(YEAR($A$10:$A$200)=YEAR($F7),1,0))*C$10:C$200))/SUM((IF(YEAR($A$10:$A$200)=YEAR($F7),1,0))*1)</f>
        <v>0</v>
      </c>
      <c r="D7" s="25">
        <f t="array" ref="D7">(SUM((IF(YEAR($A$10:$A$200)=YEAR($F7),1,0))*D$10:D$200))/SUM((IF(YEAR($A$10:$A$200)=YEAR($F7),1,0))*1)</f>
        <v>0</v>
      </c>
      <c r="E7" s="25"/>
      <c r="F7" s="66">
        <v>39448</v>
      </c>
    </row>
    <row r="8" spans="1:6" s="9" customFormat="1">
      <c r="A8" s="52" t="s">
        <v>51</v>
      </c>
      <c r="B8" s="25">
        <f t="array" ref="B8">(SUM((IF(YEAR($A$10:$A$200)=YEAR($F8),1,0))*B$10:B$200))/SUM((IF(YEAR($A$10:$A$200)=YEAR($F8),1,0))*1)</f>
        <v>0</v>
      </c>
      <c r="C8" s="25">
        <f t="array" ref="C8">(SUM((IF(YEAR($A$10:$A$200)=YEAR($F8),1,0))*C$10:C$200))/SUM((IF(YEAR($A$10:$A$200)=YEAR($F8),1,0))*1)</f>
        <v>0</v>
      </c>
      <c r="D8" s="25">
        <f t="array" ref="D8">(SUM((IF(YEAR($A$10:$A$200)=YEAR($F8),1,0))*D$10:D$200))/SUM((IF(YEAR($A$10:$A$200)=YEAR($F8),1,0))*1)</f>
        <v>0</v>
      </c>
      <c r="E8" s="25"/>
      <c r="F8" s="66">
        <v>39814</v>
      </c>
    </row>
    <row r="9" spans="1:6" s="9" customFormat="1">
      <c r="A9" s="52" t="s">
        <v>52</v>
      </c>
      <c r="B9" s="25">
        <f t="array" ref="B9">(SUM((IF(YEAR($A$10:$A$200)=YEAR($F9),1,0))*B$10:B$200))/SUM((IF(YEAR($A$10:$A$200)=YEAR($F9),1,0))*1)</f>
        <v>0</v>
      </c>
      <c r="C9" s="25">
        <f t="array" ref="C9">(SUM((IF(YEAR($A$10:$A$200)=YEAR($F9),1,0))*C$10:C$200))/SUM((IF(YEAR($A$10:$A$200)=YEAR($F9),1,0))*1)</f>
        <v>0</v>
      </c>
      <c r="D9" s="25">
        <f t="array" ref="D9">(SUM((IF(YEAR($A$10:$A$200)=YEAR($F9),1,0))*D$10:D$200))/SUM((IF(YEAR($A$10:$A$200)=YEAR($F9),1,0))*1)</f>
        <v>0</v>
      </c>
      <c r="E9" s="25"/>
      <c r="F9" s="66">
        <v>40179</v>
      </c>
    </row>
    <row r="10" spans="1:6" s="9" customFormat="1" outlineLevel="1">
      <c r="A10" s="13"/>
      <c r="B10" s="14"/>
      <c r="C10" s="12"/>
      <c r="D10" s="12"/>
      <c r="E10" s="28">
        <v>0</v>
      </c>
      <c r="F10" s="9" t="s">
        <v>2</v>
      </c>
    </row>
    <row r="11" spans="1:6" outlineLevel="1">
      <c r="A11" s="2">
        <v>38718</v>
      </c>
      <c r="B11" s="5">
        <f t="array" aca="1" ref="B11" ca="1">SUM((IF(MONTH(ArgentaMaxiData!$A$2:$A$200)=MONTH(ArgentaMaxiSamenv!$A11),1,0))*(IF(YEAR(ArgentaMaxiData!$A$2:$A$200)=YEAR(ArgentaMaxiSamenv!$A11),1,0))*(IF(ArgentaMaxiData!$D$2:$D$200&lt;0,1,0))*ArgentaMaxiData!$D$2:$D$200)</f>
        <v>0</v>
      </c>
      <c r="C11" s="5">
        <f t="array" aca="1" ref="C11" ca="1">SUM((IF(MONTH(ArgentaMaxiData!$A$2:$A$200)=MONTH(ArgentaMaxiSamenv!$A11),1,0))*(IF(YEAR(ArgentaMaxiData!$A$2:$A$200)=YEAR(ArgentaMaxiSamenv!$A11),1,0))*(IF(ArgentaMaxiData!$D$2:$D$200&gt;0,1,0))*ArgentaMaxiData!$D$2:$D$200)</f>
        <v>0</v>
      </c>
      <c r="D11" s="5">
        <f>C11+B11</f>
        <v>0</v>
      </c>
      <c r="E11" s="11">
        <f t="array" aca="1" ref="E11" ca="1">SUM((IF(MONTH(ArgentaMaxiData!$A$2:$A$200)=MONTH(ArgentaMaxiSamenv!$A11),1,0))*(IF(YEAR(ArgentaMaxiData!$A$2:$A$200)=YEAR(ArgentaMaxiSamenv!$A11),1,0))*ArgentaMaxiData!$D$2:$D$200)+$E10</f>
        <v>0</v>
      </c>
    </row>
    <row r="12" spans="1:6" outlineLevel="1">
      <c r="A12" s="2">
        <v>38749</v>
      </c>
      <c r="B12" s="5">
        <f t="array" aca="1" ref="B12" ca="1">SUM((IF(MONTH(ArgentaMaxiData!$A$2:$A$200)=MONTH(ArgentaMaxiSamenv!$A12),1,0))*(IF(YEAR(ArgentaMaxiData!$A$2:$A$200)=YEAR(ArgentaMaxiSamenv!$A12),1,0))*(IF(ArgentaMaxiData!$D$2:$D$200&lt;0,1,0))*ArgentaMaxiData!$D$2:$D$200)</f>
        <v>0</v>
      </c>
      <c r="C12" s="5">
        <f t="array" aca="1" ref="C12" ca="1">SUM((IF(MONTH(ArgentaMaxiData!$A$2:$A$200)=MONTH(ArgentaMaxiSamenv!$A12),1,0))*(IF(YEAR(ArgentaMaxiData!$A$2:$A$200)=YEAR(ArgentaMaxiSamenv!$A12),1,0))*(IF(ArgentaMaxiData!$D$2:$D$200&gt;0,1,0))*ArgentaMaxiData!$D$2:$D$200)</f>
        <v>0</v>
      </c>
      <c r="D12" s="5">
        <f>C12+B12</f>
        <v>0</v>
      </c>
      <c r="E12" s="11">
        <f t="array" aca="1" ref="E12" ca="1">SUM((IF(MONTH(ArgentaMaxiData!$A$2:$A$200)=MONTH(ArgentaMaxiSamenv!$A12),1,0))*(IF(YEAR(ArgentaMaxiData!$A$2:$A$200)=YEAR(ArgentaMaxiSamenv!$A12),1,0))*ArgentaMaxiData!$D$2:$D$200)+$E11</f>
        <v>0</v>
      </c>
    </row>
    <row r="13" spans="1:6" outlineLevel="1">
      <c r="A13" s="2">
        <v>38777</v>
      </c>
      <c r="B13" s="5">
        <f t="array" aca="1" ref="B13" ca="1">SUM((IF(MONTH(ArgentaMaxiData!$A$2:$A$200)=MONTH(ArgentaMaxiSamenv!$A13),1,0))*(IF(YEAR(ArgentaMaxiData!$A$2:$A$200)=YEAR(ArgentaMaxiSamenv!$A13),1,0))*(IF(ArgentaMaxiData!$D$2:$D$200&lt;0,1,0))*ArgentaMaxiData!$D$2:$D$200)</f>
        <v>0</v>
      </c>
      <c r="C13" s="5">
        <f t="array" aca="1" ref="C13" ca="1">SUM((IF(MONTH(ArgentaMaxiData!$A$2:$A$200)=MONTH(ArgentaMaxiSamenv!$A13),1,0))*(IF(YEAR(ArgentaMaxiData!$A$2:$A$200)=YEAR(ArgentaMaxiSamenv!$A13),1,0))*(IF(ArgentaMaxiData!$D$2:$D$200&gt;0,1,0))*ArgentaMaxiData!$D$2:$D$200)</f>
        <v>0</v>
      </c>
      <c r="D13" s="5">
        <f t="shared" ref="D13:D36" si="0">C13+B13</f>
        <v>0</v>
      </c>
      <c r="E13" s="11">
        <f t="array" aca="1" ref="E13" ca="1">SUM((IF(MONTH(ArgentaMaxiData!$A$2:$A$200)=MONTH(ArgentaMaxiSamenv!$A13),1,0))*(IF(YEAR(ArgentaMaxiData!$A$2:$A$200)=YEAR(ArgentaMaxiSamenv!$A13),1,0))*ArgentaMaxiData!$D$2:$D$200)+$E12</f>
        <v>0</v>
      </c>
    </row>
    <row r="14" spans="1:6" outlineLevel="1">
      <c r="A14" s="2">
        <v>38808</v>
      </c>
      <c r="B14" s="5">
        <f t="array" aca="1" ref="B14" ca="1">SUM((IF(MONTH(ArgentaMaxiData!$A$2:$A$200)=MONTH(ArgentaMaxiSamenv!$A14),1,0))*(IF(YEAR(ArgentaMaxiData!$A$2:$A$200)=YEAR(ArgentaMaxiSamenv!$A14),1,0))*(IF(ArgentaMaxiData!$D$2:$D$200&lt;0,1,0))*ArgentaMaxiData!$D$2:$D$200)</f>
        <v>0</v>
      </c>
      <c r="C14" s="5">
        <f t="array" aca="1" ref="C14" ca="1">SUM((IF(MONTH(ArgentaMaxiData!$A$2:$A$200)=MONTH(ArgentaMaxiSamenv!$A14),1,0))*(IF(YEAR(ArgentaMaxiData!$A$2:$A$200)=YEAR(ArgentaMaxiSamenv!$A14),1,0))*(IF(ArgentaMaxiData!$D$2:$D$200&gt;0,1,0))*ArgentaMaxiData!$D$2:$D$200)</f>
        <v>0</v>
      </c>
      <c r="D14" s="5">
        <f t="shared" si="0"/>
        <v>0</v>
      </c>
      <c r="E14" s="11">
        <f t="array" aca="1" ref="E14" ca="1">SUM((IF(MONTH(ArgentaMaxiData!$A$2:$A$200)=MONTH(ArgentaMaxiSamenv!$A14),1,0))*(IF(YEAR(ArgentaMaxiData!$A$2:$A$200)=YEAR(ArgentaMaxiSamenv!$A14),1,0))*ArgentaMaxiData!$D$2:$D$200)+$E13</f>
        <v>0</v>
      </c>
    </row>
    <row r="15" spans="1:6" outlineLevel="1">
      <c r="A15" s="2">
        <v>38838</v>
      </c>
      <c r="B15" s="5">
        <f t="array" aca="1" ref="B15" ca="1">SUM((IF(MONTH(ArgentaMaxiData!$A$2:$A$200)=MONTH(ArgentaMaxiSamenv!$A15),1,0))*(IF(YEAR(ArgentaMaxiData!$A$2:$A$200)=YEAR(ArgentaMaxiSamenv!$A15),1,0))*(IF(ArgentaMaxiData!$D$2:$D$200&lt;0,1,0))*ArgentaMaxiData!$D$2:$D$200)</f>
        <v>0</v>
      </c>
      <c r="C15" s="5">
        <f t="array" aca="1" ref="C15" ca="1">SUM((IF(MONTH(ArgentaMaxiData!$A$2:$A$200)=MONTH(ArgentaMaxiSamenv!$A15),1,0))*(IF(YEAR(ArgentaMaxiData!$A$2:$A$200)=YEAR(ArgentaMaxiSamenv!$A15),1,0))*(IF(ArgentaMaxiData!$D$2:$D$200&gt;0,1,0))*ArgentaMaxiData!$D$2:$D$200)</f>
        <v>0</v>
      </c>
      <c r="D15" s="5">
        <f t="shared" si="0"/>
        <v>0</v>
      </c>
      <c r="E15" s="11">
        <f t="array" aca="1" ref="E15" ca="1">SUM((IF(MONTH(ArgentaMaxiData!$A$2:$A$200)=MONTH(ArgentaMaxiSamenv!$A15),1,0))*(IF(YEAR(ArgentaMaxiData!$A$2:$A$200)=YEAR(ArgentaMaxiSamenv!$A15),1,0))*ArgentaMaxiData!$D$2:$D$200)+$E14</f>
        <v>0</v>
      </c>
    </row>
    <row r="16" spans="1:6" outlineLevel="1">
      <c r="A16" s="2">
        <v>38869</v>
      </c>
      <c r="B16" s="5">
        <f t="array" aca="1" ref="B16" ca="1">SUM((IF(MONTH(ArgentaMaxiData!$A$2:$A$200)=MONTH(ArgentaMaxiSamenv!$A16),1,0))*(IF(YEAR(ArgentaMaxiData!$A$2:$A$200)=YEAR(ArgentaMaxiSamenv!$A16),1,0))*(IF(ArgentaMaxiData!$D$2:$D$200&lt;0,1,0))*ArgentaMaxiData!$D$2:$D$200)</f>
        <v>0</v>
      </c>
      <c r="C16" s="5">
        <f t="array" aca="1" ref="C16" ca="1">SUM((IF(MONTH(ArgentaMaxiData!$A$2:$A$200)=MONTH(ArgentaMaxiSamenv!$A16),1,0))*(IF(YEAR(ArgentaMaxiData!$A$2:$A$200)=YEAR(ArgentaMaxiSamenv!$A16),1,0))*(IF(ArgentaMaxiData!$D$2:$D$200&gt;0,1,0))*ArgentaMaxiData!$D$2:$D$200)</f>
        <v>0</v>
      </c>
      <c r="D16" s="5">
        <f t="shared" si="0"/>
        <v>0</v>
      </c>
      <c r="E16" s="11">
        <f t="array" aca="1" ref="E16" ca="1">SUM((IF(MONTH(ArgentaMaxiData!$A$2:$A$200)=MONTH(ArgentaMaxiSamenv!$A16),1,0))*(IF(YEAR(ArgentaMaxiData!$A$2:$A$200)=YEAR(ArgentaMaxiSamenv!$A16),1,0))*ArgentaMaxiData!$D$2:$D$200)+$E15</f>
        <v>0</v>
      </c>
    </row>
    <row r="17" spans="1:5" outlineLevel="1">
      <c r="A17" s="2">
        <v>38899</v>
      </c>
      <c r="B17" s="5">
        <f t="array" aca="1" ref="B17" ca="1">SUM((IF(MONTH(ArgentaMaxiData!$A$2:$A$200)=MONTH(ArgentaMaxiSamenv!$A17),1,0))*(IF(YEAR(ArgentaMaxiData!$A$2:$A$200)=YEAR(ArgentaMaxiSamenv!$A17),1,0))*(IF(ArgentaMaxiData!$D$2:$D$200&lt;0,1,0))*ArgentaMaxiData!$D$2:$D$200)</f>
        <v>0</v>
      </c>
      <c r="C17" s="5">
        <f t="array" aca="1" ref="C17" ca="1">SUM((IF(MONTH(ArgentaMaxiData!$A$2:$A$200)=MONTH(ArgentaMaxiSamenv!$A17),1,0))*(IF(YEAR(ArgentaMaxiData!$A$2:$A$200)=YEAR(ArgentaMaxiSamenv!$A17),1,0))*(IF(ArgentaMaxiData!$D$2:$D$200&gt;0,1,0))*ArgentaMaxiData!$D$2:$D$200)</f>
        <v>0</v>
      </c>
      <c r="D17" s="5">
        <f t="shared" si="0"/>
        <v>0</v>
      </c>
      <c r="E17" s="11">
        <f t="array" aca="1" ref="E17" ca="1">SUM((IF(MONTH(ArgentaMaxiData!$A$2:$A$200)=MONTH(ArgentaMaxiSamenv!$A17),1,0))*(IF(YEAR(ArgentaMaxiData!$A$2:$A$200)=YEAR(ArgentaMaxiSamenv!$A17),1,0))*ArgentaMaxiData!$D$2:$D$200)+$E16</f>
        <v>0</v>
      </c>
    </row>
    <row r="18" spans="1:5" outlineLevel="1">
      <c r="A18" s="2">
        <v>38930</v>
      </c>
      <c r="B18" s="5">
        <f t="array" aca="1" ref="B18" ca="1">SUM((IF(MONTH(ArgentaMaxiData!$A$2:$A$200)=MONTH(ArgentaMaxiSamenv!$A18),1,0))*(IF(YEAR(ArgentaMaxiData!$A$2:$A$200)=YEAR(ArgentaMaxiSamenv!$A18),1,0))*(IF(ArgentaMaxiData!$D$2:$D$200&lt;0,1,0))*ArgentaMaxiData!$D$2:$D$200)</f>
        <v>0</v>
      </c>
      <c r="C18" s="5">
        <f t="array" aca="1" ref="C18" ca="1">SUM((IF(MONTH(ArgentaMaxiData!$A$2:$A$200)=MONTH(ArgentaMaxiSamenv!$A18),1,0))*(IF(YEAR(ArgentaMaxiData!$A$2:$A$200)=YEAR(ArgentaMaxiSamenv!$A18),1,0))*(IF(ArgentaMaxiData!$D$2:$D$200&gt;0,1,0))*ArgentaMaxiData!$D$2:$D$200)</f>
        <v>0</v>
      </c>
      <c r="D18" s="5">
        <f t="shared" si="0"/>
        <v>0</v>
      </c>
      <c r="E18" s="11">
        <f t="array" aca="1" ref="E18" ca="1">SUM((IF(MONTH(ArgentaMaxiData!$A$2:$A$200)=MONTH(ArgentaMaxiSamenv!$A18),1,0))*(IF(YEAR(ArgentaMaxiData!$A$2:$A$200)=YEAR(ArgentaMaxiSamenv!$A18),1,0))*ArgentaMaxiData!$D$2:$D$200)+$E17</f>
        <v>0</v>
      </c>
    </row>
    <row r="19" spans="1:5" outlineLevel="1">
      <c r="A19" s="2">
        <v>38961</v>
      </c>
      <c r="B19" s="5">
        <f t="array" aca="1" ref="B19" ca="1">SUM((IF(MONTH(ArgentaMaxiData!$A$2:$A$200)=MONTH(ArgentaMaxiSamenv!$A19),1,0))*(IF(YEAR(ArgentaMaxiData!$A$2:$A$200)=YEAR(ArgentaMaxiSamenv!$A19),1,0))*(IF(ArgentaMaxiData!$D$2:$D$200&lt;0,1,0))*ArgentaMaxiData!$D$2:$D$200)</f>
        <v>0</v>
      </c>
      <c r="C19" s="5">
        <f t="array" aca="1" ref="C19" ca="1">SUM((IF(MONTH(ArgentaMaxiData!$A$2:$A$200)=MONTH(ArgentaMaxiSamenv!$A19),1,0))*(IF(YEAR(ArgentaMaxiData!$A$2:$A$200)=YEAR(ArgentaMaxiSamenv!$A19),1,0))*(IF(ArgentaMaxiData!$D$2:$D$200&gt;0,1,0))*ArgentaMaxiData!$D$2:$D$200)</f>
        <v>0</v>
      </c>
      <c r="D19" s="5">
        <f t="shared" si="0"/>
        <v>0</v>
      </c>
      <c r="E19" s="11">
        <f t="array" aca="1" ref="E19" ca="1">SUM((IF(MONTH(ArgentaMaxiData!$A$2:$A$200)=MONTH(ArgentaMaxiSamenv!$A19),1,0))*(IF(YEAR(ArgentaMaxiData!$A$2:$A$200)=YEAR(ArgentaMaxiSamenv!$A19),1,0))*ArgentaMaxiData!$D$2:$D$200)+$E18</f>
        <v>0</v>
      </c>
    </row>
    <row r="20" spans="1:5" outlineLevel="1">
      <c r="A20" s="2">
        <v>38991</v>
      </c>
      <c r="B20" s="5">
        <f t="array" aca="1" ref="B20" ca="1">SUM((IF(MONTH(ArgentaMaxiData!$A$2:$A$200)=MONTH(ArgentaMaxiSamenv!$A20),1,0))*(IF(YEAR(ArgentaMaxiData!$A$2:$A$200)=YEAR(ArgentaMaxiSamenv!$A20),1,0))*(IF(ArgentaMaxiData!$D$2:$D$200&lt;0,1,0))*ArgentaMaxiData!$D$2:$D$200)</f>
        <v>0</v>
      </c>
      <c r="C20" s="5">
        <f t="array" aca="1" ref="C20" ca="1">SUM((IF(MONTH(ArgentaMaxiData!$A$2:$A$200)=MONTH(ArgentaMaxiSamenv!$A20),1,0))*(IF(YEAR(ArgentaMaxiData!$A$2:$A$200)=YEAR(ArgentaMaxiSamenv!$A20),1,0))*(IF(ArgentaMaxiData!$D$2:$D$200&gt;0,1,0))*ArgentaMaxiData!$D$2:$D$200)</f>
        <v>0</v>
      </c>
      <c r="D20" s="5">
        <f t="shared" si="0"/>
        <v>0</v>
      </c>
      <c r="E20" s="11">
        <f t="array" aca="1" ref="E20" ca="1">SUM((IF(MONTH(ArgentaMaxiData!$A$2:$A$200)=MONTH(ArgentaMaxiSamenv!$A20),1,0))*(IF(YEAR(ArgentaMaxiData!$A$2:$A$200)=YEAR(ArgentaMaxiSamenv!$A20),1,0))*ArgentaMaxiData!$D$2:$D$200)+$E19</f>
        <v>0</v>
      </c>
    </row>
    <row r="21" spans="1:5" outlineLevel="1">
      <c r="A21" s="2">
        <v>39022</v>
      </c>
      <c r="B21" s="5">
        <f t="array" aca="1" ref="B21" ca="1">SUM((IF(MONTH(ArgentaMaxiData!$A$2:$A$200)=MONTH(ArgentaMaxiSamenv!$A21),1,0))*(IF(YEAR(ArgentaMaxiData!$A$2:$A$200)=YEAR(ArgentaMaxiSamenv!$A21),1,0))*(IF(ArgentaMaxiData!$D$2:$D$200&lt;0,1,0))*ArgentaMaxiData!$D$2:$D$200)</f>
        <v>0</v>
      </c>
      <c r="C21" s="5">
        <f t="array" aca="1" ref="C21" ca="1">SUM((IF(MONTH(ArgentaMaxiData!$A$2:$A$200)=MONTH(ArgentaMaxiSamenv!$A21),1,0))*(IF(YEAR(ArgentaMaxiData!$A$2:$A$200)=YEAR(ArgentaMaxiSamenv!$A21),1,0))*(IF(ArgentaMaxiData!$D$2:$D$200&gt;0,1,0))*ArgentaMaxiData!$D$2:$D$200)</f>
        <v>0</v>
      </c>
      <c r="D21" s="5">
        <f t="shared" si="0"/>
        <v>0</v>
      </c>
      <c r="E21" s="11">
        <f t="array" aca="1" ref="E21" ca="1">SUM((IF(MONTH(ArgentaMaxiData!$A$2:$A$200)=MONTH(ArgentaMaxiSamenv!$A21),1,0))*(IF(YEAR(ArgentaMaxiData!$A$2:$A$200)=YEAR(ArgentaMaxiSamenv!$A21),1,0))*ArgentaMaxiData!$D$2:$D$200)+$E20</f>
        <v>0</v>
      </c>
    </row>
    <row r="22" spans="1:5" s="9" customFormat="1">
      <c r="A22" s="10">
        <v>39052</v>
      </c>
      <c r="B22" s="11">
        <f t="array" aca="1" ref="B22" ca="1">SUM((IF(MONTH(ArgentaMaxiData!$A$2:$A$200)=MONTH(ArgentaMaxiSamenv!$A22),1,0))*(IF(YEAR(ArgentaMaxiData!$A$2:$A$200)=YEAR(ArgentaMaxiSamenv!$A22),1,0))*(IF(ArgentaMaxiData!$D$2:$D$200&lt;0,1,0))*ArgentaMaxiData!$D$2:$D$200)</f>
        <v>0</v>
      </c>
      <c r="C22" s="11">
        <f t="array" aca="1" ref="C22" ca="1">SUM((IF(MONTH(ArgentaMaxiData!$A$2:$A$200)=MONTH(ArgentaMaxiSamenv!$A22),1,0))*(IF(YEAR(ArgentaMaxiData!$A$2:$A$200)=YEAR(ArgentaMaxiSamenv!$A22),1,0))*(IF(ArgentaMaxiData!$D$2:$D$200&gt;0,1,0))*ArgentaMaxiData!$D$2:$D$200)</f>
        <v>0</v>
      </c>
      <c r="D22" s="11">
        <f t="shared" si="0"/>
        <v>0</v>
      </c>
      <c r="E22" s="11">
        <f t="array" aca="1" ref="E22" ca="1">SUM((IF(MONTH(ArgentaMaxiData!$A$2:$A$200)=MONTH(ArgentaMaxiSamenv!$A22),1,0))*(IF(YEAR(ArgentaMaxiData!$A$2:$A$200)=YEAR(ArgentaMaxiSamenv!$A22),1,0))*ArgentaMaxiData!$D$2:$D$200)+$E21</f>
        <v>0</v>
      </c>
    </row>
    <row r="23" spans="1:5" outlineLevel="1">
      <c r="A23" s="2">
        <v>39083</v>
      </c>
      <c r="B23" s="5">
        <f t="array" aca="1" ref="B23" ca="1">SUM((IF(MONTH(ArgentaMaxiData!$A$2:$A$200)=MONTH(ArgentaMaxiSamenv!$A23),1,0))*(IF(YEAR(ArgentaMaxiData!$A$2:$A$200)=YEAR(ArgentaMaxiSamenv!$A23),1,0))*(IF(ArgentaMaxiData!$D$2:$D$200&lt;0,1,0))*ArgentaMaxiData!$D$2:$D$200)</f>
        <v>0</v>
      </c>
      <c r="C23" s="5">
        <f t="array" aca="1" ref="C23" ca="1">SUM((IF(MONTH(ArgentaMaxiData!$A$2:$A$200)=MONTH(ArgentaMaxiSamenv!$A23),1,0))*(IF(YEAR(ArgentaMaxiData!$A$2:$A$200)=YEAR(ArgentaMaxiSamenv!$A23),1,0))*(IF(ArgentaMaxiData!$D$2:$D$200&gt;0,1,0))*ArgentaMaxiData!$D$2:$D$200)</f>
        <v>0</v>
      </c>
      <c r="D23" s="5">
        <f t="shared" si="0"/>
        <v>0</v>
      </c>
      <c r="E23" s="11">
        <f t="array" aca="1" ref="E23" ca="1">SUM((IF(MONTH(ArgentaMaxiData!$A$2:$A$200)=MONTH(ArgentaMaxiSamenv!$A23),1,0))*(IF(YEAR(ArgentaMaxiData!$A$2:$A$200)=YEAR(ArgentaMaxiSamenv!$A23),1,0))*ArgentaMaxiData!$D$2:$D$200)+$E22</f>
        <v>0</v>
      </c>
    </row>
    <row r="24" spans="1:5" outlineLevel="1">
      <c r="A24" s="2">
        <v>39114</v>
      </c>
      <c r="B24" s="5">
        <f t="array" aca="1" ref="B24" ca="1">SUM((IF(MONTH(ArgentaMaxiData!$A$2:$A$200)=MONTH(ArgentaMaxiSamenv!$A24),1,0))*(IF(YEAR(ArgentaMaxiData!$A$2:$A$200)=YEAR(ArgentaMaxiSamenv!$A24),1,0))*(IF(ArgentaMaxiData!$D$2:$D$200&lt;0,1,0))*ArgentaMaxiData!$D$2:$D$200)</f>
        <v>0</v>
      </c>
      <c r="C24" s="5">
        <f t="array" aca="1" ref="C24" ca="1">SUM((IF(MONTH(ArgentaMaxiData!$A$2:$A$200)=MONTH(ArgentaMaxiSamenv!$A24),1,0))*(IF(YEAR(ArgentaMaxiData!$A$2:$A$200)=YEAR(ArgentaMaxiSamenv!$A24),1,0))*(IF(ArgentaMaxiData!$D$2:$D$200&gt;0,1,0))*ArgentaMaxiData!$D$2:$D$200)</f>
        <v>0</v>
      </c>
      <c r="D24" s="5">
        <f t="shared" si="0"/>
        <v>0</v>
      </c>
      <c r="E24" s="11">
        <f t="array" aca="1" ref="E24" ca="1">SUM((IF(MONTH(ArgentaMaxiData!$A$2:$A$200)=MONTH(ArgentaMaxiSamenv!$A24),1,0))*(IF(YEAR(ArgentaMaxiData!$A$2:$A$200)=YEAR(ArgentaMaxiSamenv!$A24),1,0))*ArgentaMaxiData!$D$2:$D$200)+$E23</f>
        <v>0</v>
      </c>
    </row>
    <row r="25" spans="1:5" outlineLevel="1">
      <c r="A25" s="2">
        <v>39142</v>
      </c>
      <c r="B25" s="5">
        <f t="array" aca="1" ref="B25" ca="1">SUM((IF(MONTH(ArgentaMaxiData!$A$2:$A$200)=MONTH(ArgentaMaxiSamenv!$A25),1,0))*(IF(YEAR(ArgentaMaxiData!$A$2:$A$200)=YEAR(ArgentaMaxiSamenv!$A25),1,0))*(IF(ArgentaMaxiData!$D$2:$D$200&lt;0,1,0))*ArgentaMaxiData!$D$2:$D$200)</f>
        <v>0</v>
      </c>
      <c r="C25" s="5">
        <f t="array" aca="1" ref="C25" ca="1">SUM((IF(MONTH(ArgentaMaxiData!$A$2:$A$200)=MONTH(ArgentaMaxiSamenv!$A25),1,0))*(IF(YEAR(ArgentaMaxiData!$A$2:$A$200)=YEAR(ArgentaMaxiSamenv!$A25),1,0))*(IF(ArgentaMaxiData!$D$2:$D$200&gt;0,1,0))*ArgentaMaxiData!$D$2:$D$200)</f>
        <v>0</v>
      </c>
      <c r="D25" s="5">
        <f t="shared" si="0"/>
        <v>0</v>
      </c>
      <c r="E25" s="11">
        <f t="array" aca="1" ref="E25" ca="1">SUM((IF(MONTH(ArgentaMaxiData!$A$2:$A$200)=MONTH(ArgentaMaxiSamenv!$A25),1,0))*(IF(YEAR(ArgentaMaxiData!$A$2:$A$200)=YEAR(ArgentaMaxiSamenv!$A25),1,0))*ArgentaMaxiData!$D$2:$D$200)+$E24</f>
        <v>0</v>
      </c>
    </row>
    <row r="26" spans="1:5" outlineLevel="1">
      <c r="A26" s="2">
        <v>39173</v>
      </c>
      <c r="B26" s="5">
        <f t="array" aca="1" ref="B26" ca="1">SUM((IF(MONTH(ArgentaMaxiData!$A$2:$A$200)=MONTH(ArgentaMaxiSamenv!$A26),1,0))*(IF(YEAR(ArgentaMaxiData!$A$2:$A$200)=YEAR(ArgentaMaxiSamenv!$A26),1,0))*(IF(ArgentaMaxiData!$D$2:$D$200&lt;0,1,0))*ArgentaMaxiData!$D$2:$D$200)</f>
        <v>0</v>
      </c>
      <c r="C26" s="5">
        <f t="array" aca="1" ref="C26" ca="1">SUM((IF(MONTH(ArgentaMaxiData!$A$2:$A$200)=MONTH(ArgentaMaxiSamenv!$A26),1,0))*(IF(YEAR(ArgentaMaxiData!$A$2:$A$200)=YEAR(ArgentaMaxiSamenv!$A26),1,0))*(IF(ArgentaMaxiData!$D$2:$D$200&gt;0,1,0))*ArgentaMaxiData!$D$2:$D$200)</f>
        <v>0</v>
      </c>
      <c r="D26" s="5">
        <f t="shared" si="0"/>
        <v>0</v>
      </c>
      <c r="E26" s="11">
        <f t="array" aca="1" ref="E26" ca="1">SUM((IF(MONTH(ArgentaMaxiData!$A$2:$A$200)=MONTH(ArgentaMaxiSamenv!$A26),1,0))*(IF(YEAR(ArgentaMaxiData!$A$2:$A$200)=YEAR(ArgentaMaxiSamenv!$A26),1,0))*ArgentaMaxiData!$D$2:$D$200)+$E25</f>
        <v>0</v>
      </c>
    </row>
    <row r="27" spans="1:5" outlineLevel="1">
      <c r="A27" s="2">
        <v>39203</v>
      </c>
      <c r="B27" s="5">
        <f t="array" aca="1" ref="B27" ca="1">SUM((IF(MONTH(ArgentaMaxiData!$A$2:$A$200)=MONTH(ArgentaMaxiSamenv!$A27),1,0))*(IF(YEAR(ArgentaMaxiData!$A$2:$A$200)=YEAR(ArgentaMaxiSamenv!$A27),1,0))*(IF(ArgentaMaxiData!$D$2:$D$200&lt;0,1,0))*ArgentaMaxiData!$D$2:$D$200)</f>
        <v>0</v>
      </c>
      <c r="C27" s="5">
        <f t="array" aca="1" ref="C27" ca="1">SUM((IF(MONTH(ArgentaMaxiData!$A$2:$A$200)=MONTH(ArgentaMaxiSamenv!$A27),1,0))*(IF(YEAR(ArgentaMaxiData!$A$2:$A$200)=YEAR(ArgentaMaxiSamenv!$A27),1,0))*(IF(ArgentaMaxiData!$D$2:$D$200&gt;0,1,0))*ArgentaMaxiData!$D$2:$D$200)</f>
        <v>0</v>
      </c>
      <c r="D27" s="5">
        <f t="shared" si="0"/>
        <v>0</v>
      </c>
      <c r="E27" s="11">
        <f t="array" aca="1" ref="E27" ca="1">SUM((IF(MONTH(ArgentaMaxiData!$A$2:$A$200)=MONTH(ArgentaMaxiSamenv!$A27),1,0))*(IF(YEAR(ArgentaMaxiData!$A$2:$A$200)=YEAR(ArgentaMaxiSamenv!$A27),1,0))*ArgentaMaxiData!$D$2:$D$200)+$E26</f>
        <v>0</v>
      </c>
    </row>
    <row r="28" spans="1:5" outlineLevel="1">
      <c r="A28" s="2">
        <v>39234</v>
      </c>
      <c r="B28" s="5">
        <f t="array" aca="1" ref="B28" ca="1">SUM((IF(MONTH(ArgentaMaxiData!$A$2:$A$200)=MONTH(ArgentaMaxiSamenv!$A28),1,0))*(IF(YEAR(ArgentaMaxiData!$A$2:$A$200)=YEAR(ArgentaMaxiSamenv!$A28),1,0))*(IF(ArgentaMaxiData!$D$2:$D$200&lt;0,1,0))*ArgentaMaxiData!$D$2:$D$200)</f>
        <v>0</v>
      </c>
      <c r="C28" s="5">
        <f t="array" aca="1" ref="C28" ca="1">SUM((IF(MONTH(ArgentaMaxiData!$A$2:$A$200)=MONTH(ArgentaMaxiSamenv!$A28),1,0))*(IF(YEAR(ArgentaMaxiData!$A$2:$A$200)=YEAR(ArgentaMaxiSamenv!$A28),1,0))*(IF(ArgentaMaxiData!$D$2:$D$200&gt;0,1,0))*ArgentaMaxiData!$D$2:$D$200)</f>
        <v>0</v>
      </c>
      <c r="D28" s="5">
        <f t="shared" si="0"/>
        <v>0</v>
      </c>
      <c r="E28" s="11">
        <f t="array" aca="1" ref="E28" ca="1">SUM((IF(MONTH(ArgentaMaxiData!$A$2:$A$200)=MONTH(ArgentaMaxiSamenv!$A28),1,0))*(IF(YEAR(ArgentaMaxiData!$A$2:$A$200)=YEAR(ArgentaMaxiSamenv!$A28),1,0))*ArgentaMaxiData!$D$2:$D$200)+$E27</f>
        <v>0</v>
      </c>
    </row>
    <row r="29" spans="1:5" outlineLevel="1">
      <c r="A29" s="2">
        <v>39264</v>
      </c>
      <c r="B29" s="5">
        <f t="array" aca="1" ref="B29" ca="1">SUM((IF(MONTH(ArgentaMaxiData!$A$2:$A$200)=MONTH(ArgentaMaxiSamenv!$A29),1,0))*(IF(YEAR(ArgentaMaxiData!$A$2:$A$200)=YEAR(ArgentaMaxiSamenv!$A29),1,0))*(IF(ArgentaMaxiData!$D$2:$D$200&lt;0,1,0))*ArgentaMaxiData!$D$2:$D$200)</f>
        <v>0</v>
      </c>
      <c r="C29" s="5">
        <f t="array" aca="1" ref="C29" ca="1">SUM((IF(MONTH(ArgentaMaxiData!$A$2:$A$200)=MONTH(ArgentaMaxiSamenv!$A29),1,0))*(IF(YEAR(ArgentaMaxiData!$A$2:$A$200)=YEAR(ArgentaMaxiSamenv!$A29),1,0))*(IF(ArgentaMaxiData!$D$2:$D$200&gt;0,1,0))*ArgentaMaxiData!$D$2:$D$200)</f>
        <v>0</v>
      </c>
      <c r="D29" s="5">
        <f t="shared" si="0"/>
        <v>0</v>
      </c>
      <c r="E29" s="11">
        <f t="array" aca="1" ref="E29" ca="1">SUM((IF(MONTH(ArgentaMaxiData!$A$2:$A$200)=MONTH(ArgentaMaxiSamenv!$A29),1,0))*(IF(YEAR(ArgentaMaxiData!$A$2:$A$200)=YEAR(ArgentaMaxiSamenv!$A29),1,0))*ArgentaMaxiData!$D$2:$D$200)+$E28</f>
        <v>0</v>
      </c>
    </row>
    <row r="30" spans="1:5" outlineLevel="1">
      <c r="A30" s="2">
        <v>39295</v>
      </c>
      <c r="B30" s="5">
        <f t="array" aca="1" ref="B30" ca="1">SUM((IF(MONTH(ArgentaMaxiData!$A$2:$A$200)=MONTH(ArgentaMaxiSamenv!$A30),1,0))*(IF(YEAR(ArgentaMaxiData!$A$2:$A$200)=YEAR(ArgentaMaxiSamenv!$A30),1,0))*(IF(ArgentaMaxiData!$D$2:$D$200&lt;0,1,0))*ArgentaMaxiData!$D$2:$D$200)</f>
        <v>0</v>
      </c>
      <c r="C30" s="5">
        <f t="array" aca="1" ref="C30" ca="1">SUM((IF(MONTH(ArgentaMaxiData!$A$2:$A$200)=MONTH(ArgentaMaxiSamenv!$A30),1,0))*(IF(YEAR(ArgentaMaxiData!$A$2:$A$200)=YEAR(ArgentaMaxiSamenv!$A30),1,0))*(IF(ArgentaMaxiData!$D$2:$D$200&gt;0,1,0))*ArgentaMaxiData!$D$2:$D$200)</f>
        <v>0</v>
      </c>
      <c r="D30" s="5">
        <f t="shared" si="0"/>
        <v>0</v>
      </c>
      <c r="E30" s="11">
        <f t="array" aca="1" ref="E30" ca="1">SUM((IF(MONTH(ArgentaMaxiData!$A$2:$A$200)=MONTH(ArgentaMaxiSamenv!$A30),1,0))*(IF(YEAR(ArgentaMaxiData!$A$2:$A$200)=YEAR(ArgentaMaxiSamenv!$A30),1,0))*ArgentaMaxiData!$D$2:$D$200)+$E29</f>
        <v>0</v>
      </c>
    </row>
    <row r="31" spans="1:5" outlineLevel="1">
      <c r="A31" s="2">
        <v>39326</v>
      </c>
      <c r="B31" s="5">
        <f t="array" aca="1" ref="B31" ca="1">SUM((IF(MONTH(ArgentaMaxiData!$A$2:$A$200)=MONTH(ArgentaMaxiSamenv!$A31),1,0))*(IF(YEAR(ArgentaMaxiData!$A$2:$A$200)=YEAR(ArgentaMaxiSamenv!$A31),1,0))*(IF(ArgentaMaxiData!$D$2:$D$200&lt;0,1,0))*ArgentaMaxiData!$D$2:$D$200)</f>
        <v>0</v>
      </c>
      <c r="C31" s="5">
        <f t="array" aca="1" ref="C31" ca="1">SUM((IF(MONTH(ArgentaMaxiData!$A$2:$A$200)=MONTH(ArgentaMaxiSamenv!$A31),1,0))*(IF(YEAR(ArgentaMaxiData!$A$2:$A$200)=YEAR(ArgentaMaxiSamenv!$A31),1,0))*(IF(ArgentaMaxiData!$D$2:$D$200&gt;0,1,0))*ArgentaMaxiData!$D$2:$D$200)</f>
        <v>0</v>
      </c>
      <c r="D31" s="5">
        <f t="shared" si="0"/>
        <v>0</v>
      </c>
      <c r="E31" s="11">
        <f t="array" aca="1" ref="E31" ca="1">SUM((IF(MONTH(ArgentaMaxiData!$A$2:$A$200)=MONTH(ArgentaMaxiSamenv!$A31),1,0))*(IF(YEAR(ArgentaMaxiData!$A$2:$A$200)=YEAR(ArgentaMaxiSamenv!$A31),1,0))*ArgentaMaxiData!$D$2:$D$200)+$E30</f>
        <v>0</v>
      </c>
    </row>
    <row r="32" spans="1:5" outlineLevel="1">
      <c r="A32" s="2">
        <v>39356</v>
      </c>
      <c r="B32" s="5">
        <f t="array" aca="1" ref="B32" ca="1">SUM((IF(MONTH(ArgentaMaxiData!$A$2:$A$200)=MONTH(ArgentaMaxiSamenv!$A32),1,0))*(IF(YEAR(ArgentaMaxiData!$A$2:$A$200)=YEAR(ArgentaMaxiSamenv!$A32),1,0))*(IF(ArgentaMaxiData!$D$2:$D$200&lt;0,1,0))*ArgentaMaxiData!$D$2:$D$200)</f>
        <v>0</v>
      </c>
      <c r="C32" s="5">
        <f t="array" aca="1" ref="C32" ca="1">SUM((IF(MONTH(ArgentaMaxiData!$A$2:$A$200)=MONTH(ArgentaMaxiSamenv!$A32),1,0))*(IF(YEAR(ArgentaMaxiData!$A$2:$A$200)=YEAR(ArgentaMaxiSamenv!$A32),1,0))*(IF(ArgentaMaxiData!$D$2:$D$200&gt;0,1,0))*ArgentaMaxiData!$D$2:$D$200)</f>
        <v>0</v>
      </c>
      <c r="D32" s="5">
        <f t="shared" si="0"/>
        <v>0</v>
      </c>
      <c r="E32" s="11">
        <f t="array" aca="1" ref="E32" ca="1">SUM((IF(MONTH(ArgentaMaxiData!$A$2:$A$200)=MONTH(ArgentaMaxiSamenv!$A32),1,0))*(IF(YEAR(ArgentaMaxiData!$A$2:$A$200)=YEAR(ArgentaMaxiSamenv!$A32),1,0))*ArgentaMaxiData!$D$2:$D$200)+$E31</f>
        <v>0</v>
      </c>
    </row>
    <row r="33" spans="1:5" s="9" customFormat="1" outlineLevel="1">
      <c r="A33" s="10">
        <v>39387</v>
      </c>
      <c r="B33" s="11">
        <f t="array" aca="1" ref="B33" ca="1">SUM((IF(MONTH(ArgentaMaxiData!$A$2:$A$200)=MONTH(ArgentaMaxiSamenv!$A33),1,0))*(IF(YEAR(ArgentaMaxiData!$A$2:$A$200)=YEAR(ArgentaMaxiSamenv!$A33),1,0))*(IF(ArgentaMaxiData!$D$2:$D$200&lt;0,1,0))*ArgentaMaxiData!$D$2:$D$200)</f>
        <v>0</v>
      </c>
      <c r="C33" s="11">
        <f t="array" aca="1" ref="C33" ca="1">SUM((IF(MONTH(ArgentaMaxiData!$A$2:$A$200)=MONTH(ArgentaMaxiSamenv!$A33),1,0))*(IF(YEAR(ArgentaMaxiData!$A$2:$A$200)=YEAR(ArgentaMaxiSamenv!$A33),1,0))*(IF(ArgentaMaxiData!$D$2:$D$200&gt;0,1,0))*ArgentaMaxiData!$D$2:$D$200)</f>
        <v>0</v>
      </c>
      <c r="D33" s="5">
        <f t="shared" si="0"/>
        <v>0</v>
      </c>
      <c r="E33" s="11">
        <f t="array" aca="1" ref="E33" ca="1">SUM((IF(MONTH(ArgentaMaxiData!$A$2:$A$200)=MONTH(ArgentaMaxiSamenv!$A33),1,0))*(IF(YEAR(ArgentaMaxiData!$A$2:$A$200)=YEAR(ArgentaMaxiSamenv!$A33),1,0))*ArgentaMaxiData!$D$2:$D$200)+$E32</f>
        <v>0</v>
      </c>
    </row>
    <row r="34" spans="1:5" s="9" customFormat="1">
      <c r="A34" s="10">
        <v>39417</v>
      </c>
      <c r="B34" s="11">
        <f t="array" aca="1" ref="B34" ca="1">SUM((IF(MONTH(ArgentaMaxiData!$A$2:$A$200)=MONTH(ArgentaMaxiSamenv!$A34),1,0))*(IF(YEAR(ArgentaMaxiData!$A$2:$A$200)=YEAR(ArgentaMaxiSamenv!$A34),1,0))*(IF(ArgentaMaxiData!$D$2:$D$200&lt;0,1,0))*ArgentaMaxiData!$D$2:$D$200)</f>
        <v>0</v>
      </c>
      <c r="C34" s="11">
        <f t="array" aca="1" ref="C34" ca="1">SUM((IF(MONTH(ArgentaMaxiData!$A$2:$A$200)=MONTH(ArgentaMaxiSamenv!$A34),1,0))*(IF(YEAR(ArgentaMaxiData!$A$2:$A$200)=YEAR(ArgentaMaxiSamenv!$A34),1,0))*(IF(ArgentaMaxiData!$D$2:$D$200&gt;0,1,0))*ArgentaMaxiData!$D$2:$D$200)</f>
        <v>0</v>
      </c>
      <c r="D34" s="11">
        <f t="shared" si="0"/>
        <v>0</v>
      </c>
      <c r="E34" s="11">
        <f t="array" aca="1" ref="E34" ca="1">SUM((IF(MONTH(ArgentaMaxiData!$A$2:$A$200)=MONTH(ArgentaMaxiSamenv!$A34),1,0))*(IF(YEAR(ArgentaMaxiData!$A$2:$A$200)=YEAR(ArgentaMaxiSamenv!$A34),1,0))*ArgentaMaxiData!$D$2:$D$200)+$E33</f>
        <v>0</v>
      </c>
    </row>
    <row r="35" spans="1:5" outlineLevel="1">
      <c r="A35" s="10">
        <v>39448</v>
      </c>
      <c r="B35" s="5">
        <f t="array" aca="1" ref="B35" ca="1">SUM((IF(MONTH(ArgentaMaxiData!$A$2:$A$200)=MONTH(ArgentaMaxiSamenv!$A35),1,0))*(IF(YEAR(ArgentaMaxiData!$A$2:$A$200)=YEAR(ArgentaMaxiSamenv!$A35),1,0))*(IF(ArgentaMaxiData!$D$2:$D$200&lt;0,1,0))*ArgentaMaxiData!$D$2:$D$200)</f>
        <v>0</v>
      </c>
      <c r="C35" s="5">
        <f t="array" aca="1" ref="C35" ca="1">SUM((IF(MONTH(ArgentaMaxiData!$A$2:$A$200)=MONTH(ArgentaMaxiSamenv!$A35),1,0))*(IF(YEAR(ArgentaMaxiData!$A$2:$A$200)=YEAR(ArgentaMaxiSamenv!$A35),1,0))*(IF(ArgentaMaxiData!$D$2:$D$200&gt;0,1,0))*ArgentaMaxiData!$D$2:$D$200)</f>
        <v>0</v>
      </c>
      <c r="D35" s="5">
        <f t="shared" si="0"/>
        <v>0</v>
      </c>
      <c r="E35" s="11">
        <f t="array" aca="1" ref="E35" ca="1">SUM((IF(MONTH(ArgentaMaxiData!$A$2:$A$200)=MONTH(ArgentaMaxiSamenv!$A35),1,0))*(IF(YEAR(ArgentaMaxiData!$A$2:$A$200)=YEAR(ArgentaMaxiSamenv!$A35),1,0))*ArgentaMaxiData!$D$2:$D$200)+$E34</f>
        <v>0</v>
      </c>
    </row>
    <row r="36" spans="1:5" outlineLevel="1">
      <c r="A36" s="2">
        <v>39479</v>
      </c>
      <c r="B36" s="5">
        <f t="array" aca="1" ref="B36" ca="1">SUM((IF(MONTH(ArgentaMaxiData!$A$2:$A$200)=MONTH(ArgentaMaxiSamenv!$A36),1,0))*(IF(YEAR(ArgentaMaxiData!$A$2:$A$200)=YEAR(ArgentaMaxiSamenv!$A36),1,0))*(IF(ArgentaMaxiData!$D$2:$D$200&lt;0,1,0))*ArgentaMaxiData!$D$2:$D$200)</f>
        <v>0</v>
      </c>
      <c r="C36" s="5">
        <f t="array" aca="1" ref="C36" ca="1">SUM((IF(MONTH(ArgentaMaxiData!$A$2:$A$200)=MONTH(ArgentaMaxiSamenv!$A36),1,0))*(IF(YEAR(ArgentaMaxiData!$A$2:$A$200)=YEAR(ArgentaMaxiSamenv!$A36),1,0))*(IF(ArgentaMaxiData!$D$2:$D$200&gt;0,1,0))*ArgentaMaxiData!$D$2:$D$200)</f>
        <v>0</v>
      </c>
      <c r="D36" s="5">
        <f t="shared" si="0"/>
        <v>0</v>
      </c>
      <c r="E36" s="11">
        <f t="array" aca="1" ref="E36" ca="1">SUM((IF(MONTH(ArgentaMaxiData!$A$2:$A$200)=MONTH(ArgentaMaxiSamenv!$A36),1,0))*(IF(YEAR(ArgentaMaxiData!$A$2:$A$200)=YEAR(ArgentaMaxiSamenv!$A36),1,0))*ArgentaMaxiData!$D$2:$D$200)+$E35</f>
        <v>0</v>
      </c>
    </row>
    <row r="37" spans="1:5" outlineLevel="1">
      <c r="A37" s="10">
        <v>39508</v>
      </c>
      <c r="B37" s="5">
        <f t="array" aca="1" ref="B37" ca="1">SUM((IF(MONTH(ArgentaMaxiData!$A$2:$A$200)=MONTH(ArgentaMaxiSamenv!$A37),1,0))*(IF(YEAR(ArgentaMaxiData!$A$2:$A$200)=YEAR(ArgentaMaxiSamenv!$A37),1,0))*(IF(ArgentaMaxiData!$D$2:$D$200&lt;0,1,0))*ArgentaMaxiData!$D$2:$D$200)</f>
        <v>0</v>
      </c>
      <c r="C37" s="5">
        <f t="array" aca="1" ref="C37" ca="1">SUM((IF(MONTH(ArgentaMaxiData!$A$2:$A$200)=MONTH(ArgentaMaxiSamenv!$A37),1,0))*(IF(YEAR(ArgentaMaxiData!$A$2:$A$200)=YEAR(ArgentaMaxiSamenv!$A37),1,0))*(IF(ArgentaMaxiData!$D$2:$D$200&gt;0,1,0))*ArgentaMaxiData!$D$2:$D$200)</f>
        <v>0</v>
      </c>
      <c r="D37" s="5">
        <f t="shared" ref="D37:D42" si="1">C37+B37</f>
        <v>0</v>
      </c>
      <c r="E37" s="11">
        <f t="array" aca="1" ref="E37" ca="1">SUM((IF(MONTH(ArgentaMaxiData!$A$2:$A$200)=MONTH(ArgentaMaxiSamenv!$A37),1,0))*(IF(YEAR(ArgentaMaxiData!$A$2:$A$200)=YEAR(ArgentaMaxiSamenv!$A37),1,0))*ArgentaMaxiData!$D$2:$D$200)+$E36</f>
        <v>0</v>
      </c>
    </row>
    <row r="38" spans="1:5" outlineLevel="1">
      <c r="A38" s="2">
        <v>39539</v>
      </c>
      <c r="B38" s="5">
        <f t="array" aca="1" ref="B38" ca="1">SUM((IF(MONTH(ArgentaMaxiData!$A$2:$A$200)=MONTH(ArgentaMaxiSamenv!$A38),1,0))*(IF(YEAR(ArgentaMaxiData!$A$2:$A$200)=YEAR(ArgentaMaxiSamenv!$A38),1,0))*(IF(ArgentaMaxiData!$D$2:$D$200&lt;0,1,0))*ArgentaMaxiData!$D$2:$D$200)</f>
        <v>0</v>
      </c>
      <c r="C38" s="5">
        <f t="array" aca="1" ref="C38" ca="1">SUM((IF(MONTH(ArgentaMaxiData!$A$2:$A$200)=MONTH(ArgentaMaxiSamenv!$A38),1,0))*(IF(YEAR(ArgentaMaxiData!$A$2:$A$200)=YEAR(ArgentaMaxiSamenv!$A38),1,0))*(IF(ArgentaMaxiData!$D$2:$D$200&gt;0,1,0))*ArgentaMaxiData!$D$2:$D$200)</f>
        <v>0</v>
      </c>
      <c r="D38" s="5">
        <f t="shared" si="1"/>
        <v>0</v>
      </c>
      <c r="E38" s="11">
        <f t="array" aca="1" ref="E38" ca="1">SUM((IF(MONTH(ArgentaMaxiData!$A$2:$A$200)=MONTH(ArgentaMaxiSamenv!$A38),1,0))*(IF(YEAR(ArgentaMaxiData!$A$2:$A$200)=YEAR(ArgentaMaxiSamenv!$A38),1,0))*ArgentaMaxiData!$D$2:$D$200)+$E37</f>
        <v>0</v>
      </c>
    </row>
    <row r="39" spans="1:5" outlineLevel="1">
      <c r="A39" s="10">
        <v>39569</v>
      </c>
      <c r="B39" s="5">
        <f t="array" aca="1" ref="B39" ca="1">SUM((IF(MONTH(ArgentaMaxiData!$A$2:$A$200)=MONTH(ArgentaMaxiSamenv!$A39),1,0))*(IF(YEAR(ArgentaMaxiData!$A$2:$A$200)=YEAR(ArgentaMaxiSamenv!$A39),1,0))*(IF(ArgentaMaxiData!$D$2:$D$200&lt;0,1,0))*ArgentaMaxiData!$D$2:$D$200)</f>
        <v>0</v>
      </c>
      <c r="C39" s="5">
        <f t="array" aca="1" ref="C39" ca="1">SUM((IF(MONTH(ArgentaMaxiData!$A$2:$A$200)=MONTH(ArgentaMaxiSamenv!$A39),1,0))*(IF(YEAR(ArgentaMaxiData!$A$2:$A$200)=YEAR(ArgentaMaxiSamenv!$A39),1,0))*(IF(ArgentaMaxiData!$D$2:$D$200&gt;0,1,0))*ArgentaMaxiData!$D$2:$D$200)</f>
        <v>0</v>
      </c>
      <c r="D39" s="5">
        <f t="shared" si="1"/>
        <v>0</v>
      </c>
      <c r="E39" s="11">
        <f t="array" aca="1" ref="E39" ca="1">SUM((IF(MONTH(ArgentaMaxiData!$A$2:$A$200)=MONTH(ArgentaMaxiSamenv!$A39),1,0))*(IF(YEAR(ArgentaMaxiData!$A$2:$A$200)=YEAR(ArgentaMaxiSamenv!$A39),1,0))*ArgentaMaxiData!$D$2:$D$200)+$E38</f>
        <v>0</v>
      </c>
    </row>
    <row r="40" spans="1:5" outlineLevel="1">
      <c r="A40" s="2">
        <v>39600</v>
      </c>
      <c r="B40" s="5">
        <f t="array" aca="1" ref="B40" ca="1">SUM((IF(MONTH(ArgentaMaxiData!$A$2:$A$200)=MONTH(ArgentaMaxiSamenv!$A40),1,0))*(IF(YEAR(ArgentaMaxiData!$A$2:$A$200)=YEAR(ArgentaMaxiSamenv!$A40),1,0))*(IF(ArgentaMaxiData!$D$2:$D$200&lt;0,1,0))*ArgentaMaxiData!$D$2:$D$200)</f>
        <v>0</v>
      </c>
      <c r="C40" s="5">
        <f t="array" aca="1" ref="C40" ca="1">SUM((IF(MONTH(ArgentaMaxiData!$A$2:$A$200)=MONTH(ArgentaMaxiSamenv!$A40),1,0))*(IF(YEAR(ArgentaMaxiData!$A$2:$A$200)=YEAR(ArgentaMaxiSamenv!$A40),1,0))*(IF(ArgentaMaxiData!$D$2:$D$200&gt;0,1,0))*ArgentaMaxiData!$D$2:$D$200)</f>
        <v>0</v>
      </c>
      <c r="D40" s="5">
        <f t="shared" si="1"/>
        <v>0</v>
      </c>
      <c r="E40" s="11">
        <f t="array" aca="1" ref="E40" ca="1">SUM((IF(MONTH(ArgentaMaxiData!$A$2:$A$200)=MONTH(ArgentaMaxiSamenv!$A40),1,0))*(IF(YEAR(ArgentaMaxiData!$A$2:$A$200)=YEAR(ArgentaMaxiSamenv!$A40),1,0))*ArgentaMaxiData!$D$2:$D$200)+$E39</f>
        <v>0</v>
      </c>
    </row>
    <row r="41" spans="1:5" outlineLevel="1">
      <c r="A41" s="10">
        <v>39630</v>
      </c>
      <c r="B41" s="5">
        <f t="array" aca="1" ref="B41" ca="1">SUM((IF(MONTH(ArgentaMaxiData!$A$2:$A$200)=MONTH(ArgentaMaxiSamenv!$A41),1,0))*(IF(YEAR(ArgentaMaxiData!$A$2:$A$200)=YEAR(ArgentaMaxiSamenv!$A41),1,0))*(IF(ArgentaMaxiData!$D$2:$D$200&lt;0,1,0))*ArgentaMaxiData!$D$2:$D$200)</f>
        <v>0</v>
      </c>
      <c r="C41" s="5">
        <f t="array" aca="1" ref="C41" ca="1">SUM((IF(MONTH(ArgentaMaxiData!$A$2:$A$200)=MONTH(ArgentaMaxiSamenv!$A41),1,0))*(IF(YEAR(ArgentaMaxiData!$A$2:$A$200)=YEAR(ArgentaMaxiSamenv!$A41),1,0))*(IF(ArgentaMaxiData!$D$2:$D$200&gt;0,1,0))*ArgentaMaxiData!$D$2:$D$200)</f>
        <v>0</v>
      </c>
      <c r="D41" s="5">
        <f t="shared" si="1"/>
        <v>0</v>
      </c>
      <c r="E41" s="11">
        <f t="array" aca="1" ref="E41" ca="1">SUM((IF(MONTH(ArgentaMaxiData!$A$2:$A$200)=MONTH(ArgentaMaxiSamenv!$A41),1,0))*(IF(YEAR(ArgentaMaxiData!$A$2:$A$200)=YEAR(ArgentaMaxiSamenv!$A41),1,0))*ArgentaMaxiData!$D$2:$D$200)+$E40</f>
        <v>0</v>
      </c>
    </row>
    <row r="42" spans="1:5" outlineLevel="1">
      <c r="A42" s="2">
        <v>39661</v>
      </c>
      <c r="B42" s="5">
        <f t="array" aca="1" ref="B42" ca="1">SUM((IF(MONTH(ArgentaMaxiData!$A$2:$A$200)=MONTH(ArgentaMaxiSamenv!$A42),1,0))*(IF(YEAR(ArgentaMaxiData!$A$2:$A$200)=YEAR(ArgentaMaxiSamenv!$A42),1,0))*(IF(ArgentaMaxiData!$D$2:$D$200&lt;0,1,0))*ArgentaMaxiData!$D$2:$D$200)</f>
        <v>0</v>
      </c>
      <c r="C42" s="5">
        <f t="array" aca="1" ref="C42" ca="1">SUM((IF(MONTH(ArgentaMaxiData!$A$2:$A$200)=MONTH(ArgentaMaxiSamenv!$A42),1,0))*(IF(YEAR(ArgentaMaxiData!$A$2:$A$200)=YEAR(ArgentaMaxiSamenv!$A42),1,0))*(IF(ArgentaMaxiData!$D$2:$D$200&gt;0,1,0))*ArgentaMaxiData!$D$2:$D$200)</f>
        <v>0</v>
      </c>
      <c r="D42" s="5">
        <f t="shared" si="1"/>
        <v>0</v>
      </c>
      <c r="E42" s="11">
        <f t="array" aca="1" ref="E42" ca="1">SUM((IF(MONTH(ArgentaMaxiData!$A$2:$A$200)=MONTH(ArgentaMaxiSamenv!$A42),1,0))*(IF(YEAR(ArgentaMaxiData!$A$2:$A$200)=YEAR(ArgentaMaxiSamenv!$A42),1,0))*ArgentaMaxiData!$D$2:$D$200)+$E41</f>
        <v>0</v>
      </c>
    </row>
    <row r="43" spans="1:5" outlineLevel="1">
      <c r="A43" s="10">
        <v>39692</v>
      </c>
      <c r="B43" s="5">
        <f t="array" aca="1" ref="B43" ca="1">SUM((IF(MONTH(ArgentaMaxiData!$A$2:$A$200)=MONTH(ArgentaMaxiSamenv!$A43),1,0))*(IF(YEAR(ArgentaMaxiData!$A$2:$A$200)=YEAR(ArgentaMaxiSamenv!$A43),1,0))*(IF(ArgentaMaxiData!$D$2:$D$200&lt;0,1,0))*ArgentaMaxiData!$D$2:$D$200)</f>
        <v>0</v>
      </c>
      <c r="C43" s="5">
        <f t="array" aca="1" ref="C43" ca="1">SUM((IF(MONTH(ArgentaMaxiData!$A$2:$A$200)=MONTH(ArgentaMaxiSamenv!$A43),1,0))*(IF(YEAR(ArgentaMaxiData!$A$2:$A$200)=YEAR(ArgentaMaxiSamenv!$A43),1,0))*(IF(ArgentaMaxiData!$D$2:$D$200&gt;0,1,0))*ArgentaMaxiData!$D$2:$D$200)</f>
        <v>0</v>
      </c>
      <c r="D43" s="5">
        <f t="shared" ref="D43:D48" si="2">C43+B43</f>
        <v>0</v>
      </c>
      <c r="E43" s="11">
        <f t="array" aca="1" ref="E43" ca="1">SUM((IF(MONTH(ArgentaMaxiData!$A$2:$A$200)=MONTH(ArgentaMaxiSamenv!$A43),1,0))*(IF(YEAR(ArgentaMaxiData!$A$2:$A$200)=YEAR(ArgentaMaxiSamenv!$A43),1,0))*ArgentaMaxiData!$D$2:$D$200)+$E42</f>
        <v>0</v>
      </c>
    </row>
    <row r="44" spans="1:5" outlineLevel="1">
      <c r="A44" s="2">
        <v>39722</v>
      </c>
      <c r="B44" s="5">
        <f t="array" aca="1" ref="B44" ca="1">SUM((IF(MONTH(ArgentaMaxiData!$A$2:$A$200)=MONTH(ArgentaMaxiSamenv!$A44),1,0))*(IF(YEAR(ArgentaMaxiData!$A$2:$A$200)=YEAR(ArgentaMaxiSamenv!$A44),1,0))*(IF(ArgentaMaxiData!$D$2:$D$200&lt;0,1,0))*ArgentaMaxiData!$D$2:$D$200)</f>
        <v>0</v>
      </c>
      <c r="C44" s="5">
        <f t="array" aca="1" ref="C44" ca="1">SUM((IF(MONTH(ArgentaMaxiData!$A$2:$A$200)=MONTH(ArgentaMaxiSamenv!$A44),1,0))*(IF(YEAR(ArgentaMaxiData!$A$2:$A$200)=YEAR(ArgentaMaxiSamenv!$A44),1,0))*(IF(ArgentaMaxiData!$D$2:$D$200&gt;0,1,0))*ArgentaMaxiData!$D$2:$D$200)</f>
        <v>0</v>
      </c>
      <c r="D44" s="5">
        <f t="shared" si="2"/>
        <v>0</v>
      </c>
      <c r="E44" s="11">
        <f t="array" aca="1" ref="E44" ca="1">SUM((IF(MONTH(ArgentaMaxiData!$A$2:$A$200)=MONTH(ArgentaMaxiSamenv!$A44),1,0))*(IF(YEAR(ArgentaMaxiData!$A$2:$A$200)=YEAR(ArgentaMaxiSamenv!$A44),1,0))*ArgentaMaxiData!$D$2:$D$200)+$E43</f>
        <v>0</v>
      </c>
    </row>
    <row r="45" spans="1:5" outlineLevel="1">
      <c r="A45" s="10">
        <v>39753</v>
      </c>
      <c r="B45" s="5">
        <f t="array" aca="1" ref="B45" ca="1">SUM((IF(MONTH(ArgentaMaxiData!$A$2:$A$200)=MONTH(ArgentaMaxiSamenv!$A45),1,0))*(IF(YEAR(ArgentaMaxiData!$A$2:$A$200)=YEAR(ArgentaMaxiSamenv!$A45),1,0))*(IF(ArgentaMaxiData!$D$2:$D$200&lt;0,1,0))*ArgentaMaxiData!$D$2:$D$200)</f>
        <v>0</v>
      </c>
      <c r="C45" s="5">
        <f t="array" aca="1" ref="C45" ca="1">SUM((IF(MONTH(ArgentaMaxiData!$A$2:$A$200)=MONTH(ArgentaMaxiSamenv!$A45),1,0))*(IF(YEAR(ArgentaMaxiData!$A$2:$A$200)=YEAR(ArgentaMaxiSamenv!$A45),1,0))*(IF(ArgentaMaxiData!$D$2:$D$200&gt;0,1,0))*ArgentaMaxiData!$D$2:$D$200)</f>
        <v>0</v>
      </c>
      <c r="D45" s="5">
        <f t="shared" si="2"/>
        <v>0</v>
      </c>
      <c r="E45" s="11">
        <f t="array" aca="1" ref="E45" ca="1">SUM((IF(MONTH(ArgentaMaxiData!$A$2:$A$200)=MONTH(ArgentaMaxiSamenv!$A45),1,0))*(IF(YEAR(ArgentaMaxiData!$A$2:$A$200)=YEAR(ArgentaMaxiSamenv!$A45),1,0))*ArgentaMaxiData!$D$2:$D$200)+$E44</f>
        <v>0</v>
      </c>
    </row>
    <row r="46" spans="1:5" s="9" customFormat="1">
      <c r="A46" s="10">
        <v>39783</v>
      </c>
      <c r="B46" s="11">
        <f t="array" aca="1" ref="B46" ca="1">SUM((IF(MONTH(ArgentaMaxiData!$A$2:$A$200)=MONTH(ArgentaMaxiSamenv!$A46),1,0))*(IF(YEAR(ArgentaMaxiData!$A$2:$A$200)=YEAR(ArgentaMaxiSamenv!$A46),1,0))*(IF(ArgentaMaxiData!$D$2:$D$200&lt;0,1,0))*ArgentaMaxiData!$D$2:$D$200)</f>
        <v>0</v>
      </c>
      <c r="C46" s="11">
        <f t="array" aca="1" ref="C46" ca="1">SUM((IF(MONTH(ArgentaMaxiData!$A$2:$A$200)=MONTH(ArgentaMaxiSamenv!$A46),1,0))*(IF(YEAR(ArgentaMaxiData!$A$2:$A$200)=YEAR(ArgentaMaxiSamenv!$A46),1,0))*(IF(ArgentaMaxiData!$D$2:$D$200&gt;0,1,0))*ArgentaMaxiData!$D$2:$D$200)</f>
        <v>0</v>
      </c>
      <c r="D46" s="11">
        <f t="shared" si="2"/>
        <v>0</v>
      </c>
      <c r="E46" s="11">
        <f t="array" aca="1" ref="E46" ca="1">SUM((IF(MONTH(ArgentaMaxiData!$A$2:$A$200)=MONTH(ArgentaMaxiSamenv!$A46),1,0))*(IF(YEAR(ArgentaMaxiData!$A$2:$A$200)=YEAR(ArgentaMaxiSamenv!$A46),1,0))*ArgentaMaxiData!$D$2:$D$200)+$E45</f>
        <v>0</v>
      </c>
    </row>
    <row r="47" spans="1:5" outlineLevel="1">
      <c r="A47" s="10">
        <v>39814</v>
      </c>
      <c r="B47" s="5">
        <f t="array" aca="1" ref="B47" ca="1">SUM((IF(MONTH(ArgentaMaxiData!$A$2:$A$200)=MONTH(ArgentaMaxiSamenv!$A47),1,0))*(IF(YEAR(ArgentaMaxiData!$A$2:$A$200)=YEAR(ArgentaMaxiSamenv!$A47),1,0))*(IF(ArgentaMaxiData!$D$2:$D$200&lt;0,1,0))*ArgentaMaxiData!$D$2:$D$200)</f>
        <v>0</v>
      </c>
      <c r="C47" s="5">
        <f t="array" aca="1" ref="C47" ca="1">SUM((IF(MONTH(ArgentaMaxiData!$A$2:$A$200)=MONTH(ArgentaMaxiSamenv!$A47),1,0))*(IF(YEAR(ArgentaMaxiData!$A$2:$A$200)=YEAR(ArgentaMaxiSamenv!$A47),1,0))*(IF(ArgentaMaxiData!$D$2:$D$200&gt;0,1,0))*ArgentaMaxiData!$D$2:$D$200)</f>
        <v>0</v>
      </c>
      <c r="D47" s="5">
        <f t="shared" si="2"/>
        <v>0</v>
      </c>
      <c r="E47" s="11">
        <f t="array" aca="1" ref="E47" ca="1">SUM((IF(MONTH(ArgentaMaxiData!$A$2:$A$200)=MONTH(ArgentaMaxiSamenv!$A47),1,0))*(IF(YEAR(ArgentaMaxiData!$A$2:$A$200)=YEAR(ArgentaMaxiSamenv!$A47),1,0))*ArgentaMaxiData!$D$2:$D$200)+$E46</f>
        <v>0</v>
      </c>
    </row>
    <row r="48" spans="1:5" outlineLevel="1">
      <c r="A48" s="2">
        <v>39845</v>
      </c>
      <c r="B48" s="5">
        <f t="array" aca="1" ref="B48" ca="1">SUM((IF(MONTH(ArgentaMaxiData!$A$2:$A$200)=MONTH(ArgentaMaxiSamenv!$A48),1,0))*(IF(YEAR(ArgentaMaxiData!$A$2:$A$200)=YEAR(ArgentaMaxiSamenv!$A48),1,0))*(IF(ArgentaMaxiData!$D$2:$D$200&lt;0,1,0))*ArgentaMaxiData!$D$2:$D$200)</f>
        <v>0</v>
      </c>
      <c r="C48" s="5">
        <f t="array" aca="1" ref="C48" ca="1">SUM((IF(MONTH(ArgentaMaxiData!$A$2:$A$200)=MONTH(ArgentaMaxiSamenv!$A48),1,0))*(IF(YEAR(ArgentaMaxiData!$A$2:$A$200)=YEAR(ArgentaMaxiSamenv!$A48),1,0))*(IF(ArgentaMaxiData!$D$2:$D$200&gt;0,1,0))*ArgentaMaxiData!$D$2:$D$200)</f>
        <v>0</v>
      </c>
      <c r="D48" s="5">
        <f t="shared" si="2"/>
        <v>0</v>
      </c>
      <c r="E48" s="11">
        <f t="array" aca="1" ref="E48" ca="1">SUM((IF(MONTH(ArgentaMaxiData!$A$2:$A$200)=MONTH(ArgentaMaxiSamenv!$A48),1,0))*(IF(YEAR(ArgentaMaxiData!$A$2:$A$200)=YEAR(ArgentaMaxiSamenv!$A48),1,0))*ArgentaMaxiData!$D$2:$D$200)+$E47</f>
        <v>0</v>
      </c>
    </row>
    <row r="49" spans="1:5" outlineLevel="1">
      <c r="A49" s="10">
        <v>39873</v>
      </c>
      <c r="B49" s="5">
        <f t="array" aca="1" ref="B49" ca="1">SUM((IF(MONTH(ArgentaMaxiData!$A$2:$A$200)=MONTH(ArgentaMaxiSamenv!$A49),1,0))*(IF(YEAR(ArgentaMaxiData!$A$2:$A$200)=YEAR(ArgentaMaxiSamenv!$A49),1,0))*(IF(ArgentaMaxiData!$D$2:$D$200&lt;0,1,0))*ArgentaMaxiData!$D$2:$D$200)</f>
        <v>0</v>
      </c>
      <c r="C49" s="5">
        <f t="array" aca="1" ref="C49" ca="1">SUM((IF(MONTH(ArgentaMaxiData!$A$2:$A$200)=MONTH(ArgentaMaxiSamenv!$A49),1,0))*(IF(YEAR(ArgentaMaxiData!$A$2:$A$200)=YEAR(ArgentaMaxiSamenv!$A49),1,0))*(IF(ArgentaMaxiData!$D$2:$D$200&gt;0,1,0))*ArgentaMaxiData!$D$2:$D$200)</f>
        <v>0</v>
      </c>
      <c r="D49" s="5">
        <f t="shared" ref="D49:D54" si="3">C49+B49</f>
        <v>0</v>
      </c>
      <c r="E49" s="11">
        <f t="array" aca="1" ref="E49" ca="1">SUM((IF(MONTH(ArgentaMaxiData!$A$2:$A$200)=MONTH(ArgentaMaxiSamenv!$A49),1,0))*(IF(YEAR(ArgentaMaxiData!$A$2:$A$200)=YEAR(ArgentaMaxiSamenv!$A49),1,0))*ArgentaMaxiData!$D$2:$D$200)+$E48</f>
        <v>0</v>
      </c>
    </row>
    <row r="50" spans="1:5" outlineLevel="1">
      <c r="A50" s="2">
        <v>39904</v>
      </c>
      <c r="B50" s="5">
        <f t="array" aca="1" ref="B50" ca="1">SUM((IF(MONTH(ArgentaMaxiData!$A$2:$A$200)=MONTH(ArgentaMaxiSamenv!$A50),1,0))*(IF(YEAR(ArgentaMaxiData!$A$2:$A$200)=YEAR(ArgentaMaxiSamenv!$A50),1,0))*(IF(ArgentaMaxiData!$D$2:$D$200&lt;0,1,0))*ArgentaMaxiData!$D$2:$D$200)</f>
        <v>0</v>
      </c>
      <c r="C50" s="5">
        <f t="array" aca="1" ref="C50" ca="1">SUM((IF(MONTH(ArgentaMaxiData!$A$2:$A$200)=MONTH(ArgentaMaxiSamenv!$A50),1,0))*(IF(YEAR(ArgentaMaxiData!$A$2:$A$200)=YEAR(ArgentaMaxiSamenv!$A50),1,0))*(IF(ArgentaMaxiData!$D$2:$D$200&gt;0,1,0))*ArgentaMaxiData!$D$2:$D$200)</f>
        <v>0</v>
      </c>
      <c r="D50" s="5">
        <f t="shared" si="3"/>
        <v>0</v>
      </c>
      <c r="E50" s="11">
        <f t="array" aca="1" ref="E50" ca="1">SUM((IF(MONTH(ArgentaMaxiData!$A$2:$A$200)=MONTH(ArgentaMaxiSamenv!$A50),1,0))*(IF(YEAR(ArgentaMaxiData!$A$2:$A$200)=YEAR(ArgentaMaxiSamenv!$A50),1,0))*ArgentaMaxiData!$D$2:$D$200)+$E49</f>
        <v>0</v>
      </c>
    </row>
    <row r="51" spans="1:5" outlineLevel="1">
      <c r="A51" s="10">
        <v>39934</v>
      </c>
      <c r="B51" s="5">
        <f t="array" aca="1" ref="B51" ca="1">SUM((IF(MONTH(ArgentaMaxiData!$A$2:$A$200)=MONTH(ArgentaMaxiSamenv!$A51),1,0))*(IF(YEAR(ArgentaMaxiData!$A$2:$A$200)=YEAR(ArgentaMaxiSamenv!$A51),1,0))*(IF(ArgentaMaxiData!$D$2:$D$200&lt;0,1,0))*ArgentaMaxiData!$D$2:$D$200)</f>
        <v>0</v>
      </c>
      <c r="C51" s="5">
        <f t="array" aca="1" ref="C51" ca="1">SUM((IF(MONTH(ArgentaMaxiData!$A$2:$A$200)=MONTH(ArgentaMaxiSamenv!$A51),1,0))*(IF(YEAR(ArgentaMaxiData!$A$2:$A$200)=YEAR(ArgentaMaxiSamenv!$A51),1,0))*(IF(ArgentaMaxiData!$D$2:$D$200&gt;0,1,0))*ArgentaMaxiData!$D$2:$D$200)</f>
        <v>0</v>
      </c>
      <c r="D51" s="5">
        <f t="shared" si="3"/>
        <v>0</v>
      </c>
      <c r="E51" s="11">
        <f t="array" aca="1" ref="E51" ca="1">SUM((IF(MONTH(ArgentaMaxiData!$A$2:$A$200)=MONTH(ArgentaMaxiSamenv!$A51),1,0))*(IF(YEAR(ArgentaMaxiData!$A$2:$A$200)=YEAR(ArgentaMaxiSamenv!$A51),1,0))*ArgentaMaxiData!$D$2:$D$200)+$E50</f>
        <v>0</v>
      </c>
    </row>
    <row r="52" spans="1:5" outlineLevel="1">
      <c r="A52" s="2">
        <v>39965</v>
      </c>
      <c r="B52" s="5">
        <f t="array" aca="1" ref="B52" ca="1">SUM((IF(MONTH(ArgentaMaxiData!$A$2:$A$200)=MONTH(ArgentaMaxiSamenv!$A52),1,0))*(IF(YEAR(ArgentaMaxiData!$A$2:$A$200)=YEAR(ArgentaMaxiSamenv!$A52),1,0))*(IF(ArgentaMaxiData!$D$2:$D$200&lt;0,1,0))*ArgentaMaxiData!$D$2:$D$200)</f>
        <v>0</v>
      </c>
      <c r="C52" s="5">
        <f t="array" aca="1" ref="C52" ca="1">SUM((IF(MONTH(ArgentaMaxiData!$A$2:$A$200)=MONTH(ArgentaMaxiSamenv!$A52),1,0))*(IF(YEAR(ArgentaMaxiData!$A$2:$A$200)=YEAR(ArgentaMaxiSamenv!$A52),1,0))*(IF(ArgentaMaxiData!$D$2:$D$200&gt;0,1,0))*ArgentaMaxiData!$D$2:$D$200)</f>
        <v>0</v>
      </c>
      <c r="D52" s="5">
        <f t="shared" si="3"/>
        <v>0</v>
      </c>
      <c r="E52" s="11">
        <f t="array" aca="1" ref="E52" ca="1">SUM((IF(MONTH(ArgentaMaxiData!$A$2:$A$200)=MONTH(ArgentaMaxiSamenv!$A52),1,0))*(IF(YEAR(ArgentaMaxiData!$A$2:$A$200)=YEAR(ArgentaMaxiSamenv!$A52),1,0))*ArgentaMaxiData!$D$2:$D$200)+$E51</f>
        <v>0</v>
      </c>
    </row>
    <row r="53" spans="1:5" outlineLevel="1">
      <c r="A53" s="10">
        <v>39995</v>
      </c>
      <c r="B53" s="5">
        <f t="array" aca="1" ref="B53" ca="1">SUM((IF(MONTH(ArgentaMaxiData!$A$2:$A$200)=MONTH(ArgentaMaxiSamenv!$A53),1,0))*(IF(YEAR(ArgentaMaxiData!$A$2:$A$200)=YEAR(ArgentaMaxiSamenv!$A53),1,0))*(IF(ArgentaMaxiData!$D$2:$D$200&lt;0,1,0))*ArgentaMaxiData!$D$2:$D$200)</f>
        <v>0</v>
      </c>
      <c r="C53" s="5">
        <f t="array" aca="1" ref="C53" ca="1">SUM((IF(MONTH(ArgentaMaxiData!$A$2:$A$200)=MONTH(ArgentaMaxiSamenv!$A53),1,0))*(IF(YEAR(ArgentaMaxiData!$A$2:$A$200)=YEAR(ArgentaMaxiSamenv!$A53),1,0))*(IF(ArgentaMaxiData!$D$2:$D$200&gt;0,1,0))*ArgentaMaxiData!$D$2:$D$200)</f>
        <v>0</v>
      </c>
      <c r="D53" s="5">
        <f t="shared" si="3"/>
        <v>0</v>
      </c>
      <c r="E53" s="11">
        <f t="array" aca="1" ref="E53" ca="1">SUM((IF(MONTH(ArgentaMaxiData!$A$2:$A$200)=MONTH(ArgentaMaxiSamenv!$A53),1,0))*(IF(YEAR(ArgentaMaxiData!$A$2:$A$200)=YEAR(ArgentaMaxiSamenv!$A53),1,0))*ArgentaMaxiData!$D$2:$D$200)+$E52</f>
        <v>0</v>
      </c>
    </row>
    <row r="54" spans="1:5" outlineLevel="1">
      <c r="A54" s="2">
        <v>40026</v>
      </c>
      <c r="B54" s="5">
        <f t="array" aca="1" ref="B54" ca="1">SUM((IF(MONTH(ArgentaMaxiData!$A$2:$A$200)=MONTH(ArgentaMaxiSamenv!$A54),1,0))*(IF(YEAR(ArgentaMaxiData!$A$2:$A$200)=YEAR(ArgentaMaxiSamenv!$A54),1,0))*(IF(ArgentaMaxiData!$D$2:$D$200&lt;0,1,0))*ArgentaMaxiData!$D$2:$D$200)</f>
        <v>0</v>
      </c>
      <c r="C54" s="5">
        <f t="array" aca="1" ref="C54" ca="1">SUM((IF(MONTH(ArgentaMaxiData!$A$2:$A$200)=MONTH(ArgentaMaxiSamenv!$A54),1,0))*(IF(YEAR(ArgentaMaxiData!$A$2:$A$200)=YEAR(ArgentaMaxiSamenv!$A54),1,0))*(IF(ArgentaMaxiData!$D$2:$D$200&gt;0,1,0))*ArgentaMaxiData!$D$2:$D$200)</f>
        <v>0</v>
      </c>
      <c r="D54" s="5">
        <f t="shared" si="3"/>
        <v>0</v>
      </c>
      <c r="E54" s="11">
        <f t="array" aca="1" ref="E54" ca="1">SUM((IF(MONTH(ArgentaMaxiData!$A$2:$A$200)=MONTH(ArgentaMaxiSamenv!$A54),1,0))*(IF(YEAR(ArgentaMaxiData!$A$2:$A$200)=YEAR(ArgentaMaxiSamenv!$A54),1,0))*ArgentaMaxiData!$D$2:$D$200)+$E53</f>
        <v>0</v>
      </c>
    </row>
    <row r="55" spans="1:5" outlineLevel="1">
      <c r="A55" s="10">
        <v>40057</v>
      </c>
      <c r="B55" s="5">
        <f t="array" aca="1" ref="B55" ca="1">SUM((IF(MONTH(ArgentaMaxiData!$A$2:$A$200)=MONTH(ArgentaMaxiSamenv!$A55),1,0))*(IF(YEAR(ArgentaMaxiData!$A$2:$A$200)=YEAR(ArgentaMaxiSamenv!$A55),1,0))*(IF(ArgentaMaxiData!$D$2:$D$200&lt;0,1,0))*ArgentaMaxiData!$D$2:$D$200)</f>
        <v>0</v>
      </c>
      <c r="C55" s="5">
        <f t="array" aca="1" ref="C55" ca="1">SUM((IF(MONTH(ArgentaMaxiData!$A$2:$A$200)=MONTH(ArgentaMaxiSamenv!$A55),1,0))*(IF(YEAR(ArgentaMaxiData!$A$2:$A$200)=YEAR(ArgentaMaxiSamenv!$A55),1,0))*(IF(ArgentaMaxiData!$D$2:$D$200&gt;0,1,0))*ArgentaMaxiData!$D$2:$D$200)</f>
        <v>0</v>
      </c>
      <c r="D55" s="5">
        <f t="shared" ref="D55:D61" si="4">C55+B55</f>
        <v>0</v>
      </c>
      <c r="E55" s="11">
        <f t="array" aca="1" ref="E55" ca="1">SUM((IF(MONTH(ArgentaMaxiData!$A$2:$A$200)=MONTH(ArgentaMaxiSamenv!$A55),1,0))*(IF(YEAR(ArgentaMaxiData!$A$2:$A$200)=YEAR(ArgentaMaxiSamenv!$A55),1,0))*ArgentaMaxiData!$D$2:$D$200)+$E54</f>
        <v>0</v>
      </c>
    </row>
    <row r="56" spans="1:5" outlineLevel="1">
      <c r="A56" s="2">
        <v>40087</v>
      </c>
      <c r="B56" s="5">
        <f t="array" aca="1" ref="B56" ca="1">SUM((IF(MONTH(ArgentaMaxiData!$A$2:$A$200)=MONTH(ArgentaMaxiSamenv!$A56),1,0))*(IF(YEAR(ArgentaMaxiData!$A$2:$A$200)=YEAR(ArgentaMaxiSamenv!$A56),1,0))*(IF(ArgentaMaxiData!$D$2:$D$200&lt;0,1,0))*ArgentaMaxiData!$D$2:$D$200)</f>
        <v>0</v>
      </c>
      <c r="C56" s="5">
        <f t="array" aca="1" ref="C56" ca="1">SUM((IF(MONTH(ArgentaMaxiData!$A$2:$A$200)=MONTH(ArgentaMaxiSamenv!$A56),1,0))*(IF(YEAR(ArgentaMaxiData!$A$2:$A$200)=YEAR(ArgentaMaxiSamenv!$A56),1,0))*(IF(ArgentaMaxiData!$D$2:$D$200&gt;0,1,0))*ArgentaMaxiData!$D$2:$D$200)</f>
        <v>0</v>
      </c>
      <c r="D56" s="5">
        <f t="shared" si="4"/>
        <v>0</v>
      </c>
      <c r="E56" s="11">
        <f t="array" aca="1" ref="E56" ca="1">SUM((IF(MONTH(ArgentaMaxiData!$A$2:$A$200)=MONTH(ArgentaMaxiSamenv!$A56),1,0))*(IF(YEAR(ArgentaMaxiData!$A$2:$A$200)=YEAR(ArgentaMaxiSamenv!$A56),1,0))*ArgentaMaxiData!$D$2:$D$200)+$E55</f>
        <v>0</v>
      </c>
    </row>
    <row r="57" spans="1:5" outlineLevel="1">
      <c r="A57" s="10">
        <v>40118</v>
      </c>
      <c r="B57" s="5">
        <f t="array" aca="1" ref="B57" ca="1">SUM((IF(MONTH(ArgentaMaxiData!$A$2:$A$200)=MONTH(ArgentaMaxiSamenv!$A57),1,0))*(IF(YEAR(ArgentaMaxiData!$A$2:$A$200)=YEAR(ArgentaMaxiSamenv!$A57),1,0))*(IF(ArgentaMaxiData!$D$2:$D$200&lt;0,1,0))*ArgentaMaxiData!$D$2:$D$200)</f>
        <v>0</v>
      </c>
      <c r="C57" s="5">
        <f t="array" aca="1" ref="C57" ca="1">SUM((IF(MONTH(ArgentaMaxiData!$A$2:$A$200)=MONTH(ArgentaMaxiSamenv!$A57),1,0))*(IF(YEAR(ArgentaMaxiData!$A$2:$A$200)=YEAR(ArgentaMaxiSamenv!$A57),1,0))*(IF(ArgentaMaxiData!$D$2:$D$200&gt;0,1,0))*ArgentaMaxiData!$D$2:$D$200)</f>
        <v>0</v>
      </c>
      <c r="D57" s="5">
        <f t="shared" si="4"/>
        <v>0</v>
      </c>
      <c r="E57" s="11">
        <f t="array" aca="1" ref="E57" ca="1">SUM((IF(MONTH(ArgentaMaxiData!$A$2:$A$200)=MONTH(ArgentaMaxiSamenv!$A57),1,0))*(IF(YEAR(ArgentaMaxiData!$A$2:$A$200)=YEAR(ArgentaMaxiSamenv!$A57),1,0))*ArgentaMaxiData!$D$2:$D$200)+$E56</f>
        <v>0</v>
      </c>
    </row>
    <row r="58" spans="1:5" s="9" customFormat="1">
      <c r="A58" s="10">
        <v>40148</v>
      </c>
      <c r="B58" s="11">
        <f t="array" aca="1" ref="B58" ca="1">SUM((IF(MONTH(ArgentaMaxiData!$A$2:$A$200)=MONTH(ArgentaMaxiSamenv!$A58),1,0))*(IF(YEAR(ArgentaMaxiData!$A$2:$A$200)=YEAR(ArgentaMaxiSamenv!$A58),1,0))*(IF(ArgentaMaxiData!$D$2:$D$200&lt;0,1,0))*ArgentaMaxiData!$D$2:$D$200)</f>
        <v>0</v>
      </c>
      <c r="C58" s="11">
        <f t="array" aca="1" ref="C58" ca="1">SUM((IF(MONTH(ArgentaMaxiData!$A$2:$A$200)=MONTH(ArgentaMaxiSamenv!$A58),1,0))*(IF(YEAR(ArgentaMaxiData!$A$2:$A$200)=YEAR(ArgentaMaxiSamenv!$A58),1,0))*(IF(ArgentaMaxiData!$D$2:$D$200&gt;0,1,0))*ArgentaMaxiData!$D$2:$D$200)</f>
        <v>0</v>
      </c>
      <c r="D58" s="11">
        <f t="shared" si="4"/>
        <v>0</v>
      </c>
      <c r="E58" s="11">
        <f t="array" aca="1" ref="E58" ca="1">SUM((IF(MONTH(ArgentaMaxiData!$A$2:$A$200)=MONTH(ArgentaMaxiSamenv!$A58),1,0))*(IF(YEAR(ArgentaMaxiData!$A$2:$A$200)=YEAR(ArgentaMaxiSamenv!$A58),1,0))*ArgentaMaxiData!$D$2:$D$200)+$E57</f>
        <v>0</v>
      </c>
    </row>
    <row r="59" spans="1:5">
      <c r="A59" s="10">
        <v>40179</v>
      </c>
      <c r="B59" s="5">
        <f t="array" aca="1" ref="B59" ca="1">SUM((IF(MONTH(ArgentaMaxiData!$A$2:$A$200)=MONTH(ArgentaMaxiSamenv!$A59),1,0))*(IF(YEAR(ArgentaMaxiData!$A$2:$A$200)=YEAR(ArgentaMaxiSamenv!$A59),1,0))*(IF(ArgentaMaxiData!$D$2:$D$200&lt;0,1,0))*ArgentaMaxiData!$D$2:$D$200)</f>
        <v>0</v>
      </c>
      <c r="C59" s="5">
        <f t="array" aca="1" ref="C59" ca="1">SUM((IF(MONTH(ArgentaMaxiData!$A$2:$A$200)=MONTH(ArgentaMaxiSamenv!$A59),1,0))*(IF(YEAR(ArgentaMaxiData!$A$2:$A$200)=YEAR(ArgentaMaxiSamenv!$A59),1,0))*(IF(ArgentaMaxiData!$D$2:$D$200&gt;0,1,0))*ArgentaMaxiData!$D$2:$D$200)</f>
        <v>0</v>
      </c>
      <c r="D59" s="5">
        <f t="shared" si="4"/>
        <v>0</v>
      </c>
      <c r="E59" s="11">
        <f t="array" aca="1" ref="E59" ca="1">SUM((IF(MONTH(ArgentaMaxiData!$A$2:$A$200)=MONTH(ArgentaMaxiSamenv!$A59),1,0))*(IF(YEAR(ArgentaMaxiData!$A$2:$A$200)=YEAR(ArgentaMaxiSamenv!$A59),1,0))*ArgentaMaxiData!$D$2:$D$200)+$E58</f>
        <v>0</v>
      </c>
    </row>
    <row r="60" spans="1:5">
      <c r="A60" s="10">
        <v>40210</v>
      </c>
      <c r="B60" s="5">
        <f t="array" aca="1" ref="B60" ca="1">SUM((IF(MONTH(ArgentaMaxiData!$A$2:$A$200)=MONTH(ArgentaMaxiSamenv!$A60),1,0))*(IF(YEAR(ArgentaMaxiData!$A$2:$A$200)=YEAR(ArgentaMaxiSamenv!$A60),1,0))*(IF(ArgentaMaxiData!$D$2:$D$200&lt;0,1,0))*ArgentaMaxiData!$D$2:$D$200)</f>
        <v>0</v>
      </c>
      <c r="C60" s="5">
        <f t="array" aca="1" ref="C60" ca="1">SUM((IF(MONTH(ArgentaMaxiData!$A$2:$A$200)=MONTH(ArgentaMaxiSamenv!$A60),1,0))*(IF(YEAR(ArgentaMaxiData!$A$2:$A$200)=YEAR(ArgentaMaxiSamenv!$A60),1,0))*(IF(ArgentaMaxiData!$D$2:$D$200&gt;0,1,0))*ArgentaMaxiData!$D$2:$D$200)</f>
        <v>0</v>
      </c>
      <c r="D60" s="5">
        <f t="shared" si="4"/>
        <v>0</v>
      </c>
      <c r="E60" s="11">
        <f t="array" aca="1" ref="E60" ca="1">SUM((IF(MONTH(ArgentaMaxiData!$A$2:$A$200)=MONTH(ArgentaMaxiSamenv!$A60),1,0))*(IF(YEAR(ArgentaMaxiData!$A$2:$A$200)=YEAR(ArgentaMaxiSamenv!$A60),1,0))*ArgentaMaxiData!$D$2:$D$200)+$E59</f>
        <v>0</v>
      </c>
    </row>
    <row r="61" spans="1:5">
      <c r="A61" s="10">
        <v>40238</v>
      </c>
      <c r="B61" s="5">
        <f t="array" aca="1" ref="B61" ca="1">SUM((IF(MONTH(ArgentaMaxiData!$A$2:$A$200)=MONTH(ArgentaMaxiSamenv!$A61),1,0))*(IF(YEAR(ArgentaMaxiData!$A$2:$A$200)=YEAR(ArgentaMaxiSamenv!$A61),1,0))*(IF(ArgentaMaxiData!$D$2:$D$200&lt;0,1,0))*ArgentaMaxiData!$D$2:$D$200)</f>
        <v>0</v>
      </c>
      <c r="C61" s="5">
        <f t="array" aca="1" ref="C61" ca="1">SUM((IF(MONTH(ArgentaMaxiData!$A$2:$A$200)=MONTH(ArgentaMaxiSamenv!$A61),1,0))*(IF(YEAR(ArgentaMaxiData!$A$2:$A$200)=YEAR(ArgentaMaxiSamenv!$A61),1,0))*(IF(ArgentaMaxiData!$D$2:$D$200&gt;0,1,0))*ArgentaMaxiData!$D$2:$D$200)</f>
        <v>0</v>
      </c>
      <c r="D61" s="5">
        <f t="shared" si="4"/>
        <v>0</v>
      </c>
      <c r="E61" s="11">
        <f t="array" aca="1" ref="E61" ca="1">SUM((IF(MONTH(ArgentaMaxiData!$A$2:$A$200)=MONTH(ArgentaMaxiSamenv!$A61),1,0))*(IF(YEAR(ArgentaMaxiData!$A$2:$A$200)=YEAR(ArgentaMaxiSamenv!$A61),1,0))*ArgentaMaxiData!$D$2:$D$200)+$E60</f>
        <v>0</v>
      </c>
    </row>
    <row r="62" spans="1:5">
      <c r="A62" s="10">
        <v>40269</v>
      </c>
      <c r="B62" s="5">
        <f t="array" aca="1" ref="B62" ca="1">SUM((IF(MONTH(ArgentaMaxiData!$A$2:$A$200)=MONTH(ArgentaMaxiSamenv!$A62),1,0))*(IF(YEAR(ArgentaMaxiData!$A$2:$A$200)=YEAR(ArgentaMaxiSamenv!$A62),1,0))*(IF(ArgentaMaxiData!$D$2:$D$200&lt;0,1,0))*ArgentaMaxiData!$D$2:$D$200)</f>
        <v>0</v>
      </c>
      <c r="C62" s="5">
        <f t="array" aca="1" ref="C62" ca="1">SUM((IF(MONTH(ArgentaMaxiData!$A$2:$A$200)=MONTH(ArgentaMaxiSamenv!$A62),1,0))*(IF(YEAR(ArgentaMaxiData!$A$2:$A$200)=YEAR(ArgentaMaxiSamenv!$A62),1,0))*(IF(ArgentaMaxiData!$D$2:$D$200&gt;0,1,0))*ArgentaMaxiData!$D$2:$D$200)</f>
        <v>0</v>
      </c>
      <c r="D62" s="5">
        <f t="shared" ref="D62:D68" si="5">C62+B62</f>
        <v>0</v>
      </c>
      <c r="E62" s="11">
        <f t="array" aca="1" ref="E62" ca="1">SUM((IF(MONTH(ArgentaMaxiData!$A$2:$A$200)=MONTH(ArgentaMaxiSamenv!$A62),1,0))*(IF(YEAR(ArgentaMaxiData!$A$2:$A$200)=YEAR(ArgentaMaxiSamenv!$A62),1,0))*ArgentaMaxiData!$D$2:$D$200)+$E61</f>
        <v>0</v>
      </c>
    </row>
    <row r="63" spans="1:5">
      <c r="A63" s="10">
        <v>40299</v>
      </c>
      <c r="B63" s="5">
        <f t="array" aca="1" ref="B63" ca="1">SUM((IF(MONTH(ArgentaMaxiData!$A$2:$A$200)=MONTH(ArgentaMaxiSamenv!$A63),1,0))*(IF(YEAR(ArgentaMaxiData!$A$2:$A$200)=YEAR(ArgentaMaxiSamenv!$A63),1,0))*(IF(ArgentaMaxiData!$D$2:$D$200&lt;0,1,0))*ArgentaMaxiData!$D$2:$D$200)</f>
        <v>0</v>
      </c>
      <c r="C63" s="5">
        <f t="array" aca="1" ref="C63" ca="1">SUM((IF(MONTH(ArgentaMaxiData!$A$2:$A$200)=MONTH(ArgentaMaxiSamenv!$A63),1,0))*(IF(YEAR(ArgentaMaxiData!$A$2:$A$200)=YEAR(ArgentaMaxiSamenv!$A63),1,0))*(IF(ArgentaMaxiData!$D$2:$D$200&gt;0,1,0))*ArgentaMaxiData!$D$2:$D$200)</f>
        <v>0</v>
      </c>
      <c r="D63" s="5">
        <f t="shared" si="5"/>
        <v>0</v>
      </c>
      <c r="E63" s="11">
        <f t="array" aca="1" ref="E63" ca="1">SUM((IF(MONTH(ArgentaMaxiData!$A$2:$A$200)=MONTH(ArgentaMaxiSamenv!$A63),1,0))*(IF(YEAR(ArgentaMaxiData!$A$2:$A$200)=YEAR(ArgentaMaxiSamenv!$A63),1,0))*ArgentaMaxiData!$D$2:$D$200)+$E62</f>
        <v>0</v>
      </c>
    </row>
    <row r="64" spans="1:5">
      <c r="A64" s="10">
        <v>40330</v>
      </c>
      <c r="B64" s="5">
        <f t="array" aca="1" ref="B64" ca="1">SUM((IF(MONTH(ArgentaMaxiData!$A$2:$A$200)=MONTH(ArgentaMaxiSamenv!$A64),1,0))*(IF(YEAR(ArgentaMaxiData!$A$2:$A$200)=YEAR(ArgentaMaxiSamenv!$A64),1,0))*(IF(ArgentaMaxiData!$D$2:$D$200&lt;0,1,0))*ArgentaMaxiData!$D$2:$D$200)</f>
        <v>0</v>
      </c>
      <c r="C64" s="5">
        <f t="array" aca="1" ref="C64" ca="1">SUM((IF(MONTH(ArgentaMaxiData!$A$2:$A$200)=MONTH(ArgentaMaxiSamenv!$A64),1,0))*(IF(YEAR(ArgentaMaxiData!$A$2:$A$200)=YEAR(ArgentaMaxiSamenv!$A64),1,0))*(IF(ArgentaMaxiData!$D$2:$D$200&gt;0,1,0))*ArgentaMaxiData!$D$2:$D$200)</f>
        <v>0</v>
      </c>
      <c r="D64" s="5">
        <f t="shared" si="5"/>
        <v>0</v>
      </c>
      <c r="E64" s="11">
        <f t="array" aca="1" ref="E64" ca="1">SUM((IF(MONTH(ArgentaMaxiData!$A$2:$A$200)=MONTH(ArgentaMaxiSamenv!$A64),1,0))*(IF(YEAR(ArgentaMaxiData!$A$2:$A$200)=YEAR(ArgentaMaxiSamenv!$A64),1,0))*ArgentaMaxiData!$D$2:$D$200)+$E63</f>
        <v>0</v>
      </c>
    </row>
    <row r="65" spans="1:5">
      <c r="A65" s="10">
        <v>40360</v>
      </c>
      <c r="B65" s="5">
        <f t="array" aca="1" ref="B65" ca="1">SUM((IF(MONTH(ArgentaMaxiData!$A$2:$A$200)=MONTH(ArgentaMaxiSamenv!$A65),1,0))*(IF(YEAR(ArgentaMaxiData!$A$2:$A$200)=YEAR(ArgentaMaxiSamenv!$A65),1,0))*(IF(ArgentaMaxiData!$D$2:$D$200&lt;0,1,0))*ArgentaMaxiData!$D$2:$D$200)</f>
        <v>0</v>
      </c>
      <c r="C65" s="5">
        <f t="array" aca="1" ref="C65" ca="1">SUM((IF(MONTH(ArgentaMaxiData!$A$2:$A$200)=MONTH(ArgentaMaxiSamenv!$A65),1,0))*(IF(YEAR(ArgentaMaxiData!$A$2:$A$200)=YEAR(ArgentaMaxiSamenv!$A65),1,0))*(IF(ArgentaMaxiData!$D$2:$D$200&gt;0,1,0))*ArgentaMaxiData!$D$2:$D$200)</f>
        <v>0</v>
      </c>
      <c r="D65" s="5">
        <f t="shared" si="5"/>
        <v>0</v>
      </c>
      <c r="E65" s="11">
        <f t="array" aca="1" ref="E65" ca="1">SUM((IF(MONTH(ArgentaMaxiData!$A$2:$A$200)=MONTH(ArgentaMaxiSamenv!$A65),1,0))*(IF(YEAR(ArgentaMaxiData!$A$2:$A$200)=YEAR(ArgentaMaxiSamenv!$A65),1,0))*ArgentaMaxiData!$D$2:$D$200)+$E64</f>
        <v>0</v>
      </c>
    </row>
    <row r="66" spans="1:5">
      <c r="A66" s="10">
        <v>40391</v>
      </c>
      <c r="B66" s="5">
        <f t="array" aca="1" ref="B66" ca="1">SUM((IF(MONTH(ArgentaMaxiData!$A$2:$A$200)=MONTH(ArgentaMaxiSamenv!$A66),1,0))*(IF(YEAR(ArgentaMaxiData!$A$2:$A$200)=YEAR(ArgentaMaxiSamenv!$A66),1,0))*(IF(ArgentaMaxiData!$D$2:$D$200&lt;0,1,0))*ArgentaMaxiData!$D$2:$D$200)</f>
        <v>0</v>
      </c>
      <c r="C66" s="5">
        <f t="array" aca="1" ref="C66" ca="1">SUM((IF(MONTH(ArgentaMaxiData!$A$2:$A$200)=MONTH(ArgentaMaxiSamenv!$A66),1,0))*(IF(YEAR(ArgentaMaxiData!$A$2:$A$200)=YEAR(ArgentaMaxiSamenv!$A66),1,0))*(IF(ArgentaMaxiData!$D$2:$D$200&gt;0,1,0))*ArgentaMaxiData!$D$2:$D$200)</f>
        <v>0</v>
      </c>
      <c r="D66" s="5">
        <f t="shared" si="5"/>
        <v>0</v>
      </c>
      <c r="E66" s="11">
        <f t="array" aca="1" ref="E66" ca="1">SUM((IF(MONTH(ArgentaMaxiData!$A$2:$A$200)=MONTH(ArgentaMaxiSamenv!$A66),1,0))*(IF(YEAR(ArgentaMaxiData!$A$2:$A$200)=YEAR(ArgentaMaxiSamenv!$A66),1,0))*ArgentaMaxiData!$D$2:$D$200)+$E65</f>
        <v>0</v>
      </c>
    </row>
    <row r="67" spans="1:5">
      <c r="A67" s="10">
        <v>40422</v>
      </c>
      <c r="B67" s="5">
        <f t="array" aca="1" ref="B67" ca="1">SUM((IF(MONTH(ArgentaMaxiData!$A$2:$A$200)=MONTH(ArgentaMaxiSamenv!$A67),1,0))*(IF(YEAR(ArgentaMaxiData!$A$2:$A$200)=YEAR(ArgentaMaxiSamenv!$A67),1,0))*(IF(ArgentaMaxiData!$D$2:$D$200&lt;0,1,0))*ArgentaMaxiData!$D$2:$D$200)</f>
        <v>0</v>
      </c>
      <c r="C67" s="5">
        <f t="array" aca="1" ref="C67" ca="1">SUM((IF(MONTH(ArgentaMaxiData!$A$2:$A$200)=MONTH(ArgentaMaxiSamenv!$A67),1,0))*(IF(YEAR(ArgentaMaxiData!$A$2:$A$200)=YEAR(ArgentaMaxiSamenv!$A67),1,0))*(IF(ArgentaMaxiData!$D$2:$D$200&gt;0,1,0))*ArgentaMaxiData!$D$2:$D$200)</f>
        <v>0</v>
      </c>
      <c r="D67" s="5">
        <f t="shared" si="5"/>
        <v>0</v>
      </c>
      <c r="E67" s="11">
        <f t="array" aca="1" ref="E67" ca="1">SUM((IF(MONTH(ArgentaMaxiData!$A$2:$A$200)=MONTH(ArgentaMaxiSamenv!$A67),1,0))*(IF(YEAR(ArgentaMaxiData!$A$2:$A$200)=YEAR(ArgentaMaxiSamenv!$A67),1,0))*ArgentaMaxiData!$D$2:$D$200)+$E66</f>
        <v>0</v>
      </c>
    </row>
    <row r="68" spans="1:5">
      <c r="A68" s="10">
        <v>40452</v>
      </c>
      <c r="B68" s="5">
        <f t="array" aca="1" ref="B68" ca="1">SUM((IF(MONTH(ArgentaMaxiData!$A$2:$A$200)=MONTH(ArgentaMaxiSamenv!$A68),1,0))*(IF(YEAR(ArgentaMaxiData!$A$2:$A$200)=YEAR(ArgentaMaxiSamenv!$A68),1,0))*(IF(ArgentaMaxiData!$D$2:$D$200&lt;0,1,0))*ArgentaMaxiData!$D$2:$D$200)</f>
        <v>0</v>
      </c>
      <c r="C68" s="5">
        <f t="array" aca="1" ref="C68" ca="1">SUM((IF(MONTH(ArgentaMaxiData!$A$2:$A$200)=MONTH(ArgentaMaxiSamenv!$A68),1,0))*(IF(YEAR(ArgentaMaxiData!$A$2:$A$200)=YEAR(ArgentaMaxiSamenv!$A68),1,0))*(IF(ArgentaMaxiData!$D$2:$D$200&gt;0,1,0))*ArgentaMaxiData!$D$2:$D$200)</f>
        <v>0</v>
      </c>
      <c r="D68" s="5">
        <f t="shared" si="5"/>
        <v>0</v>
      </c>
      <c r="E68" s="11">
        <f t="array" aca="1" ref="E68" ca="1">SUM((IF(MONTH(ArgentaMaxiData!$A$2:$A$200)=MONTH(ArgentaMaxiSamenv!$A68),1,0))*(IF(YEAR(ArgentaMaxiData!$A$2:$A$200)=YEAR(ArgentaMaxiSamenv!$A68),1,0))*ArgentaMaxiData!$D$2:$D$200)+$E67</f>
        <v>0</v>
      </c>
    </row>
  </sheetData>
  <phoneticPr fontId="8" type="noConversion"/>
  <conditionalFormatting sqref="A1:I1048576">
    <cfRule type="cellIs" dxfId="12" priority="4" operator="lessThan">
      <formula>0</formula>
    </cfRule>
  </conditionalFormatting>
  <conditionalFormatting sqref="A1:E1048576">
    <cfRule type="expression" dxfId="11" priority="1">
      <formula>IFERROR(IF(YEAR($A1)=YEAR($A2),0,1),0)</formula>
    </cfRule>
  </conditionalFormatting>
  <dataValidations count="1">
    <dataValidation type="list" allowBlank="1" showInputMessage="1" showErrorMessage="1" sqref="A1">
      <formula1>"2006,2007,2008,2009,2010,2011,2012,2013,2014,2015"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indexed="8"/>
  </sheetPr>
  <dimension ref="A1:I1452"/>
  <sheetViews>
    <sheetView zoomScale="85" zoomScaleNormal="85" workbookViewId="0">
      <pane ySplit="1" topLeftCell="A2" activePane="bottomLeft" state="frozenSplit"/>
      <selection pane="bottomLeft" activeCell="G2" sqref="G2:G300"/>
    </sheetView>
  </sheetViews>
  <sheetFormatPr defaultRowHeight="15"/>
  <cols>
    <col min="1" max="1" width="13.42578125" customWidth="1"/>
    <col min="2" max="2" width="17.140625" customWidth="1"/>
    <col min="3" max="3" width="10.7109375" bestFit="1" customWidth="1"/>
    <col min="4" max="4" width="105.5703125" style="33" customWidth="1"/>
    <col min="5" max="5" width="15" style="87" customWidth="1"/>
    <col min="6" max="6" width="13.85546875" style="87" customWidth="1"/>
    <col min="7" max="7" width="18" style="17" customWidth="1"/>
    <col min="8" max="8" width="22.5703125" customWidth="1"/>
    <col min="9" max="9" width="22" customWidth="1"/>
  </cols>
  <sheetData>
    <row r="1" spans="1:9">
      <c r="A1" s="34" t="s">
        <v>61</v>
      </c>
      <c r="B1" s="34" t="s">
        <v>62</v>
      </c>
      <c r="C1" s="34" t="s">
        <v>63</v>
      </c>
      <c r="D1" s="35" t="s">
        <v>64</v>
      </c>
      <c r="E1" s="116" t="s">
        <v>65</v>
      </c>
      <c r="F1" s="85" t="s">
        <v>57</v>
      </c>
      <c r="G1" s="94" t="s">
        <v>32</v>
      </c>
      <c r="H1" s="34" t="s">
        <v>33</v>
      </c>
      <c r="I1" s="34" t="s">
        <v>35</v>
      </c>
    </row>
    <row r="2" spans="1:9">
      <c r="B2" s="1"/>
      <c r="C2" s="1"/>
      <c r="D2"/>
      <c r="E2" s="86"/>
      <c r="F2" s="86"/>
      <c r="G2" s="17" t="str">
        <f ca="1">IF(H2="",SearchHLookup(D2,Categorieën!$B$1:$P$30),H2)</f>
        <v/>
      </c>
    </row>
    <row r="3" spans="1:9">
      <c r="B3" s="1"/>
      <c r="C3" s="1"/>
      <c r="D3"/>
      <c r="E3" s="86"/>
      <c r="F3" s="86"/>
      <c r="G3" s="17" t="str">
        <f ca="1">IF(H3="",SearchHLookup(D3,Categorieën!$B$1:$P$30),H3)</f>
        <v/>
      </c>
    </row>
    <row r="4" spans="1:9">
      <c r="B4" s="1"/>
      <c r="C4" s="1"/>
      <c r="D4"/>
      <c r="E4" s="86"/>
      <c r="F4" s="86"/>
      <c r="G4" s="17" t="str">
        <f ca="1">IF(H4="",SearchHLookup(D4,Categorieën!$B$1:$P$30),H4)</f>
        <v/>
      </c>
    </row>
    <row r="5" spans="1:9">
      <c r="B5" s="1"/>
      <c r="C5" s="1"/>
      <c r="D5"/>
      <c r="E5" s="86"/>
      <c r="F5" s="86"/>
      <c r="G5" s="17" t="str">
        <f ca="1">IF(H5="",SearchHLookup(D5,Categorieën!$B$1:$P$30),H5)</f>
        <v/>
      </c>
    </row>
    <row r="6" spans="1:9">
      <c r="B6" s="1"/>
      <c r="C6" s="1"/>
      <c r="D6"/>
      <c r="E6" s="86"/>
      <c r="F6" s="86"/>
      <c r="G6" s="17" t="str">
        <f ca="1">IF(H6="",SearchHLookup(D6,Categorieën!$B$1:$P$30),H6)</f>
        <v/>
      </c>
    </row>
    <row r="7" spans="1:9">
      <c r="B7" s="1"/>
      <c r="C7" s="1"/>
      <c r="D7"/>
      <c r="E7" s="86"/>
      <c r="F7" s="86"/>
      <c r="G7" s="17" t="str">
        <f ca="1">IF(H7="",SearchHLookup(D7,Categorieën!$B$1:$P$30),H7)</f>
        <v/>
      </c>
    </row>
    <row r="8" spans="1:9">
      <c r="B8" s="1"/>
      <c r="C8" s="1"/>
      <c r="D8"/>
      <c r="E8" s="86"/>
      <c r="F8" s="86"/>
      <c r="G8" s="17" t="str">
        <f ca="1">IF(H8="",SearchHLookup(D8,Categorieën!$B$1:$P$30),H8)</f>
        <v/>
      </c>
    </row>
    <row r="9" spans="1:9">
      <c r="B9" s="1"/>
      <c r="C9" s="1"/>
      <c r="D9"/>
      <c r="E9" s="86"/>
      <c r="F9" s="86"/>
      <c r="G9" s="17" t="str">
        <f ca="1">IF(H9="",SearchHLookup(D9,Categorieën!$B$1:$P$30),H9)</f>
        <v/>
      </c>
    </row>
    <row r="10" spans="1:9">
      <c r="B10" s="1"/>
      <c r="C10" s="1"/>
      <c r="D10"/>
      <c r="E10" s="86"/>
      <c r="F10" s="86"/>
      <c r="G10" s="17" t="str">
        <f ca="1">IF(H10="",SearchHLookup(D10,Categorieën!$B$1:$P$30),H10)</f>
        <v/>
      </c>
    </row>
    <row r="11" spans="1:9">
      <c r="B11" s="1"/>
      <c r="C11" s="1"/>
      <c r="D11"/>
      <c r="E11" s="86"/>
      <c r="F11" s="86"/>
      <c r="G11" s="17" t="str">
        <f ca="1">IF(H11="",SearchHLookup(D11,Categorieën!$B$1:$P$30),H11)</f>
        <v/>
      </c>
    </row>
    <row r="12" spans="1:9">
      <c r="B12" s="1"/>
      <c r="C12" s="1"/>
      <c r="D12"/>
      <c r="E12" s="86"/>
      <c r="F12" s="86"/>
      <c r="G12" s="17" t="str">
        <f ca="1">IF(H12="",SearchHLookup(D12,Categorieën!$B$1:$P$30),H12)</f>
        <v/>
      </c>
    </row>
    <row r="13" spans="1:9">
      <c r="B13" s="1"/>
      <c r="C13" s="1"/>
      <c r="D13"/>
      <c r="E13" s="86"/>
      <c r="F13" s="86"/>
      <c r="G13" s="17" t="str">
        <f ca="1">IF(H13="",SearchHLookup(D13,Categorieën!$B$1:$P$30),H13)</f>
        <v/>
      </c>
    </row>
    <row r="14" spans="1:9">
      <c r="B14" s="1"/>
      <c r="C14" s="1"/>
      <c r="D14"/>
      <c r="E14" s="86"/>
      <c r="F14" s="86"/>
      <c r="G14" s="17" t="str">
        <f ca="1">IF(H14="",SearchHLookup(D14,Categorieën!$B$1:$P$30),H14)</f>
        <v/>
      </c>
    </row>
    <row r="15" spans="1:9">
      <c r="B15" s="1"/>
      <c r="C15" s="1"/>
      <c r="D15"/>
      <c r="E15" s="86"/>
      <c r="F15" s="86"/>
      <c r="G15" s="17" t="str">
        <f ca="1">IF(H15="",SearchHLookup(D15,Categorieën!$B$1:$P$30),H15)</f>
        <v/>
      </c>
    </row>
    <row r="16" spans="1:9">
      <c r="B16" s="1"/>
      <c r="C16" s="1"/>
      <c r="D16"/>
      <c r="E16" s="86"/>
      <c r="F16" s="86"/>
      <c r="G16" s="17" t="str">
        <f ca="1">IF(H16="",SearchHLookup(D16,Categorieën!$B$1:$P$30),H16)</f>
        <v/>
      </c>
    </row>
    <row r="17" spans="2:7">
      <c r="B17" s="1"/>
      <c r="C17" s="1"/>
      <c r="D17"/>
      <c r="E17" s="86"/>
      <c r="F17" s="86"/>
      <c r="G17" s="17" t="str">
        <f ca="1">IF(H17="",SearchHLookup(D17,Categorieën!$B$1:$P$30),H17)</f>
        <v/>
      </c>
    </row>
    <row r="18" spans="2:7">
      <c r="B18" s="1"/>
      <c r="C18" s="1"/>
      <c r="D18"/>
      <c r="E18" s="86"/>
      <c r="F18" s="86"/>
      <c r="G18" s="17" t="str">
        <f ca="1">IF(H18="",SearchHLookup(D18,Categorieën!$B$1:$P$30),H18)</f>
        <v/>
      </c>
    </row>
    <row r="19" spans="2:7">
      <c r="B19" s="1"/>
      <c r="C19" s="1"/>
      <c r="D19"/>
      <c r="E19" s="86"/>
      <c r="F19" s="86"/>
      <c r="G19" s="17" t="str">
        <f ca="1">IF(H19="",SearchHLookup(D19,Categorieën!$B$1:$P$30),H19)</f>
        <v/>
      </c>
    </row>
    <row r="20" spans="2:7">
      <c r="B20" s="1"/>
      <c r="C20" s="1"/>
      <c r="D20"/>
      <c r="E20" s="86"/>
      <c r="F20" s="86"/>
      <c r="G20" s="17" t="str">
        <f ca="1">IF(H20="",SearchHLookup(D20,Categorieën!$B$1:$P$30),H20)</f>
        <v/>
      </c>
    </row>
    <row r="21" spans="2:7">
      <c r="B21" s="1"/>
      <c r="C21" s="1"/>
      <c r="D21"/>
      <c r="E21" s="86"/>
      <c r="F21" s="86"/>
      <c r="G21" s="17" t="str">
        <f ca="1">IF(H21="",SearchHLookup(D21,Categorieën!$B$1:$P$30),H21)</f>
        <v/>
      </c>
    </row>
    <row r="22" spans="2:7">
      <c r="B22" s="1"/>
      <c r="C22" s="1"/>
      <c r="D22"/>
      <c r="E22" s="86"/>
      <c r="F22" s="86"/>
      <c r="G22" s="17" t="str">
        <f ca="1">IF(H22="",SearchHLookup(D22,Categorieën!$B$1:$P$30),H22)</f>
        <v/>
      </c>
    </row>
    <row r="23" spans="2:7">
      <c r="B23" s="1"/>
      <c r="C23" s="1"/>
      <c r="D23"/>
      <c r="E23" s="86"/>
      <c r="F23" s="86"/>
      <c r="G23" s="17" t="str">
        <f ca="1">IF(H23="",SearchHLookup(D23,Categorieën!$B$1:$P$30),H23)</f>
        <v/>
      </c>
    </row>
    <row r="24" spans="2:7">
      <c r="B24" s="1"/>
      <c r="C24" s="1"/>
      <c r="D24"/>
      <c r="E24" s="86"/>
      <c r="F24" s="86"/>
      <c r="G24" s="17" t="str">
        <f ca="1">IF(H24="",SearchHLookup(D24,Categorieën!$B$1:$P$30),H24)</f>
        <v/>
      </c>
    </row>
    <row r="25" spans="2:7">
      <c r="B25" s="1"/>
      <c r="C25" s="1"/>
      <c r="D25"/>
      <c r="E25" s="86"/>
      <c r="F25" s="86"/>
      <c r="G25" s="17" t="str">
        <f ca="1">IF(H25="",SearchHLookup(D25,Categorieën!$B$1:$P$30),H25)</f>
        <v/>
      </c>
    </row>
    <row r="26" spans="2:7">
      <c r="B26" s="1"/>
      <c r="C26" s="1"/>
      <c r="D26"/>
      <c r="E26" s="86"/>
      <c r="F26" s="86"/>
      <c r="G26" s="17" t="str">
        <f ca="1">IF(H26="",SearchHLookup(D26,Categorieën!$B$1:$P$30),H26)</f>
        <v/>
      </c>
    </row>
    <row r="27" spans="2:7">
      <c r="B27" s="1"/>
      <c r="C27" s="1"/>
      <c r="D27"/>
      <c r="E27" s="86"/>
      <c r="F27" s="86"/>
      <c r="G27" s="17" t="str">
        <f ca="1">IF(H27="",SearchHLookup(D27,Categorieën!$B$1:$P$30),H27)</f>
        <v/>
      </c>
    </row>
    <row r="28" spans="2:7">
      <c r="B28" s="1"/>
      <c r="C28" s="1"/>
      <c r="D28"/>
      <c r="E28" s="86"/>
      <c r="F28" s="86"/>
      <c r="G28" s="17" t="str">
        <f ca="1">IF(H28="",SearchHLookup(D28,Categorieën!$B$1:$P$30),H28)</f>
        <v/>
      </c>
    </row>
    <row r="29" spans="2:7">
      <c r="B29" s="1"/>
      <c r="C29" s="1"/>
      <c r="D29"/>
      <c r="E29" s="86"/>
      <c r="F29" s="86"/>
      <c r="G29" s="17" t="str">
        <f ca="1">IF(H29="",SearchHLookup(D29,Categorieën!$B$1:$P$30),H29)</f>
        <v/>
      </c>
    </row>
    <row r="30" spans="2:7">
      <c r="B30" s="1"/>
      <c r="C30" s="1"/>
      <c r="D30"/>
      <c r="E30" s="86"/>
      <c r="F30" s="86"/>
      <c r="G30" s="17" t="str">
        <f ca="1">IF(H30="",SearchHLookup(D30,Categorieën!$B$1:$P$30),H30)</f>
        <v/>
      </c>
    </row>
    <row r="31" spans="2:7">
      <c r="B31" s="1"/>
      <c r="C31" s="1"/>
      <c r="D31"/>
      <c r="E31" s="86"/>
      <c r="F31" s="86"/>
      <c r="G31" s="17" t="str">
        <f ca="1">IF(H31="",SearchHLookup(D31,Categorieën!$B$1:$P$30),H31)</f>
        <v/>
      </c>
    </row>
    <row r="32" spans="2:7">
      <c r="B32" s="1"/>
      <c r="C32" s="1"/>
      <c r="D32"/>
      <c r="E32" s="86"/>
      <c r="F32" s="86"/>
      <c r="G32" s="17" t="str">
        <f ca="1">IF(H32="",SearchHLookup(D32,Categorieën!$B$1:$P$30),H32)</f>
        <v/>
      </c>
    </row>
    <row r="33" spans="2:7">
      <c r="B33" s="1"/>
      <c r="C33" s="1"/>
      <c r="D33"/>
      <c r="E33" s="86"/>
      <c r="F33" s="86"/>
      <c r="G33" s="17" t="str">
        <f ca="1">IF(H33="",SearchHLookup(D33,Categorieën!$B$1:$P$30),H33)</f>
        <v/>
      </c>
    </row>
    <row r="34" spans="2:7">
      <c r="B34" s="1"/>
      <c r="C34" s="1"/>
      <c r="D34"/>
      <c r="E34" s="86"/>
      <c r="F34" s="86"/>
      <c r="G34" s="17" t="str">
        <f ca="1">IF(H34="",SearchHLookup(D34,Categorieën!$B$1:$P$30),H34)</f>
        <v/>
      </c>
    </row>
    <row r="35" spans="2:7">
      <c r="B35" s="1"/>
      <c r="C35" s="1"/>
      <c r="D35"/>
      <c r="E35" s="86"/>
      <c r="F35" s="86"/>
      <c r="G35" s="17" t="str">
        <f ca="1">IF(H35="",SearchHLookup(D35,Categorieën!$B$1:$P$30),H35)</f>
        <v/>
      </c>
    </row>
    <row r="36" spans="2:7">
      <c r="B36" s="1"/>
      <c r="C36" s="1"/>
      <c r="D36"/>
      <c r="E36" s="86"/>
      <c r="F36" s="86"/>
      <c r="G36" s="17" t="str">
        <f ca="1">IF(H36="",SearchHLookup(D36,Categorieën!$B$1:$P$30),H36)</f>
        <v/>
      </c>
    </row>
    <row r="37" spans="2:7">
      <c r="B37" s="1"/>
      <c r="C37" s="1"/>
      <c r="D37"/>
      <c r="E37" s="86"/>
      <c r="F37" s="86"/>
      <c r="G37" s="17" t="str">
        <f ca="1">IF(H37="",SearchHLookup(D37,Categorieën!$B$1:$P$30),H37)</f>
        <v/>
      </c>
    </row>
    <row r="38" spans="2:7">
      <c r="B38" s="1"/>
      <c r="C38" s="1"/>
      <c r="D38"/>
      <c r="E38" s="86"/>
      <c r="F38" s="86"/>
      <c r="G38" s="17" t="str">
        <f ca="1">IF(H38="",SearchHLookup(D38,Categorieën!$B$1:$P$30),H38)</f>
        <v/>
      </c>
    </row>
    <row r="39" spans="2:7">
      <c r="B39" s="1"/>
      <c r="C39" s="1"/>
      <c r="D39"/>
      <c r="E39" s="86"/>
      <c r="F39" s="86"/>
      <c r="G39" s="17" t="str">
        <f ca="1">IF(H39="",SearchHLookup(D39,Categorieën!$B$1:$P$30),H39)</f>
        <v/>
      </c>
    </row>
    <row r="40" spans="2:7">
      <c r="B40" s="1"/>
      <c r="C40" s="1"/>
      <c r="D40"/>
      <c r="E40" s="86"/>
      <c r="F40" s="86"/>
      <c r="G40" s="17" t="str">
        <f ca="1">IF(H40="",SearchHLookup(D40,Categorieën!$B$1:$P$30),H40)</f>
        <v/>
      </c>
    </row>
    <row r="41" spans="2:7">
      <c r="B41" s="1"/>
      <c r="C41" s="1"/>
      <c r="D41"/>
      <c r="E41" s="86"/>
      <c r="F41" s="86"/>
      <c r="G41" s="17" t="str">
        <f ca="1">IF(H41="",SearchHLookup(D41,Categorieën!$B$1:$P$30),H41)</f>
        <v/>
      </c>
    </row>
    <row r="42" spans="2:7">
      <c r="B42" s="1"/>
      <c r="C42" s="1"/>
      <c r="D42"/>
      <c r="E42" s="86"/>
      <c r="F42" s="86"/>
      <c r="G42" s="17" t="str">
        <f ca="1">IF(H42="",SearchHLookup(D42,Categorieën!$B$1:$P$30),H42)</f>
        <v/>
      </c>
    </row>
    <row r="43" spans="2:7">
      <c r="B43" s="1"/>
      <c r="C43" s="1"/>
      <c r="D43"/>
      <c r="E43" s="86"/>
      <c r="F43" s="86"/>
      <c r="G43" s="17" t="str">
        <f ca="1">IF(H43="",SearchHLookup(D43,Categorieën!$B$1:$P$30),H43)</f>
        <v/>
      </c>
    </row>
    <row r="44" spans="2:7">
      <c r="B44" s="1"/>
      <c r="C44" s="1"/>
      <c r="D44"/>
      <c r="E44" s="86"/>
      <c r="F44" s="86"/>
      <c r="G44" s="17" t="str">
        <f ca="1">IF(H44="",SearchHLookup(D44,Categorieën!$B$1:$P$30),H44)</f>
        <v/>
      </c>
    </row>
    <row r="45" spans="2:7">
      <c r="B45" s="1"/>
      <c r="C45" s="1"/>
      <c r="D45"/>
      <c r="E45" s="86"/>
      <c r="F45" s="86"/>
      <c r="G45" s="17" t="str">
        <f ca="1">IF(H45="",SearchHLookup(D45,Categorieën!$B$1:$P$30),H45)</f>
        <v/>
      </c>
    </row>
    <row r="46" spans="2:7">
      <c r="B46" s="1"/>
      <c r="C46" s="1"/>
      <c r="D46"/>
      <c r="E46" s="86"/>
      <c r="F46" s="86"/>
      <c r="G46" s="17" t="str">
        <f ca="1">IF(H46="",SearchHLookup(D46,Categorieën!$B$1:$P$30),H46)</f>
        <v/>
      </c>
    </row>
    <row r="47" spans="2:7">
      <c r="B47" s="1"/>
      <c r="C47" s="1"/>
      <c r="D47"/>
      <c r="E47" s="86"/>
      <c r="F47" s="86"/>
      <c r="G47" s="17" t="str">
        <f ca="1">IF(H47="",SearchHLookup(D47,Categorieën!$B$1:$P$30),H47)</f>
        <v/>
      </c>
    </row>
    <row r="48" spans="2:7">
      <c r="B48" s="1"/>
      <c r="C48" s="1"/>
      <c r="D48"/>
      <c r="E48" s="86"/>
      <c r="F48" s="86"/>
      <c r="G48" s="17" t="str">
        <f ca="1">IF(H48="",SearchHLookup(D48,Categorieën!$B$1:$P$30),H48)</f>
        <v/>
      </c>
    </row>
    <row r="49" spans="2:7">
      <c r="B49" s="1"/>
      <c r="C49" s="1"/>
      <c r="D49"/>
      <c r="E49" s="86"/>
      <c r="F49" s="86"/>
      <c r="G49" s="17" t="str">
        <f ca="1">IF(H49="",SearchHLookup(D49,Categorieën!$B$1:$P$30),H49)</f>
        <v/>
      </c>
    </row>
    <row r="50" spans="2:7">
      <c r="B50" s="1"/>
      <c r="C50" s="1"/>
      <c r="D50"/>
      <c r="E50" s="86"/>
      <c r="F50" s="86"/>
      <c r="G50" s="17" t="str">
        <f ca="1">IF(H50="",SearchHLookup(D50,Categorieën!$B$1:$P$30),H50)</f>
        <v/>
      </c>
    </row>
    <row r="51" spans="2:7">
      <c r="B51" s="1"/>
      <c r="C51" s="1"/>
      <c r="D51"/>
      <c r="E51" s="86"/>
      <c r="F51" s="86"/>
      <c r="G51" s="17" t="str">
        <f ca="1">IF(H51="",SearchHLookup(D51,Categorieën!$B$1:$P$30),H51)</f>
        <v/>
      </c>
    </row>
    <row r="52" spans="2:7">
      <c r="B52" s="1"/>
      <c r="C52" s="1"/>
      <c r="D52"/>
      <c r="E52" s="86"/>
      <c r="F52" s="86"/>
      <c r="G52" s="17" t="str">
        <f ca="1">IF(H52="",SearchHLookup(D52,Categorieën!$B$1:$P$30),H52)</f>
        <v/>
      </c>
    </row>
    <row r="53" spans="2:7">
      <c r="B53" s="1"/>
      <c r="C53" s="1"/>
      <c r="D53"/>
      <c r="E53" s="86"/>
      <c r="F53" s="86"/>
      <c r="G53" s="17" t="str">
        <f ca="1">IF(H53="",SearchHLookup(D53,Categorieën!$B$1:$P$30),H53)</f>
        <v/>
      </c>
    </row>
    <row r="54" spans="2:7">
      <c r="B54" s="1"/>
      <c r="C54" s="1"/>
      <c r="D54"/>
      <c r="E54" s="86"/>
      <c r="F54" s="86"/>
      <c r="G54" s="17" t="str">
        <f ca="1">IF(H54="",SearchHLookup(D54,Categorieën!$B$1:$P$30),H54)</f>
        <v/>
      </c>
    </row>
    <row r="55" spans="2:7">
      <c r="B55" s="1"/>
      <c r="C55" s="1"/>
      <c r="D55"/>
      <c r="E55" s="86"/>
      <c r="F55" s="86"/>
      <c r="G55" s="17" t="str">
        <f ca="1">IF(H55="",SearchHLookup(D55,Categorieën!$B$1:$P$30),H55)</f>
        <v/>
      </c>
    </row>
    <row r="56" spans="2:7">
      <c r="B56" s="1"/>
      <c r="C56" s="1"/>
      <c r="D56"/>
      <c r="E56" s="86"/>
      <c r="F56" s="86"/>
      <c r="G56" s="17" t="str">
        <f ca="1">IF(H56="",SearchHLookup(D56,Categorieën!$B$1:$P$30),H56)</f>
        <v/>
      </c>
    </row>
    <row r="57" spans="2:7">
      <c r="B57" s="1"/>
      <c r="C57" s="1"/>
      <c r="D57"/>
      <c r="E57" s="86"/>
      <c r="F57" s="86"/>
      <c r="G57" s="17" t="str">
        <f ca="1">IF(H57="",SearchHLookup(D57,Categorieën!$B$1:$P$30),H57)</f>
        <v/>
      </c>
    </row>
    <row r="58" spans="2:7">
      <c r="B58" s="1"/>
      <c r="C58" s="1"/>
      <c r="D58"/>
      <c r="E58" s="86"/>
      <c r="F58" s="86"/>
      <c r="G58" s="17" t="str">
        <f ca="1">IF(H58="",SearchHLookup(D58,Categorieën!$B$1:$P$30),H58)</f>
        <v/>
      </c>
    </row>
    <row r="59" spans="2:7">
      <c r="B59" s="1"/>
      <c r="C59" s="1"/>
      <c r="D59"/>
      <c r="E59" s="86"/>
      <c r="F59" s="86"/>
      <c r="G59" s="17" t="str">
        <f ca="1">IF(H59="",SearchHLookup(D59,Categorieën!$B$1:$P$30),H59)</f>
        <v/>
      </c>
    </row>
    <row r="60" spans="2:7">
      <c r="B60" s="1"/>
      <c r="C60" s="1"/>
      <c r="D60"/>
      <c r="E60" s="86"/>
      <c r="F60" s="86"/>
      <c r="G60" s="17" t="str">
        <f ca="1">IF(H60="",SearchHLookup(D60,Categorieën!$B$1:$P$30),H60)</f>
        <v/>
      </c>
    </row>
    <row r="61" spans="2:7">
      <c r="B61" s="1"/>
      <c r="C61" s="1"/>
      <c r="D61"/>
      <c r="E61" s="86"/>
      <c r="F61" s="86"/>
      <c r="G61" s="17" t="str">
        <f ca="1">IF(H61="",SearchHLookup(D61,Categorieën!$B$1:$P$30),H61)</f>
        <v/>
      </c>
    </row>
    <row r="62" spans="2:7">
      <c r="B62" s="1"/>
      <c r="C62" s="1"/>
      <c r="D62"/>
      <c r="E62" s="86"/>
      <c r="F62" s="86"/>
      <c r="G62" s="17" t="str">
        <f ca="1">IF(H62="",SearchHLookup(D62,Categorieën!$B$1:$P$30),H62)</f>
        <v/>
      </c>
    </row>
    <row r="63" spans="2:7">
      <c r="B63" s="1"/>
      <c r="C63" s="1"/>
      <c r="D63"/>
      <c r="E63" s="86"/>
      <c r="F63" s="86"/>
      <c r="G63" s="17" t="str">
        <f ca="1">IF(H63="",SearchHLookup(D63,Categorieën!$B$1:$P$30),H63)</f>
        <v/>
      </c>
    </row>
    <row r="64" spans="2:7">
      <c r="B64" s="1"/>
      <c r="C64" s="1"/>
      <c r="D64"/>
      <c r="E64" s="86"/>
      <c r="F64" s="86"/>
      <c r="G64" s="17" t="str">
        <f ca="1">IF(H64="",SearchHLookup(D64,Categorieën!$B$1:$P$30),H64)</f>
        <v/>
      </c>
    </row>
    <row r="65" spans="2:7">
      <c r="B65" s="1"/>
      <c r="C65" s="1"/>
      <c r="D65"/>
      <c r="E65" s="86"/>
      <c r="F65" s="86"/>
      <c r="G65" s="17" t="str">
        <f ca="1">IF(H65="",SearchHLookup(D65,Categorieën!$B$1:$P$30),H65)</f>
        <v/>
      </c>
    </row>
    <row r="66" spans="2:7">
      <c r="B66" s="1"/>
      <c r="C66" s="1"/>
      <c r="D66"/>
      <c r="E66" s="86"/>
      <c r="F66" s="86"/>
      <c r="G66" s="17" t="str">
        <f ca="1">IF(H66="",SearchHLookup(D66,Categorieën!$B$1:$P$30),H66)</f>
        <v/>
      </c>
    </row>
    <row r="67" spans="2:7">
      <c r="B67" s="1"/>
      <c r="C67" s="1"/>
      <c r="D67"/>
      <c r="E67" s="86"/>
      <c r="F67" s="86"/>
      <c r="G67" s="17" t="str">
        <f ca="1">IF(H67="",SearchHLookup(D67,Categorieën!$B$1:$P$30),H67)</f>
        <v/>
      </c>
    </row>
    <row r="68" spans="2:7">
      <c r="B68" s="1"/>
      <c r="C68" s="1"/>
      <c r="D68"/>
      <c r="E68" s="86"/>
      <c r="F68" s="86"/>
      <c r="G68" s="17" t="str">
        <f ca="1">IF(H68="",SearchHLookup(D68,Categorieën!$B$1:$P$30),H68)</f>
        <v/>
      </c>
    </row>
    <row r="69" spans="2:7">
      <c r="B69" s="1"/>
      <c r="C69" s="1"/>
      <c r="D69"/>
      <c r="E69" s="86"/>
      <c r="F69" s="86"/>
      <c r="G69" s="17" t="str">
        <f ca="1">IF(H69="",SearchHLookup(D69,Categorieën!$B$1:$P$30),H69)</f>
        <v/>
      </c>
    </row>
    <row r="70" spans="2:7">
      <c r="B70" s="1"/>
      <c r="C70" s="1"/>
      <c r="D70"/>
      <c r="E70" s="86"/>
      <c r="F70" s="86"/>
      <c r="G70" s="17" t="str">
        <f ca="1">IF(H70="",SearchHLookup(D70,Categorieën!$B$1:$P$30),H70)</f>
        <v/>
      </c>
    </row>
    <row r="71" spans="2:7">
      <c r="B71" s="1"/>
      <c r="C71" s="1"/>
      <c r="D71"/>
      <c r="E71" s="86"/>
      <c r="F71" s="86"/>
      <c r="G71" s="17" t="str">
        <f ca="1">IF(H71="",SearchHLookup(D71,Categorieën!$B$1:$P$30),H71)</f>
        <v/>
      </c>
    </row>
    <row r="72" spans="2:7">
      <c r="B72" s="1"/>
      <c r="C72" s="1"/>
      <c r="D72"/>
      <c r="E72" s="86"/>
      <c r="F72" s="86"/>
      <c r="G72" s="17" t="str">
        <f ca="1">IF(H72="",SearchHLookup(D72,Categorieën!$B$1:$P$30),H72)</f>
        <v/>
      </c>
    </row>
    <row r="73" spans="2:7">
      <c r="B73" s="1"/>
      <c r="C73" s="1"/>
      <c r="D73"/>
      <c r="E73" s="86"/>
      <c r="F73" s="86"/>
      <c r="G73" s="17" t="str">
        <f ca="1">IF(H73="",SearchHLookup(D73,Categorieën!$B$1:$P$30),H73)</f>
        <v/>
      </c>
    </row>
    <row r="74" spans="2:7">
      <c r="B74" s="1"/>
      <c r="C74" s="1"/>
      <c r="D74"/>
      <c r="E74" s="86"/>
      <c r="F74" s="86"/>
      <c r="G74" s="17" t="str">
        <f ca="1">IF(H74="",SearchHLookup(D74,Categorieën!$B$1:$P$30),H74)</f>
        <v/>
      </c>
    </row>
    <row r="75" spans="2:7">
      <c r="B75" s="1"/>
      <c r="C75" s="1"/>
      <c r="D75"/>
      <c r="E75" s="86"/>
      <c r="F75" s="86"/>
      <c r="G75" s="17" t="str">
        <f ca="1">IF(H75="",SearchHLookup(D75,Categorieën!$B$1:$P$30),H75)</f>
        <v/>
      </c>
    </row>
    <row r="76" spans="2:7">
      <c r="B76" s="1"/>
      <c r="C76" s="1"/>
      <c r="D76"/>
      <c r="E76" s="86"/>
      <c r="F76" s="86"/>
      <c r="G76" s="17" t="str">
        <f ca="1">IF(H76="",SearchHLookup(D76,Categorieën!$B$1:$P$30),H76)</f>
        <v/>
      </c>
    </row>
    <row r="77" spans="2:7">
      <c r="B77" s="1"/>
      <c r="C77" s="1"/>
      <c r="D77"/>
      <c r="E77" s="86"/>
      <c r="F77" s="86"/>
      <c r="G77" s="17" t="str">
        <f ca="1">IF(H77="",SearchHLookup(D77,Categorieën!$B$1:$P$30),H77)</f>
        <v/>
      </c>
    </row>
    <row r="78" spans="2:7">
      <c r="B78" s="1"/>
      <c r="C78" s="1"/>
      <c r="D78"/>
      <c r="E78" s="86"/>
      <c r="F78" s="86"/>
      <c r="G78" s="17" t="str">
        <f ca="1">IF(H78="",SearchHLookup(D78,Categorieën!$B$1:$P$30),H78)</f>
        <v/>
      </c>
    </row>
    <row r="79" spans="2:7">
      <c r="B79" s="1"/>
      <c r="C79" s="1"/>
      <c r="D79"/>
      <c r="E79" s="86"/>
      <c r="F79" s="86"/>
      <c r="G79" s="17" t="str">
        <f ca="1">IF(H79="",SearchHLookup(D79,Categorieën!$B$1:$P$30),H79)</f>
        <v/>
      </c>
    </row>
    <row r="80" spans="2:7">
      <c r="B80" s="1"/>
      <c r="C80" s="1"/>
      <c r="D80"/>
      <c r="E80" s="86"/>
      <c r="F80" s="86"/>
      <c r="G80" s="17" t="str">
        <f ca="1">IF(H80="",SearchHLookup(D80,Categorieën!$B$1:$P$30),H80)</f>
        <v/>
      </c>
    </row>
    <row r="81" spans="2:7">
      <c r="B81" s="1"/>
      <c r="C81" s="1"/>
      <c r="D81"/>
      <c r="E81" s="86"/>
      <c r="F81" s="86"/>
      <c r="G81" s="17" t="str">
        <f ca="1">IF(H81="",SearchHLookup(D81,Categorieën!$B$1:$P$30),H81)</f>
        <v/>
      </c>
    </row>
    <row r="82" spans="2:7">
      <c r="B82" s="1"/>
      <c r="C82" s="1"/>
      <c r="D82"/>
      <c r="E82" s="86"/>
      <c r="F82" s="86"/>
      <c r="G82" s="17" t="str">
        <f ca="1">IF(H82="",SearchHLookup(D82,Categorieën!$B$1:$P$30),H82)</f>
        <v/>
      </c>
    </row>
    <row r="83" spans="2:7">
      <c r="B83" s="1"/>
      <c r="C83" s="1"/>
      <c r="D83"/>
      <c r="E83" s="86"/>
      <c r="F83" s="86"/>
      <c r="G83" s="17" t="str">
        <f ca="1">IF(H83="",SearchHLookup(D83,Categorieën!$B$1:$P$30),H83)</f>
        <v/>
      </c>
    </row>
    <row r="84" spans="2:7">
      <c r="B84" s="1"/>
      <c r="C84" s="1"/>
      <c r="D84"/>
      <c r="E84" s="86"/>
      <c r="F84" s="86"/>
      <c r="G84" s="17" t="str">
        <f ca="1">IF(H84="",SearchHLookup(D84,Categorieën!$B$1:$P$30),H84)</f>
        <v/>
      </c>
    </row>
    <row r="85" spans="2:7">
      <c r="B85" s="1"/>
      <c r="C85" s="1"/>
      <c r="D85"/>
      <c r="E85" s="86"/>
      <c r="F85" s="86"/>
      <c r="G85" s="17" t="str">
        <f ca="1">IF(H85="",SearchHLookup(D85,Categorieën!$B$1:$P$30),H85)</f>
        <v/>
      </c>
    </row>
    <row r="86" spans="2:7">
      <c r="B86" s="1"/>
      <c r="C86" s="1"/>
      <c r="D86"/>
      <c r="E86" s="86"/>
      <c r="F86" s="86"/>
      <c r="G86" s="17" t="str">
        <f ca="1">IF(H86="",SearchHLookup(D86,Categorieën!$B$1:$P$30),H86)</f>
        <v/>
      </c>
    </row>
    <row r="87" spans="2:7">
      <c r="B87" s="1"/>
      <c r="C87" s="1"/>
      <c r="D87"/>
      <c r="E87" s="86"/>
      <c r="F87" s="86"/>
      <c r="G87" s="17" t="str">
        <f ca="1">IF(H87="",SearchHLookup(D87,Categorieën!$B$1:$P$30),H87)</f>
        <v/>
      </c>
    </row>
    <row r="88" spans="2:7">
      <c r="B88" s="1"/>
      <c r="C88" s="1"/>
      <c r="D88"/>
      <c r="E88" s="86"/>
      <c r="F88" s="86"/>
      <c r="G88" s="17" t="str">
        <f ca="1">IF(H88="",SearchHLookup(D88,Categorieën!$B$1:$P$30),H88)</f>
        <v/>
      </c>
    </row>
    <row r="89" spans="2:7">
      <c r="B89" s="1"/>
      <c r="C89" s="1"/>
      <c r="D89"/>
      <c r="E89" s="86"/>
      <c r="F89" s="86"/>
      <c r="G89" s="17" t="str">
        <f ca="1">IF(H89="",SearchHLookup(D89,Categorieën!$B$1:$P$30),H89)</f>
        <v/>
      </c>
    </row>
    <row r="90" spans="2:7">
      <c r="B90" s="1"/>
      <c r="C90" s="1"/>
      <c r="D90"/>
      <c r="E90" s="86"/>
      <c r="F90" s="86"/>
      <c r="G90" s="17" t="str">
        <f ca="1">IF(H90="",SearchHLookup(D90,Categorieën!$B$1:$P$30),H90)</f>
        <v/>
      </c>
    </row>
    <row r="91" spans="2:7">
      <c r="B91" s="1"/>
      <c r="C91" s="1"/>
      <c r="D91"/>
      <c r="E91" s="86"/>
      <c r="F91" s="86"/>
      <c r="G91" s="17" t="str">
        <f ca="1">IF(H91="",SearchHLookup(D91,Categorieën!$B$1:$P$30),H91)</f>
        <v/>
      </c>
    </row>
    <row r="92" spans="2:7">
      <c r="B92" s="1"/>
      <c r="C92" s="1"/>
      <c r="D92"/>
      <c r="E92" s="86"/>
      <c r="F92" s="86"/>
      <c r="G92" s="17" t="str">
        <f ca="1">IF(H92="",SearchHLookup(D92,Categorieën!$B$1:$P$30),H92)</f>
        <v/>
      </c>
    </row>
    <row r="93" spans="2:7">
      <c r="B93" s="1"/>
      <c r="C93" s="1"/>
      <c r="D93"/>
      <c r="E93" s="86"/>
      <c r="F93" s="86"/>
      <c r="G93" s="17" t="str">
        <f ca="1">IF(H93="",SearchHLookup(D93,Categorieën!$B$1:$P$30),H93)</f>
        <v/>
      </c>
    </row>
    <row r="94" spans="2:7">
      <c r="B94" s="1"/>
      <c r="C94" s="1"/>
      <c r="D94"/>
      <c r="E94" s="86"/>
      <c r="F94" s="86"/>
      <c r="G94" s="17" t="str">
        <f ca="1">IF(H94="",SearchHLookup(D94,Categorieën!$B$1:$P$30),H94)</f>
        <v/>
      </c>
    </row>
    <row r="95" spans="2:7">
      <c r="B95" s="1"/>
      <c r="C95" s="1"/>
      <c r="D95"/>
      <c r="E95" s="86"/>
      <c r="F95" s="86"/>
      <c r="G95" s="17" t="str">
        <f ca="1">IF(H95="",SearchHLookup(D95,Categorieën!$B$1:$P$30),H95)</f>
        <v/>
      </c>
    </row>
    <row r="96" spans="2:7">
      <c r="B96" s="1"/>
      <c r="C96" s="1"/>
      <c r="D96"/>
      <c r="E96" s="86"/>
      <c r="F96" s="86"/>
      <c r="G96" s="17" t="str">
        <f ca="1">IF(H96="",SearchHLookup(D96,Categorieën!$B$1:$P$30),H96)</f>
        <v/>
      </c>
    </row>
    <row r="97" spans="2:7">
      <c r="B97" s="1"/>
      <c r="C97" s="1"/>
      <c r="D97"/>
      <c r="E97" s="86"/>
      <c r="F97" s="86"/>
      <c r="G97" s="17" t="str">
        <f ca="1">IF(H97="",SearchHLookup(D97,Categorieën!$B$1:$P$30),H97)</f>
        <v/>
      </c>
    </row>
    <row r="98" spans="2:7">
      <c r="B98" s="1"/>
      <c r="C98" s="1"/>
      <c r="D98"/>
      <c r="E98" s="86"/>
      <c r="F98" s="86"/>
      <c r="G98" s="17" t="str">
        <f ca="1">IF(H98="",SearchHLookup(D98,Categorieën!$B$1:$P$30),H98)</f>
        <v/>
      </c>
    </row>
    <row r="99" spans="2:7">
      <c r="B99" s="1"/>
      <c r="C99" s="1"/>
      <c r="D99"/>
      <c r="E99" s="86"/>
      <c r="F99" s="86"/>
      <c r="G99" s="17" t="str">
        <f ca="1">IF(H99="",SearchHLookup(D99,Categorieën!$B$1:$P$30),H99)</f>
        <v/>
      </c>
    </row>
    <row r="100" spans="2:7">
      <c r="B100" s="1"/>
      <c r="C100" s="1"/>
      <c r="D100"/>
      <c r="E100" s="86"/>
      <c r="F100" s="86"/>
      <c r="G100" s="17" t="str">
        <f ca="1">IF(H100="",SearchHLookup(D100,Categorieën!$B$1:$P$30),H100)</f>
        <v/>
      </c>
    </row>
    <row r="101" spans="2:7">
      <c r="B101" s="1"/>
      <c r="C101" s="1"/>
      <c r="D101"/>
      <c r="E101" s="86"/>
      <c r="F101" s="86"/>
      <c r="G101" s="17" t="str">
        <f ca="1">IF(H101="",SearchHLookup(D101,Categorieën!$B$1:$P$30),H101)</f>
        <v/>
      </c>
    </row>
    <row r="102" spans="2:7">
      <c r="B102" s="1"/>
      <c r="C102" s="1"/>
      <c r="D102"/>
      <c r="E102" s="86"/>
      <c r="F102" s="86"/>
      <c r="G102" s="17" t="str">
        <f ca="1">IF(H102="",SearchHLookup(D102,Categorieën!$B$1:$P$30),H102)</f>
        <v/>
      </c>
    </row>
    <row r="103" spans="2:7">
      <c r="B103" s="1"/>
      <c r="C103" s="1"/>
      <c r="D103"/>
      <c r="E103" s="86"/>
      <c r="F103" s="86"/>
      <c r="G103" s="17" t="str">
        <f ca="1">IF(H103="",SearchHLookup(D103,Categorieën!$B$1:$P$30),H103)</f>
        <v/>
      </c>
    </row>
    <row r="104" spans="2:7">
      <c r="B104" s="1"/>
      <c r="C104" s="1"/>
      <c r="D104"/>
      <c r="E104" s="86"/>
      <c r="F104" s="86"/>
      <c r="G104" s="17" t="str">
        <f ca="1">IF(H104="",SearchHLookup(D104,Categorieën!$B$1:$P$30),H104)</f>
        <v/>
      </c>
    </row>
    <row r="105" spans="2:7">
      <c r="B105" s="1"/>
      <c r="C105" s="1"/>
      <c r="D105"/>
      <c r="E105" s="86"/>
      <c r="F105" s="86"/>
      <c r="G105" s="17" t="str">
        <f ca="1">IF(H105="",SearchHLookup(D105,Categorieën!$B$1:$P$30),H105)</f>
        <v/>
      </c>
    </row>
    <row r="106" spans="2:7">
      <c r="B106" s="1"/>
      <c r="C106" s="1"/>
      <c r="D106"/>
      <c r="E106" s="86"/>
      <c r="F106" s="86"/>
      <c r="G106" s="17" t="str">
        <f ca="1">IF(H106="",SearchHLookup(D106,Categorieën!$B$1:$P$30),H106)</f>
        <v/>
      </c>
    </row>
    <row r="107" spans="2:7">
      <c r="B107" s="1"/>
      <c r="C107" s="1"/>
      <c r="D107"/>
      <c r="E107" s="86"/>
      <c r="F107" s="86"/>
      <c r="G107" s="17" t="str">
        <f ca="1">IF(H107="",SearchHLookup(D107,Categorieën!$B$1:$P$30),H107)</f>
        <v/>
      </c>
    </row>
    <row r="108" spans="2:7">
      <c r="B108" s="1"/>
      <c r="C108" s="1"/>
      <c r="D108"/>
      <c r="E108" s="86"/>
      <c r="F108" s="86"/>
      <c r="G108" s="17" t="str">
        <f ca="1">IF(H108="",SearchHLookup(D108,Categorieën!$B$1:$P$30),H108)</f>
        <v/>
      </c>
    </row>
    <row r="109" spans="2:7">
      <c r="B109" s="1"/>
      <c r="C109" s="1"/>
      <c r="D109"/>
      <c r="E109" s="86"/>
      <c r="F109" s="86"/>
      <c r="G109" s="17" t="str">
        <f ca="1">IF(H109="",SearchHLookup(D109,Categorieën!$B$1:$P$30),H109)</f>
        <v/>
      </c>
    </row>
    <row r="110" spans="2:7">
      <c r="B110" s="1"/>
      <c r="C110" s="1"/>
      <c r="D110"/>
      <c r="E110" s="86"/>
      <c r="F110" s="86"/>
      <c r="G110" s="17" t="str">
        <f ca="1">IF(H110="",SearchHLookup(D110,Categorieën!$B$1:$P$30),H110)</f>
        <v/>
      </c>
    </row>
    <row r="111" spans="2:7">
      <c r="B111" s="1"/>
      <c r="C111" s="1"/>
      <c r="D111"/>
      <c r="E111" s="86"/>
      <c r="F111" s="86"/>
      <c r="G111" s="17" t="str">
        <f ca="1">IF(H111="",SearchHLookup(D111,Categorieën!$B$1:$P$30),H111)</f>
        <v/>
      </c>
    </row>
    <row r="112" spans="2:7">
      <c r="B112" s="1"/>
      <c r="C112" s="1"/>
      <c r="D112"/>
      <c r="E112" s="86"/>
      <c r="F112" s="86"/>
      <c r="G112" s="17" t="str">
        <f ca="1">IF(H112="",SearchHLookup(D112,Categorieën!$B$1:$P$30),H112)</f>
        <v/>
      </c>
    </row>
    <row r="113" spans="2:7">
      <c r="B113" s="1"/>
      <c r="C113" s="1"/>
      <c r="D113"/>
      <c r="E113" s="86"/>
      <c r="F113" s="86"/>
      <c r="G113" s="17" t="str">
        <f ca="1">IF(H113="",SearchHLookup(D113,Categorieën!$B$1:$P$30),H113)</f>
        <v/>
      </c>
    </row>
    <row r="114" spans="2:7">
      <c r="B114" s="1"/>
      <c r="C114" s="1"/>
      <c r="D114"/>
      <c r="E114" s="86"/>
      <c r="F114" s="86"/>
      <c r="G114" s="17" t="str">
        <f ca="1">IF(H114="",SearchHLookup(D114,Categorieën!$B$1:$P$30),H114)</f>
        <v/>
      </c>
    </row>
    <row r="115" spans="2:7">
      <c r="B115" s="1"/>
      <c r="C115" s="1"/>
      <c r="D115"/>
      <c r="E115" s="86"/>
      <c r="F115" s="86"/>
      <c r="G115" s="17" t="str">
        <f ca="1">IF(H115="",SearchHLookup(D115,Categorieën!$B$1:$P$30),H115)</f>
        <v/>
      </c>
    </row>
    <row r="116" spans="2:7">
      <c r="B116" s="1"/>
      <c r="C116" s="1"/>
      <c r="D116"/>
      <c r="E116" s="86"/>
      <c r="F116" s="86"/>
      <c r="G116" s="17" t="str">
        <f ca="1">IF(H116="",SearchHLookup(D116,Categorieën!$B$1:$P$30),H116)</f>
        <v/>
      </c>
    </row>
    <row r="117" spans="2:7">
      <c r="B117" s="1"/>
      <c r="C117" s="1"/>
      <c r="D117"/>
      <c r="E117" s="86"/>
      <c r="F117" s="86"/>
      <c r="G117" s="17" t="str">
        <f ca="1">IF(H117="",SearchHLookup(D117,Categorieën!$B$1:$P$30),H117)</f>
        <v/>
      </c>
    </row>
    <row r="118" spans="2:7">
      <c r="B118" s="1"/>
      <c r="C118" s="1"/>
      <c r="D118"/>
      <c r="E118" s="86"/>
      <c r="F118" s="86"/>
      <c r="G118" s="17" t="str">
        <f ca="1">IF(H118="",SearchHLookup(D118,Categorieën!$B$1:$P$30),H118)</f>
        <v/>
      </c>
    </row>
    <row r="119" spans="2:7">
      <c r="B119" s="1"/>
      <c r="C119" s="1"/>
      <c r="D119"/>
      <c r="E119" s="86"/>
      <c r="F119" s="86"/>
      <c r="G119" s="17" t="str">
        <f ca="1">IF(H119="",SearchHLookup(D119,Categorieën!$B$1:$P$30),H119)</f>
        <v/>
      </c>
    </row>
    <row r="120" spans="2:7">
      <c r="B120" s="1"/>
      <c r="C120" s="1"/>
      <c r="D120"/>
      <c r="E120" s="86"/>
      <c r="F120" s="86"/>
      <c r="G120" s="17" t="str">
        <f ca="1">IF(H120="",SearchHLookup(D120,Categorieën!$B$1:$P$30),H120)</f>
        <v/>
      </c>
    </row>
    <row r="121" spans="2:7">
      <c r="B121" s="1"/>
      <c r="C121" s="1"/>
      <c r="D121"/>
      <c r="E121" s="86"/>
      <c r="F121" s="86"/>
      <c r="G121" s="17" t="str">
        <f ca="1">IF(H121="",SearchHLookup(D121,Categorieën!$B$1:$P$30),H121)</f>
        <v/>
      </c>
    </row>
    <row r="122" spans="2:7">
      <c r="B122" s="1"/>
      <c r="C122" s="1"/>
      <c r="D122"/>
      <c r="E122" s="86"/>
      <c r="F122" s="86"/>
      <c r="G122" s="17" t="str">
        <f ca="1">IF(H122="",SearchHLookup(D122,Categorieën!$B$1:$P$30),H122)</f>
        <v/>
      </c>
    </row>
    <row r="123" spans="2:7">
      <c r="B123" s="1"/>
      <c r="C123" s="1"/>
      <c r="D123"/>
      <c r="E123" s="86"/>
      <c r="F123" s="86"/>
      <c r="G123" s="17" t="str">
        <f ca="1">IF(H123="",SearchHLookup(D123,Categorieën!$B$1:$P$30),H123)</f>
        <v/>
      </c>
    </row>
    <row r="124" spans="2:7">
      <c r="B124" s="1"/>
      <c r="C124" s="1"/>
      <c r="D124"/>
      <c r="E124" s="86"/>
      <c r="F124" s="86"/>
      <c r="G124" s="17" t="str">
        <f ca="1">IF(H124="",SearchHLookup(D124,Categorieën!$B$1:$P$30),H124)</f>
        <v/>
      </c>
    </row>
    <row r="125" spans="2:7">
      <c r="B125" s="1"/>
      <c r="C125" s="1"/>
      <c r="D125"/>
      <c r="E125" s="86"/>
      <c r="F125" s="86"/>
      <c r="G125" s="17" t="str">
        <f ca="1">IF(H125="",SearchHLookup(D125,Categorieën!$B$1:$P$30),H125)</f>
        <v/>
      </c>
    </row>
    <row r="126" spans="2:7">
      <c r="B126" s="1"/>
      <c r="C126" s="1"/>
      <c r="D126"/>
      <c r="E126" s="86"/>
      <c r="F126" s="86"/>
      <c r="G126" s="17" t="str">
        <f ca="1">IF(H126="",SearchHLookup(D126,Categorieën!$B$1:$P$30),H126)</f>
        <v/>
      </c>
    </row>
    <row r="127" spans="2:7">
      <c r="B127" s="1"/>
      <c r="C127" s="1"/>
      <c r="D127"/>
      <c r="E127" s="86"/>
      <c r="F127" s="86"/>
      <c r="G127" s="17" t="str">
        <f ca="1">IF(H127="",SearchHLookup(D127,Categorieën!$B$1:$P$30),H127)</f>
        <v/>
      </c>
    </row>
    <row r="128" spans="2:7">
      <c r="B128" s="1"/>
      <c r="C128" s="1"/>
      <c r="D128"/>
      <c r="E128" s="86"/>
      <c r="F128" s="86"/>
      <c r="G128" s="17" t="str">
        <f ca="1">IF(H128="",SearchHLookup(D128,Categorieën!$B$1:$P$30),H128)</f>
        <v/>
      </c>
    </row>
    <row r="129" spans="2:7">
      <c r="B129" s="1"/>
      <c r="C129" s="1"/>
      <c r="D129"/>
      <c r="E129" s="86"/>
      <c r="F129" s="86"/>
      <c r="G129" s="17" t="str">
        <f ca="1">IF(H129="",SearchHLookup(D129,Categorieën!$B$1:$P$30),H129)</f>
        <v/>
      </c>
    </row>
    <row r="130" spans="2:7">
      <c r="B130" s="1"/>
      <c r="C130" s="1"/>
      <c r="D130"/>
      <c r="E130" s="86"/>
      <c r="F130" s="86"/>
      <c r="G130" s="17" t="str">
        <f ca="1">IF(H130="",SearchHLookup(D130,Categorieën!$B$1:$P$30),H130)</f>
        <v/>
      </c>
    </row>
    <row r="131" spans="2:7">
      <c r="B131" s="1"/>
      <c r="C131" s="1"/>
      <c r="D131"/>
      <c r="E131" s="86"/>
      <c r="F131" s="86"/>
      <c r="G131" s="17" t="str">
        <f ca="1">IF(H131="",SearchHLookup(D131,Categorieën!$B$1:$P$30),H131)</f>
        <v/>
      </c>
    </row>
    <row r="132" spans="2:7">
      <c r="B132" s="1"/>
      <c r="C132" s="1"/>
      <c r="D132"/>
      <c r="E132" s="86"/>
      <c r="F132" s="86"/>
      <c r="G132" s="17" t="str">
        <f ca="1">IF(H132="",SearchHLookup(D132,Categorieën!$B$1:$P$30),H132)</f>
        <v/>
      </c>
    </row>
    <row r="133" spans="2:7">
      <c r="B133" s="1"/>
      <c r="C133" s="1"/>
      <c r="D133"/>
      <c r="E133" s="86"/>
      <c r="F133" s="86"/>
      <c r="G133" s="17" t="str">
        <f ca="1">IF(H133="",SearchHLookup(D133,Categorieën!$B$1:$P$30),H133)</f>
        <v/>
      </c>
    </row>
    <row r="134" spans="2:7">
      <c r="B134" s="1"/>
      <c r="C134" s="1"/>
      <c r="D134"/>
      <c r="E134" s="86"/>
      <c r="F134" s="86"/>
      <c r="G134" s="17" t="str">
        <f ca="1">IF(H134="",SearchHLookup(D134,Categorieën!$B$1:$P$30),H134)</f>
        <v/>
      </c>
    </row>
    <row r="135" spans="2:7">
      <c r="B135" s="1"/>
      <c r="C135" s="1"/>
      <c r="D135"/>
      <c r="E135" s="86"/>
      <c r="F135" s="86"/>
      <c r="G135" s="17" t="str">
        <f ca="1">IF(H135="",SearchHLookup(D135,Categorieën!$B$1:$P$30),H135)</f>
        <v/>
      </c>
    </row>
    <row r="136" spans="2:7">
      <c r="B136" s="1"/>
      <c r="C136" s="1"/>
      <c r="D136"/>
      <c r="E136" s="86"/>
      <c r="F136" s="86"/>
      <c r="G136" s="17" t="str">
        <f ca="1">IF(H136="",SearchHLookup(D136,Categorieën!$B$1:$P$30),H136)</f>
        <v/>
      </c>
    </row>
    <row r="137" spans="2:7">
      <c r="B137" s="1"/>
      <c r="C137" s="1"/>
      <c r="D137"/>
      <c r="E137" s="86"/>
      <c r="F137" s="86"/>
      <c r="G137" s="17" t="str">
        <f ca="1">IF(H137="",SearchHLookup(D137,Categorieën!$B$1:$P$30),H137)</f>
        <v/>
      </c>
    </row>
    <row r="138" spans="2:7">
      <c r="B138" s="1"/>
      <c r="C138" s="1"/>
      <c r="D138"/>
      <c r="E138" s="86"/>
      <c r="F138" s="86"/>
      <c r="G138" s="17" t="str">
        <f ca="1">IF(H138="",SearchHLookup(D138,Categorieën!$B$1:$P$30),H138)</f>
        <v/>
      </c>
    </row>
    <row r="139" spans="2:7">
      <c r="B139" s="1"/>
      <c r="C139" s="1"/>
      <c r="D139"/>
      <c r="E139" s="86"/>
      <c r="F139" s="86"/>
      <c r="G139" s="17" t="str">
        <f ca="1">IF(H139="",SearchHLookup(D139,Categorieën!$B$1:$P$30),H139)</f>
        <v/>
      </c>
    </row>
    <row r="140" spans="2:7">
      <c r="B140" s="1"/>
      <c r="C140" s="1"/>
      <c r="D140"/>
      <c r="E140" s="86"/>
      <c r="F140" s="86"/>
      <c r="G140" s="17" t="str">
        <f ca="1">IF(H140="",SearchHLookup(D140,Categorieën!$B$1:$P$30),H140)</f>
        <v/>
      </c>
    </row>
    <row r="141" spans="2:7">
      <c r="B141" s="1"/>
      <c r="C141" s="1"/>
      <c r="D141"/>
      <c r="E141" s="86"/>
      <c r="F141" s="86"/>
      <c r="G141" s="17" t="str">
        <f ca="1">IF(H141="",SearchHLookup(D141,Categorieën!$B$1:$P$30),H141)</f>
        <v/>
      </c>
    </row>
    <row r="142" spans="2:7">
      <c r="B142" s="1"/>
      <c r="C142" s="1"/>
      <c r="D142"/>
      <c r="E142" s="86"/>
      <c r="F142" s="86"/>
      <c r="G142" s="17" t="str">
        <f ca="1">IF(H142="",SearchHLookup(D142,Categorieën!$B$1:$P$30),H142)</f>
        <v/>
      </c>
    </row>
    <row r="143" spans="2:7">
      <c r="B143" s="1"/>
      <c r="C143" s="1"/>
      <c r="D143"/>
      <c r="E143" s="86"/>
      <c r="F143" s="86"/>
      <c r="G143" s="17" t="str">
        <f ca="1">IF(H143="",SearchHLookup(D143,Categorieën!$B$1:$P$30),H143)</f>
        <v/>
      </c>
    </row>
    <row r="144" spans="2:7">
      <c r="B144" s="1"/>
      <c r="C144" s="1"/>
      <c r="D144"/>
      <c r="E144" s="86"/>
      <c r="F144" s="86"/>
      <c r="G144" s="17" t="str">
        <f ca="1">IF(H144="",SearchHLookup(D144,Categorieën!$B$1:$P$30),H144)</f>
        <v/>
      </c>
    </row>
    <row r="145" spans="2:7">
      <c r="B145" s="1"/>
      <c r="C145" s="1"/>
      <c r="D145"/>
      <c r="E145" s="86"/>
      <c r="F145" s="86"/>
      <c r="G145" s="17" t="str">
        <f ca="1">IF(H145="",SearchHLookup(D145,Categorieën!$B$1:$P$30),H145)</f>
        <v/>
      </c>
    </row>
    <row r="146" spans="2:7">
      <c r="B146" s="1"/>
      <c r="C146" s="1"/>
      <c r="D146"/>
      <c r="E146" s="86"/>
      <c r="F146" s="86"/>
      <c r="G146" s="17" t="str">
        <f ca="1">IF(H146="",SearchHLookup(D146,Categorieën!$B$1:$P$30),H146)</f>
        <v/>
      </c>
    </row>
    <row r="147" spans="2:7">
      <c r="B147" s="1"/>
      <c r="C147" s="1"/>
      <c r="D147"/>
      <c r="E147" s="86"/>
      <c r="F147" s="86"/>
      <c r="G147" s="17" t="str">
        <f ca="1">IF(H147="",SearchHLookup(D147,Categorieën!$B$1:$P$30),H147)</f>
        <v/>
      </c>
    </row>
    <row r="148" spans="2:7">
      <c r="B148" s="1"/>
      <c r="C148" s="1"/>
      <c r="D148"/>
      <c r="E148" s="86"/>
      <c r="F148" s="86"/>
      <c r="G148" s="17" t="str">
        <f ca="1">IF(H148="",SearchHLookup(D148,Categorieën!$B$1:$P$30),H148)</f>
        <v/>
      </c>
    </row>
    <row r="149" spans="2:7">
      <c r="B149" s="1"/>
      <c r="C149" s="1"/>
      <c r="D149"/>
      <c r="E149" s="86"/>
      <c r="F149" s="86"/>
      <c r="G149" s="17" t="str">
        <f ca="1">IF(H149="",SearchHLookup(D149,Categorieën!$B$1:$P$30),H149)</f>
        <v/>
      </c>
    </row>
    <row r="150" spans="2:7">
      <c r="B150" s="1"/>
      <c r="C150" s="1"/>
      <c r="D150"/>
      <c r="E150" s="86"/>
      <c r="F150" s="86"/>
      <c r="G150" s="17" t="str">
        <f ca="1">IF(H150="",SearchHLookup(D150,Categorieën!$B$1:$P$30),H150)</f>
        <v/>
      </c>
    </row>
    <row r="151" spans="2:7">
      <c r="B151" s="1"/>
      <c r="C151" s="1"/>
      <c r="D151"/>
      <c r="E151" s="86"/>
      <c r="F151" s="86"/>
      <c r="G151" s="17" t="str">
        <f ca="1">IF(H151="",SearchHLookup(D151,Categorieën!$B$1:$P$30),H151)</f>
        <v/>
      </c>
    </row>
    <row r="152" spans="2:7">
      <c r="B152" s="1"/>
      <c r="C152" s="1"/>
      <c r="D152"/>
      <c r="E152" s="86"/>
      <c r="F152" s="86"/>
      <c r="G152" s="17" t="str">
        <f ca="1">IF(H152="",SearchHLookup(D152,Categorieën!$B$1:$P$30),H152)</f>
        <v/>
      </c>
    </row>
    <row r="153" spans="2:7">
      <c r="B153" s="1"/>
      <c r="C153" s="1"/>
      <c r="D153"/>
      <c r="E153" s="86"/>
      <c r="F153" s="86"/>
      <c r="G153" s="17" t="str">
        <f ca="1">IF(H153="",SearchHLookup(D153,Categorieën!$B$1:$P$30),H153)</f>
        <v/>
      </c>
    </row>
    <row r="154" spans="2:7">
      <c r="B154" s="1"/>
      <c r="C154" s="1"/>
      <c r="D154"/>
      <c r="E154" s="86"/>
      <c r="F154" s="86"/>
      <c r="G154" s="17" t="str">
        <f ca="1">IF(H154="",SearchHLookup(D154,Categorieën!$B$1:$P$30),H154)</f>
        <v/>
      </c>
    </row>
    <row r="155" spans="2:7">
      <c r="B155" s="1"/>
      <c r="C155" s="1"/>
      <c r="D155"/>
      <c r="E155" s="86"/>
      <c r="F155" s="86"/>
      <c r="G155" s="17" t="str">
        <f ca="1">IF(H155="",SearchHLookup(D155,Categorieën!$B$1:$P$30),H155)</f>
        <v/>
      </c>
    </row>
    <row r="156" spans="2:7">
      <c r="B156" s="1"/>
      <c r="C156" s="1"/>
      <c r="D156"/>
      <c r="E156" s="86"/>
      <c r="F156" s="86"/>
      <c r="G156" s="17" t="str">
        <f ca="1">IF(H156="",SearchHLookup(D156,Categorieën!$B$1:$P$30),H156)</f>
        <v/>
      </c>
    </row>
    <row r="157" spans="2:7">
      <c r="B157" s="1"/>
      <c r="C157" s="1"/>
      <c r="D157"/>
      <c r="E157" s="86"/>
      <c r="F157" s="86"/>
      <c r="G157" s="17" t="str">
        <f ca="1">IF(H157="",SearchHLookup(D157,Categorieën!$B$1:$P$30),H157)</f>
        <v/>
      </c>
    </row>
    <row r="158" spans="2:7">
      <c r="B158" s="1"/>
      <c r="C158" s="1"/>
      <c r="D158"/>
      <c r="E158" s="86"/>
      <c r="F158" s="86"/>
      <c r="G158" s="17" t="str">
        <f ca="1">IF(H158="",SearchHLookup(D158,Categorieën!$B$1:$P$30),H158)</f>
        <v/>
      </c>
    </row>
    <row r="159" spans="2:7">
      <c r="B159" s="1"/>
      <c r="C159" s="1"/>
      <c r="D159"/>
      <c r="E159" s="86"/>
      <c r="F159" s="86"/>
      <c r="G159" s="17" t="str">
        <f ca="1">IF(H159="",SearchHLookup(D159,Categorieën!$B$1:$P$30),H159)</f>
        <v/>
      </c>
    </row>
    <row r="160" spans="2:7">
      <c r="B160" s="1"/>
      <c r="C160" s="1"/>
      <c r="D160"/>
      <c r="E160" s="86"/>
      <c r="F160" s="86"/>
      <c r="G160" s="17" t="str">
        <f ca="1">IF(H160="",SearchHLookup(D160,Categorieën!$B$1:$P$30),H160)</f>
        <v/>
      </c>
    </row>
    <row r="161" spans="2:7">
      <c r="B161" s="1"/>
      <c r="C161" s="1"/>
      <c r="D161"/>
      <c r="E161" s="86"/>
      <c r="F161" s="86"/>
      <c r="G161" s="17" t="str">
        <f ca="1">IF(H161="",SearchHLookup(D161,Categorieën!$B$1:$P$30),H161)</f>
        <v/>
      </c>
    </row>
    <row r="162" spans="2:7">
      <c r="B162" s="1"/>
      <c r="C162" s="1"/>
      <c r="D162"/>
      <c r="E162" s="86"/>
      <c r="F162" s="86"/>
      <c r="G162" s="17" t="str">
        <f ca="1">IF(H162="",SearchHLookup(D162,Categorieën!$B$1:$P$30),H162)</f>
        <v/>
      </c>
    </row>
    <row r="163" spans="2:7">
      <c r="B163" s="1"/>
      <c r="C163" s="1"/>
      <c r="D163"/>
      <c r="E163" s="86"/>
      <c r="F163" s="86"/>
      <c r="G163" s="17" t="str">
        <f ca="1">IF(H163="",SearchHLookup(D163,Categorieën!$B$1:$P$30),H163)</f>
        <v/>
      </c>
    </row>
    <row r="164" spans="2:7">
      <c r="B164" s="1"/>
      <c r="C164" s="1"/>
      <c r="D164"/>
      <c r="E164" s="86"/>
      <c r="F164" s="86"/>
      <c r="G164" s="17" t="str">
        <f ca="1">IF(H164="",SearchHLookup(D164,Categorieën!$B$1:$P$30),H164)</f>
        <v/>
      </c>
    </row>
    <row r="165" spans="2:7">
      <c r="B165" s="1"/>
      <c r="C165" s="1"/>
      <c r="D165"/>
      <c r="E165" s="86"/>
      <c r="F165" s="86"/>
      <c r="G165" s="17" t="str">
        <f ca="1">IF(H165="",SearchHLookup(D165,Categorieën!$B$1:$P$30),H165)</f>
        <v/>
      </c>
    </row>
    <row r="166" spans="2:7">
      <c r="B166" s="1"/>
      <c r="C166" s="1"/>
      <c r="D166"/>
      <c r="E166" s="86"/>
      <c r="F166" s="86"/>
      <c r="G166" s="17" t="str">
        <f ca="1">IF(H166="",SearchHLookup(D166,Categorieën!$B$1:$P$30),H166)</f>
        <v/>
      </c>
    </row>
    <row r="167" spans="2:7">
      <c r="B167" s="1"/>
      <c r="C167" s="1"/>
      <c r="D167"/>
      <c r="E167" s="86"/>
      <c r="F167" s="86"/>
      <c r="G167" s="17" t="str">
        <f ca="1">IF(H167="",SearchHLookup(D167,Categorieën!$B$1:$P$30),H167)</f>
        <v/>
      </c>
    </row>
    <row r="168" spans="2:7">
      <c r="B168" s="1"/>
      <c r="C168" s="1"/>
      <c r="D168"/>
      <c r="E168" s="86"/>
      <c r="F168" s="86"/>
      <c r="G168" s="17" t="str">
        <f ca="1">IF(H168="",SearchHLookup(D168,Categorieën!$B$1:$P$30),H168)</f>
        <v/>
      </c>
    </row>
    <row r="169" spans="2:7">
      <c r="B169" s="1"/>
      <c r="C169" s="1"/>
      <c r="D169"/>
      <c r="E169" s="86"/>
      <c r="F169" s="86"/>
      <c r="G169" s="17" t="str">
        <f ca="1">IF(H169="",SearchHLookup(D169,Categorieën!$B$1:$P$30),H169)</f>
        <v/>
      </c>
    </row>
    <row r="170" spans="2:7">
      <c r="B170" s="1"/>
      <c r="C170" s="1"/>
      <c r="D170"/>
      <c r="E170" s="86"/>
      <c r="F170" s="86"/>
      <c r="G170" s="17" t="str">
        <f ca="1">IF(H170="",SearchHLookup(D170,Categorieën!$B$1:$P$30),H170)</f>
        <v/>
      </c>
    </row>
    <row r="171" spans="2:7">
      <c r="B171" s="1"/>
      <c r="C171" s="1"/>
      <c r="D171"/>
      <c r="E171" s="86"/>
      <c r="F171" s="86"/>
      <c r="G171" s="17" t="str">
        <f ca="1">IF(H171="",SearchHLookup(D171,Categorieën!$B$1:$P$30),H171)</f>
        <v/>
      </c>
    </row>
    <row r="172" spans="2:7">
      <c r="B172" s="1"/>
      <c r="C172" s="1"/>
      <c r="D172"/>
      <c r="E172" s="86"/>
      <c r="F172" s="86"/>
      <c r="G172" s="17" t="str">
        <f ca="1">IF(H172="",SearchHLookup(D172,Categorieën!$B$1:$P$30),H172)</f>
        <v/>
      </c>
    </row>
    <row r="173" spans="2:7">
      <c r="B173" s="1"/>
      <c r="C173" s="1"/>
      <c r="D173"/>
      <c r="E173" s="86"/>
      <c r="F173" s="86"/>
      <c r="G173" s="17" t="str">
        <f ca="1">IF(H173="",SearchHLookup(D173,Categorieën!$B$1:$P$30),H173)</f>
        <v/>
      </c>
    </row>
    <row r="174" spans="2:7">
      <c r="B174" s="1"/>
      <c r="C174" s="1"/>
      <c r="D174"/>
      <c r="E174" s="86"/>
      <c r="F174" s="86"/>
      <c r="G174" s="17" t="str">
        <f ca="1">IF(H174="",SearchHLookup(D174,Categorieën!$B$1:$P$30),H174)</f>
        <v/>
      </c>
    </row>
    <row r="175" spans="2:7">
      <c r="B175" s="1"/>
      <c r="C175" s="1"/>
      <c r="D175"/>
      <c r="E175" s="86"/>
      <c r="F175" s="86"/>
      <c r="G175" s="17" t="str">
        <f ca="1">IF(H175="",SearchHLookup(D175,Categorieën!$B$1:$P$30),H175)</f>
        <v/>
      </c>
    </row>
    <row r="176" spans="2:7">
      <c r="B176" s="1"/>
      <c r="C176" s="1"/>
      <c r="D176"/>
      <c r="E176" s="86"/>
      <c r="F176" s="86"/>
      <c r="G176" s="17" t="str">
        <f ca="1">IF(H176="",SearchHLookup(D176,Categorieën!$B$1:$P$30),H176)</f>
        <v/>
      </c>
    </row>
    <row r="177" spans="2:7">
      <c r="B177" s="1"/>
      <c r="C177" s="1"/>
      <c r="D177"/>
      <c r="E177" s="86"/>
      <c r="F177" s="86"/>
      <c r="G177" s="17" t="str">
        <f ca="1">IF(H177="",SearchHLookup(D177,Categorieën!$B$1:$P$30),H177)</f>
        <v/>
      </c>
    </row>
    <row r="178" spans="2:7">
      <c r="B178" s="1"/>
      <c r="C178" s="1"/>
      <c r="D178"/>
      <c r="E178" s="86"/>
      <c r="F178" s="86"/>
      <c r="G178" s="17" t="str">
        <f ca="1">IF(H178="",SearchHLookup(D178,Categorieën!$B$1:$P$30),H178)</f>
        <v/>
      </c>
    </row>
    <row r="179" spans="2:7">
      <c r="B179" s="1"/>
      <c r="C179" s="1"/>
      <c r="D179"/>
      <c r="E179" s="86"/>
      <c r="F179" s="86"/>
      <c r="G179" s="17" t="str">
        <f ca="1">IF(H179="",SearchHLookup(D179,Categorieën!$B$1:$P$30),H179)</f>
        <v/>
      </c>
    </row>
    <row r="180" spans="2:7">
      <c r="B180" s="1"/>
      <c r="C180" s="1"/>
      <c r="D180"/>
      <c r="E180" s="86"/>
      <c r="F180" s="86"/>
      <c r="G180" s="17" t="str">
        <f ca="1">IF(H180="",SearchHLookup(D180,Categorieën!$B$1:$P$30),H180)</f>
        <v/>
      </c>
    </row>
    <row r="181" spans="2:7">
      <c r="B181" s="1"/>
      <c r="C181" s="1"/>
      <c r="D181"/>
      <c r="E181" s="86"/>
      <c r="F181" s="86"/>
      <c r="G181" s="17" t="str">
        <f ca="1">IF(H181="",SearchHLookup(D181,Categorieën!$B$1:$P$30),H181)</f>
        <v/>
      </c>
    </row>
    <row r="182" spans="2:7">
      <c r="B182" s="1"/>
      <c r="C182" s="1"/>
      <c r="D182"/>
      <c r="E182" s="86"/>
      <c r="F182" s="86"/>
      <c r="G182" s="17" t="str">
        <f ca="1">IF(H182="",SearchHLookup(D182,Categorieën!$B$1:$P$30),H182)</f>
        <v/>
      </c>
    </row>
    <row r="183" spans="2:7">
      <c r="B183" s="1"/>
      <c r="C183" s="1"/>
      <c r="D183"/>
      <c r="E183" s="86"/>
      <c r="F183" s="86"/>
      <c r="G183" s="17" t="str">
        <f ca="1">IF(H183="",SearchHLookup(D183,Categorieën!$B$1:$P$30),H183)</f>
        <v/>
      </c>
    </row>
    <row r="184" spans="2:7">
      <c r="B184" s="1"/>
      <c r="C184" s="1"/>
      <c r="D184"/>
      <c r="E184" s="86"/>
      <c r="F184" s="86"/>
      <c r="G184" s="17" t="str">
        <f ca="1">IF(H184="",SearchHLookup(D184,Categorieën!$B$1:$P$30),H184)</f>
        <v/>
      </c>
    </row>
    <row r="185" spans="2:7">
      <c r="B185" s="1"/>
      <c r="C185" s="1"/>
      <c r="D185"/>
      <c r="E185" s="86"/>
      <c r="F185" s="86"/>
      <c r="G185" s="17" t="str">
        <f ca="1">IF(H185="",SearchHLookup(D185,Categorieën!$B$1:$P$30),H185)</f>
        <v/>
      </c>
    </row>
    <row r="186" spans="2:7">
      <c r="B186" s="1"/>
      <c r="C186" s="1"/>
      <c r="D186"/>
      <c r="E186" s="86"/>
      <c r="F186" s="86"/>
      <c r="G186" s="17" t="str">
        <f ca="1">IF(H186="",SearchHLookup(D186,Categorieën!$B$1:$P$30),H186)</f>
        <v/>
      </c>
    </row>
    <row r="187" spans="2:7">
      <c r="B187" s="1"/>
      <c r="C187" s="1"/>
      <c r="D187"/>
      <c r="E187" s="86"/>
      <c r="F187" s="86"/>
      <c r="G187" s="17" t="str">
        <f ca="1">IF(H187="",SearchHLookup(D187,Categorieën!$B$1:$P$30),H187)</f>
        <v/>
      </c>
    </row>
    <row r="188" spans="2:7">
      <c r="B188" s="1"/>
      <c r="C188" s="1"/>
      <c r="D188"/>
      <c r="E188" s="86"/>
      <c r="F188" s="86"/>
      <c r="G188" s="17" t="str">
        <f ca="1">IF(H188="",SearchHLookup(D188,Categorieën!$B$1:$P$30),H188)</f>
        <v/>
      </c>
    </row>
    <row r="189" spans="2:7">
      <c r="B189" s="1"/>
      <c r="C189" s="1"/>
      <c r="D189"/>
      <c r="E189" s="86"/>
      <c r="F189" s="86"/>
      <c r="G189" s="17" t="str">
        <f ca="1">IF(H189="",SearchHLookup(D189,Categorieën!$B$1:$P$30),H189)</f>
        <v/>
      </c>
    </row>
    <row r="190" spans="2:7">
      <c r="B190" s="1"/>
      <c r="C190" s="1"/>
      <c r="D190"/>
      <c r="E190" s="86"/>
      <c r="F190" s="86"/>
      <c r="G190" s="17" t="str">
        <f ca="1">IF(H190="",SearchHLookup(D190,Categorieën!$B$1:$P$30),H190)</f>
        <v/>
      </c>
    </row>
    <row r="191" spans="2:7">
      <c r="B191" s="1"/>
      <c r="C191" s="1"/>
      <c r="D191"/>
      <c r="E191" s="86"/>
      <c r="F191" s="86"/>
      <c r="G191" s="17" t="str">
        <f ca="1">IF(H191="",SearchHLookup(D191,Categorieën!$B$1:$P$30),H191)</f>
        <v/>
      </c>
    </row>
    <row r="192" spans="2:7">
      <c r="B192" s="1"/>
      <c r="C192" s="1"/>
      <c r="D192"/>
      <c r="E192" s="86"/>
      <c r="F192" s="86"/>
      <c r="G192" s="17" t="str">
        <f ca="1">IF(H192="",SearchHLookup(D192,Categorieën!$B$1:$P$30),H192)</f>
        <v/>
      </c>
    </row>
    <row r="193" spans="2:7">
      <c r="B193" s="1"/>
      <c r="C193" s="1"/>
      <c r="D193"/>
      <c r="E193" s="86"/>
      <c r="F193" s="86"/>
      <c r="G193" s="17" t="str">
        <f ca="1">IF(H193="",SearchHLookup(D193,Categorieën!$B$1:$P$30),H193)</f>
        <v/>
      </c>
    </row>
    <row r="194" spans="2:7">
      <c r="B194" s="1"/>
      <c r="C194" s="1"/>
      <c r="D194"/>
      <c r="E194" s="86"/>
      <c r="F194" s="86"/>
      <c r="G194" s="17" t="str">
        <f ca="1">IF(H194="",SearchHLookup(D194,Categorieën!$B$1:$P$30),H194)</f>
        <v/>
      </c>
    </row>
    <row r="195" spans="2:7">
      <c r="B195" s="1"/>
      <c r="C195" s="1"/>
      <c r="D195"/>
      <c r="E195" s="86"/>
      <c r="F195" s="86"/>
      <c r="G195" s="17" t="str">
        <f ca="1">IF(H195="",SearchHLookup(D195,Categorieën!$B$1:$P$30),H195)</f>
        <v/>
      </c>
    </row>
    <row r="196" spans="2:7">
      <c r="B196" s="1"/>
      <c r="C196" s="1"/>
      <c r="D196"/>
      <c r="E196" s="86"/>
      <c r="F196" s="86"/>
      <c r="G196" s="17" t="str">
        <f ca="1">IF(H196="",SearchHLookup(D196,Categorieën!$B$1:$P$30),H196)</f>
        <v/>
      </c>
    </row>
    <row r="197" spans="2:7">
      <c r="B197" s="1"/>
      <c r="C197" s="1"/>
      <c r="D197"/>
      <c r="E197" s="86"/>
      <c r="F197" s="86"/>
      <c r="G197" s="17" t="str">
        <f ca="1">IF(H197="",SearchHLookup(D197,Categorieën!$B$1:$P$30),H197)</f>
        <v/>
      </c>
    </row>
    <row r="198" spans="2:7">
      <c r="B198" s="1"/>
      <c r="C198" s="1"/>
      <c r="D198"/>
      <c r="E198" s="86"/>
      <c r="F198" s="86"/>
      <c r="G198" s="17" t="str">
        <f ca="1">IF(H198="",SearchHLookup(D198,Categorieën!$B$1:$P$30),H198)</f>
        <v/>
      </c>
    </row>
    <row r="199" spans="2:7">
      <c r="B199" s="1"/>
      <c r="C199" s="1"/>
      <c r="D199"/>
      <c r="E199" s="86"/>
      <c r="F199" s="86"/>
      <c r="G199" s="17" t="str">
        <f ca="1">IF(H199="",SearchHLookup(D199,Categorieën!$B$1:$P$30),H199)</f>
        <v/>
      </c>
    </row>
    <row r="200" spans="2:7">
      <c r="B200" s="1"/>
      <c r="C200" s="1"/>
      <c r="D200"/>
      <c r="E200" s="86"/>
      <c r="F200" s="86"/>
      <c r="G200" s="17" t="str">
        <f ca="1">IF(H200="",SearchHLookup(D200,Categorieën!$B$1:$P$30),H200)</f>
        <v/>
      </c>
    </row>
    <row r="201" spans="2:7">
      <c r="B201" s="1"/>
      <c r="C201" s="1"/>
      <c r="D201"/>
      <c r="E201" s="86"/>
      <c r="F201" s="86"/>
      <c r="G201" s="17" t="str">
        <f ca="1">IF(H201="",SearchHLookup(D201,Categorieën!$B$1:$P$30),H201)</f>
        <v/>
      </c>
    </row>
    <row r="202" spans="2:7">
      <c r="B202" s="1"/>
      <c r="C202" s="1"/>
      <c r="D202"/>
      <c r="E202" s="86"/>
      <c r="F202" s="86"/>
      <c r="G202" s="17" t="str">
        <f ca="1">IF(H202="",SearchHLookup(D202,Categorieën!$B$1:$P$30),H202)</f>
        <v/>
      </c>
    </row>
    <row r="203" spans="2:7">
      <c r="B203" s="1"/>
      <c r="C203" s="1"/>
      <c r="D203"/>
      <c r="E203" s="86"/>
      <c r="F203" s="86"/>
      <c r="G203" s="17" t="str">
        <f ca="1">IF(H203="",SearchHLookup(D203,Categorieën!$B$1:$P$30),H203)</f>
        <v/>
      </c>
    </row>
    <row r="204" spans="2:7">
      <c r="B204" s="1"/>
      <c r="C204" s="1"/>
      <c r="D204"/>
      <c r="E204" s="86"/>
      <c r="F204" s="86"/>
      <c r="G204" s="17" t="str">
        <f ca="1">IF(H204="",SearchHLookup(D204,Categorieën!$B$1:$P$30),H204)</f>
        <v/>
      </c>
    </row>
    <row r="205" spans="2:7">
      <c r="B205" s="1"/>
      <c r="C205" s="1"/>
      <c r="D205"/>
      <c r="E205" s="86"/>
      <c r="F205" s="86"/>
      <c r="G205" s="17" t="str">
        <f ca="1">IF(H205="",SearchHLookup(D205,Categorieën!$B$1:$P$30),H205)</f>
        <v/>
      </c>
    </row>
    <row r="206" spans="2:7">
      <c r="B206" s="1"/>
      <c r="C206" s="1"/>
      <c r="D206"/>
      <c r="E206" s="86"/>
      <c r="F206" s="86"/>
      <c r="G206" s="17" t="str">
        <f ca="1">IF(H206="",SearchHLookup(D206,Categorieën!$B$1:$P$30),H206)</f>
        <v/>
      </c>
    </row>
    <row r="207" spans="2:7">
      <c r="B207" s="1"/>
      <c r="C207" s="1"/>
      <c r="D207"/>
      <c r="E207" s="86"/>
      <c r="F207" s="86"/>
      <c r="G207" s="17" t="str">
        <f ca="1">IF(H207="",SearchHLookup(D207,Categorieën!$B$1:$P$30),H207)</f>
        <v/>
      </c>
    </row>
    <row r="208" spans="2:7">
      <c r="B208" s="1"/>
      <c r="C208" s="1"/>
      <c r="D208"/>
      <c r="E208" s="86"/>
      <c r="F208" s="86"/>
      <c r="G208" s="17" t="str">
        <f ca="1">IF(H208="",SearchHLookup(D208,Categorieën!$B$1:$P$30),H208)</f>
        <v/>
      </c>
    </row>
    <row r="209" spans="2:7">
      <c r="B209" s="1"/>
      <c r="C209" s="1"/>
      <c r="D209"/>
      <c r="E209" s="86"/>
      <c r="F209" s="86"/>
      <c r="G209" s="17" t="str">
        <f ca="1">IF(H209="",SearchHLookup(D209,Categorieën!$B$1:$P$30),H209)</f>
        <v/>
      </c>
    </row>
    <row r="210" spans="2:7">
      <c r="B210" s="1"/>
      <c r="C210" s="1"/>
      <c r="D210"/>
      <c r="E210" s="86"/>
      <c r="F210" s="86"/>
      <c r="G210" s="17" t="str">
        <f ca="1">IF(H210="",SearchHLookup(D210,Categorieën!$B$1:$P$30),H210)</f>
        <v/>
      </c>
    </row>
    <row r="211" spans="2:7">
      <c r="B211" s="1"/>
      <c r="C211" s="1"/>
      <c r="D211"/>
      <c r="E211" s="86"/>
      <c r="F211" s="86"/>
      <c r="G211" s="17" t="str">
        <f ca="1">IF(H211="",SearchHLookup(D211,Categorieën!$B$1:$P$30),H211)</f>
        <v/>
      </c>
    </row>
    <row r="212" spans="2:7">
      <c r="B212" s="1"/>
      <c r="C212" s="1"/>
      <c r="D212"/>
      <c r="E212" s="86"/>
      <c r="F212" s="86"/>
      <c r="G212" s="17" t="str">
        <f ca="1">IF(H212="",SearchHLookup(D212,Categorieën!$B$1:$P$30),H212)</f>
        <v/>
      </c>
    </row>
    <row r="213" spans="2:7">
      <c r="B213" s="1"/>
      <c r="C213" s="1"/>
      <c r="D213"/>
      <c r="E213" s="86"/>
      <c r="F213" s="86"/>
      <c r="G213" s="17" t="str">
        <f ca="1">IF(H213="",SearchHLookup(D213,Categorieën!$B$1:$P$30),H213)</f>
        <v/>
      </c>
    </row>
    <row r="214" spans="2:7">
      <c r="B214" s="1"/>
      <c r="C214" s="1"/>
      <c r="D214"/>
      <c r="E214" s="86"/>
      <c r="F214" s="86"/>
      <c r="G214" s="17" t="str">
        <f ca="1">IF(H214="",SearchHLookup(D214,Categorieën!$B$1:$P$30),H214)</f>
        <v/>
      </c>
    </row>
    <row r="215" spans="2:7">
      <c r="B215" s="1"/>
      <c r="C215" s="1"/>
      <c r="D215"/>
      <c r="E215" s="86"/>
      <c r="F215" s="86"/>
      <c r="G215" s="17" t="str">
        <f ca="1">IF(H215="",SearchHLookup(D215,Categorieën!$B$1:$P$30),H215)</f>
        <v/>
      </c>
    </row>
    <row r="216" spans="2:7">
      <c r="B216" s="1"/>
      <c r="C216" s="1"/>
      <c r="D216"/>
      <c r="E216" s="86"/>
      <c r="F216" s="86"/>
      <c r="G216" s="17" t="str">
        <f ca="1">IF(H216="",SearchHLookup(D216,Categorieën!$B$1:$P$30),H216)</f>
        <v/>
      </c>
    </row>
    <row r="217" spans="2:7">
      <c r="B217" s="1"/>
      <c r="C217" s="1"/>
      <c r="D217"/>
      <c r="E217" s="86"/>
      <c r="F217" s="86"/>
      <c r="G217" s="17" t="str">
        <f ca="1">IF(H217="",SearchHLookup(D217,Categorieën!$B$1:$P$30),H217)</f>
        <v/>
      </c>
    </row>
    <row r="218" spans="2:7">
      <c r="B218" s="1"/>
      <c r="C218" s="1"/>
      <c r="D218"/>
      <c r="E218" s="86"/>
      <c r="F218" s="86"/>
      <c r="G218" s="17" t="str">
        <f ca="1">IF(H218="",SearchHLookup(D218,Categorieën!$B$1:$P$30),H218)</f>
        <v/>
      </c>
    </row>
    <row r="219" spans="2:7">
      <c r="B219" s="1"/>
      <c r="C219" s="1"/>
      <c r="D219"/>
      <c r="E219" s="86"/>
      <c r="F219" s="86"/>
      <c r="G219" s="17" t="str">
        <f ca="1">IF(H219="",SearchHLookup(D219,Categorieën!$B$1:$P$30),H219)</f>
        <v/>
      </c>
    </row>
    <row r="220" spans="2:7">
      <c r="B220" s="1"/>
      <c r="C220" s="1"/>
      <c r="D220"/>
      <c r="E220" s="86"/>
      <c r="F220" s="86"/>
      <c r="G220" s="17" t="str">
        <f ca="1">IF(H220="",SearchHLookup(D220,Categorieën!$B$1:$P$30),H220)</f>
        <v/>
      </c>
    </row>
    <row r="221" spans="2:7">
      <c r="B221" s="1"/>
      <c r="C221" s="1"/>
      <c r="D221"/>
      <c r="E221" s="86"/>
      <c r="F221" s="86"/>
      <c r="G221" s="17" t="str">
        <f ca="1">IF(H221="",SearchHLookup(D221,Categorieën!$B$1:$P$30),H221)</f>
        <v/>
      </c>
    </row>
    <row r="222" spans="2:7">
      <c r="B222" s="1"/>
      <c r="C222" s="1"/>
      <c r="D222"/>
      <c r="E222" s="86"/>
      <c r="F222" s="86"/>
      <c r="G222" s="17" t="str">
        <f ca="1">IF(H222="",SearchHLookup(D222,Categorieën!$B$1:$P$30),H222)</f>
        <v/>
      </c>
    </row>
    <row r="223" spans="2:7">
      <c r="B223" s="1"/>
      <c r="C223" s="1"/>
      <c r="D223"/>
      <c r="E223" s="86"/>
      <c r="F223" s="86"/>
      <c r="G223" s="17" t="str">
        <f ca="1">IF(H223="",SearchHLookup(D223,Categorieën!$B$1:$P$30),H223)</f>
        <v/>
      </c>
    </row>
    <row r="224" spans="2:7">
      <c r="B224" s="1"/>
      <c r="C224" s="1"/>
      <c r="D224"/>
      <c r="E224" s="86"/>
      <c r="F224" s="86"/>
      <c r="G224" s="17" t="str">
        <f ca="1">IF(H224="",SearchHLookup(D224,Categorieën!$B$1:$P$30),H224)</f>
        <v/>
      </c>
    </row>
    <row r="225" spans="2:7">
      <c r="B225" s="1"/>
      <c r="C225" s="1"/>
      <c r="D225"/>
      <c r="E225" s="86"/>
      <c r="F225" s="86"/>
      <c r="G225" s="17" t="str">
        <f ca="1">IF(H225="",SearchHLookup(D225,Categorieën!$B$1:$P$30),H225)</f>
        <v/>
      </c>
    </row>
    <row r="226" spans="2:7">
      <c r="B226" s="1"/>
      <c r="C226" s="1"/>
      <c r="D226"/>
      <c r="E226" s="86"/>
      <c r="F226" s="86"/>
      <c r="G226" s="17" t="str">
        <f ca="1">IF(H226="",SearchHLookup(D226,Categorieën!$B$1:$P$30),H226)</f>
        <v/>
      </c>
    </row>
    <row r="227" spans="2:7">
      <c r="B227" s="1"/>
      <c r="C227" s="1"/>
      <c r="D227"/>
      <c r="E227" s="86"/>
      <c r="F227" s="86"/>
      <c r="G227" s="17" t="str">
        <f ca="1">IF(H227="",SearchHLookup(D227,Categorieën!$B$1:$P$30),H227)</f>
        <v/>
      </c>
    </row>
    <row r="228" spans="2:7">
      <c r="B228" s="1"/>
      <c r="C228" s="1"/>
      <c r="D228"/>
      <c r="E228" s="86"/>
      <c r="F228" s="86"/>
      <c r="G228" s="17" t="str">
        <f ca="1">IF(H228="",SearchHLookup(D228,Categorieën!$B$1:$P$30),H228)</f>
        <v/>
      </c>
    </row>
    <row r="229" spans="2:7">
      <c r="B229" s="1"/>
      <c r="C229" s="1"/>
      <c r="D229"/>
      <c r="E229" s="86"/>
      <c r="F229" s="86"/>
      <c r="G229" s="17" t="str">
        <f ca="1">IF(H229="",SearchHLookup(D229,Categorieën!$B$1:$P$30),H229)</f>
        <v/>
      </c>
    </row>
    <row r="230" spans="2:7">
      <c r="B230" s="1"/>
      <c r="C230" s="1"/>
      <c r="D230"/>
      <c r="E230" s="86"/>
      <c r="F230" s="86"/>
      <c r="G230" s="17" t="str">
        <f ca="1">IF(H230="",SearchHLookup(D230,Categorieën!$B$1:$P$30),H230)</f>
        <v/>
      </c>
    </row>
    <row r="231" spans="2:7">
      <c r="B231" s="1"/>
      <c r="C231" s="1"/>
      <c r="D231"/>
      <c r="E231" s="86"/>
      <c r="F231" s="86"/>
      <c r="G231" s="17" t="str">
        <f ca="1">IF(H231="",SearchHLookup(D231,Categorieën!$B$1:$P$30),H231)</f>
        <v/>
      </c>
    </row>
    <row r="232" spans="2:7">
      <c r="B232" s="1"/>
      <c r="C232" s="1"/>
      <c r="D232"/>
      <c r="E232" s="86"/>
      <c r="F232" s="86"/>
      <c r="G232" s="17" t="str">
        <f ca="1">IF(H232="",SearchHLookup(D232,Categorieën!$B$1:$P$30),H232)</f>
        <v/>
      </c>
    </row>
    <row r="233" spans="2:7">
      <c r="B233" s="1"/>
      <c r="C233" s="1"/>
      <c r="D233"/>
      <c r="E233" s="86"/>
      <c r="F233" s="86"/>
      <c r="G233" s="17" t="str">
        <f ca="1">IF(H233="",SearchHLookup(D233,Categorieën!$B$1:$P$30),H233)</f>
        <v/>
      </c>
    </row>
    <row r="234" spans="2:7">
      <c r="B234" s="1"/>
      <c r="C234" s="1"/>
      <c r="D234"/>
      <c r="E234" s="86"/>
      <c r="F234" s="86"/>
      <c r="G234" s="17" t="str">
        <f ca="1">IF(H234="",SearchHLookup(D234,Categorieën!$B$1:$P$30),H234)</f>
        <v/>
      </c>
    </row>
    <row r="235" spans="2:7">
      <c r="B235" s="1"/>
      <c r="C235" s="1"/>
      <c r="D235"/>
      <c r="E235" s="86"/>
      <c r="F235" s="86"/>
      <c r="G235" s="17" t="str">
        <f ca="1">IF(H235="",SearchHLookup(D235,Categorieën!$B$1:$P$30),H235)</f>
        <v/>
      </c>
    </row>
    <row r="236" spans="2:7">
      <c r="B236" s="1"/>
      <c r="C236" s="1"/>
      <c r="D236"/>
      <c r="E236" s="86"/>
      <c r="F236" s="86"/>
      <c r="G236" s="17" t="str">
        <f ca="1">IF(H236="",SearchHLookup(D236,Categorieën!$B$1:$P$30),H236)</f>
        <v/>
      </c>
    </row>
    <row r="237" spans="2:7">
      <c r="B237" s="1"/>
      <c r="C237" s="1"/>
      <c r="D237"/>
      <c r="E237" s="86"/>
      <c r="F237" s="86"/>
      <c r="G237" s="17" t="str">
        <f ca="1">IF(H237="",SearchHLookup(D237,Categorieën!$B$1:$P$30),H237)</f>
        <v/>
      </c>
    </row>
    <row r="238" spans="2:7">
      <c r="B238" s="1"/>
      <c r="C238" s="1"/>
      <c r="D238"/>
      <c r="E238" s="86"/>
      <c r="F238" s="86"/>
      <c r="G238" s="17" t="str">
        <f ca="1">IF(H238="",SearchHLookup(D238,Categorieën!$B$1:$P$30),H238)</f>
        <v/>
      </c>
    </row>
    <row r="239" spans="2:7">
      <c r="B239" s="1"/>
      <c r="C239" s="1"/>
      <c r="D239"/>
      <c r="E239" s="86"/>
      <c r="F239" s="86"/>
      <c r="G239" s="17" t="str">
        <f ca="1">IF(H239="",SearchHLookup(D239,Categorieën!$B$1:$P$30),H239)</f>
        <v/>
      </c>
    </row>
    <row r="240" spans="2:7">
      <c r="B240" s="1"/>
      <c r="C240" s="1"/>
      <c r="D240"/>
      <c r="E240" s="86"/>
      <c r="F240" s="86"/>
      <c r="G240" s="17" t="str">
        <f ca="1">IF(H240="",SearchHLookup(D240,Categorieën!$B$1:$P$30),H240)</f>
        <v/>
      </c>
    </row>
    <row r="241" spans="2:7">
      <c r="B241" s="1"/>
      <c r="C241" s="1"/>
      <c r="D241"/>
      <c r="E241" s="86"/>
      <c r="F241" s="86"/>
      <c r="G241" s="17" t="str">
        <f ca="1">IF(H241="",SearchHLookup(D241,Categorieën!$B$1:$P$30),H241)</f>
        <v/>
      </c>
    </row>
    <row r="242" spans="2:7">
      <c r="B242" s="1"/>
      <c r="C242" s="1"/>
      <c r="D242"/>
      <c r="E242" s="86"/>
      <c r="F242" s="86"/>
      <c r="G242" s="17" t="str">
        <f ca="1">IF(H242="",SearchHLookup(D242,Categorieën!$B$1:$P$30),H242)</f>
        <v/>
      </c>
    </row>
    <row r="243" spans="2:7">
      <c r="B243" s="1"/>
      <c r="C243" s="1"/>
      <c r="D243"/>
      <c r="E243" s="86"/>
      <c r="F243" s="86"/>
      <c r="G243" s="17" t="str">
        <f ca="1">IF(H243="",SearchHLookup(D243,Categorieën!$B$1:$P$30),H243)</f>
        <v/>
      </c>
    </row>
    <row r="244" spans="2:7">
      <c r="B244" s="1"/>
      <c r="C244" s="1"/>
      <c r="D244"/>
      <c r="E244" s="86"/>
      <c r="F244" s="86"/>
      <c r="G244" s="17" t="str">
        <f ca="1">IF(H244="",SearchHLookup(D244,Categorieën!$B$1:$P$30),H244)</f>
        <v/>
      </c>
    </row>
    <row r="245" spans="2:7">
      <c r="B245" s="1"/>
      <c r="C245" s="1"/>
      <c r="D245"/>
      <c r="E245" s="86"/>
      <c r="F245" s="86"/>
      <c r="G245" s="17" t="str">
        <f ca="1">IF(H245="",SearchHLookup(D245,Categorieën!$B$1:$P$30),H245)</f>
        <v/>
      </c>
    </row>
    <row r="246" spans="2:7">
      <c r="B246" s="1"/>
      <c r="C246" s="1"/>
      <c r="D246"/>
      <c r="E246" s="86"/>
      <c r="F246" s="86"/>
      <c r="G246" s="17" t="str">
        <f ca="1">IF(H246="",SearchHLookup(D246,Categorieën!$B$1:$P$30),H246)</f>
        <v/>
      </c>
    </row>
    <row r="247" spans="2:7">
      <c r="B247" s="1"/>
      <c r="C247" s="1"/>
      <c r="D247"/>
      <c r="E247" s="86"/>
      <c r="F247" s="86"/>
      <c r="G247" s="17" t="str">
        <f ca="1">IF(H247="",SearchHLookup(D247,Categorieën!$B$1:$P$30),H247)</f>
        <v/>
      </c>
    </row>
    <row r="248" spans="2:7">
      <c r="B248" s="1"/>
      <c r="C248" s="1"/>
      <c r="D248"/>
      <c r="E248" s="86"/>
      <c r="F248" s="86"/>
      <c r="G248" s="17" t="str">
        <f ca="1">IF(H248="",SearchHLookup(D248,Categorieën!$B$1:$P$30),H248)</f>
        <v/>
      </c>
    </row>
    <row r="249" spans="2:7">
      <c r="B249" s="1"/>
      <c r="C249" s="1"/>
      <c r="D249"/>
      <c r="E249" s="86"/>
      <c r="F249" s="86"/>
      <c r="G249" s="17" t="str">
        <f ca="1">IF(H249="",SearchHLookup(D249,Categorieën!$B$1:$P$30),H249)</f>
        <v/>
      </c>
    </row>
    <row r="250" spans="2:7">
      <c r="B250" s="1"/>
      <c r="C250" s="1"/>
      <c r="D250"/>
      <c r="E250" s="86"/>
      <c r="F250" s="86"/>
      <c r="G250" s="17" t="str">
        <f ca="1">IF(H250="",SearchHLookup(D250,Categorieën!$B$1:$P$30),H250)</f>
        <v/>
      </c>
    </row>
    <row r="251" spans="2:7">
      <c r="B251" s="1"/>
      <c r="C251" s="1"/>
      <c r="D251"/>
      <c r="E251" s="86"/>
      <c r="F251" s="86"/>
      <c r="G251" s="17" t="str">
        <f ca="1">IF(H251="",SearchHLookup(D251,Categorieën!$B$1:$P$30),H251)</f>
        <v/>
      </c>
    </row>
    <row r="252" spans="2:7">
      <c r="B252" s="1"/>
      <c r="C252" s="1"/>
      <c r="D252"/>
      <c r="E252" s="86"/>
      <c r="F252" s="86"/>
      <c r="G252" s="17" t="str">
        <f ca="1">IF(H252="",SearchHLookup(D252,Categorieën!$B$1:$P$30),H252)</f>
        <v/>
      </c>
    </row>
    <row r="253" spans="2:7">
      <c r="B253" s="1"/>
      <c r="C253" s="1"/>
      <c r="D253"/>
      <c r="E253" s="86"/>
      <c r="F253" s="86"/>
      <c r="G253" s="17" t="str">
        <f ca="1">IF(H253="",SearchHLookup(D253,Categorieën!$B$1:$P$30),H253)</f>
        <v/>
      </c>
    </row>
    <row r="254" spans="2:7">
      <c r="B254" s="1"/>
      <c r="C254" s="1"/>
      <c r="D254"/>
      <c r="E254" s="86"/>
      <c r="F254" s="86"/>
      <c r="G254" s="17" t="str">
        <f ca="1">IF(H254="",SearchHLookup(D254,Categorieën!$B$1:$P$30),H254)</f>
        <v/>
      </c>
    </row>
    <row r="255" spans="2:7">
      <c r="B255" s="1"/>
      <c r="C255" s="1"/>
      <c r="D255"/>
      <c r="E255" s="86"/>
      <c r="F255" s="86"/>
      <c r="G255" s="17" t="str">
        <f ca="1">IF(H255="",SearchHLookup(D255,Categorieën!$B$1:$P$30),H255)</f>
        <v/>
      </c>
    </row>
    <row r="256" spans="2:7">
      <c r="B256" s="1"/>
      <c r="C256" s="1"/>
      <c r="D256"/>
      <c r="E256" s="86"/>
      <c r="F256" s="86"/>
      <c r="G256" s="17" t="str">
        <f ca="1">IF(H256="",SearchHLookup(D256,Categorieën!$B$1:$P$30),H256)</f>
        <v/>
      </c>
    </row>
    <row r="257" spans="2:7">
      <c r="B257" s="1"/>
      <c r="C257" s="1"/>
      <c r="D257"/>
      <c r="E257" s="86"/>
      <c r="F257" s="86"/>
      <c r="G257" s="17" t="str">
        <f ca="1">IF(H257="",SearchHLookup(D257,Categorieën!$B$1:$P$30),H257)</f>
        <v/>
      </c>
    </row>
    <row r="258" spans="2:7">
      <c r="B258" s="1"/>
      <c r="C258" s="1"/>
      <c r="D258"/>
      <c r="E258" s="86"/>
      <c r="F258" s="86"/>
      <c r="G258" s="17" t="str">
        <f ca="1">IF(H258="",SearchHLookup(D258,Categorieën!$B$1:$P$30),H258)</f>
        <v/>
      </c>
    </row>
    <row r="259" spans="2:7">
      <c r="B259" s="1"/>
      <c r="C259" s="1"/>
      <c r="D259"/>
      <c r="E259" s="86"/>
      <c r="F259" s="86"/>
      <c r="G259" s="17" t="str">
        <f ca="1">IF(H259="",SearchHLookup(D259,Categorieën!$B$1:$P$30),H259)</f>
        <v/>
      </c>
    </row>
    <row r="260" spans="2:7">
      <c r="B260" s="1"/>
      <c r="C260" s="1"/>
      <c r="D260"/>
      <c r="E260" s="86"/>
      <c r="F260" s="86"/>
      <c r="G260" s="17" t="str">
        <f ca="1">IF(H260="",SearchHLookup(D260,Categorieën!$B$1:$P$30),H260)</f>
        <v/>
      </c>
    </row>
    <row r="261" spans="2:7">
      <c r="B261" s="1"/>
      <c r="C261" s="1"/>
      <c r="D261"/>
      <c r="E261" s="86"/>
      <c r="F261" s="86"/>
      <c r="G261" s="17" t="str">
        <f ca="1">IF(H261="",SearchHLookup(D261,Categorieën!$B$1:$P$30),H261)</f>
        <v/>
      </c>
    </row>
    <row r="262" spans="2:7">
      <c r="B262" s="1"/>
      <c r="C262" s="1"/>
      <c r="D262"/>
      <c r="E262" s="86"/>
      <c r="F262" s="86"/>
      <c r="G262" s="17" t="str">
        <f ca="1">IF(H262="",SearchHLookup(D262,Categorieën!$B$1:$P$30),H262)</f>
        <v/>
      </c>
    </row>
    <row r="263" spans="2:7">
      <c r="B263" s="1"/>
      <c r="C263" s="1"/>
      <c r="D263"/>
      <c r="E263" s="86"/>
      <c r="F263" s="86"/>
      <c r="G263" s="17" t="str">
        <f ca="1">IF(H263="",SearchHLookup(D263,Categorieën!$B$1:$P$30),H263)</f>
        <v/>
      </c>
    </row>
    <row r="264" spans="2:7">
      <c r="B264" s="1"/>
      <c r="C264" s="1"/>
      <c r="D264"/>
      <c r="E264" s="86"/>
      <c r="F264" s="86"/>
      <c r="G264" s="17" t="str">
        <f ca="1">IF(H264="",SearchHLookup(D264,Categorieën!$B$1:$P$30),H264)</f>
        <v/>
      </c>
    </row>
    <row r="265" spans="2:7">
      <c r="B265" s="1"/>
      <c r="C265" s="1"/>
      <c r="D265"/>
      <c r="E265" s="86"/>
      <c r="F265" s="86"/>
      <c r="G265" s="17" t="str">
        <f ca="1">IF(H265="",SearchHLookup(D265,Categorieën!$B$1:$P$30),H265)</f>
        <v/>
      </c>
    </row>
    <row r="266" spans="2:7">
      <c r="B266" s="1"/>
      <c r="C266" s="1"/>
      <c r="D266"/>
      <c r="E266" s="86"/>
      <c r="F266" s="86"/>
      <c r="G266" s="17" t="str">
        <f ca="1">IF(H266="",SearchHLookup(D266,Categorieën!$B$1:$P$30),H266)</f>
        <v/>
      </c>
    </row>
    <row r="267" spans="2:7">
      <c r="B267" s="1"/>
      <c r="C267" s="1"/>
      <c r="D267"/>
      <c r="E267" s="86"/>
      <c r="F267" s="86"/>
      <c r="G267" s="17" t="str">
        <f ca="1">IF(H267="",SearchHLookup(D267,Categorieën!$B$1:$P$30),H267)</f>
        <v/>
      </c>
    </row>
    <row r="268" spans="2:7">
      <c r="B268" s="1"/>
      <c r="C268" s="1"/>
      <c r="D268"/>
      <c r="E268" s="86"/>
      <c r="F268" s="86"/>
      <c r="G268" s="17" t="str">
        <f ca="1">IF(H268="",SearchHLookup(D268,Categorieën!$B$1:$P$30),H268)</f>
        <v/>
      </c>
    </row>
    <row r="269" spans="2:7">
      <c r="B269" s="1"/>
      <c r="C269" s="1"/>
      <c r="D269"/>
      <c r="E269" s="86"/>
      <c r="F269" s="86"/>
      <c r="G269" s="17" t="str">
        <f ca="1">IF(H269="",SearchHLookup(D269,Categorieën!$B$1:$P$30),H269)</f>
        <v/>
      </c>
    </row>
    <row r="270" spans="2:7">
      <c r="B270" s="1"/>
      <c r="C270" s="1"/>
      <c r="D270"/>
      <c r="E270" s="86"/>
      <c r="F270" s="86"/>
      <c r="G270" s="17" t="str">
        <f ca="1">IF(H270="",SearchHLookup(D270,Categorieën!$B$1:$P$30),H270)</f>
        <v/>
      </c>
    </row>
    <row r="271" spans="2:7">
      <c r="B271" s="1"/>
      <c r="C271" s="1"/>
      <c r="D271"/>
      <c r="E271" s="86"/>
      <c r="F271" s="86"/>
      <c r="G271" s="17" t="str">
        <f ca="1">IF(H271="",SearchHLookup(D271,Categorieën!$B$1:$P$30),H271)</f>
        <v/>
      </c>
    </row>
    <row r="272" spans="2:7">
      <c r="B272" s="1"/>
      <c r="C272" s="1"/>
      <c r="D272"/>
      <c r="E272" s="86"/>
      <c r="F272" s="86"/>
      <c r="G272" s="17" t="str">
        <f ca="1">IF(H272="",SearchHLookup(D272,Categorieën!$B$1:$P$30),H272)</f>
        <v/>
      </c>
    </row>
    <row r="273" spans="2:7">
      <c r="B273" s="1"/>
      <c r="C273" s="1"/>
      <c r="D273"/>
      <c r="E273" s="86"/>
      <c r="F273" s="86"/>
      <c r="G273" s="17" t="str">
        <f ca="1">IF(H273="",SearchHLookup(D273,Categorieën!$B$1:$P$30),H273)</f>
        <v/>
      </c>
    </row>
    <row r="274" spans="2:7">
      <c r="B274" s="1"/>
      <c r="C274" s="1"/>
      <c r="D274"/>
      <c r="E274" s="86"/>
      <c r="F274" s="86"/>
      <c r="G274" s="17" t="str">
        <f ca="1">IF(H274="",SearchHLookup(D274,Categorieën!$B$1:$P$30),H274)</f>
        <v/>
      </c>
    </row>
    <row r="275" spans="2:7">
      <c r="B275" s="1"/>
      <c r="C275" s="1"/>
      <c r="D275"/>
      <c r="E275" s="86"/>
      <c r="F275" s="86"/>
      <c r="G275" s="17" t="str">
        <f ca="1">IF(H275="",SearchHLookup(D275,Categorieën!$B$1:$P$30),H275)</f>
        <v/>
      </c>
    </row>
    <row r="276" spans="2:7">
      <c r="B276" s="1"/>
      <c r="C276" s="1"/>
      <c r="D276"/>
      <c r="E276" s="86"/>
      <c r="F276" s="86"/>
      <c r="G276" s="17" t="str">
        <f ca="1">IF(H276="",SearchHLookup(D276,Categorieën!$B$1:$P$30),H276)</f>
        <v/>
      </c>
    </row>
    <row r="277" spans="2:7">
      <c r="B277" s="1"/>
      <c r="C277" s="1"/>
      <c r="D277"/>
      <c r="E277" s="86"/>
      <c r="F277" s="86"/>
      <c r="G277" s="17" t="str">
        <f ca="1">IF(H277="",SearchHLookup(D277,Categorieën!$B$1:$P$30),H277)</f>
        <v/>
      </c>
    </row>
    <row r="278" spans="2:7">
      <c r="B278" s="1"/>
      <c r="C278" s="1"/>
      <c r="D278"/>
      <c r="E278" s="86"/>
      <c r="F278" s="86"/>
      <c r="G278" s="17" t="str">
        <f ca="1">IF(H278="",SearchHLookup(D278,Categorieën!$B$1:$P$30),H278)</f>
        <v/>
      </c>
    </row>
    <row r="279" spans="2:7">
      <c r="B279" s="1"/>
      <c r="C279" s="1"/>
      <c r="D279"/>
      <c r="E279" s="86"/>
      <c r="F279" s="86"/>
      <c r="G279" s="17" t="str">
        <f ca="1">IF(H279="",SearchHLookup(D279,Categorieën!$B$1:$P$30),H279)</f>
        <v/>
      </c>
    </row>
    <row r="280" spans="2:7">
      <c r="B280" s="1"/>
      <c r="C280" s="1"/>
      <c r="D280"/>
      <c r="E280" s="86"/>
      <c r="F280" s="86"/>
      <c r="G280" s="17" t="str">
        <f ca="1">IF(H280="",SearchHLookup(D280,Categorieën!$B$1:$P$30),H280)</f>
        <v/>
      </c>
    </row>
    <row r="281" spans="2:7">
      <c r="B281" s="1"/>
      <c r="C281" s="1"/>
      <c r="D281"/>
      <c r="E281" s="86"/>
      <c r="F281" s="86"/>
      <c r="G281" s="17" t="str">
        <f ca="1">IF(H281="",SearchHLookup(D281,Categorieën!$B$1:$P$30),H281)</f>
        <v/>
      </c>
    </row>
    <row r="282" spans="2:7">
      <c r="B282" s="1"/>
      <c r="C282" s="1"/>
      <c r="D282"/>
      <c r="E282" s="86"/>
      <c r="F282" s="86"/>
      <c r="G282" s="17" t="str">
        <f ca="1">IF(H282="",SearchHLookup(D282,Categorieën!$B$1:$P$30),H282)</f>
        <v/>
      </c>
    </row>
    <row r="283" spans="2:7">
      <c r="B283" s="1"/>
      <c r="C283" s="1"/>
      <c r="D283"/>
      <c r="E283" s="86"/>
      <c r="F283" s="86"/>
      <c r="G283" s="17" t="str">
        <f ca="1">IF(H283="",SearchHLookup(D283,Categorieën!$B$1:$P$30),H283)</f>
        <v/>
      </c>
    </row>
    <row r="284" spans="2:7">
      <c r="B284" s="1"/>
      <c r="C284" s="1"/>
      <c r="D284"/>
      <c r="E284" s="86"/>
      <c r="F284" s="86"/>
      <c r="G284" s="17" t="str">
        <f ca="1">IF(H284="",SearchHLookup(D284,Categorieën!$B$1:$P$30),H284)</f>
        <v/>
      </c>
    </row>
    <row r="285" spans="2:7">
      <c r="B285" s="1"/>
      <c r="C285" s="1"/>
      <c r="D285"/>
      <c r="E285" s="86"/>
      <c r="F285" s="86"/>
      <c r="G285" s="17" t="str">
        <f ca="1">IF(H285="",SearchHLookup(D285,Categorieën!$B$1:$P$30),H285)</f>
        <v/>
      </c>
    </row>
    <row r="286" spans="2:7">
      <c r="B286" s="1"/>
      <c r="C286" s="1"/>
      <c r="D286"/>
      <c r="E286" s="86"/>
      <c r="F286" s="86"/>
      <c r="G286" s="17" t="str">
        <f ca="1">IF(H286="",SearchHLookup(D286,Categorieën!$B$1:$P$30),H286)</f>
        <v/>
      </c>
    </row>
    <row r="287" spans="2:7">
      <c r="B287" s="1"/>
      <c r="C287" s="1"/>
      <c r="D287"/>
      <c r="E287" s="86"/>
      <c r="F287" s="86"/>
      <c r="G287" s="17" t="str">
        <f ca="1">IF(H287="",SearchHLookup(D287,Categorieën!$B$1:$P$30),H287)</f>
        <v/>
      </c>
    </row>
    <row r="288" spans="2:7">
      <c r="B288" s="1"/>
      <c r="C288" s="1"/>
      <c r="D288"/>
      <c r="E288" s="86"/>
      <c r="F288" s="86"/>
      <c r="G288" s="17" t="str">
        <f ca="1">IF(H288="",SearchHLookup(D288,Categorieën!$B$1:$P$30),H288)</f>
        <v/>
      </c>
    </row>
    <row r="289" spans="2:7">
      <c r="B289" s="1"/>
      <c r="C289" s="1"/>
      <c r="D289"/>
      <c r="E289" s="86"/>
      <c r="F289" s="86"/>
      <c r="G289" s="17" t="str">
        <f ca="1">IF(H289="",SearchHLookup(D289,Categorieën!$B$1:$P$30),H289)</f>
        <v/>
      </c>
    </row>
    <row r="290" spans="2:7">
      <c r="B290" s="1"/>
      <c r="C290" s="1"/>
      <c r="D290"/>
      <c r="E290" s="86"/>
      <c r="F290" s="86"/>
      <c r="G290" s="17" t="str">
        <f ca="1">IF(H290="",SearchHLookup(D290,Categorieën!$B$1:$P$30),H290)</f>
        <v/>
      </c>
    </row>
    <row r="291" spans="2:7">
      <c r="B291" s="1"/>
      <c r="C291" s="1"/>
      <c r="D291"/>
      <c r="E291" s="86"/>
      <c r="F291" s="86"/>
      <c r="G291" s="17" t="str">
        <f ca="1">IF(H291="",SearchHLookup(D291,Categorieën!$B$1:$P$30),H291)</f>
        <v/>
      </c>
    </row>
    <row r="292" spans="2:7">
      <c r="B292" s="1"/>
      <c r="C292" s="1"/>
      <c r="D292"/>
      <c r="E292" s="86"/>
      <c r="F292" s="86"/>
      <c r="G292" s="17" t="str">
        <f ca="1">IF(H292="",SearchHLookup(D292,Categorieën!$B$1:$P$30),H292)</f>
        <v/>
      </c>
    </row>
    <row r="293" spans="2:7">
      <c r="B293" s="1"/>
      <c r="C293" s="1"/>
      <c r="D293"/>
      <c r="E293" s="86"/>
      <c r="F293" s="86"/>
      <c r="G293" s="17" t="str">
        <f ca="1">IF(H293="",SearchHLookup(D293,Categorieën!$B$1:$P$30),H293)</f>
        <v/>
      </c>
    </row>
    <row r="294" spans="2:7">
      <c r="B294" s="1"/>
      <c r="C294" s="1"/>
      <c r="D294"/>
      <c r="E294" s="86"/>
      <c r="F294" s="86"/>
      <c r="G294" s="17" t="str">
        <f ca="1">IF(H294="",SearchHLookup(D294,Categorieën!$B$1:$P$30),H294)</f>
        <v/>
      </c>
    </row>
    <row r="295" spans="2:7">
      <c r="B295" s="1"/>
      <c r="C295" s="1"/>
      <c r="D295"/>
      <c r="E295" s="86"/>
      <c r="F295" s="86"/>
      <c r="G295" s="17" t="str">
        <f ca="1">IF(H295="",SearchHLookup(D295,Categorieën!$B$1:$P$30),H295)</f>
        <v/>
      </c>
    </row>
    <row r="296" spans="2:7">
      <c r="B296" s="1"/>
      <c r="C296" s="1"/>
      <c r="D296"/>
      <c r="E296" s="86"/>
      <c r="F296" s="86"/>
      <c r="G296" s="17" t="str">
        <f ca="1">IF(H296="",SearchHLookup(D296,Categorieën!$B$1:$P$30),H296)</f>
        <v/>
      </c>
    </row>
    <row r="297" spans="2:7">
      <c r="B297" s="1"/>
      <c r="C297" s="1"/>
      <c r="D297"/>
      <c r="E297" s="86"/>
      <c r="F297" s="86"/>
      <c r="G297" s="17" t="str">
        <f ca="1">IF(H297="",SearchHLookup(D297,Categorieën!$B$1:$P$30),H297)</f>
        <v/>
      </c>
    </row>
    <row r="298" spans="2:7">
      <c r="B298" s="1"/>
      <c r="C298" s="1"/>
      <c r="D298"/>
      <c r="E298" s="86"/>
      <c r="F298" s="86"/>
      <c r="G298" s="17" t="str">
        <f ca="1">IF(H298="",SearchHLookup(D298,Categorieën!$B$1:$P$30),H298)</f>
        <v/>
      </c>
    </row>
    <row r="299" spans="2:7">
      <c r="B299" s="1"/>
      <c r="C299" s="1"/>
      <c r="D299"/>
      <c r="E299" s="86"/>
      <c r="F299" s="86"/>
      <c r="G299" s="17" t="str">
        <f ca="1">IF(H299="",SearchHLookup(D299,Categorieën!$B$1:$P$30),H299)</f>
        <v/>
      </c>
    </row>
    <row r="300" spans="2:7">
      <c r="B300" s="1"/>
      <c r="C300" s="1"/>
      <c r="D300"/>
      <c r="E300" s="86"/>
      <c r="F300" s="86"/>
      <c r="G300" s="17" t="str">
        <f ca="1">IF(H300="",SearchHLookup(D300,Categorieën!$B$1:$P$30),H300)</f>
        <v/>
      </c>
    </row>
    <row r="301" spans="2:7">
      <c r="B301" s="1"/>
      <c r="C301" s="1"/>
      <c r="D301"/>
      <c r="E301" s="86"/>
      <c r="F301" s="86"/>
    </row>
    <row r="302" spans="2:7">
      <c r="B302" s="1"/>
      <c r="C302" s="1"/>
      <c r="D302"/>
      <c r="E302" s="86"/>
      <c r="F302" s="86"/>
    </row>
    <row r="303" spans="2:7">
      <c r="B303" s="1"/>
      <c r="C303" s="1"/>
      <c r="D303"/>
      <c r="E303" s="86"/>
      <c r="F303" s="86"/>
    </row>
    <row r="304" spans="2:7">
      <c r="B304" s="1"/>
      <c r="C304" s="1"/>
      <c r="D304"/>
      <c r="E304" s="86"/>
      <c r="F304" s="86"/>
    </row>
    <row r="305" spans="2:6">
      <c r="B305" s="1"/>
      <c r="C305" s="1"/>
      <c r="D305"/>
      <c r="E305" s="86"/>
      <c r="F305" s="86"/>
    </row>
    <row r="306" spans="2:6">
      <c r="B306" s="1"/>
      <c r="C306" s="1"/>
      <c r="D306"/>
      <c r="E306" s="86"/>
      <c r="F306" s="86"/>
    </row>
    <row r="307" spans="2:6">
      <c r="B307" s="1"/>
      <c r="C307" s="1"/>
      <c r="D307"/>
      <c r="E307" s="86"/>
      <c r="F307" s="86"/>
    </row>
    <row r="308" spans="2:6">
      <c r="B308" s="1"/>
      <c r="C308" s="1"/>
      <c r="D308"/>
      <c r="E308" s="86"/>
      <c r="F308" s="86"/>
    </row>
    <row r="309" spans="2:6">
      <c r="B309" s="1"/>
      <c r="C309" s="1"/>
      <c r="D309"/>
      <c r="E309" s="86"/>
      <c r="F309" s="86"/>
    </row>
    <row r="310" spans="2:6">
      <c r="B310" s="1"/>
      <c r="C310" s="1"/>
      <c r="D310"/>
      <c r="E310" s="86"/>
      <c r="F310" s="86"/>
    </row>
    <row r="311" spans="2:6">
      <c r="B311" s="1"/>
      <c r="C311" s="1"/>
      <c r="D311"/>
      <c r="E311" s="86"/>
      <c r="F311" s="86"/>
    </row>
    <row r="312" spans="2:6">
      <c r="B312" s="1"/>
      <c r="C312" s="1"/>
      <c r="D312"/>
      <c r="E312" s="86"/>
      <c r="F312" s="86"/>
    </row>
    <row r="313" spans="2:6">
      <c r="B313" s="1"/>
      <c r="C313" s="1"/>
      <c r="D313"/>
      <c r="E313" s="86"/>
      <c r="F313" s="86"/>
    </row>
    <row r="314" spans="2:6">
      <c r="B314" s="1"/>
      <c r="C314" s="1"/>
      <c r="D314"/>
      <c r="E314" s="86"/>
      <c r="F314" s="86"/>
    </row>
    <row r="315" spans="2:6">
      <c r="B315" s="1"/>
      <c r="C315" s="1"/>
      <c r="D315"/>
      <c r="E315" s="86"/>
      <c r="F315" s="86"/>
    </row>
    <row r="316" spans="2:6">
      <c r="B316" s="1"/>
      <c r="C316" s="1"/>
      <c r="D316"/>
      <c r="E316" s="86"/>
      <c r="F316" s="86"/>
    </row>
    <row r="317" spans="2:6">
      <c r="B317" s="1"/>
      <c r="C317" s="1"/>
      <c r="D317"/>
      <c r="E317" s="86"/>
      <c r="F317" s="86"/>
    </row>
    <row r="318" spans="2:6">
      <c r="B318" s="1"/>
      <c r="C318" s="1"/>
      <c r="D318"/>
      <c r="E318" s="86"/>
      <c r="F318" s="86"/>
    </row>
    <row r="319" spans="2:6">
      <c r="B319" s="1"/>
      <c r="C319" s="1"/>
      <c r="D319"/>
      <c r="E319" s="86"/>
      <c r="F319" s="86"/>
    </row>
    <row r="320" spans="2:6">
      <c r="B320" s="1"/>
      <c r="C320" s="1"/>
      <c r="D320"/>
      <c r="E320" s="86"/>
      <c r="F320" s="86"/>
    </row>
    <row r="321" spans="2:6">
      <c r="B321" s="1"/>
      <c r="C321" s="1"/>
      <c r="D321"/>
      <c r="E321" s="86"/>
      <c r="F321" s="86"/>
    </row>
    <row r="322" spans="2:6">
      <c r="B322" s="1"/>
      <c r="C322" s="1"/>
      <c r="D322"/>
      <c r="E322" s="86"/>
      <c r="F322" s="86"/>
    </row>
    <row r="323" spans="2:6">
      <c r="B323" s="1"/>
      <c r="C323" s="1"/>
      <c r="D323"/>
      <c r="E323" s="86"/>
      <c r="F323" s="86"/>
    </row>
    <row r="324" spans="2:6">
      <c r="B324" s="1"/>
      <c r="C324" s="1"/>
      <c r="D324"/>
      <c r="E324" s="86"/>
      <c r="F324" s="86"/>
    </row>
    <row r="325" spans="2:6">
      <c r="B325" s="1"/>
      <c r="C325" s="1"/>
      <c r="D325"/>
      <c r="E325" s="86"/>
      <c r="F325" s="86"/>
    </row>
    <row r="326" spans="2:6">
      <c r="B326" s="1"/>
      <c r="C326" s="1"/>
      <c r="D326"/>
      <c r="E326" s="86"/>
      <c r="F326" s="86"/>
    </row>
    <row r="327" spans="2:6">
      <c r="B327" s="1"/>
      <c r="C327" s="1"/>
      <c r="D327"/>
      <c r="E327" s="86"/>
      <c r="F327" s="86"/>
    </row>
    <row r="328" spans="2:6">
      <c r="B328" s="1"/>
      <c r="C328" s="1"/>
      <c r="D328"/>
      <c r="E328" s="86"/>
      <c r="F328" s="86"/>
    </row>
    <row r="329" spans="2:6">
      <c r="B329" s="1"/>
      <c r="C329" s="1"/>
      <c r="D329"/>
      <c r="E329" s="86"/>
      <c r="F329" s="86"/>
    </row>
    <row r="330" spans="2:6">
      <c r="B330" s="1"/>
      <c r="C330" s="1"/>
      <c r="D330"/>
      <c r="E330" s="86"/>
      <c r="F330" s="86"/>
    </row>
    <row r="331" spans="2:6">
      <c r="B331" s="1"/>
      <c r="C331" s="1"/>
      <c r="D331"/>
      <c r="E331" s="86"/>
      <c r="F331" s="86"/>
    </row>
    <row r="332" spans="2:6">
      <c r="B332" s="1"/>
      <c r="C332" s="1"/>
      <c r="D332"/>
      <c r="E332" s="86"/>
      <c r="F332" s="86"/>
    </row>
    <row r="333" spans="2:6">
      <c r="B333" s="1"/>
      <c r="C333" s="1"/>
      <c r="D333"/>
      <c r="E333" s="86"/>
      <c r="F333" s="86"/>
    </row>
    <row r="334" spans="2:6">
      <c r="B334" s="1"/>
      <c r="C334" s="1"/>
      <c r="D334"/>
      <c r="E334" s="86"/>
      <c r="F334" s="86"/>
    </row>
    <row r="335" spans="2:6">
      <c r="B335" s="1"/>
      <c r="C335" s="1"/>
      <c r="D335"/>
      <c r="E335" s="86"/>
      <c r="F335" s="86"/>
    </row>
    <row r="336" spans="2:6">
      <c r="B336" s="1"/>
      <c r="C336" s="1"/>
      <c r="D336"/>
      <c r="E336" s="86"/>
      <c r="F336" s="86"/>
    </row>
    <row r="337" spans="2:6">
      <c r="B337" s="1"/>
      <c r="C337" s="1"/>
      <c r="D337"/>
      <c r="E337" s="86"/>
      <c r="F337" s="86"/>
    </row>
    <row r="338" spans="2:6">
      <c r="B338" s="1"/>
      <c r="C338" s="1"/>
      <c r="D338"/>
      <c r="E338" s="86"/>
      <c r="F338" s="86"/>
    </row>
    <row r="339" spans="2:6">
      <c r="B339" s="1"/>
      <c r="C339" s="1"/>
      <c r="D339"/>
      <c r="E339" s="86"/>
      <c r="F339" s="86"/>
    </row>
    <row r="340" spans="2:6">
      <c r="B340" s="1"/>
      <c r="C340" s="1"/>
      <c r="D340"/>
      <c r="E340" s="86"/>
      <c r="F340" s="86"/>
    </row>
    <row r="341" spans="2:6">
      <c r="B341" s="1"/>
      <c r="C341" s="1"/>
      <c r="D341"/>
      <c r="E341" s="86"/>
      <c r="F341" s="86"/>
    </row>
    <row r="342" spans="2:6">
      <c r="B342" s="1"/>
      <c r="C342" s="1"/>
      <c r="D342"/>
      <c r="E342" s="86"/>
      <c r="F342" s="86"/>
    </row>
    <row r="343" spans="2:6">
      <c r="B343" s="1"/>
      <c r="C343" s="1"/>
      <c r="D343"/>
      <c r="E343" s="86"/>
      <c r="F343" s="86"/>
    </row>
    <row r="344" spans="2:6">
      <c r="B344" s="1"/>
      <c r="C344" s="1"/>
      <c r="D344"/>
      <c r="E344" s="86"/>
      <c r="F344" s="86"/>
    </row>
    <row r="345" spans="2:6">
      <c r="B345" s="1"/>
      <c r="C345" s="1"/>
      <c r="D345"/>
      <c r="E345" s="86"/>
      <c r="F345" s="86"/>
    </row>
    <row r="346" spans="2:6">
      <c r="B346" s="1"/>
      <c r="C346" s="1"/>
      <c r="D346"/>
      <c r="E346" s="86"/>
      <c r="F346" s="86"/>
    </row>
    <row r="347" spans="2:6">
      <c r="B347" s="1"/>
      <c r="C347" s="1"/>
      <c r="D347"/>
      <c r="E347" s="86"/>
      <c r="F347" s="86"/>
    </row>
    <row r="348" spans="2:6">
      <c r="B348" s="1"/>
      <c r="C348" s="1"/>
      <c r="D348"/>
      <c r="E348" s="86"/>
      <c r="F348" s="86"/>
    </row>
    <row r="349" spans="2:6">
      <c r="B349" s="1"/>
      <c r="C349" s="1"/>
      <c r="D349"/>
      <c r="E349" s="86"/>
      <c r="F349" s="86"/>
    </row>
    <row r="350" spans="2:6">
      <c r="B350" s="1"/>
      <c r="C350" s="1"/>
      <c r="D350"/>
      <c r="E350" s="86"/>
      <c r="F350" s="86"/>
    </row>
    <row r="351" spans="2:6">
      <c r="B351" s="1"/>
      <c r="C351" s="1"/>
      <c r="D351"/>
      <c r="E351" s="86"/>
      <c r="F351" s="86"/>
    </row>
    <row r="352" spans="2:6">
      <c r="B352" s="1"/>
      <c r="C352" s="1"/>
      <c r="D352"/>
      <c r="E352" s="86"/>
      <c r="F352" s="86"/>
    </row>
    <row r="353" spans="2:6">
      <c r="B353" s="1"/>
      <c r="C353" s="1"/>
      <c r="D353"/>
      <c r="E353" s="86"/>
      <c r="F353" s="86"/>
    </row>
    <row r="354" spans="2:6">
      <c r="B354" s="1"/>
      <c r="C354" s="1"/>
      <c r="D354"/>
      <c r="E354" s="86"/>
      <c r="F354" s="86"/>
    </row>
    <row r="355" spans="2:6">
      <c r="B355" s="1"/>
      <c r="C355" s="1"/>
      <c r="D355"/>
      <c r="E355" s="86"/>
      <c r="F355" s="86"/>
    </row>
    <row r="356" spans="2:6">
      <c r="B356" s="1"/>
      <c r="C356" s="1"/>
      <c r="D356"/>
      <c r="E356" s="86"/>
      <c r="F356" s="86"/>
    </row>
    <row r="357" spans="2:6">
      <c r="B357" s="1"/>
      <c r="C357" s="1"/>
      <c r="D357"/>
      <c r="E357" s="86"/>
      <c r="F357" s="86"/>
    </row>
    <row r="358" spans="2:6">
      <c r="B358" s="1"/>
      <c r="C358" s="1"/>
      <c r="D358"/>
      <c r="E358" s="86"/>
      <c r="F358" s="86"/>
    </row>
    <row r="359" spans="2:6">
      <c r="B359" s="1"/>
      <c r="C359" s="1"/>
      <c r="D359"/>
      <c r="E359" s="86"/>
      <c r="F359" s="86"/>
    </row>
    <row r="360" spans="2:6">
      <c r="B360" s="1"/>
      <c r="C360" s="1"/>
      <c r="D360"/>
      <c r="E360" s="86"/>
      <c r="F360" s="86"/>
    </row>
    <row r="361" spans="2:6">
      <c r="B361" s="1"/>
      <c r="C361" s="1"/>
      <c r="D361"/>
      <c r="E361" s="86"/>
      <c r="F361" s="86"/>
    </row>
    <row r="362" spans="2:6">
      <c r="B362" s="1"/>
      <c r="C362" s="1"/>
      <c r="D362"/>
      <c r="E362" s="86"/>
      <c r="F362" s="86"/>
    </row>
    <row r="363" spans="2:6">
      <c r="B363" s="1"/>
      <c r="C363" s="1"/>
      <c r="D363"/>
      <c r="E363" s="86"/>
      <c r="F363" s="86"/>
    </row>
    <row r="364" spans="2:6">
      <c r="B364" s="1"/>
      <c r="C364" s="1"/>
      <c r="D364"/>
      <c r="E364" s="86"/>
      <c r="F364" s="86"/>
    </row>
    <row r="365" spans="2:6">
      <c r="B365" s="1"/>
      <c r="C365" s="1"/>
      <c r="D365"/>
      <c r="E365" s="86"/>
      <c r="F365" s="86"/>
    </row>
    <row r="366" spans="2:6">
      <c r="B366" s="1"/>
      <c r="C366" s="1"/>
      <c r="D366"/>
      <c r="E366" s="86"/>
      <c r="F366" s="86"/>
    </row>
    <row r="367" spans="2:6">
      <c r="B367" s="1"/>
      <c r="C367" s="1"/>
      <c r="D367"/>
      <c r="E367" s="86"/>
      <c r="F367" s="86"/>
    </row>
    <row r="368" spans="2:6">
      <c r="B368" s="1"/>
      <c r="C368" s="1"/>
      <c r="D368"/>
      <c r="E368" s="86"/>
      <c r="F368" s="86"/>
    </row>
    <row r="369" spans="2:6">
      <c r="B369" s="1"/>
      <c r="C369" s="1"/>
      <c r="D369"/>
      <c r="E369" s="86"/>
      <c r="F369" s="86"/>
    </row>
    <row r="370" spans="2:6">
      <c r="B370" s="1"/>
      <c r="C370" s="1"/>
      <c r="D370"/>
      <c r="E370" s="86"/>
      <c r="F370" s="86"/>
    </row>
    <row r="371" spans="2:6">
      <c r="B371" s="1"/>
      <c r="C371" s="1"/>
      <c r="D371"/>
      <c r="E371" s="86"/>
      <c r="F371" s="86"/>
    </row>
    <row r="372" spans="2:6">
      <c r="B372" s="1"/>
      <c r="C372" s="1"/>
      <c r="D372"/>
      <c r="E372" s="86"/>
      <c r="F372" s="86"/>
    </row>
    <row r="373" spans="2:6">
      <c r="B373" s="1"/>
      <c r="C373" s="1"/>
      <c r="D373"/>
      <c r="E373" s="86"/>
      <c r="F373" s="86"/>
    </row>
    <row r="374" spans="2:6">
      <c r="B374" s="1"/>
      <c r="C374" s="1"/>
      <c r="D374"/>
      <c r="E374" s="86"/>
      <c r="F374" s="86"/>
    </row>
    <row r="375" spans="2:6">
      <c r="B375" s="1"/>
      <c r="C375" s="1"/>
      <c r="D375"/>
      <c r="E375" s="86"/>
      <c r="F375" s="86"/>
    </row>
    <row r="376" spans="2:6">
      <c r="B376" s="1"/>
      <c r="C376" s="1"/>
      <c r="D376"/>
      <c r="E376" s="86"/>
      <c r="F376" s="86"/>
    </row>
    <row r="377" spans="2:6">
      <c r="B377" s="1"/>
      <c r="C377" s="1"/>
      <c r="D377"/>
      <c r="E377" s="86"/>
      <c r="F377" s="86"/>
    </row>
    <row r="378" spans="2:6">
      <c r="B378" s="1"/>
      <c r="C378" s="1"/>
      <c r="D378"/>
      <c r="E378" s="86"/>
      <c r="F378" s="86"/>
    </row>
    <row r="379" spans="2:6">
      <c r="B379" s="1"/>
      <c r="C379" s="1"/>
      <c r="D379"/>
      <c r="E379" s="86"/>
      <c r="F379" s="86"/>
    </row>
    <row r="380" spans="2:6">
      <c r="B380" s="1"/>
      <c r="C380" s="1"/>
      <c r="D380"/>
      <c r="E380" s="86"/>
      <c r="F380" s="86"/>
    </row>
    <row r="381" spans="2:6">
      <c r="B381" s="1"/>
      <c r="C381" s="1"/>
      <c r="D381"/>
      <c r="E381" s="86"/>
      <c r="F381" s="86"/>
    </row>
    <row r="382" spans="2:6">
      <c r="B382" s="1"/>
      <c r="C382" s="1"/>
      <c r="D382"/>
      <c r="E382" s="86"/>
      <c r="F382" s="86"/>
    </row>
    <row r="383" spans="2:6">
      <c r="B383" s="1"/>
      <c r="C383" s="1"/>
      <c r="D383"/>
      <c r="E383" s="86"/>
      <c r="F383" s="86"/>
    </row>
    <row r="384" spans="2:6">
      <c r="B384" s="1"/>
      <c r="C384" s="1"/>
      <c r="D384"/>
      <c r="E384" s="86"/>
      <c r="F384" s="86"/>
    </row>
    <row r="385" spans="2:6">
      <c r="B385" s="1"/>
      <c r="C385" s="1"/>
      <c r="D385"/>
      <c r="E385" s="86"/>
      <c r="F385" s="86"/>
    </row>
    <row r="386" spans="2:6">
      <c r="B386" s="1"/>
      <c r="C386" s="1"/>
      <c r="D386"/>
      <c r="E386" s="86"/>
      <c r="F386" s="86"/>
    </row>
    <row r="387" spans="2:6">
      <c r="B387" s="1"/>
      <c r="C387" s="1"/>
      <c r="D387"/>
      <c r="E387" s="86"/>
      <c r="F387" s="86"/>
    </row>
    <row r="388" spans="2:6">
      <c r="B388" s="1"/>
      <c r="C388" s="1"/>
      <c r="D388"/>
      <c r="E388" s="86"/>
      <c r="F388" s="86"/>
    </row>
    <row r="389" spans="2:6">
      <c r="B389" s="1"/>
      <c r="C389" s="1"/>
      <c r="D389"/>
      <c r="E389" s="86"/>
      <c r="F389" s="86"/>
    </row>
    <row r="390" spans="2:6">
      <c r="B390" s="1"/>
      <c r="C390" s="1"/>
      <c r="D390"/>
      <c r="E390" s="86"/>
      <c r="F390" s="86"/>
    </row>
    <row r="391" spans="2:6">
      <c r="B391" s="1"/>
      <c r="C391" s="1"/>
      <c r="D391"/>
      <c r="E391" s="86"/>
      <c r="F391" s="86"/>
    </row>
    <row r="392" spans="2:6">
      <c r="B392" s="1"/>
      <c r="C392" s="1"/>
      <c r="D392"/>
      <c r="E392" s="86"/>
      <c r="F392" s="86"/>
    </row>
    <row r="393" spans="2:6">
      <c r="B393" s="1"/>
      <c r="C393" s="1"/>
      <c r="D393"/>
      <c r="E393" s="86"/>
      <c r="F393" s="86"/>
    </row>
    <row r="394" spans="2:6">
      <c r="B394" s="1"/>
      <c r="C394" s="1"/>
      <c r="D394"/>
      <c r="E394" s="86"/>
      <c r="F394" s="86"/>
    </row>
    <row r="395" spans="2:6">
      <c r="B395" s="1"/>
      <c r="C395" s="1"/>
      <c r="D395"/>
      <c r="E395" s="86"/>
      <c r="F395" s="86"/>
    </row>
    <row r="396" spans="2:6">
      <c r="B396" s="1"/>
      <c r="C396" s="1"/>
      <c r="D396"/>
      <c r="E396" s="86"/>
      <c r="F396" s="86"/>
    </row>
    <row r="397" spans="2:6">
      <c r="B397" s="1"/>
      <c r="C397" s="1"/>
      <c r="D397"/>
      <c r="E397" s="86"/>
      <c r="F397" s="86"/>
    </row>
    <row r="398" spans="2:6">
      <c r="B398" s="1"/>
      <c r="C398" s="1"/>
      <c r="D398"/>
      <c r="E398" s="86"/>
      <c r="F398" s="86"/>
    </row>
    <row r="399" spans="2:6">
      <c r="B399" s="1"/>
      <c r="C399" s="1"/>
      <c r="D399"/>
      <c r="E399" s="86"/>
      <c r="F399" s="86"/>
    </row>
    <row r="400" spans="2:6">
      <c r="B400" s="1"/>
      <c r="C400" s="1"/>
      <c r="D400"/>
      <c r="E400" s="86"/>
      <c r="F400" s="86"/>
    </row>
    <row r="401" spans="2:6">
      <c r="B401" s="1"/>
      <c r="C401" s="1"/>
      <c r="D401"/>
      <c r="E401" s="86"/>
      <c r="F401" s="86"/>
    </row>
    <row r="402" spans="2:6">
      <c r="B402" s="1"/>
      <c r="C402" s="1"/>
      <c r="D402"/>
      <c r="E402" s="86"/>
      <c r="F402" s="86"/>
    </row>
    <row r="403" spans="2:6">
      <c r="B403" s="1"/>
      <c r="C403" s="1"/>
      <c r="D403"/>
      <c r="E403" s="86"/>
      <c r="F403" s="86"/>
    </row>
    <row r="404" spans="2:6">
      <c r="B404" s="1"/>
      <c r="C404" s="1"/>
      <c r="D404"/>
      <c r="E404" s="86"/>
      <c r="F404" s="86"/>
    </row>
    <row r="405" spans="2:6">
      <c r="B405" s="1"/>
      <c r="C405" s="1"/>
      <c r="D405"/>
      <c r="E405" s="86"/>
      <c r="F405" s="86"/>
    </row>
    <row r="406" spans="2:6">
      <c r="B406" s="1"/>
      <c r="C406" s="1"/>
      <c r="D406"/>
      <c r="E406" s="86"/>
      <c r="F406" s="86"/>
    </row>
    <row r="407" spans="2:6">
      <c r="B407" s="1"/>
      <c r="C407" s="1"/>
      <c r="D407"/>
      <c r="E407" s="86"/>
      <c r="F407" s="86"/>
    </row>
    <row r="408" spans="2:6">
      <c r="B408" s="1"/>
      <c r="C408" s="1"/>
      <c r="D408"/>
      <c r="E408" s="86"/>
      <c r="F408" s="86"/>
    </row>
    <row r="409" spans="2:6">
      <c r="B409" s="1"/>
      <c r="C409" s="1"/>
      <c r="D409"/>
      <c r="E409" s="86"/>
      <c r="F409" s="86"/>
    </row>
    <row r="410" spans="2:6">
      <c r="B410" s="1"/>
      <c r="C410" s="1"/>
      <c r="D410"/>
      <c r="E410" s="86"/>
      <c r="F410" s="86"/>
    </row>
    <row r="411" spans="2:6">
      <c r="B411" s="1"/>
      <c r="C411" s="1"/>
      <c r="D411"/>
      <c r="E411" s="86"/>
      <c r="F411" s="86"/>
    </row>
    <row r="412" spans="2:6">
      <c r="B412" s="1"/>
      <c r="C412" s="1"/>
      <c r="D412"/>
      <c r="E412" s="86"/>
      <c r="F412" s="86"/>
    </row>
    <row r="413" spans="2:6">
      <c r="B413" s="1"/>
      <c r="C413" s="1"/>
      <c r="D413"/>
      <c r="E413" s="86"/>
      <c r="F413" s="86"/>
    </row>
    <row r="414" spans="2:6">
      <c r="B414" s="1"/>
      <c r="C414" s="1"/>
      <c r="D414"/>
      <c r="E414" s="86"/>
      <c r="F414" s="86"/>
    </row>
    <row r="415" spans="2:6">
      <c r="B415" s="1"/>
      <c r="C415" s="1"/>
      <c r="D415"/>
      <c r="E415" s="86"/>
      <c r="F415" s="86"/>
    </row>
    <row r="416" spans="2:6">
      <c r="B416" s="1"/>
      <c r="C416" s="1"/>
      <c r="D416"/>
      <c r="E416" s="86"/>
      <c r="F416" s="86"/>
    </row>
    <row r="417" spans="2:6">
      <c r="B417" s="1"/>
      <c r="C417" s="1"/>
      <c r="D417"/>
      <c r="E417" s="86"/>
      <c r="F417" s="86"/>
    </row>
    <row r="418" spans="2:6">
      <c r="B418" s="1"/>
      <c r="C418" s="1"/>
      <c r="D418"/>
      <c r="E418" s="86"/>
      <c r="F418" s="86"/>
    </row>
    <row r="419" spans="2:6">
      <c r="B419" s="1"/>
      <c r="C419" s="1"/>
      <c r="D419"/>
      <c r="E419" s="86"/>
      <c r="F419" s="86"/>
    </row>
    <row r="420" spans="2:6">
      <c r="B420" s="1"/>
      <c r="C420" s="1"/>
      <c r="D420"/>
      <c r="E420" s="86"/>
      <c r="F420" s="86"/>
    </row>
    <row r="421" spans="2:6">
      <c r="B421" s="1"/>
      <c r="C421" s="1"/>
      <c r="D421"/>
      <c r="E421" s="86"/>
      <c r="F421" s="86"/>
    </row>
    <row r="422" spans="2:6">
      <c r="B422" s="1"/>
      <c r="C422" s="1"/>
      <c r="D422"/>
      <c r="E422" s="86"/>
      <c r="F422" s="86"/>
    </row>
    <row r="423" spans="2:6">
      <c r="B423" s="1"/>
      <c r="C423" s="1"/>
      <c r="D423"/>
      <c r="E423" s="86"/>
      <c r="F423" s="86"/>
    </row>
    <row r="424" spans="2:6">
      <c r="B424" s="1"/>
      <c r="C424" s="1"/>
      <c r="D424"/>
      <c r="E424" s="86"/>
      <c r="F424" s="86"/>
    </row>
    <row r="425" spans="2:6">
      <c r="B425" s="1"/>
      <c r="C425" s="1"/>
      <c r="D425"/>
      <c r="E425" s="86"/>
      <c r="F425" s="86"/>
    </row>
    <row r="426" spans="2:6">
      <c r="B426" s="1"/>
      <c r="C426" s="1"/>
      <c r="D426"/>
      <c r="E426" s="86"/>
      <c r="F426" s="86"/>
    </row>
    <row r="427" spans="2:6">
      <c r="B427" s="1"/>
      <c r="C427" s="1"/>
      <c r="D427"/>
      <c r="E427" s="86"/>
      <c r="F427" s="86"/>
    </row>
    <row r="428" spans="2:6">
      <c r="B428" s="1"/>
      <c r="C428" s="1"/>
      <c r="D428"/>
      <c r="E428" s="86"/>
      <c r="F428" s="86"/>
    </row>
    <row r="429" spans="2:6">
      <c r="B429" s="1"/>
      <c r="C429" s="1"/>
      <c r="D429"/>
      <c r="E429" s="86"/>
      <c r="F429" s="86"/>
    </row>
    <row r="430" spans="2:6">
      <c r="B430" s="1"/>
      <c r="C430" s="1"/>
      <c r="D430"/>
      <c r="E430" s="86"/>
      <c r="F430" s="86"/>
    </row>
    <row r="431" spans="2:6">
      <c r="B431" s="1"/>
      <c r="C431" s="1"/>
      <c r="D431"/>
      <c r="E431" s="86"/>
      <c r="F431" s="86"/>
    </row>
    <row r="432" spans="2:6">
      <c r="B432" s="1"/>
      <c r="C432" s="1"/>
      <c r="D432"/>
      <c r="E432" s="86"/>
      <c r="F432" s="86"/>
    </row>
    <row r="433" spans="2:6">
      <c r="B433" s="1"/>
      <c r="C433" s="1"/>
      <c r="D433"/>
      <c r="E433" s="86"/>
      <c r="F433" s="86"/>
    </row>
    <row r="434" spans="2:6">
      <c r="B434" s="1"/>
      <c r="C434" s="1"/>
      <c r="D434"/>
      <c r="E434" s="86"/>
      <c r="F434" s="86"/>
    </row>
    <row r="435" spans="2:6">
      <c r="B435" s="1"/>
      <c r="C435" s="1"/>
      <c r="D435"/>
      <c r="E435" s="86"/>
      <c r="F435" s="86"/>
    </row>
    <row r="436" spans="2:6">
      <c r="B436" s="1"/>
      <c r="C436" s="1"/>
      <c r="D436"/>
      <c r="E436" s="86"/>
      <c r="F436" s="86"/>
    </row>
    <row r="437" spans="2:6">
      <c r="B437" s="1"/>
      <c r="C437" s="1"/>
      <c r="D437"/>
      <c r="E437" s="86"/>
      <c r="F437" s="86"/>
    </row>
    <row r="438" spans="2:6">
      <c r="B438" s="1"/>
      <c r="C438" s="1"/>
      <c r="D438"/>
      <c r="E438" s="86"/>
      <c r="F438" s="86"/>
    </row>
    <row r="439" spans="2:6">
      <c r="B439" s="1"/>
      <c r="C439" s="1"/>
      <c r="D439"/>
      <c r="E439" s="86"/>
      <c r="F439" s="86"/>
    </row>
    <row r="440" spans="2:6">
      <c r="B440" s="1"/>
      <c r="C440" s="1"/>
      <c r="D440"/>
      <c r="E440" s="86"/>
      <c r="F440" s="86"/>
    </row>
    <row r="441" spans="2:6">
      <c r="B441" s="1"/>
      <c r="C441" s="1"/>
      <c r="D441"/>
      <c r="E441" s="86"/>
      <c r="F441" s="86"/>
    </row>
    <row r="442" spans="2:6">
      <c r="B442" s="1"/>
      <c r="C442" s="1"/>
      <c r="D442"/>
      <c r="E442" s="86"/>
      <c r="F442" s="86"/>
    </row>
    <row r="443" spans="2:6">
      <c r="B443" s="1"/>
      <c r="C443" s="1"/>
      <c r="D443"/>
      <c r="E443" s="86"/>
      <c r="F443" s="86"/>
    </row>
    <row r="444" spans="2:6">
      <c r="B444" s="1"/>
      <c r="C444" s="1"/>
      <c r="D444"/>
      <c r="E444" s="86"/>
      <c r="F444" s="86"/>
    </row>
    <row r="445" spans="2:6">
      <c r="B445" s="1"/>
      <c r="C445" s="1"/>
      <c r="D445"/>
      <c r="E445" s="86"/>
      <c r="F445" s="86"/>
    </row>
    <row r="446" spans="2:6">
      <c r="B446" s="1"/>
      <c r="C446" s="1"/>
      <c r="D446"/>
      <c r="E446" s="86"/>
      <c r="F446" s="86"/>
    </row>
    <row r="447" spans="2:6">
      <c r="B447" s="1"/>
      <c r="C447" s="1"/>
      <c r="D447"/>
      <c r="E447" s="86"/>
      <c r="F447" s="86"/>
    </row>
    <row r="448" spans="2:6">
      <c r="B448" s="1"/>
      <c r="C448" s="1"/>
      <c r="D448"/>
      <c r="E448" s="86"/>
      <c r="F448" s="86"/>
    </row>
    <row r="449" spans="2:6">
      <c r="B449" s="1"/>
      <c r="C449" s="1"/>
      <c r="D449"/>
      <c r="E449" s="86"/>
      <c r="F449" s="86"/>
    </row>
    <row r="450" spans="2:6">
      <c r="B450" s="1"/>
      <c r="C450" s="1"/>
      <c r="D450"/>
      <c r="E450" s="86"/>
      <c r="F450" s="86"/>
    </row>
    <row r="451" spans="2:6">
      <c r="B451" s="1"/>
      <c r="C451" s="1"/>
      <c r="D451"/>
      <c r="E451" s="86"/>
      <c r="F451" s="86"/>
    </row>
    <row r="452" spans="2:6">
      <c r="B452" s="1"/>
      <c r="C452" s="1"/>
      <c r="D452"/>
      <c r="E452" s="86"/>
      <c r="F452" s="86"/>
    </row>
    <row r="453" spans="2:6">
      <c r="B453" s="1"/>
      <c r="C453" s="1"/>
      <c r="D453"/>
      <c r="E453" s="86"/>
      <c r="F453" s="86"/>
    </row>
    <row r="454" spans="2:6">
      <c r="B454" s="1"/>
      <c r="C454" s="1"/>
      <c r="D454"/>
      <c r="E454" s="86"/>
      <c r="F454" s="86"/>
    </row>
    <row r="455" spans="2:6">
      <c r="B455" s="1"/>
      <c r="C455" s="1"/>
      <c r="D455"/>
      <c r="E455" s="86"/>
      <c r="F455" s="86"/>
    </row>
    <row r="456" spans="2:6">
      <c r="B456" s="1"/>
      <c r="C456" s="1"/>
      <c r="D456"/>
      <c r="E456" s="86"/>
      <c r="F456" s="86"/>
    </row>
    <row r="457" spans="2:6">
      <c r="B457" s="1"/>
      <c r="C457" s="1"/>
      <c r="D457"/>
      <c r="E457" s="86"/>
      <c r="F457" s="86"/>
    </row>
    <row r="458" spans="2:6">
      <c r="B458" s="1"/>
      <c r="C458" s="1"/>
      <c r="D458"/>
      <c r="E458" s="86"/>
      <c r="F458" s="86"/>
    </row>
    <row r="459" spans="2:6">
      <c r="B459" s="1"/>
      <c r="C459" s="1"/>
      <c r="D459"/>
      <c r="E459" s="86"/>
      <c r="F459" s="86"/>
    </row>
    <row r="460" spans="2:6">
      <c r="B460" s="1"/>
      <c r="C460" s="1"/>
      <c r="D460"/>
      <c r="E460" s="86"/>
      <c r="F460" s="86"/>
    </row>
    <row r="461" spans="2:6">
      <c r="B461" s="1"/>
      <c r="C461" s="1"/>
      <c r="D461"/>
      <c r="E461" s="86"/>
      <c r="F461" s="86"/>
    </row>
    <row r="462" spans="2:6">
      <c r="B462" s="1"/>
      <c r="C462" s="1"/>
      <c r="D462"/>
      <c r="E462" s="86"/>
      <c r="F462" s="86"/>
    </row>
    <row r="463" spans="2:6">
      <c r="B463" s="1"/>
      <c r="C463" s="1"/>
      <c r="D463"/>
      <c r="E463" s="86"/>
      <c r="F463" s="86"/>
    </row>
    <row r="464" spans="2:6">
      <c r="B464" s="1"/>
      <c r="C464" s="1"/>
      <c r="D464"/>
      <c r="E464" s="86"/>
      <c r="F464" s="86"/>
    </row>
    <row r="465" spans="2:6">
      <c r="B465" s="1"/>
      <c r="C465" s="1"/>
      <c r="D465"/>
      <c r="E465" s="86"/>
      <c r="F465" s="86"/>
    </row>
    <row r="466" spans="2:6">
      <c r="B466" s="1"/>
      <c r="C466" s="1"/>
      <c r="D466"/>
      <c r="E466" s="86"/>
      <c r="F466" s="86"/>
    </row>
    <row r="467" spans="2:6">
      <c r="B467" s="1"/>
      <c r="C467" s="1"/>
      <c r="D467"/>
      <c r="E467" s="86"/>
      <c r="F467" s="86"/>
    </row>
    <row r="468" spans="2:6">
      <c r="B468" s="1"/>
      <c r="C468" s="1"/>
      <c r="D468"/>
      <c r="E468" s="86"/>
      <c r="F468" s="86"/>
    </row>
    <row r="469" spans="2:6">
      <c r="B469" s="1"/>
      <c r="C469" s="1"/>
      <c r="D469"/>
      <c r="E469" s="86"/>
      <c r="F469" s="86"/>
    </row>
    <row r="470" spans="2:6">
      <c r="B470" s="1"/>
      <c r="C470" s="1"/>
      <c r="D470"/>
      <c r="E470" s="86"/>
      <c r="F470" s="86"/>
    </row>
    <row r="471" spans="2:6">
      <c r="B471" s="1"/>
      <c r="C471" s="1"/>
      <c r="D471"/>
      <c r="E471" s="86"/>
      <c r="F471" s="86"/>
    </row>
    <row r="472" spans="2:6">
      <c r="B472" s="1"/>
      <c r="C472" s="1"/>
      <c r="D472"/>
      <c r="E472" s="86"/>
      <c r="F472" s="86"/>
    </row>
    <row r="473" spans="2:6">
      <c r="B473" s="1"/>
      <c r="C473" s="1"/>
      <c r="D473"/>
      <c r="E473" s="86"/>
      <c r="F473" s="86"/>
    </row>
    <row r="474" spans="2:6">
      <c r="B474" s="1"/>
      <c r="C474" s="1"/>
      <c r="D474"/>
      <c r="E474" s="86"/>
      <c r="F474" s="86"/>
    </row>
    <row r="475" spans="2:6">
      <c r="B475" s="1"/>
      <c r="C475" s="1"/>
      <c r="D475"/>
      <c r="E475" s="86"/>
      <c r="F475" s="86"/>
    </row>
    <row r="476" spans="2:6">
      <c r="B476" s="1"/>
      <c r="C476" s="1"/>
      <c r="D476"/>
      <c r="E476" s="86"/>
      <c r="F476" s="86"/>
    </row>
    <row r="477" spans="2:6">
      <c r="B477" s="1"/>
      <c r="C477" s="1"/>
      <c r="D477"/>
      <c r="E477" s="86"/>
      <c r="F477" s="86"/>
    </row>
    <row r="478" spans="2:6">
      <c r="B478" s="1"/>
      <c r="C478" s="1"/>
      <c r="D478"/>
      <c r="E478" s="86"/>
      <c r="F478" s="86"/>
    </row>
    <row r="479" spans="2:6">
      <c r="B479" s="1"/>
      <c r="C479" s="1"/>
      <c r="D479"/>
      <c r="E479" s="86"/>
      <c r="F479" s="86"/>
    </row>
    <row r="480" spans="2:6">
      <c r="B480" s="1"/>
      <c r="C480" s="1"/>
      <c r="D480"/>
      <c r="E480" s="86"/>
      <c r="F480" s="86"/>
    </row>
    <row r="481" spans="2:6">
      <c r="B481" s="1"/>
      <c r="C481" s="1"/>
      <c r="D481"/>
      <c r="E481" s="86"/>
      <c r="F481" s="86"/>
    </row>
    <row r="482" spans="2:6">
      <c r="B482" s="1"/>
      <c r="C482" s="1"/>
      <c r="D482"/>
      <c r="E482" s="86"/>
      <c r="F482" s="86"/>
    </row>
    <row r="483" spans="2:6">
      <c r="B483" s="1"/>
      <c r="C483" s="1"/>
      <c r="D483"/>
      <c r="E483" s="86"/>
      <c r="F483" s="86"/>
    </row>
    <row r="484" spans="2:6">
      <c r="B484" s="1"/>
      <c r="C484" s="1"/>
      <c r="D484"/>
      <c r="E484" s="86"/>
      <c r="F484" s="86"/>
    </row>
    <row r="485" spans="2:6">
      <c r="B485" s="1"/>
      <c r="C485" s="1"/>
      <c r="D485"/>
      <c r="E485" s="86"/>
      <c r="F485" s="86"/>
    </row>
    <row r="486" spans="2:6">
      <c r="B486" s="1"/>
      <c r="C486" s="1"/>
      <c r="D486"/>
      <c r="E486" s="86"/>
      <c r="F486" s="86"/>
    </row>
    <row r="487" spans="2:6">
      <c r="B487" s="1"/>
      <c r="C487" s="1"/>
      <c r="D487"/>
      <c r="E487" s="86"/>
      <c r="F487" s="86"/>
    </row>
    <row r="488" spans="2:6">
      <c r="B488" s="1"/>
      <c r="C488" s="1"/>
      <c r="D488"/>
      <c r="E488" s="86"/>
      <c r="F488" s="86"/>
    </row>
    <row r="489" spans="2:6">
      <c r="B489" s="1"/>
      <c r="C489" s="1"/>
      <c r="D489"/>
      <c r="E489" s="86"/>
      <c r="F489" s="86"/>
    </row>
    <row r="490" spans="2:6">
      <c r="B490" s="1"/>
      <c r="C490" s="1"/>
      <c r="D490"/>
      <c r="E490" s="86"/>
      <c r="F490" s="86"/>
    </row>
    <row r="491" spans="2:6">
      <c r="B491" s="1"/>
      <c r="C491" s="1"/>
      <c r="D491"/>
      <c r="E491" s="86"/>
      <c r="F491" s="86"/>
    </row>
    <row r="492" spans="2:6">
      <c r="B492" s="1"/>
      <c r="C492" s="1"/>
      <c r="D492"/>
      <c r="E492" s="86"/>
      <c r="F492" s="86"/>
    </row>
    <row r="493" spans="2:6">
      <c r="B493" s="1"/>
      <c r="C493" s="1"/>
      <c r="D493"/>
      <c r="E493" s="86"/>
      <c r="F493" s="86"/>
    </row>
    <row r="494" spans="2:6">
      <c r="B494" s="1"/>
      <c r="C494" s="1"/>
      <c r="D494"/>
      <c r="E494" s="86"/>
      <c r="F494" s="86"/>
    </row>
    <row r="495" spans="2:6">
      <c r="B495" s="1"/>
      <c r="C495" s="1"/>
      <c r="D495"/>
      <c r="E495" s="86"/>
      <c r="F495" s="86"/>
    </row>
    <row r="496" spans="2:6">
      <c r="B496" s="1"/>
      <c r="C496" s="1"/>
      <c r="D496"/>
      <c r="E496" s="86"/>
      <c r="F496" s="86"/>
    </row>
    <row r="497" spans="2:6">
      <c r="B497" s="1"/>
      <c r="C497" s="1"/>
      <c r="D497"/>
      <c r="E497" s="86"/>
      <c r="F497" s="86"/>
    </row>
    <row r="498" spans="2:6">
      <c r="B498" s="1"/>
      <c r="C498" s="1"/>
      <c r="D498"/>
      <c r="E498" s="86"/>
      <c r="F498" s="86"/>
    </row>
    <row r="499" spans="2:6">
      <c r="B499" s="1"/>
      <c r="C499" s="1"/>
      <c r="D499"/>
      <c r="E499" s="86"/>
      <c r="F499" s="86"/>
    </row>
    <row r="500" spans="2:6">
      <c r="B500" s="1"/>
      <c r="C500" s="1"/>
      <c r="D500"/>
      <c r="E500" s="86"/>
      <c r="F500" s="86"/>
    </row>
    <row r="501" spans="2:6">
      <c r="B501" s="1"/>
      <c r="C501" s="1"/>
      <c r="D501"/>
      <c r="E501" s="86"/>
      <c r="F501" s="86"/>
    </row>
    <row r="502" spans="2:6">
      <c r="B502" s="1"/>
      <c r="C502" s="1"/>
      <c r="D502"/>
      <c r="E502" s="86"/>
      <c r="F502" s="86"/>
    </row>
    <row r="503" spans="2:6">
      <c r="B503" s="1"/>
      <c r="C503" s="1"/>
      <c r="D503"/>
      <c r="E503" s="86"/>
      <c r="F503" s="86"/>
    </row>
    <row r="504" spans="2:6">
      <c r="B504" s="1"/>
      <c r="C504" s="1"/>
      <c r="D504"/>
      <c r="E504" s="86"/>
      <c r="F504" s="86"/>
    </row>
    <row r="505" spans="2:6">
      <c r="B505" s="1"/>
      <c r="C505" s="1"/>
      <c r="D505"/>
      <c r="E505" s="86"/>
      <c r="F505" s="86"/>
    </row>
    <row r="506" spans="2:6">
      <c r="B506" s="1"/>
      <c r="C506" s="1"/>
      <c r="D506"/>
      <c r="E506" s="86"/>
      <c r="F506" s="86"/>
    </row>
    <row r="507" spans="2:6">
      <c r="B507" s="1"/>
      <c r="C507" s="1"/>
      <c r="D507"/>
      <c r="E507" s="86"/>
      <c r="F507" s="86"/>
    </row>
    <row r="508" spans="2:6">
      <c r="B508" s="1"/>
      <c r="C508" s="1"/>
      <c r="D508"/>
      <c r="E508" s="86"/>
      <c r="F508" s="86"/>
    </row>
    <row r="509" spans="2:6">
      <c r="B509" s="1"/>
      <c r="C509" s="1"/>
      <c r="D509"/>
      <c r="E509" s="86"/>
      <c r="F509" s="86"/>
    </row>
    <row r="510" spans="2:6">
      <c r="B510" s="1"/>
      <c r="C510" s="1"/>
      <c r="D510"/>
      <c r="E510" s="86"/>
      <c r="F510" s="86"/>
    </row>
    <row r="511" spans="2:6">
      <c r="B511" s="1"/>
      <c r="C511" s="1"/>
      <c r="D511"/>
      <c r="E511" s="86"/>
      <c r="F511" s="86"/>
    </row>
    <row r="512" spans="2:6">
      <c r="B512" s="1"/>
      <c r="C512" s="1"/>
      <c r="D512"/>
      <c r="E512" s="86"/>
      <c r="F512" s="86"/>
    </row>
    <row r="513" spans="2:6">
      <c r="B513" s="1"/>
      <c r="C513" s="1"/>
      <c r="D513"/>
      <c r="E513" s="86"/>
      <c r="F513" s="86"/>
    </row>
    <row r="514" spans="2:6">
      <c r="B514" s="1"/>
      <c r="C514" s="1"/>
      <c r="D514"/>
      <c r="E514" s="86"/>
      <c r="F514" s="86"/>
    </row>
    <row r="515" spans="2:6">
      <c r="B515" s="1"/>
      <c r="C515" s="1"/>
      <c r="D515"/>
      <c r="E515" s="86"/>
      <c r="F515" s="86"/>
    </row>
    <row r="516" spans="2:6">
      <c r="B516" s="1"/>
      <c r="C516" s="1"/>
      <c r="D516"/>
      <c r="E516" s="86"/>
      <c r="F516" s="86"/>
    </row>
    <row r="517" spans="2:6">
      <c r="B517" s="1"/>
      <c r="C517" s="1"/>
      <c r="D517"/>
      <c r="E517" s="86"/>
      <c r="F517" s="86"/>
    </row>
    <row r="518" spans="2:6">
      <c r="B518" s="1"/>
      <c r="C518" s="1"/>
      <c r="D518"/>
      <c r="E518" s="86"/>
      <c r="F518" s="86"/>
    </row>
    <row r="519" spans="2:6">
      <c r="B519" s="1"/>
      <c r="C519" s="1"/>
      <c r="D519"/>
      <c r="E519" s="86"/>
      <c r="F519" s="86"/>
    </row>
    <row r="520" spans="2:6">
      <c r="B520" s="1"/>
      <c r="C520" s="1"/>
      <c r="D520"/>
      <c r="E520" s="86"/>
      <c r="F520" s="86"/>
    </row>
    <row r="521" spans="2:6">
      <c r="B521" s="1"/>
      <c r="C521" s="1"/>
      <c r="D521"/>
      <c r="E521" s="86"/>
      <c r="F521" s="86"/>
    </row>
    <row r="522" spans="2:6">
      <c r="B522" s="1"/>
      <c r="C522" s="1"/>
      <c r="D522"/>
      <c r="E522" s="86"/>
      <c r="F522" s="86"/>
    </row>
    <row r="523" spans="2:6">
      <c r="B523" s="1"/>
      <c r="C523" s="1"/>
      <c r="D523"/>
      <c r="E523" s="86"/>
      <c r="F523" s="86"/>
    </row>
    <row r="524" spans="2:6">
      <c r="B524" s="1"/>
      <c r="C524" s="1"/>
      <c r="D524"/>
      <c r="E524" s="86"/>
      <c r="F524" s="86"/>
    </row>
    <row r="525" spans="2:6">
      <c r="B525" s="1"/>
      <c r="C525" s="1"/>
      <c r="D525"/>
      <c r="E525" s="86"/>
      <c r="F525" s="86"/>
    </row>
    <row r="526" spans="2:6">
      <c r="B526" s="1"/>
      <c r="C526" s="1"/>
      <c r="D526"/>
      <c r="E526" s="86"/>
      <c r="F526" s="86"/>
    </row>
    <row r="527" spans="2:6">
      <c r="B527" s="1"/>
      <c r="C527" s="1"/>
      <c r="D527"/>
      <c r="E527" s="86"/>
      <c r="F527" s="86"/>
    </row>
    <row r="528" spans="2:6">
      <c r="B528" s="1"/>
      <c r="C528" s="1"/>
      <c r="D528"/>
      <c r="E528" s="86"/>
      <c r="F528" s="86"/>
    </row>
    <row r="529" spans="2:6">
      <c r="B529" s="1"/>
      <c r="C529" s="1"/>
      <c r="D529"/>
      <c r="E529" s="86"/>
      <c r="F529" s="86"/>
    </row>
    <row r="530" spans="2:6">
      <c r="B530" s="1"/>
      <c r="C530" s="1"/>
      <c r="D530"/>
      <c r="E530" s="86"/>
      <c r="F530" s="86"/>
    </row>
    <row r="531" spans="2:6">
      <c r="B531" s="1"/>
      <c r="C531" s="1"/>
      <c r="D531"/>
      <c r="E531" s="86"/>
      <c r="F531" s="86"/>
    </row>
    <row r="532" spans="2:6">
      <c r="B532" s="1"/>
      <c r="C532" s="1"/>
      <c r="D532"/>
      <c r="E532" s="86"/>
      <c r="F532" s="86"/>
    </row>
    <row r="533" spans="2:6">
      <c r="B533" s="1"/>
      <c r="C533" s="1"/>
      <c r="D533"/>
      <c r="E533" s="86"/>
      <c r="F533" s="86"/>
    </row>
    <row r="534" spans="2:6">
      <c r="B534" s="1"/>
      <c r="C534" s="1"/>
      <c r="D534"/>
      <c r="E534" s="86"/>
      <c r="F534" s="86"/>
    </row>
    <row r="535" spans="2:6">
      <c r="B535" s="1"/>
      <c r="C535" s="1"/>
      <c r="D535"/>
      <c r="E535" s="86"/>
      <c r="F535" s="86"/>
    </row>
    <row r="536" spans="2:6">
      <c r="B536" s="1"/>
      <c r="C536" s="1"/>
      <c r="D536"/>
      <c r="E536" s="86"/>
      <c r="F536" s="86"/>
    </row>
    <row r="537" spans="2:6">
      <c r="B537" s="1"/>
      <c r="C537" s="1"/>
      <c r="D537"/>
      <c r="E537" s="86"/>
      <c r="F537" s="86"/>
    </row>
    <row r="538" spans="2:6">
      <c r="B538" s="1"/>
      <c r="C538" s="1"/>
      <c r="D538"/>
      <c r="E538" s="86"/>
      <c r="F538" s="86"/>
    </row>
    <row r="539" spans="2:6">
      <c r="B539" s="1"/>
      <c r="C539" s="1"/>
      <c r="D539"/>
      <c r="E539" s="86"/>
      <c r="F539" s="86"/>
    </row>
    <row r="540" spans="2:6">
      <c r="B540" s="1"/>
      <c r="C540" s="1"/>
      <c r="D540"/>
      <c r="E540" s="86"/>
      <c r="F540" s="86"/>
    </row>
    <row r="541" spans="2:6">
      <c r="B541" s="1"/>
      <c r="C541" s="1"/>
      <c r="D541"/>
      <c r="E541" s="86"/>
      <c r="F541" s="86"/>
    </row>
    <row r="542" spans="2:6">
      <c r="B542" s="1"/>
      <c r="C542" s="1"/>
      <c r="D542"/>
      <c r="E542" s="86"/>
      <c r="F542" s="86"/>
    </row>
    <row r="543" spans="2:6">
      <c r="B543" s="1"/>
      <c r="C543" s="1"/>
      <c r="D543"/>
      <c r="E543" s="86"/>
      <c r="F543" s="86"/>
    </row>
    <row r="544" spans="2:6">
      <c r="B544" s="1"/>
      <c r="C544" s="1"/>
      <c r="D544"/>
      <c r="E544" s="86"/>
      <c r="F544" s="86"/>
    </row>
    <row r="545" spans="2:6">
      <c r="B545" s="1"/>
      <c r="C545" s="1"/>
      <c r="D545"/>
      <c r="E545" s="86"/>
      <c r="F545" s="86"/>
    </row>
    <row r="546" spans="2:6">
      <c r="B546" s="1"/>
      <c r="C546" s="1"/>
      <c r="D546"/>
      <c r="E546" s="86"/>
      <c r="F546" s="86"/>
    </row>
    <row r="547" spans="2:6">
      <c r="B547" s="1"/>
      <c r="C547" s="1"/>
      <c r="D547"/>
      <c r="E547" s="86"/>
      <c r="F547" s="86"/>
    </row>
    <row r="548" spans="2:6">
      <c r="B548" s="1"/>
      <c r="C548" s="1"/>
      <c r="D548"/>
      <c r="E548" s="86"/>
      <c r="F548" s="86"/>
    </row>
    <row r="549" spans="2:6">
      <c r="B549" s="1"/>
      <c r="C549" s="1"/>
      <c r="D549"/>
      <c r="E549" s="86"/>
      <c r="F549" s="86"/>
    </row>
    <row r="550" spans="2:6">
      <c r="B550" s="1"/>
      <c r="C550" s="1"/>
      <c r="D550"/>
      <c r="E550" s="86"/>
      <c r="F550" s="86"/>
    </row>
    <row r="551" spans="2:6">
      <c r="B551" s="1"/>
      <c r="C551" s="1"/>
      <c r="D551"/>
      <c r="E551" s="86"/>
      <c r="F551" s="86"/>
    </row>
    <row r="552" spans="2:6">
      <c r="B552" s="1"/>
      <c r="C552" s="1"/>
      <c r="D552"/>
      <c r="E552" s="86"/>
      <c r="F552" s="86"/>
    </row>
    <row r="553" spans="2:6">
      <c r="B553" s="1"/>
      <c r="C553" s="1"/>
      <c r="D553"/>
      <c r="E553" s="86"/>
      <c r="F553" s="86"/>
    </row>
    <row r="554" spans="2:6">
      <c r="B554" s="1"/>
      <c r="C554" s="1"/>
      <c r="D554"/>
      <c r="E554" s="86"/>
      <c r="F554" s="86"/>
    </row>
    <row r="555" spans="2:6">
      <c r="B555" s="1"/>
      <c r="C555" s="1"/>
      <c r="D555"/>
      <c r="E555" s="86"/>
      <c r="F555" s="86"/>
    </row>
    <row r="556" spans="2:6">
      <c r="B556" s="1"/>
      <c r="C556" s="1"/>
      <c r="D556"/>
      <c r="E556" s="86"/>
      <c r="F556" s="86"/>
    </row>
    <row r="557" spans="2:6">
      <c r="B557" s="1"/>
      <c r="C557" s="1"/>
      <c r="D557"/>
      <c r="E557" s="86"/>
      <c r="F557" s="86"/>
    </row>
    <row r="558" spans="2:6">
      <c r="B558" s="1"/>
      <c r="C558" s="1"/>
      <c r="D558"/>
      <c r="E558" s="86"/>
      <c r="F558" s="86"/>
    </row>
    <row r="559" spans="2:6">
      <c r="B559" s="1"/>
      <c r="C559" s="1"/>
      <c r="D559"/>
      <c r="E559" s="86"/>
      <c r="F559" s="86"/>
    </row>
    <row r="560" spans="2:6">
      <c r="B560" s="1"/>
      <c r="C560" s="1"/>
      <c r="D560"/>
      <c r="E560" s="86"/>
      <c r="F560" s="86"/>
    </row>
    <row r="561" spans="2:6">
      <c r="B561" s="1"/>
      <c r="C561" s="1"/>
      <c r="D561"/>
      <c r="E561" s="86"/>
      <c r="F561" s="86"/>
    </row>
    <row r="562" spans="2:6">
      <c r="B562" s="1"/>
      <c r="C562" s="1"/>
      <c r="D562"/>
      <c r="E562" s="86"/>
      <c r="F562" s="86"/>
    </row>
    <row r="563" spans="2:6">
      <c r="B563" s="1"/>
      <c r="C563" s="1"/>
      <c r="D563"/>
      <c r="E563" s="86"/>
      <c r="F563" s="86"/>
    </row>
    <row r="564" spans="2:6">
      <c r="B564" s="1"/>
      <c r="C564" s="1"/>
      <c r="D564"/>
      <c r="E564" s="86"/>
      <c r="F564" s="86"/>
    </row>
    <row r="565" spans="2:6">
      <c r="B565" s="1"/>
      <c r="C565" s="1"/>
      <c r="D565"/>
      <c r="E565" s="86"/>
      <c r="F565" s="86"/>
    </row>
    <row r="566" spans="2:6">
      <c r="B566" s="1"/>
      <c r="C566" s="1"/>
      <c r="D566"/>
      <c r="E566" s="86"/>
      <c r="F566" s="86"/>
    </row>
    <row r="567" spans="2:6">
      <c r="B567" s="1"/>
      <c r="C567" s="1"/>
      <c r="D567"/>
      <c r="E567" s="86"/>
      <c r="F567" s="86"/>
    </row>
    <row r="568" spans="2:6">
      <c r="B568" s="1"/>
      <c r="C568" s="1"/>
      <c r="D568"/>
      <c r="E568" s="86"/>
      <c r="F568" s="86"/>
    </row>
    <row r="569" spans="2:6">
      <c r="B569" s="1"/>
      <c r="C569" s="1"/>
      <c r="D569"/>
      <c r="E569" s="86"/>
      <c r="F569" s="86"/>
    </row>
    <row r="570" spans="2:6">
      <c r="B570" s="1"/>
      <c r="C570" s="1"/>
      <c r="D570"/>
      <c r="E570" s="86"/>
      <c r="F570" s="86"/>
    </row>
    <row r="571" spans="2:6">
      <c r="B571" s="1"/>
      <c r="C571" s="1"/>
      <c r="D571"/>
      <c r="E571" s="86"/>
      <c r="F571" s="86"/>
    </row>
    <row r="572" spans="2:6">
      <c r="B572" s="1"/>
      <c r="C572" s="1"/>
      <c r="D572"/>
      <c r="E572" s="86"/>
      <c r="F572" s="86"/>
    </row>
    <row r="573" spans="2:6">
      <c r="B573" s="1"/>
      <c r="C573" s="1"/>
      <c r="D573"/>
      <c r="E573" s="86"/>
      <c r="F573" s="86"/>
    </row>
    <row r="574" spans="2:6">
      <c r="B574" s="1"/>
      <c r="C574" s="1"/>
      <c r="D574"/>
      <c r="E574" s="86"/>
      <c r="F574" s="86"/>
    </row>
    <row r="575" spans="2:6">
      <c r="B575" s="1"/>
      <c r="C575" s="1"/>
      <c r="D575"/>
      <c r="E575" s="86"/>
      <c r="F575" s="86"/>
    </row>
    <row r="576" spans="2:6">
      <c r="B576" s="1"/>
      <c r="C576" s="1"/>
      <c r="D576"/>
      <c r="E576" s="86"/>
      <c r="F576" s="86"/>
    </row>
    <row r="577" spans="2:6">
      <c r="B577" s="1"/>
      <c r="C577" s="1"/>
      <c r="D577"/>
      <c r="E577" s="86"/>
      <c r="F577" s="86"/>
    </row>
    <row r="578" spans="2:6">
      <c r="B578" s="1"/>
      <c r="C578" s="1"/>
      <c r="D578"/>
      <c r="E578" s="86"/>
      <c r="F578" s="86"/>
    </row>
    <row r="579" spans="2:6">
      <c r="B579" s="1"/>
      <c r="C579" s="1"/>
      <c r="D579"/>
      <c r="E579" s="86"/>
      <c r="F579" s="86"/>
    </row>
    <row r="580" spans="2:6">
      <c r="B580" s="1"/>
      <c r="C580" s="1"/>
      <c r="D580"/>
      <c r="E580" s="86"/>
      <c r="F580" s="86"/>
    </row>
    <row r="581" spans="2:6">
      <c r="B581" s="1"/>
      <c r="C581" s="1"/>
      <c r="D581"/>
      <c r="E581" s="86"/>
      <c r="F581" s="86"/>
    </row>
    <row r="582" spans="2:6">
      <c r="B582" s="1"/>
      <c r="C582" s="1"/>
      <c r="D582"/>
      <c r="E582" s="86"/>
      <c r="F582" s="86"/>
    </row>
    <row r="583" spans="2:6">
      <c r="B583" s="1"/>
      <c r="C583" s="1"/>
      <c r="D583"/>
      <c r="E583" s="86"/>
      <c r="F583" s="86"/>
    </row>
    <row r="584" spans="2:6">
      <c r="B584" s="1"/>
      <c r="C584" s="1"/>
      <c r="D584"/>
      <c r="E584" s="86"/>
      <c r="F584" s="86"/>
    </row>
    <row r="585" spans="2:6">
      <c r="B585" s="1"/>
      <c r="C585" s="1"/>
      <c r="D585"/>
      <c r="E585" s="86"/>
      <c r="F585" s="86"/>
    </row>
    <row r="586" spans="2:6">
      <c r="B586" s="1"/>
      <c r="C586" s="1"/>
      <c r="D586"/>
      <c r="E586" s="86"/>
      <c r="F586" s="86"/>
    </row>
    <row r="587" spans="2:6">
      <c r="B587" s="1"/>
      <c r="C587" s="1"/>
      <c r="D587"/>
      <c r="E587" s="86"/>
      <c r="F587" s="86"/>
    </row>
    <row r="588" spans="2:6">
      <c r="B588" s="1"/>
      <c r="C588" s="1"/>
      <c r="D588"/>
      <c r="E588" s="86"/>
      <c r="F588" s="86"/>
    </row>
    <row r="589" spans="2:6">
      <c r="B589" s="1"/>
      <c r="C589" s="1"/>
      <c r="D589"/>
      <c r="E589" s="86"/>
      <c r="F589" s="86"/>
    </row>
    <row r="590" spans="2:6">
      <c r="B590" s="1"/>
      <c r="C590" s="1"/>
      <c r="D590"/>
      <c r="E590" s="86"/>
      <c r="F590" s="86"/>
    </row>
    <row r="591" spans="2:6">
      <c r="B591" s="1"/>
      <c r="C591" s="1"/>
      <c r="D591"/>
      <c r="E591" s="86"/>
      <c r="F591" s="86"/>
    </row>
    <row r="592" spans="2:6">
      <c r="B592" s="1"/>
      <c r="C592" s="1"/>
      <c r="D592"/>
      <c r="E592" s="86"/>
      <c r="F592" s="86"/>
    </row>
    <row r="593" spans="2:6">
      <c r="B593" s="1"/>
      <c r="C593" s="1"/>
      <c r="D593"/>
      <c r="E593" s="86"/>
      <c r="F593" s="86"/>
    </row>
    <row r="594" spans="2:6">
      <c r="B594" s="1"/>
      <c r="C594" s="1"/>
      <c r="D594"/>
      <c r="E594" s="86"/>
      <c r="F594" s="86"/>
    </row>
    <row r="595" spans="2:6">
      <c r="B595" s="1"/>
      <c r="C595" s="1"/>
      <c r="D595"/>
      <c r="E595" s="86"/>
      <c r="F595" s="86"/>
    </row>
    <row r="596" spans="2:6">
      <c r="B596" s="1"/>
      <c r="C596" s="1"/>
      <c r="D596"/>
      <c r="E596" s="86"/>
      <c r="F596" s="86"/>
    </row>
    <row r="597" spans="2:6">
      <c r="B597" s="1"/>
      <c r="C597" s="1"/>
      <c r="D597"/>
      <c r="E597" s="86"/>
      <c r="F597" s="86"/>
    </row>
    <row r="598" spans="2:6">
      <c r="B598" s="1"/>
      <c r="C598" s="1"/>
      <c r="D598"/>
      <c r="E598" s="86"/>
      <c r="F598" s="86"/>
    </row>
    <row r="599" spans="2:6">
      <c r="B599" s="1"/>
      <c r="C599" s="1"/>
      <c r="D599"/>
      <c r="E599" s="86"/>
      <c r="F599" s="86"/>
    </row>
    <row r="600" spans="2:6">
      <c r="B600" s="1"/>
      <c r="C600" s="1"/>
      <c r="D600"/>
      <c r="E600" s="86"/>
      <c r="F600" s="86"/>
    </row>
    <row r="601" spans="2:6">
      <c r="B601" s="1"/>
      <c r="C601" s="1"/>
      <c r="D601"/>
      <c r="E601" s="86"/>
      <c r="F601" s="86"/>
    </row>
    <row r="602" spans="2:6">
      <c r="B602" s="1"/>
      <c r="C602" s="1"/>
      <c r="D602"/>
      <c r="E602" s="86"/>
      <c r="F602" s="86"/>
    </row>
    <row r="603" spans="2:6">
      <c r="B603" s="1"/>
      <c r="C603" s="1"/>
      <c r="D603"/>
      <c r="E603" s="86"/>
      <c r="F603" s="86"/>
    </row>
    <row r="604" spans="2:6">
      <c r="B604" s="1"/>
      <c r="C604" s="1"/>
      <c r="D604"/>
      <c r="E604" s="86"/>
      <c r="F604" s="86"/>
    </row>
    <row r="605" spans="2:6">
      <c r="B605" s="1"/>
      <c r="C605" s="1"/>
      <c r="D605"/>
      <c r="E605" s="86"/>
      <c r="F605" s="86"/>
    </row>
    <row r="606" spans="2:6">
      <c r="B606" s="1"/>
      <c r="C606" s="1"/>
      <c r="D606"/>
      <c r="E606" s="86"/>
      <c r="F606" s="86"/>
    </row>
    <row r="607" spans="2:6">
      <c r="B607" s="1"/>
      <c r="C607" s="1"/>
      <c r="D607"/>
      <c r="E607" s="86"/>
      <c r="F607" s="86"/>
    </row>
    <row r="608" spans="2:6">
      <c r="B608" s="1"/>
      <c r="C608" s="1"/>
      <c r="D608"/>
      <c r="E608" s="86"/>
      <c r="F608" s="86"/>
    </row>
    <row r="609" spans="2:6">
      <c r="B609" s="1"/>
      <c r="C609" s="1"/>
      <c r="D609"/>
      <c r="E609" s="86"/>
      <c r="F609" s="86"/>
    </row>
    <row r="610" spans="2:6">
      <c r="B610" s="1"/>
      <c r="C610" s="1"/>
      <c r="D610"/>
      <c r="E610" s="86"/>
      <c r="F610" s="86"/>
    </row>
    <row r="611" spans="2:6">
      <c r="B611" s="1"/>
      <c r="C611" s="1"/>
      <c r="D611"/>
      <c r="E611" s="86"/>
      <c r="F611" s="86"/>
    </row>
    <row r="612" spans="2:6">
      <c r="B612" s="1"/>
      <c r="C612" s="1"/>
      <c r="D612"/>
      <c r="E612" s="86"/>
      <c r="F612" s="86"/>
    </row>
    <row r="613" spans="2:6">
      <c r="B613" s="1"/>
      <c r="C613" s="1"/>
      <c r="D613"/>
      <c r="E613" s="86"/>
      <c r="F613" s="86"/>
    </row>
    <row r="614" spans="2:6">
      <c r="B614" s="1"/>
      <c r="C614" s="1"/>
      <c r="D614"/>
      <c r="E614" s="86"/>
      <c r="F614" s="86"/>
    </row>
    <row r="615" spans="2:6">
      <c r="B615" s="1"/>
      <c r="C615" s="1"/>
      <c r="D615"/>
      <c r="E615" s="86"/>
      <c r="F615" s="86"/>
    </row>
    <row r="616" spans="2:6">
      <c r="B616" s="1"/>
      <c r="C616" s="1"/>
      <c r="D616"/>
      <c r="E616" s="86"/>
      <c r="F616" s="86"/>
    </row>
    <row r="617" spans="2:6">
      <c r="B617" s="1"/>
      <c r="C617" s="1"/>
      <c r="D617"/>
      <c r="E617" s="86"/>
      <c r="F617" s="86"/>
    </row>
    <row r="618" spans="2:6">
      <c r="B618" s="1"/>
      <c r="C618" s="1"/>
      <c r="D618"/>
      <c r="E618" s="86"/>
      <c r="F618" s="86"/>
    </row>
    <row r="619" spans="2:6">
      <c r="B619" s="1"/>
      <c r="C619" s="1"/>
      <c r="D619"/>
      <c r="E619" s="86"/>
      <c r="F619" s="86"/>
    </row>
    <row r="620" spans="2:6">
      <c r="B620" s="1"/>
      <c r="C620" s="1"/>
      <c r="D620"/>
      <c r="E620" s="86"/>
      <c r="F620" s="86"/>
    </row>
    <row r="621" spans="2:6">
      <c r="B621" s="1"/>
      <c r="C621" s="1"/>
      <c r="D621"/>
      <c r="E621" s="86"/>
      <c r="F621" s="86"/>
    </row>
    <row r="622" spans="2:6">
      <c r="B622" s="1"/>
      <c r="C622" s="1"/>
      <c r="D622"/>
      <c r="E622" s="86"/>
      <c r="F622" s="86"/>
    </row>
    <row r="623" spans="2:6">
      <c r="B623" s="1"/>
      <c r="C623" s="1"/>
      <c r="D623"/>
      <c r="E623" s="86"/>
      <c r="F623" s="86"/>
    </row>
    <row r="624" spans="2:6">
      <c r="B624" s="1"/>
      <c r="C624" s="1"/>
      <c r="D624"/>
      <c r="E624" s="86"/>
      <c r="F624" s="86"/>
    </row>
    <row r="625" spans="2:6">
      <c r="B625" s="1"/>
      <c r="C625" s="1"/>
      <c r="D625"/>
      <c r="E625" s="86"/>
      <c r="F625" s="86"/>
    </row>
    <row r="626" spans="2:6">
      <c r="B626" s="1"/>
      <c r="C626" s="1"/>
      <c r="D626"/>
      <c r="E626" s="86"/>
      <c r="F626" s="86"/>
    </row>
    <row r="627" spans="2:6">
      <c r="B627" s="1"/>
      <c r="C627" s="1"/>
      <c r="D627"/>
      <c r="E627" s="86"/>
      <c r="F627" s="86"/>
    </row>
    <row r="628" spans="2:6">
      <c r="B628" s="1"/>
      <c r="C628" s="1"/>
      <c r="D628"/>
      <c r="E628" s="86"/>
      <c r="F628" s="86"/>
    </row>
    <row r="629" spans="2:6">
      <c r="B629" s="1"/>
      <c r="C629" s="1"/>
      <c r="D629"/>
      <c r="E629" s="86"/>
      <c r="F629" s="86"/>
    </row>
    <row r="630" spans="2:6">
      <c r="B630" s="1"/>
      <c r="C630" s="1"/>
      <c r="D630"/>
      <c r="E630" s="86"/>
      <c r="F630" s="86"/>
    </row>
    <row r="631" spans="2:6">
      <c r="B631" s="1"/>
      <c r="C631" s="1"/>
      <c r="D631"/>
      <c r="E631" s="86"/>
      <c r="F631" s="86"/>
    </row>
    <row r="632" spans="2:6">
      <c r="B632" s="1"/>
      <c r="C632" s="1"/>
      <c r="D632"/>
      <c r="E632" s="86"/>
      <c r="F632" s="86"/>
    </row>
    <row r="633" spans="2:6">
      <c r="B633" s="1"/>
      <c r="C633" s="1"/>
      <c r="D633"/>
      <c r="E633" s="86"/>
      <c r="F633" s="86"/>
    </row>
    <row r="634" spans="2:6">
      <c r="B634" s="1"/>
      <c r="C634" s="1"/>
      <c r="D634"/>
      <c r="E634" s="86"/>
      <c r="F634" s="86"/>
    </row>
    <row r="635" spans="2:6">
      <c r="B635" s="1"/>
      <c r="C635" s="1"/>
      <c r="D635"/>
      <c r="E635" s="86"/>
      <c r="F635" s="86"/>
    </row>
    <row r="636" spans="2:6">
      <c r="B636" s="1"/>
      <c r="C636" s="1"/>
      <c r="D636"/>
      <c r="E636" s="86"/>
      <c r="F636" s="86"/>
    </row>
    <row r="637" spans="2:6">
      <c r="B637" s="1"/>
      <c r="C637" s="1"/>
      <c r="D637"/>
      <c r="E637" s="86"/>
      <c r="F637" s="86"/>
    </row>
    <row r="638" spans="2:6">
      <c r="B638" s="1"/>
      <c r="C638" s="1"/>
      <c r="D638"/>
      <c r="E638" s="86"/>
      <c r="F638" s="86"/>
    </row>
    <row r="639" spans="2:6">
      <c r="B639" s="1"/>
      <c r="C639" s="1"/>
      <c r="D639"/>
      <c r="E639" s="86"/>
      <c r="F639" s="86"/>
    </row>
    <row r="640" spans="2:6">
      <c r="B640" s="1"/>
      <c r="C640" s="1"/>
      <c r="D640"/>
      <c r="E640" s="86"/>
      <c r="F640" s="86"/>
    </row>
    <row r="641" spans="2:6">
      <c r="B641" s="1"/>
      <c r="C641" s="1"/>
      <c r="D641"/>
      <c r="E641" s="86"/>
      <c r="F641" s="86"/>
    </row>
    <row r="642" spans="2:6">
      <c r="B642" s="1"/>
      <c r="C642" s="1"/>
      <c r="D642"/>
      <c r="E642" s="86"/>
      <c r="F642" s="86"/>
    </row>
    <row r="643" spans="2:6">
      <c r="B643" s="1"/>
      <c r="C643" s="1"/>
      <c r="D643"/>
      <c r="E643" s="86"/>
      <c r="F643" s="86"/>
    </row>
    <row r="644" spans="2:6">
      <c r="B644" s="1"/>
      <c r="C644" s="1"/>
      <c r="D644"/>
      <c r="E644" s="86"/>
      <c r="F644" s="86"/>
    </row>
    <row r="645" spans="2:6">
      <c r="B645" s="1"/>
      <c r="C645" s="1"/>
      <c r="D645"/>
      <c r="E645" s="86"/>
      <c r="F645" s="86"/>
    </row>
    <row r="646" spans="2:6">
      <c r="B646" s="1"/>
      <c r="C646" s="1"/>
      <c r="D646"/>
      <c r="E646" s="86"/>
      <c r="F646" s="86"/>
    </row>
    <row r="647" spans="2:6">
      <c r="B647" s="1"/>
      <c r="C647" s="1"/>
      <c r="D647"/>
      <c r="E647" s="86"/>
      <c r="F647" s="86"/>
    </row>
    <row r="648" spans="2:6">
      <c r="B648" s="1"/>
      <c r="C648" s="1"/>
      <c r="D648"/>
      <c r="E648" s="86"/>
      <c r="F648" s="86"/>
    </row>
    <row r="649" spans="2:6">
      <c r="B649" s="1"/>
      <c r="C649" s="1"/>
      <c r="D649"/>
      <c r="E649" s="86"/>
      <c r="F649" s="86"/>
    </row>
    <row r="650" spans="2:6">
      <c r="B650" s="1"/>
      <c r="C650" s="1"/>
      <c r="D650"/>
      <c r="E650" s="86"/>
      <c r="F650" s="86"/>
    </row>
    <row r="651" spans="2:6">
      <c r="B651" s="1"/>
      <c r="C651" s="1"/>
      <c r="D651"/>
      <c r="E651" s="86"/>
      <c r="F651" s="86"/>
    </row>
    <row r="652" spans="2:6">
      <c r="B652" s="1"/>
      <c r="C652" s="1"/>
      <c r="D652"/>
      <c r="E652" s="86"/>
      <c r="F652" s="86"/>
    </row>
    <row r="653" spans="2:6">
      <c r="B653" s="1"/>
      <c r="C653" s="1"/>
      <c r="D653"/>
      <c r="E653" s="86"/>
      <c r="F653" s="86"/>
    </row>
    <row r="654" spans="2:6">
      <c r="B654" s="1"/>
      <c r="C654" s="1"/>
      <c r="D654"/>
      <c r="E654" s="86"/>
      <c r="F654" s="86"/>
    </row>
    <row r="655" spans="2:6">
      <c r="B655" s="1"/>
      <c r="C655" s="1"/>
      <c r="D655"/>
      <c r="E655" s="86"/>
      <c r="F655" s="86"/>
    </row>
    <row r="656" spans="2:6">
      <c r="B656" s="1"/>
      <c r="C656" s="1"/>
      <c r="D656"/>
      <c r="E656" s="86"/>
      <c r="F656" s="86"/>
    </row>
    <row r="657" spans="2:6">
      <c r="B657" s="1"/>
      <c r="C657" s="1"/>
      <c r="D657"/>
      <c r="E657" s="86"/>
      <c r="F657" s="86"/>
    </row>
    <row r="658" spans="2:6">
      <c r="B658" s="1"/>
      <c r="C658" s="1"/>
      <c r="D658"/>
      <c r="E658" s="86"/>
      <c r="F658" s="86"/>
    </row>
    <row r="659" spans="2:6">
      <c r="B659" s="1"/>
      <c r="C659" s="1"/>
      <c r="D659"/>
      <c r="E659" s="86"/>
      <c r="F659" s="86"/>
    </row>
    <row r="660" spans="2:6">
      <c r="B660" s="1"/>
      <c r="C660" s="1"/>
      <c r="D660"/>
      <c r="E660" s="86"/>
      <c r="F660" s="86"/>
    </row>
    <row r="661" spans="2:6">
      <c r="B661" s="1"/>
      <c r="C661" s="1"/>
      <c r="D661"/>
      <c r="E661" s="86"/>
      <c r="F661" s="86"/>
    </row>
    <row r="662" spans="2:6">
      <c r="B662" s="1"/>
      <c r="C662" s="1"/>
      <c r="D662"/>
      <c r="E662" s="86"/>
      <c r="F662" s="86"/>
    </row>
    <row r="663" spans="2:6">
      <c r="B663" s="1"/>
      <c r="C663" s="1"/>
      <c r="D663"/>
      <c r="E663" s="86"/>
      <c r="F663" s="86"/>
    </row>
    <row r="664" spans="2:6">
      <c r="B664" s="1"/>
      <c r="C664" s="1"/>
      <c r="D664"/>
      <c r="E664" s="86"/>
      <c r="F664" s="86"/>
    </row>
    <row r="665" spans="2:6">
      <c r="B665" s="1"/>
      <c r="C665" s="1"/>
      <c r="D665"/>
      <c r="E665" s="86"/>
      <c r="F665" s="86"/>
    </row>
    <row r="666" spans="2:6">
      <c r="B666" s="1"/>
      <c r="C666" s="1"/>
      <c r="D666"/>
      <c r="E666" s="86"/>
      <c r="F666" s="86"/>
    </row>
    <row r="667" spans="2:6">
      <c r="B667" s="1"/>
      <c r="C667" s="1"/>
      <c r="D667"/>
      <c r="E667" s="86"/>
      <c r="F667" s="86"/>
    </row>
    <row r="668" spans="2:6">
      <c r="B668" s="1"/>
      <c r="C668" s="1"/>
      <c r="D668"/>
      <c r="E668" s="86"/>
      <c r="F668" s="86"/>
    </row>
    <row r="669" spans="2:6">
      <c r="B669" s="1"/>
      <c r="C669" s="1"/>
      <c r="D669"/>
      <c r="E669" s="86"/>
      <c r="F669" s="86"/>
    </row>
    <row r="670" spans="2:6">
      <c r="B670" s="1"/>
      <c r="C670" s="1"/>
      <c r="D670"/>
      <c r="E670" s="86"/>
      <c r="F670" s="86"/>
    </row>
    <row r="671" spans="2:6">
      <c r="B671" s="1"/>
      <c r="C671" s="1"/>
      <c r="D671"/>
      <c r="E671" s="86"/>
      <c r="F671" s="86"/>
    </row>
    <row r="672" spans="2:6">
      <c r="B672" s="1"/>
      <c r="C672" s="1"/>
      <c r="D672"/>
      <c r="E672" s="86"/>
      <c r="F672" s="86"/>
    </row>
    <row r="673" spans="2:6">
      <c r="B673" s="1"/>
      <c r="C673" s="1"/>
      <c r="D673"/>
      <c r="E673" s="86"/>
      <c r="F673" s="86"/>
    </row>
    <row r="674" spans="2:6">
      <c r="B674" s="1"/>
      <c r="C674" s="1"/>
      <c r="D674"/>
      <c r="E674" s="86"/>
      <c r="F674" s="86"/>
    </row>
    <row r="675" spans="2:6">
      <c r="B675" s="1"/>
      <c r="C675" s="1"/>
      <c r="D675"/>
      <c r="E675" s="86"/>
      <c r="F675" s="86"/>
    </row>
    <row r="676" spans="2:6">
      <c r="B676" s="1"/>
      <c r="C676" s="1"/>
      <c r="D676"/>
      <c r="E676" s="86"/>
      <c r="F676" s="86"/>
    </row>
    <row r="677" spans="2:6">
      <c r="B677" s="1"/>
      <c r="C677" s="1"/>
      <c r="D677"/>
      <c r="E677" s="86"/>
      <c r="F677" s="86"/>
    </row>
    <row r="678" spans="2:6">
      <c r="B678" s="1"/>
      <c r="C678" s="1"/>
      <c r="D678"/>
      <c r="E678" s="86"/>
      <c r="F678" s="86"/>
    </row>
    <row r="679" spans="2:6">
      <c r="B679" s="1"/>
      <c r="C679" s="1"/>
      <c r="D679"/>
      <c r="E679" s="86"/>
      <c r="F679" s="86"/>
    </row>
    <row r="680" spans="2:6">
      <c r="B680" s="1"/>
      <c r="C680" s="1"/>
      <c r="D680"/>
      <c r="E680" s="86"/>
      <c r="F680" s="86"/>
    </row>
    <row r="681" spans="2:6">
      <c r="B681" s="1"/>
      <c r="C681" s="1"/>
      <c r="D681"/>
      <c r="E681" s="86"/>
      <c r="F681" s="86"/>
    </row>
    <row r="682" spans="2:6">
      <c r="B682" s="1"/>
      <c r="C682" s="1"/>
      <c r="D682"/>
      <c r="E682" s="86"/>
      <c r="F682" s="86"/>
    </row>
    <row r="683" spans="2:6">
      <c r="B683" s="1"/>
      <c r="C683" s="1"/>
      <c r="D683"/>
      <c r="E683" s="86"/>
      <c r="F683" s="86"/>
    </row>
    <row r="684" spans="2:6">
      <c r="B684" s="1"/>
      <c r="C684" s="1"/>
      <c r="D684"/>
      <c r="E684" s="86"/>
      <c r="F684" s="86"/>
    </row>
    <row r="685" spans="2:6">
      <c r="B685" s="1"/>
      <c r="C685" s="1"/>
      <c r="D685"/>
      <c r="E685" s="86"/>
      <c r="F685" s="86"/>
    </row>
    <row r="686" spans="2:6">
      <c r="B686" s="1"/>
      <c r="C686" s="1"/>
      <c r="D686"/>
      <c r="E686" s="86"/>
      <c r="F686" s="86"/>
    </row>
    <row r="687" spans="2:6">
      <c r="B687" s="1"/>
      <c r="C687" s="1"/>
      <c r="D687"/>
      <c r="E687" s="86"/>
      <c r="F687" s="86"/>
    </row>
    <row r="688" spans="2:6">
      <c r="B688" s="1"/>
      <c r="C688" s="1"/>
      <c r="D688"/>
      <c r="E688" s="86"/>
      <c r="F688" s="86"/>
    </row>
    <row r="689" spans="2:6">
      <c r="B689" s="1"/>
      <c r="C689" s="1"/>
      <c r="D689"/>
      <c r="E689" s="86"/>
      <c r="F689" s="86"/>
    </row>
    <row r="690" spans="2:6">
      <c r="B690" s="1"/>
      <c r="C690" s="1"/>
      <c r="D690"/>
      <c r="E690" s="86"/>
      <c r="F690" s="86"/>
    </row>
    <row r="691" spans="2:6">
      <c r="B691" s="1"/>
      <c r="C691" s="1"/>
      <c r="D691"/>
      <c r="E691" s="86"/>
      <c r="F691" s="86"/>
    </row>
    <row r="692" spans="2:6">
      <c r="B692" s="1"/>
      <c r="C692" s="1"/>
      <c r="D692"/>
      <c r="E692" s="86"/>
      <c r="F692" s="86"/>
    </row>
    <row r="693" spans="2:6">
      <c r="B693" s="1"/>
      <c r="C693" s="1"/>
      <c r="D693"/>
      <c r="E693" s="86"/>
      <c r="F693" s="86"/>
    </row>
    <row r="694" spans="2:6">
      <c r="B694" s="1"/>
      <c r="C694" s="1"/>
      <c r="D694"/>
      <c r="E694" s="86"/>
      <c r="F694" s="86"/>
    </row>
    <row r="695" spans="2:6">
      <c r="B695" s="1"/>
      <c r="C695" s="1"/>
      <c r="D695"/>
      <c r="E695" s="86"/>
      <c r="F695" s="86"/>
    </row>
    <row r="696" spans="2:6">
      <c r="B696" s="1"/>
      <c r="C696" s="1"/>
      <c r="D696"/>
      <c r="E696" s="86"/>
      <c r="F696" s="86"/>
    </row>
    <row r="697" spans="2:6">
      <c r="B697" s="1"/>
      <c r="C697" s="1"/>
      <c r="D697"/>
      <c r="E697" s="86"/>
      <c r="F697" s="86"/>
    </row>
    <row r="698" spans="2:6">
      <c r="B698" s="1"/>
      <c r="C698" s="1"/>
      <c r="D698"/>
      <c r="E698" s="86"/>
      <c r="F698" s="86"/>
    </row>
    <row r="699" spans="2:6">
      <c r="B699" s="1"/>
      <c r="C699" s="1"/>
      <c r="D699"/>
      <c r="E699" s="86"/>
      <c r="F699" s="86"/>
    </row>
    <row r="700" spans="2:6">
      <c r="B700" s="1"/>
      <c r="C700" s="1"/>
      <c r="D700"/>
      <c r="E700" s="86"/>
      <c r="F700" s="86"/>
    </row>
    <row r="701" spans="2:6">
      <c r="B701" s="1"/>
      <c r="C701" s="1"/>
      <c r="D701"/>
      <c r="E701" s="86"/>
      <c r="F701" s="86"/>
    </row>
    <row r="702" spans="2:6">
      <c r="B702" s="1"/>
      <c r="C702" s="1"/>
      <c r="D702"/>
      <c r="E702" s="86"/>
      <c r="F702" s="86"/>
    </row>
    <row r="703" spans="2:6">
      <c r="B703" s="1"/>
      <c r="C703" s="1"/>
      <c r="D703"/>
      <c r="E703" s="86"/>
      <c r="F703" s="86"/>
    </row>
    <row r="704" spans="2:6">
      <c r="B704" s="1"/>
      <c r="C704" s="1"/>
      <c r="D704"/>
      <c r="E704" s="86"/>
      <c r="F704" s="86"/>
    </row>
    <row r="705" spans="2:6">
      <c r="B705" s="1"/>
      <c r="C705" s="1"/>
      <c r="D705"/>
      <c r="E705" s="86"/>
      <c r="F705" s="86"/>
    </row>
    <row r="706" spans="2:6">
      <c r="B706" s="1"/>
      <c r="C706" s="1"/>
      <c r="D706"/>
      <c r="E706" s="86"/>
      <c r="F706" s="86"/>
    </row>
    <row r="707" spans="2:6">
      <c r="B707" s="1"/>
      <c r="C707" s="1"/>
      <c r="D707"/>
      <c r="E707" s="86"/>
      <c r="F707" s="86"/>
    </row>
    <row r="708" spans="2:6">
      <c r="B708" s="1"/>
      <c r="C708" s="1"/>
      <c r="D708"/>
      <c r="E708" s="86"/>
      <c r="F708" s="86"/>
    </row>
    <row r="709" spans="2:6">
      <c r="B709" s="1"/>
      <c r="C709" s="1"/>
      <c r="D709"/>
      <c r="E709" s="86"/>
      <c r="F709" s="86"/>
    </row>
    <row r="710" spans="2:6">
      <c r="B710" s="1"/>
      <c r="C710" s="1"/>
      <c r="D710"/>
      <c r="E710" s="86"/>
      <c r="F710" s="86"/>
    </row>
    <row r="711" spans="2:6">
      <c r="B711" s="1"/>
      <c r="C711" s="1"/>
      <c r="D711"/>
      <c r="E711" s="86"/>
      <c r="F711" s="86"/>
    </row>
    <row r="712" spans="2:6">
      <c r="B712" s="1"/>
      <c r="C712" s="1"/>
      <c r="D712"/>
      <c r="E712" s="86"/>
      <c r="F712" s="86"/>
    </row>
    <row r="713" spans="2:6">
      <c r="B713" s="1"/>
      <c r="C713" s="1"/>
      <c r="D713"/>
      <c r="E713" s="86"/>
      <c r="F713" s="86"/>
    </row>
    <row r="714" spans="2:6">
      <c r="B714" s="1"/>
      <c r="C714" s="1"/>
      <c r="D714"/>
      <c r="E714" s="86"/>
      <c r="F714" s="86"/>
    </row>
    <row r="715" spans="2:6">
      <c r="B715" s="1"/>
      <c r="C715" s="1"/>
      <c r="D715"/>
      <c r="E715" s="86"/>
      <c r="F715" s="86"/>
    </row>
    <row r="716" spans="2:6">
      <c r="B716" s="1"/>
      <c r="C716" s="1"/>
      <c r="D716"/>
      <c r="E716" s="86"/>
      <c r="F716" s="86"/>
    </row>
    <row r="717" spans="2:6">
      <c r="B717" s="1"/>
      <c r="C717" s="1"/>
      <c r="D717"/>
      <c r="E717" s="86"/>
      <c r="F717" s="86"/>
    </row>
    <row r="718" spans="2:6">
      <c r="B718" s="1"/>
      <c r="C718" s="1"/>
      <c r="D718"/>
      <c r="E718" s="86"/>
      <c r="F718" s="86"/>
    </row>
    <row r="719" spans="2:6">
      <c r="B719" s="1"/>
      <c r="C719" s="1"/>
      <c r="D719"/>
      <c r="E719" s="86"/>
      <c r="F719" s="86"/>
    </row>
    <row r="720" spans="2:6">
      <c r="B720" s="1"/>
      <c r="C720" s="1"/>
      <c r="D720"/>
      <c r="E720" s="86"/>
      <c r="F720" s="86"/>
    </row>
    <row r="721" spans="2:6">
      <c r="B721" s="1"/>
      <c r="C721" s="1"/>
      <c r="D721"/>
      <c r="E721" s="86"/>
      <c r="F721" s="86"/>
    </row>
    <row r="722" spans="2:6">
      <c r="B722" s="1"/>
      <c r="C722" s="1"/>
      <c r="D722"/>
      <c r="E722" s="86"/>
      <c r="F722" s="86"/>
    </row>
    <row r="723" spans="2:6">
      <c r="B723" s="1"/>
      <c r="C723" s="1"/>
      <c r="D723"/>
      <c r="E723" s="86"/>
      <c r="F723" s="86"/>
    </row>
    <row r="724" spans="2:6">
      <c r="B724" s="1"/>
      <c r="C724" s="1"/>
      <c r="D724"/>
      <c r="E724" s="86"/>
      <c r="F724" s="86"/>
    </row>
    <row r="725" spans="2:6">
      <c r="B725" s="1"/>
      <c r="C725" s="1"/>
      <c r="D725"/>
      <c r="E725" s="86"/>
      <c r="F725" s="86"/>
    </row>
    <row r="726" spans="2:6">
      <c r="B726" s="1"/>
      <c r="C726" s="1"/>
      <c r="D726"/>
      <c r="E726" s="86"/>
      <c r="F726" s="86"/>
    </row>
    <row r="727" spans="2:6">
      <c r="B727" s="1"/>
      <c r="C727" s="1"/>
      <c r="D727"/>
      <c r="E727" s="86"/>
      <c r="F727" s="86"/>
    </row>
    <row r="728" spans="2:6">
      <c r="B728" s="1"/>
      <c r="C728" s="1"/>
      <c r="D728"/>
      <c r="E728" s="86"/>
      <c r="F728" s="86"/>
    </row>
    <row r="729" spans="2:6">
      <c r="B729" s="1"/>
      <c r="C729" s="1"/>
      <c r="D729"/>
      <c r="E729" s="86"/>
      <c r="F729" s="86"/>
    </row>
    <row r="730" spans="2:6">
      <c r="B730" s="1"/>
      <c r="C730" s="1"/>
      <c r="D730"/>
      <c r="E730" s="86"/>
      <c r="F730" s="86"/>
    </row>
    <row r="731" spans="2:6">
      <c r="B731" s="1"/>
      <c r="C731" s="1"/>
      <c r="D731"/>
      <c r="E731" s="86"/>
      <c r="F731" s="86"/>
    </row>
    <row r="732" spans="2:6">
      <c r="B732" s="1"/>
      <c r="C732" s="1"/>
      <c r="D732"/>
      <c r="E732" s="86"/>
      <c r="F732" s="86"/>
    </row>
    <row r="733" spans="2:6">
      <c r="B733" s="1"/>
      <c r="C733" s="1"/>
      <c r="D733"/>
      <c r="E733" s="86"/>
      <c r="F733" s="86"/>
    </row>
    <row r="734" spans="2:6">
      <c r="B734" s="1"/>
      <c r="C734" s="1"/>
      <c r="D734"/>
      <c r="E734" s="86"/>
      <c r="F734" s="86"/>
    </row>
    <row r="735" spans="2:6">
      <c r="B735" s="1"/>
      <c r="C735" s="1"/>
      <c r="D735"/>
      <c r="E735" s="86"/>
      <c r="F735" s="86"/>
    </row>
    <row r="736" spans="2:6">
      <c r="B736" s="1"/>
      <c r="C736" s="1"/>
      <c r="D736"/>
      <c r="E736" s="86"/>
      <c r="F736" s="86"/>
    </row>
    <row r="737" spans="2:6">
      <c r="B737" s="1"/>
      <c r="C737" s="1"/>
      <c r="D737"/>
      <c r="E737" s="86"/>
      <c r="F737" s="86"/>
    </row>
    <row r="738" spans="2:6">
      <c r="B738" s="1"/>
      <c r="C738" s="1"/>
      <c r="D738"/>
      <c r="E738" s="86"/>
      <c r="F738" s="86"/>
    </row>
    <row r="739" spans="2:6">
      <c r="B739" s="1"/>
      <c r="C739" s="1"/>
      <c r="D739"/>
      <c r="E739" s="86"/>
      <c r="F739" s="86"/>
    </row>
    <row r="740" spans="2:6">
      <c r="B740" s="1"/>
      <c r="C740" s="1"/>
      <c r="D740"/>
      <c r="E740" s="86"/>
      <c r="F740" s="86"/>
    </row>
    <row r="741" spans="2:6">
      <c r="B741" s="1"/>
      <c r="C741" s="1"/>
      <c r="D741"/>
      <c r="E741" s="86"/>
      <c r="F741" s="86"/>
    </row>
    <row r="742" spans="2:6">
      <c r="B742" s="1"/>
      <c r="C742" s="1"/>
      <c r="D742"/>
      <c r="E742" s="86"/>
      <c r="F742" s="86"/>
    </row>
    <row r="743" spans="2:6">
      <c r="B743" s="1"/>
      <c r="C743" s="1"/>
      <c r="D743"/>
      <c r="E743" s="86"/>
      <c r="F743" s="86"/>
    </row>
    <row r="744" spans="2:6">
      <c r="B744" s="1"/>
      <c r="C744" s="1"/>
      <c r="D744"/>
      <c r="E744" s="86"/>
      <c r="F744" s="86"/>
    </row>
    <row r="745" spans="2:6">
      <c r="B745" s="1"/>
      <c r="C745" s="1"/>
      <c r="D745"/>
      <c r="E745" s="86"/>
      <c r="F745" s="86"/>
    </row>
    <row r="746" spans="2:6">
      <c r="B746" s="1"/>
      <c r="C746" s="1"/>
      <c r="D746"/>
      <c r="E746" s="86"/>
      <c r="F746" s="86"/>
    </row>
    <row r="747" spans="2:6">
      <c r="B747" s="1"/>
      <c r="C747" s="1"/>
      <c r="D747"/>
      <c r="E747" s="86"/>
      <c r="F747" s="86"/>
    </row>
    <row r="748" spans="2:6">
      <c r="B748" s="1"/>
      <c r="C748" s="1"/>
      <c r="D748"/>
      <c r="E748" s="86"/>
      <c r="F748" s="86"/>
    </row>
    <row r="749" spans="2:6">
      <c r="B749" s="1"/>
      <c r="C749" s="1"/>
      <c r="D749"/>
      <c r="E749" s="86"/>
      <c r="F749" s="86"/>
    </row>
    <row r="750" spans="2:6">
      <c r="B750" s="1"/>
      <c r="C750" s="1"/>
      <c r="D750"/>
      <c r="E750" s="86"/>
      <c r="F750" s="86"/>
    </row>
    <row r="751" spans="2:6">
      <c r="B751" s="1"/>
      <c r="C751" s="1"/>
      <c r="D751"/>
      <c r="E751" s="86"/>
      <c r="F751" s="86"/>
    </row>
    <row r="752" spans="2:6">
      <c r="B752" s="1"/>
      <c r="C752" s="1"/>
      <c r="D752"/>
      <c r="E752" s="86"/>
      <c r="F752" s="86"/>
    </row>
    <row r="753" spans="2:6">
      <c r="B753" s="1"/>
      <c r="C753" s="1"/>
      <c r="D753"/>
      <c r="E753" s="86"/>
      <c r="F753" s="86"/>
    </row>
    <row r="754" spans="2:6">
      <c r="B754" s="1"/>
      <c r="C754" s="1"/>
      <c r="D754"/>
      <c r="E754" s="86"/>
      <c r="F754" s="86"/>
    </row>
    <row r="755" spans="2:6">
      <c r="B755" s="1"/>
      <c r="C755" s="1"/>
      <c r="D755"/>
      <c r="E755" s="86"/>
      <c r="F755" s="86"/>
    </row>
    <row r="756" spans="2:6">
      <c r="B756" s="1"/>
      <c r="C756" s="1"/>
      <c r="D756"/>
      <c r="E756" s="86"/>
      <c r="F756" s="86"/>
    </row>
    <row r="757" spans="2:6">
      <c r="B757" s="1"/>
      <c r="C757" s="1"/>
      <c r="D757"/>
      <c r="E757" s="86"/>
      <c r="F757" s="86"/>
    </row>
    <row r="758" spans="2:6">
      <c r="B758" s="1"/>
      <c r="C758" s="1"/>
      <c r="D758"/>
      <c r="E758" s="86"/>
      <c r="F758" s="86"/>
    </row>
    <row r="759" spans="2:6">
      <c r="B759" s="1"/>
      <c r="C759" s="1"/>
      <c r="D759"/>
      <c r="E759" s="86"/>
      <c r="F759" s="86"/>
    </row>
    <row r="760" spans="2:6">
      <c r="B760" s="1"/>
      <c r="C760" s="1"/>
      <c r="D760"/>
      <c r="E760" s="86"/>
      <c r="F760" s="86"/>
    </row>
    <row r="761" spans="2:6">
      <c r="B761" s="1"/>
      <c r="C761" s="1"/>
      <c r="D761"/>
      <c r="E761" s="86"/>
      <c r="F761" s="86"/>
    </row>
    <row r="762" spans="2:6">
      <c r="B762" s="1"/>
      <c r="C762" s="1"/>
      <c r="D762"/>
      <c r="E762" s="86"/>
      <c r="F762" s="86"/>
    </row>
    <row r="763" spans="2:6">
      <c r="B763" s="1"/>
      <c r="C763" s="1"/>
      <c r="D763"/>
      <c r="E763" s="86"/>
      <c r="F763" s="86"/>
    </row>
    <row r="764" spans="2:6">
      <c r="B764" s="1"/>
      <c r="C764" s="1"/>
      <c r="D764"/>
      <c r="E764" s="86"/>
      <c r="F764" s="86"/>
    </row>
    <row r="765" spans="2:6">
      <c r="B765" s="1"/>
      <c r="C765" s="1"/>
      <c r="D765"/>
      <c r="E765" s="86"/>
      <c r="F765" s="86"/>
    </row>
    <row r="766" spans="2:6">
      <c r="B766" s="1"/>
      <c r="C766" s="1"/>
      <c r="D766"/>
      <c r="E766" s="86"/>
      <c r="F766" s="86"/>
    </row>
    <row r="767" spans="2:6">
      <c r="B767" s="1"/>
      <c r="C767" s="1"/>
      <c r="D767"/>
      <c r="E767" s="86"/>
      <c r="F767" s="86"/>
    </row>
    <row r="768" spans="2:6">
      <c r="B768" s="1"/>
      <c r="C768" s="1"/>
      <c r="D768"/>
      <c r="E768" s="86"/>
      <c r="F768" s="86"/>
    </row>
    <row r="769" spans="2:6">
      <c r="B769" s="1"/>
      <c r="C769" s="1"/>
      <c r="D769"/>
      <c r="E769" s="86"/>
      <c r="F769" s="86"/>
    </row>
    <row r="770" spans="2:6">
      <c r="B770" s="1"/>
      <c r="C770" s="1"/>
      <c r="D770"/>
      <c r="E770" s="86"/>
      <c r="F770" s="86"/>
    </row>
    <row r="771" spans="2:6">
      <c r="B771" s="1"/>
      <c r="C771" s="1"/>
      <c r="D771"/>
      <c r="E771" s="86"/>
      <c r="F771" s="86"/>
    </row>
    <row r="772" spans="2:6">
      <c r="B772" s="1"/>
      <c r="C772" s="1"/>
      <c r="D772"/>
      <c r="E772" s="86"/>
      <c r="F772" s="86"/>
    </row>
    <row r="773" spans="2:6">
      <c r="B773" s="1"/>
      <c r="C773" s="1"/>
      <c r="D773"/>
      <c r="E773" s="86"/>
      <c r="F773" s="86"/>
    </row>
    <row r="774" spans="2:6">
      <c r="B774" s="1"/>
      <c r="C774" s="1"/>
      <c r="D774"/>
      <c r="E774" s="86"/>
      <c r="F774" s="86"/>
    </row>
    <row r="775" spans="2:6">
      <c r="B775" s="1"/>
      <c r="C775" s="1"/>
      <c r="D775"/>
      <c r="E775" s="86"/>
      <c r="F775" s="86"/>
    </row>
    <row r="776" spans="2:6">
      <c r="B776" s="1"/>
      <c r="C776" s="1"/>
      <c r="D776"/>
      <c r="E776" s="86"/>
      <c r="F776" s="86"/>
    </row>
    <row r="777" spans="2:6">
      <c r="B777" s="1"/>
      <c r="C777" s="1"/>
      <c r="D777"/>
      <c r="E777" s="86"/>
      <c r="F777" s="86"/>
    </row>
    <row r="778" spans="2:6">
      <c r="B778" s="1"/>
      <c r="C778" s="1"/>
      <c r="D778"/>
      <c r="E778" s="86"/>
      <c r="F778" s="86"/>
    </row>
    <row r="779" spans="2:6">
      <c r="B779" s="1"/>
      <c r="C779" s="1"/>
      <c r="D779"/>
      <c r="E779" s="86"/>
      <c r="F779" s="86"/>
    </row>
    <row r="780" spans="2:6">
      <c r="B780" s="1"/>
      <c r="C780" s="1"/>
      <c r="D780"/>
      <c r="E780" s="86"/>
      <c r="F780" s="86"/>
    </row>
    <row r="781" spans="2:6">
      <c r="B781" s="1"/>
      <c r="C781" s="1"/>
      <c r="D781"/>
      <c r="E781" s="86"/>
      <c r="F781" s="86"/>
    </row>
    <row r="782" spans="2:6">
      <c r="B782" s="1"/>
      <c r="C782" s="1"/>
      <c r="D782"/>
      <c r="E782" s="86"/>
      <c r="F782" s="86"/>
    </row>
    <row r="783" spans="2:6">
      <c r="B783" s="1"/>
      <c r="C783" s="1"/>
      <c r="D783"/>
      <c r="E783" s="86"/>
      <c r="F783" s="86"/>
    </row>
    <row r="784" spans="2:6">
      <c r="B784" s="1"/>
      <c r="C784" s="1"/>
      <c r="D784"/>
      <c r="E784" s="86"/>
      <c r="F784" s="86"/>
    </row>
    <row r="785" spans="2:6">
      <c r="B785" s="1"/>
      <c r="C785" s="1"/>
      <c r="D785"/>
      <c r="E785" s="86"/>
      <c r="F785" s="86"/>
    </row>
    <row r="786" spans="2:6">
      <c r="B786" s="1"/>
      <c r="C786" s="1"/>
      <c r="D786"/>
      <c r="E786" s="86"/>
      <c r="F786" s="86"/>
    </row>
    <row r="787" spans="2:6">
      <c r="B787" s="1"/>
      <c r="C787" s="1"/>
      <c r="D787"/>
      <c r="E787" s="86"/>
      <c r="F787" s="86"/>
    </row>
    <row r="788" spans="2:6">
      <c r="B788" s="1"/>
      <c r="C788" s="1"/>
      <c r="D788"/>
      <c r="E788" s="86"/>
      <c r="F788" s="86"/>
    </row>
    <row r="789" spans="2:6">
      <c r="B789" s="1"/>
      <c r="C789" s="1"/>
      <c r="D789"/>
      <c r="E789" s="86"/>
      <c r="F789" s="86"/>
    </row>
    <row r="790" spans="2:6">
      <c r="B790" s="1"/>
      <c r="C790" s="1"/>
      <c r="D790"/>
      <c r="E790" s="86"/>
      <c r="F790" s="86"/>
    </row>
    <row r="791" spans="2:6">
      <c r="B791" s="1"/>
      <c r="C791" s="1"/>
      <c r="D791"/>
      <c r="E791" s="86"/>
      <c r="F791" s="86"/>
    </row>
    <row r="792" spans="2:6">
      <c r="B792" s="1"/>
      <c r="C792" s="1"/>
      <c r="D792"/>
      <c r="E792" s="86"/>
      <c r="F792" s="86"/>
    </row>
    <row r="793" spans="2:6">
      <c r="B793" s="1"/>
      <c r="C793" s="1"/>
      <c r="D793"/>
      <c r="E793" s="86"/>
      <c r="F793" s="86"/>
    </row>
    <row r="794" spans="2:6">
      <c r="B794" s="1"/>
      <c r="C794" s="1"/>
      <c r="D794"/>
      <c r="E794" s="86"/>
      <c r="F794" s="86"/>
    </row>
    <row r="795" spans="2:6">
      <c r="B795" s="1"/>
      <c r="C795" s="1"/>
      <c r="D795"/>
      <c r="E795" s="86"/>
      <c r="F795" s="86"/>
    </row>
    <row r="796" spans="2:6">
      <c r="B796" s="1"/>
      <c r="C796" s="1"/>
      <c r="D796"/>
      <c r="E796" s="86"/>
      <c r="F796" s="86"/>
    </row>
    <row r="797" spans="2:6">
      <c r="B797" s="1"/>
      <c r="C797" s="1"/>
      <c r="D797"/>
      <c r="E797" s="86"/>
      <c r="F797" s="86"/>
    </row>
    <row r="798" spans="2:6">
      <c r="B798" s="1"/>
      <c r="C798" s="1"/>
      <c r="D798"/>
      <c r="E798" s="86"/>
      <c r="F798" s="86"/>
    </row>
    <row r="799" spans="2:6">
      <c r="B799" s="1"/>
      <c r="C799" s="1"/>
      <c r="D799"/>
      <c r="E799" s="86"/>
      <c r="F799" s="86"/>
    </row>
    <row r="800" spans="2:6">
      <c r="B800" s="1"/>
      <c r="C800" s="1"/>
      <c r="D800"/>
      <c r="E800" s="86"/>
      <c r="F800" s="86"/>
    </row>
    <row r="801" spans="2:6">
      <c r="B801" s="1"/>
      <c r="C801" s="1"/>
      <c r="D801"/>
      <c r="E801" s="86"/>
      <c r="F801" s="86"/>
    </row>
    <row r="802" spans="2:6">
      <c r="B802" s="1"/>
      <c r="C802" s="1"/>
      <c r="D802"/>
      <c r="E802" s="86"/>
      <c r="F802" s="86"/>
    </row>
    <row r="803" spans="2:6">
      <c r="B803" s="1"/>
      <c r="C803" s="1"/>
      <c r="D803"/>
      <c r="E803" s="86"/>
      <c r="F803" s="86"/>
    </row>
    <row r="804" spans="2:6">
      <c r="B804" s="1"/>
      <c r="C804" s="1"/>
      <c r="D804"/>
      <c r="E804" s="86"/>
      <c r="F804" s="86"/>
    </row>
    <row r="805" spans="2:6">
      <c r="B805" s="1"/>
      <c r="C805" s="1"/>
      <c r="D805"/>
      <c r="E805" s="86"/>
      <c r="F805" s="86"/>
    </row>
    <row r="806" spans="2:6">
      <c r="B806" s="1"/>
      <c r="C806" s="1"/>
      <c r="D806"/>
      <c r="E806" s="86"/>
      <c r="F806" s="86"/>
    </row>
    <row r="807" spans="2:6">
      <c r="B807" s="1"/>
      <c r="C807" s="1"/>
      <c r="D807"/>
      <c r="E807" s="86"/>
      <c r="F807" s="86"/>
    </row>
    <row r="808" spans="2:6">
      <c r="B808" s="1"/>
      <c r="C808" s="1"/>
      <c r="D808"/>
      <c r="E808" s="86"/>
      <c r="F808" s="86"/>
    </row>
    <row r="809" spans="2:6">
      <c r="B809" s="1"/>
      <c r="C809" s="1"/>
      <c r="D809"/>
      <c r="E809" s="86"/>
      <c r="F809" s="86"/>
    </row>
    <row r="810" spans="2:6">
      <c r="B810" s="1"/>
      <c r="C810" s="1"/>
      <c r="D810"/>
      <c r="E810" s="86"/>
      <c r="F810" s="86"/>
    </row>
    <row r="811" spans="2:6">
      <c r="B811" s="1"/>
      <c r="C811" s="1"/>
      <c r="D811"/>
      <c r="E811" s="86"/>
      <c r="F811" s="86"/>
    </row>
    <row r="812" spans="2:6">
      <c r="B812" s="1"/>
      <c r="C812" s="1"/>
      <c r="D812"/>
      <c r="E812" s="86"/>
      <c r="F812" s="86"/>
    </row>
    <row r="813" spans="2:6">
      <c r="B813" s="1"/>
      <c r="C813" s="1"/>
      <c r="D813"/>
      <c r="E813" s="86"/>
      <c r="F813" s="86"/>
    </row>
    <row r="814" spans="2:6">
      <c r="B814" s="1"/>
      <c r="C814" s="1"/>
      <c r="D814"/>
      <c r="E814" s="86"/>
      <c r="F814" s="86"/>
    </row>
    <row r="815" spans="2:6">
      <c r="B815" s="1"/>
      <c r="C815" s="1"/>
      <c r="D815"/>
      <c r="E815" s="86"/>
      <c r="F815" s="86"/>
    </row>
    <row r="816" spans="2:6">
      <c r="B816" s="1"/>
      <c r="C816" s="1"/>
      <c r="D816"/>
      <c r="E816" s="86"/>
      <c r="F816" s="86"/>
    </row>
    <row r="817" spans="2:6">
      <c r="B817" s="1"/>
      <c r="C817" s="1"/>
      <c r="D817"/>
      <c r="E817" s="86"/>
      <c r="F817" s="86"/>
    </row>
    <row r="818" spans="2:6">
      <c r="B818" s="1"/>
      <c r="C818" s="1"/>
      <c r="D818"/>
      <c r="E818" s="86"/>
      <c r="F818" s="86"/>
    </row>
    <row r="819" spans="2:6">
      <c r="B819" s="1"/>
      <c r="C819" s="1"/>
      <c r="D819"/>
      <c r="E819" s="86"/>
      <c r="F819" s="86"/>
    </row>
    <row r="820" spans="2:6">
      <c r="B820" s="1"/>
      <c r="C820" s="1"/>
      <c r="D820"/>
      <c r="E820" s="86"/>
      <c r="F820" s="86"/>
    </row>
    <row r="821" spans="2:6">
      <c r="B821" s="1"/>
      <c r="C821" s="1"/>
      <c r="D821"/>
      <c r="E821" s="86"/>
      <c r="F821" s="86"/>
    </row>
    <row r="822" spans="2:6">
      <c r="B822" s="1"/>
      <c r="C822" s="1"/>
      <c r="D822"/>
      <c r="E822" s="86"/>
      <c r="F822" s="86"/>
    </row>
    <row r="823" spans="2:6">
      <c r="B823" s="1"/>
      <c r="C823" s="1"/>
      <c r="D823"/>
      <c r="E823" s="86"/>
      <c r="F823" s="86"/>
    </row>
    <row r="824" spans="2:6">
      <c r="B824" s="1"/>
      <c r="C824" s="1"/>
      <c r="D824"/>
      <c r="E824" s="86"/>
      <c r="F824" s="86"/>
    </row>
    <row r="825" spans="2:6">
      <c r="B825" s="1"/>
      <c r="C825" s="1"/>
      <c r="D825"/>
      <c r="E825" s="86"/>
      <c r="F825" s="86"/>
    </row>
    <row r="826" spans="2:6">
      <c r="B826" s="1"/>
      <c r="C826" s="1"/>
      <c r="D826"/>
      <c r="E826" s="86"/>
      <c r="F826" s="86"/>
    </row>
    <row r="827" spans="2:6">
      <c r="B827" s="1"/>
      <c r="C827" s="1"/>
      <c r="D827"/>
      <c r="E827" s="86"/>
      <c r="F827" s="86"/>
    </row>
    <row r="828" spans="2:6">
      <c r="B828" s="1"/>
      <c r="C828" s="1"/>
      <c r="D828"/>
      <c r="E828" s="86"/>
      <c r="F828" s="86"/>
    </row>
    <row r="829" spans="2:6">
      <c r="B829" s="1"/>
      <c r="C829" s="1"/>
      <c r="D829"/>
      <c r="E829" s="86"/>
      <c r="F829" s="86"/>
    </row>
    <row r="830" spans="2:6">
      <c r="B830" s="1"/>
      <c r="C830" s="1"/>
      <c r="D830"/>
      <c r="E830" s="86"/>
      <c r="F830" s="86"/>
    </row>
    <row r="831" spans="2:6">
      <c r="B831" s="1"/>
      <c r="C831" s="1"/>
      <c r="D831"/>
      <c r="E831" s="86"/>
      <c r="F831" s="86"/>
    </row>
    <row r="832" spans="2:6">
      <c r="B832" s="1"/>
      <c r="C832" s="1"/>
      <c r="D832"/>
      <c r="E832" s="86"/>
      <c r="F832" s="86"/>
    </row>
    <row r="833" spans="2:6">
      <c r="B833" s="1"/>
      <c r="C833" s="1"/>
      <c r="D833"/>
      <c r="E833" s="86"/>
      <c r="F833" s="86"/>
    </row>
    <row r="834" spans="2:6">
      <c r="B834" s="1"/>
      <c r="C834" s="1"/>
      <c r="D834"/>
      <c r="E834" s="86"/>
      <c r="F834" s="86"/>
    </row>
    <row r="835" spans="2:6">
      <c r="B835" s="1"/>
      <c r="C835" s="1"/>
      <c r="D835"/>
      <c r="E835" s="86"/>
      <c r="F835" s="86"/>
    </row>
    <row r="836" spans="2:6">
      <c r="B836" s="1"/>
      <c r="C836" s="1"/>
      <c r="D836"/>
      <c r="E836" s="86"/>
      <c r="F836" s="86"/>
    </row>
    <row r="837" spans="2:6">
      <c r="B837" s="1"/>
      <c r="C837" s="1"/>
      <c r="D837"/>
      <c r="E837" s="86"/>
      <c r="F837" s="86"/>
    </row>
    <row r="838" spans="2:6">
      <c r="B838" s="1"/>
      <c r="C838" s="1"/>
      <c r="D838"/>
      <c r="E838" s="86"/>
      <c r="F838" s="86"/>
    </row>
    <row r="839" spans="2:6">
      <c r="B839" s="1"/>
      <c r="C839" s="1"/>
      <c r="D839"/>
      <c r="E839" s="86"/>
      <c r="F839" s="86"/>
    </row>
    <row r="840" spans="2:6">
      <c r="B840" s="1"/>
      <c r="C840" s="1"/>
      <c r="D840"/>
      <c r="E840" s="86"/>
      <c r="F840" s="86"/>
    </row>
    <row r="841" spans="2:6">
      <c r="B841" s="1"/>
      <c r="C841" s="1"/>
      <c r="D841"/>
      <c r="E841" s="86"/>
      <c r="F841" s="86"/>
    </row>
    <row r="842" spans="2:6">
      <c r="B842" s="1"/>
      <c r="C842" s="1"/>
      <c r="D842"/>
      <c r="E842" s="86"/>
      <c r="F842" s="86"/>
    </row>
    <row r="843" spans="2:6">
      <c r="B843" s="1"/>
      <c r="C843" s="1"/>
      <c r="D843"/>
      <c r="E843" s="86"/>
      <c r="F843" s="86"/>
    </row>
    <row r="844" spans="2:6">
      <c r="B844" s="1"/>
      <c r="C844" s="1"/>
      <c r="D844"/>
      <c r="E844" s="86"/>
      <c r="F844" s="86"/>
    </row>
    <row r="845" spans="2:6">
      <c r="B845" s="1"/>
      <c r="C845" s="1"/>
      <c r="D845"/>
      <c r="E845" s="86"/>
      <c r="F845" s="86"/>
    </row>
    <row r="846" spans="2:6">
      <c r="B846" s="1"/>
      <c r="C846" s="1"/>
      <c r="D846"/>
      <c r="E846" s="86"/>
      <c r="F846" s="86"/>
    </row>
    <row r="847" spans="2:6">
      <c r="B847" s="1"/>
      <c r="C847" s="1"/>
      <c r="D847"/>
      <c r="E847" s="86"/>
      <c r="F847" s="86"/>
    </row>
    <row r="848" spans="2:6">
      <c r="B848" s="1"/>
      <c r="C848" s="1"/>
      <c r="D848"/>
      <c r="E848" s="86"/>
      <c r="F848" s="86"/>
    </row>
    <row r="849" spans="2:6">
      <c r="B849" s="1"/>
      <c r="C849" s="1"/>
      <c r="D849"/>
      <c r="E849" s="86"/>
      <c r="F849" s="86"/>
    </row>
    <row r="850" spans="2:6">
      <c r="B850" s="1"/>
      <c r="C850" s="1"/>
      <c r="D850"/>
      <c r="E850" s="86"/>
      <c r="F850" s="86"/>
    </row>
    <row r="851" spans="2:6">
      <c r="B851" s="1"/>
      <c r="C851" s="1"/>
      <c r="D851"/>
      <c r="E851" s="86"/>
      <c r="F851" s="86"/>
    </row>
    <row r="852" spans="2:6">
      <c r="B852" s="1"/>
      <c r="C852" s="1"/>
      <c r="D852"/>
      <c r="E852" s="86"/>
      <c r="F852" s="86"/>
    </row>
    <row r="853" spans="2:6">
      <c r="B853" s="1"/>
      <c r="C853" s="1"/>
      <c r="D853"/>
      <c r="E853" s="86"/>
      <c r="F853" s="86"/>
    </row>
    <row r="854" spans="2:6">
      <c r="B854" s="1"/>
      <c r="C854" s="1"/>
      <c r="D854"/>
      <c r="E854" s="86"/>
      <c r="F854" s="86"/>
    </row>
    <row r="855" spans="2:6">
      <c r="B855" s="1"/>
      <c r="C855" s="1"/>
      <c r="D855"/>
      <c r="E855" s="86"/>
      <c r="F855" s="86"/>
    </row>
    <row r="856" spans="2:6">
      <c r="B856" s="1"/>
      <c r="C856" s="1"/>
      <c r="D856"/>
      <c r="E856" s="86"/>
      <c r="F856" s="86"/>
    </row>
    <row r="857" spans="2:6">
      <c r="B857" s="1"/>
      <c r="C857" s="1"/>
      <c r="D857"/>
      <c r="E857" s="86"/>
      <c r="F857" s="86"/>
    </row>
    <row r="858" spans="2:6">
      <c r="B858" s="1"/>
      <c r="C858" s="1"/>
      <c r="D858"/>
      <c r="E858" s="86"/>
      <c r="F858" s="86"/>
    </row>
    <row r="859" spans="2:6">
      <c r="B859" s="1"/>
      <c r="C859" s="1"/>
      <c r="D859"/>
      <c r="E859" s="86"/>
      <c r="F859" s="86"/>
    </row>
    <row r="860" spans="2:6">
      <c r="B860" s="1"/>
      <c r="C860" s="1"/>
      <c r="D860"/>
      <c r="E860" s="86"/>
      <c r="F860" s="86"/>
    </row>
    <row r="861" spans="2:6">
      <c r="B861" s="1"/>
      <c r="C861" s="1"/>
      <c r="D861"/>
      <c r="E861" s="86"/>
      <c r="F861" s="86"/>
    </row>
    <row r="862" spans="2:6">
      <c r="B862" s="1"/>
      <c r="C862" s="1"/>
      <c r="D862"/>
      <c r="E862" s="86"/>
      <c r="F862" s="86"/>
    </row>
    <row r="863" spans="2:6">
      <c r="B863" s="1"/>
      <c r="C863" s="1"/>
      <c r="D863"/>
      <c r="E863" s="86"/>
      <c r="F863" s="86"/>
    </row>
    <row r="864" spans="2:6">
      <c r="B864" s="1"/>
      <c r="C864" s="1"/>
      <c r="D864"/>
      <c r="E864" s="86"/>
      <c r="F864" s="86"/>
    </row>
    <row r="865" spans="2:6">
      <c r="B865" s="1"/>
      <c r="C865" s="1"/>
      <c r="D865"/>
      <c r="E865" s="86"/>
      <c r="F865" s="86"/>
    </row>
    <row r="866" spans="2:6">
      <c r="B866" s="1"/>
      <c r="C866" s="1"/>
      <c r="D866"/>
      <c r="E866" s="86"/>
      <c r="F866" s="86"/>
    </row>
    <row r="867" spans="2:6">
      <c r="B867" s="1"/>
      <c r="C867" s="1"/>
      <c r="D867"/>
      <c r="E867" s="86"/>
      <c r="F867" s="86"/>
    </row>
    <row r="868" spans="2:6">
      <c r="B868" s="1"/>
      <c r="C868" s="1"/>
      <c r="D868"/>
      <c r="E868" s="86"/>
      <c r="F868" s="86"/>
    </row>
    <row r="869" spans="2:6">
      <c r="B869" s="1"/>
      <c r="C869" s="1"/>
      <c r="D869"/>
      <c r="E869" s="86"/>
      <c r="F869" s="86"/>
    </row>
    <row r="870" spans="2:6">
      <c r="B870" s="1"/>
      <c r="C870" s="1"/>
      <c r="D870"/>
      <c r="E870" s="86"/>
      <c r="F870" s="86"/>
    </row>
    <row r="871" spans="2:6">
      <c r="B871" s="1"/>
      <c r="C871" s="1"/>
      <c r="D871"/>
      <c r="E871" s="86"/>
      <c r="F871" s="86"/>
    </row>
    <row r="872" spans="2:6">
      <c r="B872" s="1"/>
      <c r="C872" s="1"/>
      <c r="D872"/>
      <c r="E872" s="86"/>
      <c r="F872" s="86"/>
    </row>
    <row r="873" spans="2:6">
      <c r="B873" s="1"/>
      <c r="C873" s="1"/>
      <c r="D873"/>
      <c r="E873" s="86"/>
      <c r="F873" s="86"/>
    </row>
    <row r="874" spans="2:6">
      <c r="B874" s="1"/>
      <c r="C874" s="1"/>
      <c r="D874"/>
      <c r="E874" s="86"/>
      <c r="F874" s="86"/>
    </row>
    <row r="875" spans="2:6">
      <c r="B875" s="1"/>
      <c r="C875" s="1"/>
      <c r="D875"/>
      <c r="E875" s="86"/>
      <c r="F875" s="86"/>
    </row>
    <row r="876" spans="2:6">
      <c r="B876" s="1"/>
      <c r="C876" s="1"/>
      <c r="D876"/>
      <c r="E876" s="86"/>
      <c r="F876" s="86"/>
    </row>
    <row r="877" spans="2:6">
      <c r="B877" s="1"/>
      <c r="C877" s="1"/>
      <c r="D877"/>
      <c r="E877" s="86"/>
      <c r="F877" s="86"/>
    </row>
    <row r="878" spans="2:6">
      <c r="B878" s="1"/>
      <c r="C878" s="1"/>
      <c r="D878"/>
      <c r="E878" s="86"/>
      <c r="F878" s="86"/>
    </row>
    <row r="879" spans="2:6">
      <c r="B879" s="1"/>
      <c r="C879" s="1"/>
      <c r="D879"/>
      <c r="E879" s="86"/>
      <c r="F879" s="86"/>
    </row>
    <row r="880" spans="2:6">
      <c r="B880" s="1"/>
      <c r="C880" s="1"/>
      <c r="D880"/>
      <c r="E880" s="86"/>
      <c r="F880" s="86"/>
    </row>
    <row r="881" spans="2:6">
      <c r="B881" s="1"/>
      <c r="C881" s="1"/>
      <c r="D881"/>
      <c r="E881" s="86"/>
      <c r="F881" s="86"/>
    </row>
    <row r="882" spans="2:6">
      <c r="B882" s="1"/>
      <c r="C882" s="1"/>
      <c r="D882"/>
      <c r="E882" s="86"/>
      <c r="F882" s="86"/>
    </row>
    <row r="883" spans="2:6">
      <c r="B883" s="1"/>
      <c r="C883" s="1"/>
      <c r="D883"/>
      <c r="E883" s="86"/>
      <c r="F883" s="86"/>
    </row>
    <row r="884" spans="2:6">
      <c r="B884" s="1"/>
      <c r="C884" s="1"/>
      <c r="D884"/>
      <c r="E884" s="86"/>
      <c r="F884" s="86"/>
    </row>
    <row r="885" spans="2:6">
      <c r="B885" s="1"/>
      <c r="C885" s="1"/>
      <c r="D885"/>
      <c r="E885" s="86"/>
      <c r="F885" s="86"/>
    </row>
    <row r="886" spans="2:6">
      <c r="B886" s="1"/>
      <c r="C886" s="1"/>
      <c r="D886"/>
      <c r="E886" s="86"/>
      <c r="F886" s="86"/>
    </row>
    <row r="887" spans="2:6">
      <c r="B887" s="1"/>
      <c r="C887" s="1"/>
      <c r="D887"/>
      <c r="E887" s="86"/>
      <c r="F887" s="86"/>
    </row>
    <row r="888" spans="2:6">
      <c r="B888" s="1"/>
      <c r="C888" s="1"/>
      <c r="D888"/>
      <c r="E888" s="86"/>
      <c r="F888" s="86"/>
    </row>
    <row r="889" spans="2:6">
      <c r="B889" s="1"/>
      <c r="C889" s="1"/>
      <c r="D889"/>
      <c r="E889" s="86"/>
      <c r="F889" s="86"/>
    </row>
    <row r="890" spans="2:6">
      <c r="B890" s="1"/>
      <c r="C890" s="1"/>
      <c r="D890"/>
      <c r="E890" s="86"/>
      <c r="F890" s="86"/>
    </row>
    <row r="891" spans="2:6">
      <c r="B891" s="1"/>
      <c r="C891" s="1"/>
      <c r="D891"/>
      <c r="E891" s="86"/>
      <c r="F891" s="86"/>
    </row>
    <row r="892" spans="2:6">
      <c r="B892" s="1"/>
      <c r="C892" s="1"/>
      <c r="D892"/>
      <c r="E892" s="86"/>
      <c r="F892" s="86"/>
    </row>
    <row r="893" spans="2:6">
      <c r="B893" s="1"/>
      <c r="C893" s="1"/>
      <c r="D893"/>
      <c r="E893" s="86"/>
      <c r="F893" s="86"/>
    </row>
    <row r="894" spans="2:6">
      <c r="B894" s="1"/>
      <c r="C894" s="1"/>
      <c r="D894"/>
      <c r="E894" s="86"/>
      <c r="F894" s="86"/>
    </row>
    <row r="895" spans="2:6">
      <c r="B895" s="1"/>
      <c r="C895" s="1"/>
      <c r="D895"/>
      <c r="E895" s="86"/>
      <c r="F895" s="86"/>
    </row>
    <row r="896" spans="2:6">
      <c r="B896" s="1"/>
      <c r="C896" s="1"/>
      <c r="D896"/>
      <c r="E896" s="86"/>
      <c r="F896" s="86"/>
    </row>
    <row r="897" spans="2:6">
      <c r="B897" s="1"/>
      <c r="C897" s="1"/>
      <c r="D897"/>
      <c r="E897" s="86"/>
      <c r="F897" s="86"/>
    </row>
    <row r="898" spans="2:6">
      <c r="B898" s="1"/>
      <c r="C898" s="1"/>
      <c r="D898"/>
      <c r="E898" s="86"/>
      <c r="F898" s="86"/>
    </row>
    <row r="899" spans="2:6">
      <c r="B899" s="1"/>
      <c r="C899" s="1"/>
      <c r="D899"/>
      <c r="E899" s="86"/>
      <c r="F899" s="86"/>
    </row>
    <row r="900" spans="2:6">
      <c r="B900" s="1"/>
      <c r="C900" s="1"/>
      <c r="D900"/>
      <c r="E900" s="86"/>
      <c r="F900" s="86"/>
    </row>
    <row r="901" spans="2:6">
      <c r="B901" s="1"/>
      <c r="C901" s="1"/>
      <c r="D901"/>
      <c r="E901" s="86"/>
      <c r="F901" s="86"/>
    </row>
    <row r="902" spans="2:6">
      <c r="B902" s="1"/>
      <c r="C902" s="1"/>
      <c r="D902"/>
      <c r="E902" s="86"/>
      <c r="F902" s="86"/>
    </row>
    <row r="903" spans="2:6">
      <c r="B903" s="1"/>
      <c r="C903" s="1"/>
      <c r="D903"/>
      <c r="E903" s="86"/>
      <c r="F903" s="86"/>
    </row>
    <row r="904" spans="2:6">
      <c r="B904" s="1"/>
      <c r="C904" s="1"/>
      <c r="D904"/>
      <c r="E904" s="86"/>
      <c r="F904" s="86"/>
    </row>
    <row r="905" spans="2:6">
      <c r="B905" s="1"/>
      <c r="C905" s="1"/>
      <c r="D905"/>
      <c r="E905" s="86"/>
      <c r="F905" s="86"/>
    </row>
    <row r="906" spans="2:6">
      <c r="B906" s="1"/>
      <c r="C906" s="1"/>
      <c r="D906"/>
      <c r="E906" s="86"/>
      <c r="F906" s="86"/>
    </row>
    <row r="907" spans="2:6">
      <c r="B907" s="1"/>
      <c r="C907" s="1"/>
      <c r="D907"/>
      <c r="E907" s="86"/>
      <c r="F907" s="86"/>
    </row>
    <row r="908" spans="2:6">
      <c r="B908" s="1"/>
      <c r="C908" s="1"/>
      <c r="D908"/>
      <c r="E908" s="86"/>
      <c r="F908" s="86"/>
    </row>
    <row r="909" spans="2:6">
      <c r="B909" s="1"/>
      <c r="C909" s="1"/>
      <c r="D909"/>
      <c r="E909" s="86"/>
      <c r="F909" s="86"/>
    </row>
    <row r="910" spans="2:6">
      <c r="B910" s="1"/>
      <c r="C910" s="1"/>
      <c r="D910"/>
      <c r="E910" s="86"/>
      <c r="F910" s="86"/>
    </row>
    <row r="911" spans="2:6">
      <c r="B911" s="1"/>
      <c r="C911" s="1"/>
      <c r="D911"/>
      <c r="E911" s="86"/>
      <c r="F911" s="86"/>
    </row>
    <row r="912" spans="2:6">
      <c r="B912" s="1"/>
      <c r="C912" s="1"/>
      <c r="D912"/>
      <c r="E912" s="86"/>
      <c r="F912" s="86"/>
    </row>
    <row r="913" spans="2:6">
      <c r="B913" s="1"/>
      <c r="C913" s="1"/>
      <c r="D913"/>
      <c r="E913" s="86"/>
      <c r="F913" s="86"/>
    </row>
    <row r="914" spans="2:6">
      <c r="B914" s="1"/>
      <c r="C914" s="1"/>
      <c r="D914"/>
      <c r="E914" s="86"/>
      <c r="F914" s="86"/>
    </row>
    <row r="915" spans="2:6">
      <c r="B915" s="1"/>
      <c r="C915" s="1"/>
      <c r="D915"/>
      <c r="E915" s="86"/>
      <c r="F915" s="86"/>
    </row>
    <row r="916" spans="2:6">
      <c r="B916" s="1"/>
      <c r="C916" s="1"/>
      <c r="D916"/>
      <c r="E916" s="86"/>
      <c r="F916" s="86"/>
    </row>
    <row r="917" spans="2:6">
      <c r="B917" s="1"/>
      <c r="C917" s="1"/>
      <c r="D917"/>
      <c r="E917" s="86"/>
      <c r="F917" s="86"/>
    </row>
    <row r="918" spans="2:6">
      <c r="B918" s="1"/>
      <c r="C918" s="1"/>
      <c r="D918"/>
      <c r="E918" s="86"/>
      <c r="F918" s="86"/>
    </row>
    <row r="919" spans="2:6">
      <c r="B919" s="1"/>
      <c r="C919" s="1"/>
      <c r="D919"/>
      <c r="E919" s="86"/>
      <c r="F919" s="86"/>
    </row>
    <row r="920" spans="2:6">
      <c r="B920" s="1"/>
      <c r="C920" s="1"/>
      <c r="D920"/>
      <c r="E920" s="86"/>
      <c r="F920" s="86"/>
    </row>
    <row r="921" spans="2:6">
      <c r="B921" s="1"/>
      <c r="C921" s="1"/>
      <c r="D921"/>
      <c r="E921" s="86"/>
      <c r="F921" s="86"/>
    </row>
    <row r="922" spans="2:6">
      <c r="B922" s="1"/>
      <c r="C922" s="1"/>
      <c r="D922"/>
      <c r="E922" s="86"/>
      <c r="F922" s="86"/>
    </row>
    <row r="923" spans="2:6">
      <c r="B923" s="1"/>
      <c r="C923" s="1"/>
      <c r="D923"/>
      <c r="E923" s="86"/>
      <c r="F923" s="86"/>
    </row>
    <row r="924" spans="2:6">
      <c r="B924" s="1"/>
      <c r="C924" s="1"/>
      <c r="D924"/>
      <c r="E924" s="86"/>
      <c r="F924" s="86"/>
    </row>
    <row r="925" spans="2:6">
      <c r="B925" s="1"/>
      <c r="C925" s="1"/>
      <c r="D925"/>
      <c r="E925" s="86"/>
      <c r="F925" s="86"/>
    </row>
    <row r="926" spans="2:6">
      <c r="B926" s="1"/>
      <c r="C926" s="1"/>
      <c r="D926"/>
      <c r="E926" s="86"/>
      <c r="F926" s="86"/>
    </row>
    <row r="927" spans="2:6">
      <c r="B927" s="1"/>
      <c r="C927" s="1"/>
      <c r="D927"/>
      <c r="E927" s="86"/>
      <c r="F927" s="86"/>
    </row>
    <row r="928" spans="2:6">
      <c r="B928" s="1"/>
      <c r="C928" s="1"/>
      <c r="D928"/>
      <c r="E928" s="86"/>
      <c r="F928" s="86"/>
    </row>
    <row r="929" spans="2:6">
      <c r="B929" s="1"/>
      <c r="C929" s="1"/>
      <c r="D929"/>
      <c r="E929" s="86"/>
      <c r="F929" s="86"/>
    </row>
    <row r="930" spans="2:6">
      <c r="B930" s="1"/>
      <c r="C930" s="1"/>
      <c r="D930"/>
      <c r="E930" s="86"/>
      <c r="F930" s="86"/>
    </row>
    <row r="931" spans="2:6">
      <c r="B931" s="1"/>
      <c r="C931" s="1"/>
      <c r="D931"/>
      <c r="E931" s="86"/>
      <c r="F931" s="86"/>
    </row>
    <row r="932" spans="2:6">
      <c r="B932" s="1"/>
      <c r="C932" s="1"/>
      <c r="D932"/>
      <c r="E932" s="86"/>
      <c r="F932" s="86"/>
    </row>
    <row r="933" spans="2:6">
      <c r="B933" s="1"/>
      <c r="C933" s="1"/>
      <c r="D933"/>
      <c r="E933" s="86"/>
      <c r="F933" s="86"/>
    </row>
    <row r="934" spans="2:6">
      <c r="B934" s="1"/>
      <c r="C934" s="1"/>
      <c r="D934"/>
      <c r="E934" s="86"/>
      <c r="F934" s="86"/>
    </row>
    <row r="935" spans="2:6">
      <c r="B935" s="1"/>
      <c r="C935" s="1"/>
      <c r="D935"/>
      <c r="E935" s="86"/>
      <c r="F935" s="86"/>
    </row>
    <row r="936" spans="2:6">
      <c r="B936" s="1"/>
      <c r="C936" s="1"/>
      <c r="D936"/>
      <c r="E936" s="86"/>
      <c r="F936" s="86"/>
    </row>
    <row r="937" spans="2:6">
      <c r="B937" s="1"/>
      <c r="C937" s="1"/>
      <c r="D937"/>
      <c r="E937" s="86"/>
      <c r="F937" s="86"/>
    </row>
    <row r="938" spans="2:6">
      <c r="B938" s="1"/>
      <c r="C938" s="1"/>
      <c r="D938"/>
      <c r="E938" s="86"/>
      <c r="F938" s="86"/>
    </row>
    <row r="939" spans="2:6">
      <c r="B939" s="1"/>
      <c r="C939" s="1"/>
      <c r="D939"/>
      <c r="E939" s="86"/>
      <c r="F939" s="86"/>
    </row>
    <row r="940" spans="2:6">
      <c r="B940" s="1"/>
      <c r="C940" s="1"/>
      <c r="D940"/>
      <c r="E940" s="86"/>
      <c r="F940" s="86"/>
    </row>
    <row r="941" spans="2:6">
      <c r="B941" s="1"/>
      <c r="C941" s="1"/>
      <c r="D941"/>
      <c r="E941" s="86"/>
      <c r="F941" s="86"/>
    </row>
    <row r="942" spans="2:6">
      <c r="B942" s="1"/>
      <c r="C942" s="1"/>
      <c r="D942"/>
      <c r="E942" s="86"/>
      <c r="F942" s="86"/>
    </row>
    <row r="943" spans="2:6">
      <c r="B943" s="1"/>
      <c r="C943" s="1"/>
      <c r="D943"/>
      <c r="E943" s="86"/>
      <c r="F943" s="86"/>
    </row>
    <row r="944" spans="2:6">
      <c r="B944" s="1"/>
      <c r="C944" s="1"/>
      <c r="D944"/>
      <c r="E944" s="86"/>
      <c r="F944" s="86"/>
    </row>
    <row r="945" spans="2:6">
      <c r="B945" s="1"/>
      <c r="C945" s="1"/>
      <c r="D945"/>
      <c r="E945" s="86"/>
      <c r="F945" s="86"/>
    </row>
    <row r="946" spans="2:6">
      <c r="B946" s="1"/>
      <c r="C946" s="1"/>
      <c r="D946"/>
      <c r="E946" s="86"/>
      <c r="F946" s="86"/>
    </row>
    <row r="947" spans="2:6">
      <c r="B947" s="1"/>
      <c r="C947" s="1"/>
      <c r="D947"/>
      <c r="E947" s="86"/>
      <c r="F947" s="86"/>
    </row>
    <row r="948" spans="2:6">
      <c r="B948" s="1"/>
      <c r="C948" s="1"/>
      <c r="D948"/>
      <c r="E948" s="86"/>
      <c r="F948" s="86"/>
    </row>
    <row r="949" spans="2:6">
      <c r="B949" s="1"/>
      <c r="C949" s="1"/>
      <c r="D949"/>
      <c r="E949" s="86"/>
      <c r="F949" s="86"/>
    </row>
    <row r="950" spans="2:6">
      <c r="B950" s="1"/>
      <c r="C950" s="1"/>
      <c r="D950"/>
      <c r="E950" s="86"/>
      <c r="F950" s="86"/>
    </row>
    <row r="951" spans="2:6">
      <c r="B951" s="1"/>
      <c r="C951" s="1"/>
      <c r="D951"/>
      <c r="E951" s="86"/>
      <c r="F951" s="86"/>
    </row>
    <row r="952" spans="2:6">
      <c r="B952" s="1"/>
      <c r="C952" s="1"/>
      <c r="D952"/>
      <c r="E952" s="86"/>
      <c r="F952" s="86"/>
    </row>
    <row r="953" spans="2:6">
      <c r="B953" s="1"/>
      <c r="C953" s="1"/>
      <c r="D953"/>
      <c r="E953" s="86"/>
      <c r="F953" s="86"/>
    </row>
    <row r="954" spans="2:6">
      <c r="B954" s="1"/>
      <c r="C954" s="1"/>
      <c r="D954"/>
      <c r="E954" s="86"/>
      <c r="F954" s="86"/>
    </row>
    <row r="955" spans="2:6">
      <c r="B955" s="1"/>
      <c r="C955" s="1"/>
      <c r="D955"/>
      <c r="E955" s="86"/>
      <c r="F955" s="86"/>
    </row>
    <row r="956" spans="2:6">
      <c r="B956" s="1"/>
      <c r="C956" s="1"/>
      <c r="D956"/>
      <c r="E956" s="86"/>
      <c r="F956" s="86"/>
    </row>
    <row r="957" spans="2:6">
      <c r="B957" s="1"/>
      <c r="C957" s="1"/>
      <c r="D957"/>
      <c r="E957" s="86"/>
      <c r="F957" s="86"/>
    </row>
    <row r="958" spans="2:6">
      <c r="B958" s="1"/>
      <c r="C958" s="1"/>
      <c r="D958"/>
      <c r="E958" s="86"/>
      <c r="F958" s="86"/>
    </row>
    <row r="959" spans="2:6">
      <c r="B959" s="1"/>
      <c r="C959" s="1"/>
      <c r="D959"/>
      <c r="E959" s="86"/>
      <c r="F959" s="86"/>
    </row>
    <row r="960" spans="2:6">
      <c r="B960" s="1"/>
      <c r="C960" s="1"/>
      <c r="D960"/>
      <c r="E960" s="86"/>
      <c r="F960" s="86"/>
    </row>
    <row r="961" spans="2:6">
      <c r="B961" s="1"/>
      <c r="C961" s="1"/>
      <c r="D961"/>
      <c r="E961" s="86"/>
      <c r="F961" s="86"/>
    </row>
    <row r="962" spans="2:6">
      <c r="B962" s="1"/>
      <c r="C962" s="1"/>
      <c r="D962"/>
      <c r="E962" s="86"/>
      <c r="F962" s="86"/>
    </row>
    <row r="963" spans="2:6">
      <c r="B963" s="1"/>
      <c r="C963" s="1"/>
      <c r="D963"/>
      <c r="E963" s="86"/>
      <c r="F963" s="86"/>
    </row>
    <row r="964" spans="2:6">
      <c r="B964" s="1"/>
      <c r="C964" s="1"/>
      <c r="D964"/>
      <c r="E964" s="86"/>
      <c r="F964" s="86"/>
    </row>
    <row r="965" spans="2:6">
      <c r="B965" s="1"/>
      <c r="C965" s="1"/>
      <c r="D965"/>
      <c r="E965" s="86"/>
      <c r="F965" s="86"/>
    </row>
    <row r="966" spans="2:6">
      <c r="B966" s="1"/>
      <c r="C966" s="1"/>
      <c r="D966"/>
      <c r="E966" s="86"/>
      <c r="F966" s="86"/>
    </row>
    <row r="967" spans="2:6">
      <c r="B967" s="1"/>
      <c r="C967" s="1"/>
      <c r="D967"/>
      <c r="E967" s="86"/>
      <c r="F967" s="86"/>
    </row>
    <row r="968" spans="2:6">
      <c r="B968" s="1"/>
      <c r="C968" s="1"/>
      <c r="D968"/>
      <c r="E968" s="86"/>
      <c r="F968" s="86"/>
    </row>
    <row r="969" spans="2:6">
      <c r="B969" s="1"/>
      <c r="C969" s="1"/>
      <c r="D969"/>
      <c r="E969" s="86"/>
      <c r="F969" s="86"/>
    </row>
    <row r="970" spans="2:6">
      <c r="B970" s="1"/>
      <c r="C970" s="1"/>
      <c r="D970"/>
      <c r="E970" s="86"/>
      <c r="F970" s="86"/>
    </row>
    <row r="971" spans="2:6">
      <c r="B971" s="1"/>
      <c r="C971" s="1"/>
      <c r="D971"/>
      <c r="E971" s="86"/>
      <c r="F971" s="86"/>
    </row>
    <row r="972" spans="2:6">
      <c r="B972" s="1"/>
      <c r="C972" s="1"/>
      <c r="D972"/>
      <c r="E972" s="86"/>
      <c r="F972" s="86"/>
    </row>
    <row r="973" spans="2:6">
      <c r="B973" s="1"/>
      <c r="C973" s="1"/>
      <c r="D973"/>
      <c r="E973" s="86"/>
      <c r="F973" s="86"/>
    </row>
    <row r="974" spans="2:6">
      <c r="B974" s="1"/>
      <c r="C974" s="1"/>
      <c r="D974"/>
      <c r="E974" s="86"/>
      <c r="F974" s="86"/>
    </row>
    <row r="975" spans="2:6">
      <c r="B975" s="1"/>
      <c r="C975" s="1"/>
      <c r="D975"/>
      <c r="E975" s="86"/>
      <c r="F975" s="86"/>
    </row>
    <row r="976" spans="2:6">
      <c r="B976" s="1"/>
      <c r="C976" s="1"/>
      <c r="D976"/>
      <c r="E976" s="86"/>
      <c r="F976" s="86"/>
    </row>
    <row r="977" spans="2:6">
      <c r="B977" s="1"/>
      <c r="C977" s="1"/>
      <c r="D977"/>
      <c r="E977" s="86"/>
      <c r="F977" s="86"/>
    </row>
    <row r="978" spans="2:6">
      <c r="B978" s="1"/>
      <c r="C978" s="1"/>
      <c r="D978"/>
      <c r="E978" s="86"/>
      <c r="F978" s="86"/>
    </row>
    <row r="979" spans="2:6">
      <c r="B979" s="1"/>
      <c r="C979" s="1"/>
      <c r="D979"/>
      <c r="E979" s="86"/>
      <c r="F979" s="86"/>
    </row>
    <row r="980" spans="2:6">
      <c r="B980" s="1"/>
      <c r="C980" s="1"/>
      <c r="D980"/>
      <c r="E980" s="86"/>
      <c r="F980" s="86"/>
    </row>
    <row r="981" spans="2:6">
      <c r="B981" s="1"/>
      <c r="C981" s="1"/>
      <c r="D981"/>
      <c r="E981" s="86"/>
      <c r="F981" s="86"/>
    </row>
    <row r="982" spans="2:6">
      <c r="B982" s="1"/>
      <c r="C982" s="1"/>
      <c r="D982"/>
      <c r="E982" s="86"/>
      <c r="F982" s="86"/>
    </row>
    <row r="983" spans="2:6">
      <c r="B983" s="1"/>
      <c r="C983" s="1"/>
      <c r="D983"/>
      <c r="E983" s="86"/>
      <c r="F983" s="86"/>
    </row>
    <row r="984" spans="2:6">
      <c r="B984" s="1"/>
      <c r="C984" s="1"/>
      <c r="D984"/>
      <c r="E984" s="86"/>
      <c r="F984" s="86"/>
    </row>
    <row r="985" spans="2:6">
      <c r="B985" s="1"/>
      <c r="C985" s="1"/>
      <c r="D985"/>
      <c r="E985" s="86"/>
      <c r="F985" s="86"/>
    </row>
    <row r="986" spans="2:6">
      <c r="B986" s="1"/>
      <c r="C986" s="1"/>
      <c r="D986"/>
      <c r="E986" s="86"/>
      <c r="F986" s="86"/>
    </row>
    <row r="987" spans="2:6">
      <c r="B987" s="1"/>
      <c r="C987" s="1"/>
      <c r="D987"/>
      <c r="E987" s="86"/>
      <c r="F987" s="86"/>
    </row>
    <row r="988" spans="2:6">
      <c r="B988" s="1"/>
      <c r="C988" s="1"/>
      <c r="D988"/>
      <c r="E988" s="86"/>
      <c r="F988" s="86"/>
    </row>
    <row r="989" spans="2:6">
      <c r="B989" s="1"/>
      <c r="C989" s="1"/>
      <c r="D989"/>
      <c r="E989" s="86"/>
      <c r="F989" s="86"/>
    </row>
    <row r="990" spans="2:6">
      <c r="B990" s="1"/>
      <c r="C990" s="1"/>
      <c r="D990"/>
      <c r="E990" s="86"/>
      <c r="F990" s="86"/>
    </row>
    <row r="991" spans="2:6">
      <c r="B991" s="1"/>
      <c r="C991" s="1"/>
      <c r="D991"/>
      <c r="E991" s="86"/>
      <c r="F991" s="86"/>
    </row>
    <row r="992" spans="2:6">
      <c r="B992" s="1"/>
      <c r="C992" s="1"/>
      <c r="D992"/>
      <c r="E992" s="86"/>
      <c r="F992" s="86"/>
    </row>
    <row r="993" spans="2:6">
      <c r="B993" s="1"/>
      <c r="C993" s="1"/>
      <c r="D993"/>
      <c r="E993" s="86"/>
      <c r="F993" s="86"/>
    </row>
    <row r="994" spans="2:6">
      <c r="B994" s="1"/>
      <c r="C994" s="1"/>
      <c r="D994"/>
      <c r="E994" s="86"/>
      <c r="F994" s="86"/>
    </row>
    <row r="995" spans="2:6">
      <c r="B995" s="1"/>
      <c r="C995" s="1"/>
      <c r="D995"/>
      <c r="E995" s="86"/>
      <c r="F995" s="86"/>
    </row>
    <row r="996" spans="2:6" collapsed="1">
      <c r="B996" s="1"/>
      <c r="C996" s="1"/>
      <c r="D996"/>
      <c r="E996" s="86"/>
      <c r="F996" s="86"/>
    </row>
    <row r="997" spans="2:6">
      <c r="B997" s="1"/>
      <c r="C997" s="1"/>
      <c r="D997"/>
      <c r="E997" s="86"/>
      <c r="F997" s="86"/>
    </row>
    <row r="998" spans="2:6">
      <c r="B998" s="1"/>
      <c r="C998" s="1"/>
      <c r="D998"/>
      <c r="E998" s="86"/>
      <c r="F998" s="86"/>
    </row>
    <row r="999" spans="2:6">
      <c r="B999" s="1"/>
      <c r="C999" s="1"/>
      <c r="D999"/>
      <c r="E999" s="86"/>
      <c r="F999" s="86"/>
    </row>
    <row r="1000" spans="2:6">
      <c r="B1000" s="1"/>
      <c r="C1000" s="1"/>
      <c r="D1000"/>
      <c r="E1000" s="86"/>
      <c r="F1000" s="86"/>
    </row>
    <row r="1001" spans="2:6">
      <c r="B1001" s="1"/>
      <c r="C1001" s="1"/>
      <c r="D1001"/>
      <c r="E1001" s="86"/>
      <c r="F1001" s="86"/>
    </row>
    <row r="1002" spans="2:6">
      <c r="B1002" s="1"/>
      <c r="C1002" s="1"/>
      <c r="D1002"/>
      <c r="E1002" s="86"/>
      <c r="F1002" s="86"/>
    </row>
    <row r="1003" spans="2:6">
      <c r="B1003" s="1"/>
      <c r="C1003" s="1"/>
      <c r="D1003"/>
      <c r="E1003" s="86"/>
      <c r="F1003" s="86"/>
    </row>
    <row r="1004" spans="2:6">
      <c r="B1004" s="1"/>
      <c r="C1004" s="1"/>
      <c r="D1004"/>
      <c r="E1004" s="86"/>
      <c r="F1004" s="86"/>
    </row>
    <row r="1005" spans="2:6">
      <c r="B1005" s="1"/>
      <c r="C1005" s="1"/>
      <c r="D1005"/>
      <c r="E1005" s="86"/>
      <c r="F1005" s="86"/>
    </row>
    <row r="1006" spans="2:6">
      <c r="B1006" s="1"/>
      <c r="C1006" s="1"/>
      <c r="D1006"/>
      <c r="E1006" s="86"/>
      <c r="F1006" s="86"/>
    </row>
    <row r="1007" spans="2:6">
      <c r="B1007" s="1"/>
      <c r="C1007" s="1"/>
      <c r="D1007"/>
      <c r="E1007" s="86"/>
      <c r="F1007" s="86"/>
    </row>
    <row r="1008" spans="2:6">
      <c r="B1008" s="1"/>
      <c r="C1008" s="1"/>
      <c r="D1008"/>
      <c r="E1008" s="86"/>
      <c r="F1008" s="86"/>
    </row>
    <row r="1009" spans="2:6">
      <c r="B1009" s="1"/>
      <c r="C1009" s="1"/>
      <c r="D1009"/>
      <c r="E1009" s="86"/>
      <c r="F1009" s="86"/>
    </row>
    <row r="1010" spans="2:6">
      <c r="B1010" s="1"/>
      <c r="C1010" s="1"/>
      <c r="D1010"/>
      <c r="E1010" s="86"/>
      <c r="F1010" s="86"/>
    </row>
    <row r="1011" spans="2:6">
      <c r="B1011" s="1"/>
      <c r="C1011" s="1"/>
      <c r="D1011"/>
      <c r="E1011" s="86"/>
      <c r="F1011" s="86"/>
    </row>
    <row r="1012" spans="2:6">
      <c r="B1012" s="1"/>
      <c r="C1012" s="1"/>
      <c r="D1012"/>
      <c r="E1012" s="86"/>
      <c r="F1012" s="86"/>
    </row>
    <row r="1013" spans="2:6">
      <c r="B1013" s="1"/>
      <c r="C1013" s="1"/>
      <c r="D1013"/>
      <c r="E1013" s="86"/>
      <c r="F1013" s="86"/>
    </row>
    <row r="1014" spans="2:6">
      <c r="B1014" s="1"/>
      <c r="C1014" s="1"/>
      <c r="D1014"/>
      <c r="E1014" s="86"/>
      <c r="F1014" s="86"/>
    </row>
    <row r="1015" spans="2:6">
      <c r="B1015" s="1"/>
      <c r="C1015" s="1"/>
      <c r="D1015"/>
      <c r="E1015" s="86"/>
      <c r="F1015" s="86"/>
    </row>
    <row r="1016" spans="2:6">
      <c r="B1016" s="1"/>
      <c r="C1016" s="1"/>
      <c r="D1016"/>
      <c r="E1016" s="86"/>
      <c r="F1016" s="86"/>
    </row>
    <row r="1017" spans="2:6">
      <c r="B1017" s="1"/>
      <c r="C1017" s="1"/>
      <c r="D1017"/>
      <c r="E1017" s="86"/>
      <c r="F1017" s="86"/>
    </row>
    <row r="1018" spans="2:6">
      <c r="B1018" s="1"/>
      <c r="C1018" s="1"/>
      <c r="D1018"/>
      <c r="E1018" s="86"/>
      <c r="F1018" s="86"/>
    </row>
    <row r="1019" spans="2:6">
      <c r="B1019" s="1"/>
      <c r="C1019" s="1"/>
      <c r="D1019"/>
      <c r="E1019" s="86"/>
      <c r="F1019" s="86"/>
    </row>
    <row r="1020" spans="2:6">
      <c r="B1020" s="1"/>
      <c r="C1020" s="1"/>
      <c r="D1020"/>
      <c r="E1020" s="86"/>
      <c r="F1020" s="86"/>
    </row>
    <row r="1021" spans="2:6">
      <c r="B1021" s="1"/>
      <c r="C1021" s="1"/>
      <c r="D1021"/>
      <c r="E1021" s="86"/>
      <c r="F1021" s="86"/>
    </row>
    <row r="1022" spans="2:6">
      <c r="B1022" s="1"/>
      <c r="C1022" s="1"/>
      <c r="D1022"/>
      <c r="E1022" s="86"/>
      <c r="F1022" s="86"/>
    </row>
    <row r="1023" spans="2:6">
      <c r="B1023" s="1"/>
      <c r="C1023" s="1"/>
      <c r="D1023"/>
      <c r="E1023" s="86"/>
      <c r="F1023" s="86"/>
    </row>
    <row r="1024" spans="2:6">
      <c r="B1024" s="1"/>
      <c r="C1024" s="1"/>
      <c r="D1024"/>
      <c r="E1024" s="86"/>
      <c r="F1024" s="86"/>
    </row>
    <row r="1025" spans="2:6">
      <c r="B1025" s="1"/>
      <c r="C1025" s="1"/>
      <c r="D1025"/>
      <c r="E1025" s="86"/>
      <c r="F1025" s="86"/>
    </row>
    <row r="1026" spans="2:6">
      <c r="B1026" s="1"/>
      <c r="C1026" s="1"/>
      <c r="D1026"/>
      <c r="E1026" s="86"/>
      <c r="F1026" s="86"/>
    </row>
    <row r="1027" spans="2:6">
      <c r="B1027" s="1"/>
      <c r="C1027" s="1"/>
      <c r="D1027"/>
      <c r="E1027" s="86"/>
      <c r="F1027" s="86"/>
    </row>
    <row r="1028" spans="2:6">
      <c r="B1028" s="1"/>
      <c r="C1028" s="1"/>
      <c r="D1028"/>
      <c r="E1028" s="86"/>
      <c r="F1028" s="86"/>
    </row>
    <row r="1029" spans="2:6">
      <c r="B1029" s="1"/>
      <c r="C1029" s="1"/>
      <c r="D1029"/>
      <c r="E1029" s="86"/>
      <c r="F1029" s="86"/>
    </row>
    <row r="1030" spans="2:6">
      <c r="B1030" s="1"/>
      <c r="C1030" s="1"/>
      <c r="D1030"/>
      <c r="E1030" s="86"/>
      <c r="F1030" s="86"/>
    </row>
    <row r="1031" spans="2:6">
      <c r="B1031" s="1"/>
      <c r="C1031" s="1"/>
      <c r="D1031"/>
      <c r="E1031" s="86"/>
      <c r="F1031" s="86"/>
    </row>
    <row r="1032" spans="2:6">
      <c r="B1032" s="1"/>
      <c r="C1032" s="1"/>
      <c r="D1032"/>
      <c r="E1032" s="86"/>
      <c r="F1032" s="86"/>
    </row>
    <row r="1033" spans="2:6">
      <c r="B1033" s="1"/>
      <c r="C1033" s="1"/>
      <c r="D1033"/>
      <c r="E1033" s="86"/>
      <c r="F1033" s="86"/>
    </row>
    <row r="1034" spans="2:6">
      <c r="B1034" s="1"/>
      <c r="C1034" s="1"/>
      <c r="D1034"/>
      <c r="E1034" s="86"/>
      <c r="F1034" s="86"/>
    </row>
    <row r="1035" spans="2:6">
      <c r="B1035" s="1"/>
      <c r="C1035" s="1"/>
      <c r="D1035"/>
      <c r="E1035" s="86"/>
      <c r="F1035" s="86"/>
    </row>
    <row r="1036" spans="2:6">
      <c r="B1036" s="1"/>
      <c r="C1036" s="1"/>
      <c r="D1036"/>
      <c r="E1036" s="86"/>
      <c r="F1036" s="86"/>
    </row>
    <row r="1037" spans="2:6">
      <c r="B1037" s="1"/>
      <c r="C1037" s="1"/>
      <c r="D1037"/>
      <c r="E1037" s="86"/>
      <c r="F1037" s="86"/>
    </row>
    <row r="1038" spans="2:6">
      <c r="B1038" s="1"/>
      <c r="C1038" s="1"/>
      <c r="D1038"/>
      <c r="E1038" s="86"/>
      <c r="F1038" s="86"/>
    </row>
    <row r="1039" spans="2:6">
      <c r="B1039" s="1"/>
      <c r="C1039" s="1"/>
      <c r="D1039"/>
      <c r="E1039" s="86"/>
      <c r="F1039" s="86"/>
    </row>
    <row r="1040" spans="2:6">
      <c r="B1040" s="1"/>
      <c r="C1040" s="1"/>
      <c r="D1040"/>
      <c r="E1040" s="86"/>
      <c r="F1040" s="86"/>
    </row>
    <row r="1041" spans="2:6">
      <c r="B1041" s="1"/>
      <c r="C1041" s="1"/>
      <c r="D1041"/>
      <c r="E1041" s="86"/>
      <c r="F1041" s="86"/>
    </row>
    <row r="1042" spans="2:6">
      <c r="B1042" s="1"/>
      <c r="C1042" s="1"/>
      <c r="D1042"/>
      <c r="E1042" s="86"/>
      <c r="F1042" s="86"/>
    </row>
    <row r="1043" spans="2:6">
      <c r="B1043" s="1"/>
      <c r="C1043" s="1"/>
      <c r="D1043"/>
      <c r="E1043" s="86"/>
      <c r="F1043" s="86"/>
    </row>
    <row r="1044" spans="2:6">
      <c r="B1044" s="1"/>
      <c r="C1044" s="1"/>
      <c r="D1044"/>
      <c r="E1044" s="86"/>
      <c r="F1044" s="86"/>
    </row>
    <row r="1045" spans="2:6">
      <c r="B1045" s="1"/>
      <c r="C1045" s="1"/>
      <c r="D1045"/>
      <c r="E1045" s="86"/>
      <c r="F1045" s="86"/>
    </row>
    <row r="1046" spans="2:6">
      <c r="B1046" s="1"/>
      <c r="C1046" s="1"/>
      <c r="D1046"/>
      <c r="E1046" s="86"/>
      <c r="F1046" s="86"/>
    </row>
    <row r="1047" spans="2:6">
      <c r="B1047" s="1"/>
      <c r="C1047" s="1"/>
      <c r="D1047"/>
      <c r="E1047" s="86"/>
      <c r="F1047" s="86"/>
    </row>
    <row r="1048" spans="2:6">
      <c r="B1048" s="1"/>
      <c r="C1048" s="1"/>
      <c r="D1048"/>
      <c r="E1048" s="86"/>
      <c r="F1048" s="86"/>
    </row>
    <row r="1049" spans="2:6">
      <c r="B1049" s="1"/>
      <c r="C1049" s="1"/>
      <c r="D1049"/>
      <c r="E1049" s="86"/>
      <c r="F1049" s="86"/>
    </row>
    <row r="1050" spans="2:6">
      <c r="B1050" s="1"/>
      <c r="C1050" s="1"/>
      <c r="D1050"/>
      <c r="E1050" s="86"/>
      <c r="F1050" s="86"/>
    </row>
    <row r="1051" spans="2:6">
      <c r="B1051" s="1"/>
      <c r="C1051" s="1"/>
      <c r="D1051"/>
      <c r="E1051" s="86"/>
      <c r="F1051" s="86"/>
    </row>
    <row r="1052" spans="2:6">
      <c r="B1052" s="1"/>
      <c r="C1052" s="1"/>
      <c r="D1052"/>
      <c r="E1052" s="86"/>
      <c r="F1052" s="86"/>
    </row>
    <row r="1053" spans="2:6">
      <c r="B1053" s="1"/>
      <c r="C1053" s="1"/>
      <c r="D1053"/>
      <c r="E1053" s="86"/>
      <c r="F1053" s="86"/>
    </row>
    <row r="1054" spans="2:6">
      <c r="B1054" s="1"/>
      <c r="C1054" s="1"/>
      <c r="D1054"/>
      <c r="E1054" s="86"/>
      <c r="F1054" s="86"/>
    </row>
    <row r="1055" spans="2:6">
      <c r="B1055" s="1"/>
      <c r="C1055" s="1"/>
      <c r="D1055"/>
      <c r="E1055" s="86"/>
      <c r="F1055" s="86"/>
    </row>
    <row r="1056" spans="2:6">
      <c r="B1056" s="1"/>
      <c r="C1056" s="1"/>
      <c r="D1056"/>
      <c r="E1056" s="86"/>
      <c r="F1056" s="86"/>
    </row>
    <row r="1057" spans="2:6">
      <c r="B1057" s="1"/>
      <c r="C1057" s="1"/>
      <c r="D1057"/>
      <c r="E1057" s="86"/>
      <c r="F1057" s="86"/>
    </row>
    <row r="1058" spans="2:6">
      <c r="B1058" s="1"/>
      <c r="C1058" s="1"/>
      <c r="D1058"/>
      <c r="E1058" s="86"/>
      <c r="F1058" s="86"/>
    </row>
    <row r="1059" spans="2:6">
      <c r="B1059" s="1"/>
      <c r="C1059" s="1"/>
      <c r="D1059"/>
      <c r="E1059" s="86"/>
      <c r="F1059" s="86"/>
    </row>
    <row r="1060" spans="2:6">
      <c r="B1060" s="1"/>
      <c r="C1060" s="1"/>
      <c r="D1060"/>
      <c r="E1060" s="86"/>
      <c r="F1060" s="86"/>
    </row>
    <row r="1061" spans="2:6">
      <c r="B1061" s="1"/>
      <c r="C1061" s="1"/>
      <c r="D1061"/>
      <c r="E1061" s="86"/>
      <c r="F1061" s="86"/>
    </row>
    <row r="1062" spans="2:6">
      <c r="B1062" s="1"/>
      <c r="C1062" s="1"/>
      <c r="D1062"/>
      <c r="E1062" s="86"/>
      <c r="F1062" s="86"/>
    </row>
    <row r="1063" spans="2:6">
      <c r="B1063" s="1"/>
      <c r="C1063" s="1"/>
      <c r="D1063"/>
      <c r="E1063" s="86"/>
      <c r="F1063" s="86"/>
    </row>
    <row r="1064" spans="2:6">
      <c r="B1064" s="1"/>
      <c r="C1064" s="1"/>
      <c r="D1064"/>
      <c r="E1064" s="86"/>
      <c r="F1064" s="86"/>
    </row>
    <row r="1065" spans="2:6">
      <c r="B1065" s="1"/>
      <c r="C1065" s="1"/>
      <c r="D1065"/>
      <c r="E1065" s="86"/>
      <c r="F1065" s="86"/>
    </row>
    <row r="1066" spans="2:6">
      <c r="B1066" s="1"/>
      <c r="C1066" s="1"/>
      <c r="D1066"/>
      <c r="E1066" s="86"/>
      <c r="F1066" s="86"/>
    </row>
    <row r="1067" spans="2:6">
      <c r="B1067" s="1"/>
      <c r="C1067" s="1"/>
      <c r="D1067"/>
      <c r="E1067" s="86"/>
      <c r="F1067" s="86"/>
    </row>
    <row r="1068" spans="2:6">
      <c r="B1068" s="1"/>
      <c r="C1068" s="1"/>
      <c r="D1068"/>
      <c r="E1068" s="86"/>
      <c r="F1068" s="86"/>
    </row>
    <row r="1069" spans="2:6">
      <c r="B1069" s="1"/>
      <c r="C1069" s="1"/>
      <c r="D1069"/>
      <c r="E1069" s="86"/>
      <c r="F1069" s="86"/>
    </row>
    <row r="1070" spans="2:6">
      <c r="B1070" s="1"/>
      <c r="C1070" s="1"/>
      <c r="D1070"/>
      <c r="E1070" s="86"/>
      <c r="F1070" s="86"/>
    </row>
    <row r="1071" spans="2:6">
      <c r="B1071" s="1"/>
      <c r="C1071" s="1"/>
      <c r="D1071"/>
      <c r="E1071" s="86"/>
      <c r="F1071" s="86"/>
    </row>
    <row r="1072" spans="2:6">
      <c r="B1072" s="1"/>
      <c r="C1072" s="1"/>
      <c r="D1072"/>
      <c r="E1072" s="86"/>
      <c r="F1072" s="86"/>
    </row>
    <row r="1073" spans="2:6">
      <c r="B1073" s="1"/>
      <c r="C1073" s="1"/>
      <c r="D1073"/>
      <c r="E1073" s="86"/>
      <c r="F1073" s="86"/>
    </row>
    <row r="1074" spans="2:6">
      <c r="B1074" s="1"/>
      <c r="C1074" s="1"/>
      <c r="D1074"/>
      <c r="E1074" s="86"/>
      <c r="F1074" s="86"/>
    </row>
    <row r="1075" spans="2:6">
      <c r="B1075" s="1"/>
      <c r="C1075" s="1"/>
      <c r="D1075"/>
      <c r="E1075" s="86"/>
      <c r="F1075" s="86"/>
    </row>
    <row r="1076" spans="2:6">
      <c r="B1076" s="1"/>
      <c r="C1076" s="1"/>
      <c r="D1076"/>
      <c r="E1076" s="86"/>
      <c r="F1076" s="86"/>
    </row>
    <row r="1077" spans="2:6">
      <c r="B1077" s="1"/>
      <c r="C1077" s="1"/>
      <c r="D1077"/>
      <c r="E1077" s="86"/>
      <c r="F1077" s="86"/>
    </row>
    <row r="1078" spans="2:6">
      <c r="B1078" s="1"/>
      <c r="C1078" s="1"/>
      <c r="D1078"/>
      <c r="E1078" s="86"/>
      <c r="F1078" s="86"/>
    </row>
    <row r="1079" spans="2:6">
      <c r="B1079" s="1"/>
      <c r="C1079" s="1"/>
      <c r="D1079"/>
      <c r="E1079" s="86"/>
      <c r="F1079" s="86"/>
    </row>
    <row r="1080" spans="2:6">
      <c r="B1080" s="1"/>
      <c r="C1080" s="1"/>
      <c r="D1080"/>
      <c r="E1080" s="86"/>
      <c r="F1080" s="86"/>
    </row>
    <row r="1081" spans="2:6">
      <c r="B1081" s="1"/>
      <c r="C1081" s="1"/>
      <c r="D1081"/>
      <c r="E1081" s="86"/>
      <c r="F1081" s="86"/>
    </row>
    <row r="1082" spans="2:6">
      <c r="B1082" s="1"/>
      <c r="C1082" s="1"/>
      <c r="D1082"/>
      <c r="E1082" s="86"/>
      <c r="F1082" s="86"/>
    </row>
    <row r="1083" spans="2:6">
      <c r="B1083" s="1"/>
      <c r="C1083" s="1"/>
      <c r="D1083"/>
      <c r="E1083" s="86"/>
      <c r="F1083" s="86"/>
    </row>
    <row r="1084" spans="2:6">
      <c r="B1084" s="1"/>
      <c r="C1084" s="1"/>
      <c r="D1084"/>
      <c r="E1084" s="86"/>
      <c r="F1084" s="86"/>
    </row>
    <row r="1085" spans="2:6">
      <c r="B1085" s="1"/>
      <c r="C1085" s="1"/>
      <c r="D1085"/>
      <c r="E1085" s="86"/>
      <c r="F1085" s="86"/>
    </row>
    <row r="1086" spans="2:6">
      <c r="B1086" s="1"/>
      <c r="C1086" s="1"/>
      <c r="D1086"/>
      <c r="E1086" s="86"/>
      <c r="F1086" s="86"/>
    </row>
    <row r="1087" spans="2:6">
      <c r="B1087" s="1"/>
      <c r="C1087" s="1"/>
      <c r="D1087"/>
      <c r="E1087" s="86"/>
      <c r="F1087" s="86"/>
    </row>
    <row r="1088" spans="2:6">
      <c r="B1088" s="1"/>
      <c r="C1088" s="1"/>
      <c r="D1088"/>
      <c r="E1088" s="86"/>
      <c r="F1088" s="86"/>
    </row>
    <row r="1089" spans="2:6">
      <c r="B1089" s="1"/>
      <c r="C1089" s="1"/>
      <c r="D1089"/>
      <c r="E1089" s="86"/>
      <c r="F1089" s="86"/>
    </row>
    <row r="1090" spans="2:6">
      <c r="B1090" s="1"/>
      <c r="C1090" s="1"/>
      <c r="D1090"/>
      <c r="E1090" s="86"/>
      <c r="F1090" s="86"/>
    </row>
    <row r="1091" spans="2:6">
      <c r="B1091" s="1"/>
      <c r="C1091" s="1"/>
      <c r="D1091"/>
      <c r="E1091" s="86"/>
      <c r="F1091" s="86"/>
    </row>
    <row r="1092" spans="2:6">
      <c r="B1092" s="1"/>
      <c r="C1092" s="1"/>
      <c r="D1092"/>
      <c r="E1092" s="86"/>
      <c r="F1092" s="86"/>
    </row>
    <row r="1093" spans="2:6">
      <c r="B1093" s="1"/>
      <c r="C1093" s="1"/>
      <c r="D1093"/>
      <c r="E1093" s="86"/>
      <c r="F1093" s="86"/>
    </row>
    <row r="1094" spans="2:6">
      <c r="B1094" s="1"/>
      <c r="C1094" s="1"/>
      <c r="D1094"/>
      <c r="E1094" s="86"/>
      <c r="F1094" s="86"/>
    </row>
    <row r="1095" spans="2:6">
      <c r="B1095" s="1"/>
      <c r="C1095" s="1"/>
      <c r="D1095"/>
      <c r="E1095" s="86"/>
      <c r="F1095" s="86"/>
    </row>
    <row r="1096" spans="2:6">
      <c r="B1096" s="1"/>
      <c r="C1096" s="1"/>
      <c r="D1096"/>
      <c r="E1096" s="86"/>
      <c r="F1096" s="86"/>
    </row>
    <row r="1097" spans="2:6">
      <c r="B1097" s="1"/>
      <c r="C1097" s="1"/>
      <c r="D1097"/>
      <c r="E1097" s="86"/>
      <c r="F1097" s="86"/>
    </row>
    <row r="1098" spans="2:6">
      <c r="B1098" s="1"/>
      <c r="C1098" s="1"/>
      <c r="D1098"/>
      <c r="E1098" s="86"/>
      <c r="F1098" s="86"/>
    </row>
    <row r="1099" spans="2:6">
      <c r="B1099" s="1"/>
      <c r="C1099" s="1"/>
      <c r="D1099"/>
      <c r="E1099" s="86"/>
      <c r="F1099" s="86"/>
    </row>
    <row r="1100" spans="2:6">
      <c r="B1100" s="1"/>
      <c r="C1100" s="1"/>
      <c r="D1100"/>
      <c r="E1100" s="86"/>
      <c r="F1100" s="86"/>
    </row>
    <row r="1101" spans="2:6">
      <c r="B1101" s="1"/>
      <c r="C1101" s="1"/>
      <c r="D1101"/>
      <c r="E1101" s="86"/>
      <c r="F1101" s="86"/>
    </row>
    <row r="1102" spans="2:6">
      <c r="B1102" s="1"/>
      <c r="C1102" s="1"/>
      <c r="D1102"/>
      <c r="E1102" s="86"/>
      <c r="F1102" s="86"/>
    </row>
    <row r="1103" spans="2:6">
      <c r="B1103" s="1"/>
      <c r="C1103" s="1"/>
      <c r="D1103"/>
      <c r="E1103" s="86"/>
      <c r="F1103" s="86"/>
    </row>
    <row r="1104" spans="2:6">
      <c r="B1104" s="1"/>
      <c r="C1104" s="1"/>
      <c r="D1104"/>
      <c r="E1104" s="86"/>
      <c r="F1104" s="86"/>
    </row>
    <row r="1105" spans="2:6">
      <c r="B1105" s="1"/>
      <c r="C1105" s="1"/>
      <c r="D1105"/>
      <c r="E1105" s="86"/>
      <c r="F1105" s="86"/>
    </row>
    <row r="1106" spans="2:6">
      <c r="B1106" s="1"/>
      <c r="C1106" s="1"/>
      <c r="D1106"/>
      <c r="E1106" s="86"/>
      <c r="F1106" s="86"/>
    </row>
    <row r="1107" spans="2:6">
      <c r="B1107" s="1"/>
      <c r="C1107" s="1"/>
      <c r="D1107"/>
      <c r="E1107" s="86"/>
      <c r="F1107" s="86"/>
    </row>
    <row r="1108" spans="2:6">
      <c r="B1108" s="1"/>
      <c r="C1108" s="1"/>
      <c r="D1108"/>
      <c r="E1108" s="86"/>
      <c r="F1108" s="86"/>
    </row>
    <row r="1109" spans="2:6">
      <c r="B1109" s="1"/>
      <c r="C1109" s="1"/>
      <c r="D1109"/>
      <c r="E1109" s="86"/>
      <c r="F1109" s="86"/>
    </row>
    <row r="1110" spans="2:6" collapsed="1">
      <c r="B1110" s="1"/>
      <c r="C1110" s="1"/>
      <c r="D1110"/>
      <c r="E1110" s="86"/>
      <c r="F1110" s="86"/>
    </row>
    <row r="1111" spans="2:6">
      <c r="B1111" s="1"/>
      <c r="C1111" s="1"/>
      <c r="D1111"/>
      <c r="E1111" s="86"/>
      <c r="F1111" s="86"/>
    </row>
    <row r="1112" spans="2:6">
      <c r="B1112" s="1"/>
      <c r="C1112" s="1"/>
      <c r="D1112"/>
      <c r="E1112" s="86"/>
      <c r="F1112" s="86"/>
    </row>
    <row r="1113" spans="2:6">
      <c r="B1113" s="1"/>
      <c r="C1113" s="1"/>
      <c r="D1113"/>
      <c r="E1113" s="86"/>
      <c r="F1113" s="86"/>
    </row>
    <row r="1114" spans="2:6">
      <c r="B1114" s="1"/>
      <c r="C1114" s="1"/>
      <c r="D1114"/>
      <c r="E1114" s="86"/>
      <c r="F1114" s="86"/>
    </row>
    <row r="1115" spans="2:6">
      <c r="B1115" s="1"/>
      <c r="C1115" s="1"/>
      <c r="D1115"/>
      <c r="E1115" s="86"/>
      <c r="F1115" s="86"/>
    </row>
    <row r="1116" spans="2:6">
      <c r="B1116" s="1"/>
      <c r="C1116" s="1"/>
      <c r="D1116"/>
      <c r="E1116" s="86"/>
      <c r="F1116" s="86"/>
    </row>
    <row r="1117" spans="2:6">
      <c r="B1117" s="1"/>
      <c r="C1117" s="1"/>
      <c r="D1117"/>
      <c r="E1117" s="86"/>
      <c r="F1117" s="86"/>
    </row>
    <row r="1118" spans="2:6">
      <c r="B1118" s="1"/>
      <c r="C1118" s="1"/>
      <c r="D1118"/>
      <c r="E1118" s="86"/>
      <c r="F1118" s="86"/>
    </row>
    <row r="1119" spans="2:6">
      <c r="B1119" s="1"/>
      <c r="C1119" s="1"/>
      <c r="D1119"/>
      <c r="E1119" s="86"/>
      <c r="F1119" s="86"/>
    </row>
    <row r="1120" spans="2:6">
      <c r="B1120" s="1"/>
      <c r="C1120" s="1"/>
      <c r="D1120"/>
      <c r="E1120" s="86"/>
      <c r="F1120" s="86"/>
    </row>
    <row r="1121" spans="2:6">
      <c r="B1121" s="1"/>
      <c r="C1121" s="1"/>
      <c r="D1121"/>
      <c r="E1121" s="86"/>
      <c r="F1121" s="86"/>
    </row>
    <row r="1122" spans="2:6" collapsed="1">
      <c r="B1122" s="1"/>
      <c r="C1122" s="1"/>
      <c r="D1122"/>
      <c r="E1122" s="86"/>
      <c r="F1122" s="86"/>
    </row>
    <row r="1123" spans="2:6">
      <c r="B1123" s="1"/>
      <c r="C1123" s="1"/>
      <c r="D1123"/>
      <c r="E1123" s="86"/>
      <c r="F1123" s="86"/>
    </row>
    <row r="1124" spans="2:6">
      <c r="B1124" s="1"/>
      <c r="C1124" s="1"/>
      <c r="D1124"/>
      <c r="E1124" s="86"/>
      <c r="F1124" s="86"/>
    </row>
    <row r="1125" spans="2:6">
      <c r="B1125" s="1"/>
      <c r="C1125" s="1"/>
      <c r="D1125"/>
      <c r="E1125" s="86"/>
      <c r="F1125" s="86"/>
    </row>
    <row r="1126" spans="2:6">
      <c r="B1126" s="1"/>
      <c r="C1126" s="1"/>
      <c r="D1126"/>
      <c r="E1126" s="86"/>
      <c r="F1126" s="86"/>
    </row>
    <row r="1127" spans="2:6">
      <c r="B1127" s="1"/>
      <c r="C1127" s="1"/>
      <c r="D1127"/>
      <c r="E1127" s="86"/>
      <c r="F1127" s="86"/>
    </row>
    <row r="1128" spans="2:6">
      <c r="B1128" s="1"/>
      <c r="C1128" s="1"/>
      <c r="D1128"/>
      <c r="E1128" s="86"/>
      <c r="F1128" s="86"/>
    </row>
    <row r="1129" spans="2:6">
      <c r="B1129" s="1"/>
      <c r="C1129" s="1"/>
      <c r="D1129"/>
      <c r="E1129" s="86"/>
      <c r="F1129" s="86"/>
    </row>
    <row r="1130" spans="2:6">
      <c r="B1130" s="1"/>
      <c r="C1130" s="1"/>
      <c r="D1130"/>
      <c r="E1130" s="86"/>
      <c r="F1130" s="86"/>
    </row>
    <row r="1131" spans="2:6">
      <c r="B1131" s="1"/>
      <c r="C1131" s="1"/>
      <c r="D1131"/>
      <c r="E1131" s="86"/>
      <c r="F1131" s="86"/>
    </row>
    <row r="1132" spans="2:6">
      <c r="B1132" s="1"/>
      <c r="C1132" s="1"/>
      <c r="D1132"/>
      <c r="E1132" s="86"/>
      <c r="F1132" s="86"/>
    </row>
    <row r="1133" spans="2:6">
      <c r="B1133" s="1"/>
      <c r="C1133" s="1"/>
      <c r="D1133"/>
      <c r="E1133" s="86"/>
      <c r="F1133" s="86"/>
    </row>
    <row r="1134" spans="2:6">
      <c r="B1134" s="1"/>
      <c r="C1134" s="1"/>
      <c r="D1134"/>
      <c r="E1134" s="86"/>
      <c r="F1134" s="86"/>
    </row>
    <row r="1135" spans="2:6">
      <c r="B1135" s="1"/>
      <c r="C1135" s="1"/>
      <c r="D1135"/>
      <c r="E1135" s="86"/>
      <c r="F1135" s="86"/>
    </row>
    <row r="1136" spans="2:6">
      <c r="B1136" s="1"/>
      <c r="C1136" s="1"/>
      <c r="D1136"/>
      <c r="E1136" s="86"/>
      <c r="F1136" s="86"/>
    </row>
    <row r="1137" spans="2:6">
      <c r="B1137" s="1"/>
      <c r="C1137" s="1"/>
      <c r="D1137"/>
      <c r="E1137" s="86"/>
      <c r="F1137" s="86"/>
    </row>
    <row r="1138" spans="2:6">
      <c r="B1138" s="1"/>
      <c r="C1138" s="1"/>
      <c r="D1138"/>
      <c r="E1138" s="86"/>
      <c r="F1138" s="86"/>
    </row>
    <row r="1139" spans="2:6">
      <c r="B1139" s="1"/>
      <c r="C1139" s="1"/>
      <c r="D1139"/>
      <c r="E1139" s="86"/>
      <c r="F1139" s="86"/>
    </row>
    <row r="1140" spans="2:6">
      <c r="B1140" s="1"/>
      <c r="C1140" s="1"/>
      <c r="D1140"/>
      <c r="E1140" s="86"/>
      <c r="F1140" s="86"/>
    </row>
    <row r="1141" spans="2:6">
      <c r="B1141" s="1"/>
      <c r="C1141" s="1"/>
      <c r="D1141"/>
      <c r="E1141" s="86"/>
      <c r="F1141" s="86"/>
    </row>
    <row r="1142" spans="2:6">
      <c r="B1142" s="1"/>
      <c r="C1142" s="1"/>
      <c r="D1142"/>
      <c r="E1142" s="86"/>
      <c r="F1142" s="86"/>
    </row>
    <row r="1143" spans="2:6">
      <c r="B1143" s="1"/>
      <c r="C1143" s="1"/>
      <c r="D1143"/>
      <c r="E1143" s="86"/>
      <c r="F1143" s="86"/>
    </row>
    <row r="1144" spans="2:6">
      <c r="B1144" s="1"/>
      <c r="C1144" s="1"/>
      <c r="D1144"/>
      <c r="E1144" s="86"/>
      <c r="F1144" s="86"/>
    </row>
    <row r="1145" spans="2:6">
      <c r="B1145" s="1"/>
      <c r="C1145" s="1"/>
      <c r="D1145"/>
      <c r="E1145" s="86"/>
      <c r="F1145" s="86"/>
    </row>
    <row r="1146" spans="2:6">
      <c r="B1146" s="1"/>
      <c r="C1146" s="1"/>
      <c r="D1146"/>
      <c r="E1146" s="86"/>
      <c r="F1146" s="86"/>
    </row>
    <row r="1147" spans="2:6">
      <c r="B1147" s="1"/>
      <c r="C1147" s="1"/>
      <c r="D1147"/>
      <c r="E1147" s="86"/>
      <c r="F1147" s="86"/>
    </row>
    <row r="1148" spans="2:6">
      <c r="B1148" s="1"/>
      <c r="C1148" s="1"/>
      <c r="D1148"/>
      <c r="E1148" s="86"/>
      <c r="F1148" s="86"/>
    </row>
    <row r="1149" spans="2:6">
      <c r="B1149" s="1"/>
      <c r="C1149" s="1"/>
      <c r="D1149"/>
      <c r="E1149" s="86"/>
      <c r="F1149" s="86"/>
    </row>
    <row r="1150" spans="2:6">
      <c r="B1150" s="1"/>
      <c r="C1150" s="1"/>
      <c r="D1150"/>
      <c r="E1150" s="86"/>
      <c r="F1150" s="86"/>
    </row>
    <row r="1151" spans="2:6">
      <c r="B1151" s="1"/>
      <c r="C1151" s="1"/>
      <c r="D1151"/>
      <c r="E1151" s="86"/>
      <c r="F1151" s="86"/>
    </row>
    <row r="1152" spans="2:6">
      <c r="B1152" s="1"/>
      <c r="C1152" s="1"/>
      <c r="D1152"/>
      <c r="E1152" s="86"/>
      <c r="F1152" s="86"/>
    </row>
    <row r="1153" spans="2:6">
      <c r="B1153" s="1"/>
      <c r="C1153" s="1"/>
      <c r="D1153"/>
      <c r="E1153" s="86"/>
      <c r="F1153" s="86"/>
    </row>
    <row r="1154" spans="2:6">
      <c r="B1154" s="1"/>
      <c r="C1154" s="1"/>
      <c r="D1154"/>
      <c r="E1154" s="86"/>
      <c r="F1154" s="86"/>
    </row>
    <row r="1155" spans="2:6">
      <c r="B1155" s="1"/>
      <c r="C1155" s="1"/>
      <c r="D1155"/>
      <c r="E1155" s="86"/>
      <c r="F1155" s="86"/>
    </row>
    <row r="1156" spans="2:6">
      <c r="B1156" s="1"/>
      <c r="C1156" s="1"/>
      <c r="D1156"/>
      <c r="E1156" s="86"/>
      <c r="F1156" s="86"/>
    </row>
    <row r="1157" spans="2:6">
      <c r="B1157" s="1"/>
      <c r="C1157" s="1"/>
      <c r="D1157"/>
      <c r="E1157" s="86"/>
      <c r="F1157" s="86"/>
    </row>
    <row r="1158" spans="2:6">
      <c r="B1158" s="1"/>
      <c r="C1158" s="1"/>
      <c r="D1158"/>
      <c r="E1158" s="86"/>
      <c r="F1158" s="86"/>
    </row>
    <row r="1159" spans="2:6">
      <c r="B1159" s="1"/>
      <c r="C1159" s="1"/>
      <c r="D1159"/>
      <c r="E1159" s="86"/>
      <c r="F1159" s="86"/>
    </row>
    <row r="1160" spans="2:6">
      <c r="B1160" s="1"/>
      <c r="C1160" s="1"/>
      <c r="D1160"/>
      <c r="E1160" s="86"/>
      <c r="F1160" s="86"/>
    </row>
    <row r="1161" spans="2:6">
      <c r="B1161" s="1"/>
      <c r="C1161" s="1"/>
      <c r="D1161"/>
      <c r="E1161" s="86"/>
      <c r="F1161" s="86"/>
    </row>
    <row r="1162" spans="2:6">
      <c r="B1162" s="1"/>
      <c r="C1162" s="1"/>
      <c r="D1162"/>
      <c r="E1162" s="86"/>
      <c r="F1162" s="86"/>
    </row>
    <row r="1163" spans="2:6">
      <c r="B1163" s="1"/>
      <c r="C1163" s="1"/>
      <c r="D1163"/>
      <c r="E1163" s="86"/>
      <c r="F1163" s="86"/>
    </row>
    <row r="1164" spans="2:6">
      <c r="B1164" s="1"/>
      <c r="C1164" s="1"/>
      <c r="D1164"/>
      <c r="E1164" s="86"/>
      <c r="F1164" s="86"/>
    </row>
    <row r="1165" spans="2:6">
      <c r="B1165" s="1"/>
      <c r="C1165" s="1"/>
      <c r="D1165"/>
      <c r="E1165" s="86"/>
      <c r="F1165" s="86"/>
    </row>
    <row r="1166" spans="2:6">
      <c r="B1166" s="1"/>
      <c r="C1166" s="1"/>
      <c r="D1166"/>
      <c r="E1166" s="86"/>
      <c r="F1166" s="86"/>
    </row>
    <row r="1167" spans="2:6" collapsed="1">
      <c r="B1167" s="1"/>
      <c r="C1167" s="1"/>
      <c r="D1167"/>
      <c r="E1167" s="86"/>
      <c r="F1167" s="86"/>
    </row>
    <row r="1168" spans="2:6">
      <c r="B1168" s="1"/>
      <c r="C1168" s="1"/>
      <c r="D1168"/>
      <c r="E1168" s="86"/>
      <c r="F1168" s="86"/>
    </row>
    <row r="1169" spans="2:6">
      <c r="B1169" s="1"/>
      <c r="C1169" s="1"/>
      <c r="D1169"/>
      <c r="E1169" s="86"/>
      <c r="F1169" s="86"/>
    </row>
    <row r="1170" spans="2:6">
      <c r="B1170" s="1"/>
      <c r="C1170" s="1"/>
      <c r="D1170"/>
      <c r="E1170" s="86"/>
      <c r="F1170" s="86"/>
    </row>
    <row r="1171" spans="2:6">
      <c r="B1171" s="1"/>
      <c r="C1171" s="1"/>
      <c r="D1171"/>
      <c r="E1171" s="86"/>
      <c r="F1171" s="86"/>
    </row>
    <row r="1172" spans="2:6">
      <c r="B1172" s="1"/>
      <c r="C1172" s="1"/>
      <c r="D1172"/>
      <c r="E1172" s="86"/>
      <c r="F1172" s="86"/>
    </row>
    <row r="1173" spans="2:6">
      <c r="B1173" s="1"/>
      <c r="C1173" s="1"/>
      <c r="D1173"/>
      <c r="E1173" s="86"/>
      <c r="F1173" s="86"/>
    </row>
    <row r="1174" spans="2:6">
      <c r="B1174" s="1"/>
      <c r="C1174" s="1"/>
      <c r="D1174"/>
      <c r="E1174" s="86"/>
      <c r="F1174" s="86"/>
    </row>
    <row r="1175" spans="2:6">
      <c r="B1175" s="1"/>
      <c r="C1175" s="1"/>
      <c r="D1175"/>
      <c r="E1175" s="86"/>
      <c r="F1175" s="86"/>
    </row>
    <row r="1176" spans="2:6">
      <c r="B1176" s="1"/>
      <c r="C1176" s="1"/>
      <c r="D1176"/>
      <c r="E1176" s="86"/>
      <c r="F1176" s="86"/>
    </row>
    <row r="1177" spans="2:6">
      <c r="B1177" s="1"/>
      <c r="C1177" s="1"/>
      <c r="D1177"/>
      <c r="E1177" s="86"/>
      <c r="F1177" s="86"/>
    </row>
    <row r="1178" spans="2:6">
      <c r="B1178" s="1"/>
      <c r="C1178" s="1"/>
      <c r="D1178"/>
      <c r="E1178" s="86"/>
      <c r="F1178" s="86"/>
    </row>
    <row r="1179" spans="2:6">
      <c r="B1179" s="1"/>
      <c r="C1179" s="1"/>
      <c r="D1179"/>
      <c r="E1179" s="86"/>
      <c r="F1179" s="86"/>
    </row>
    <row r="1180" spans="2:6">
      <c r="B1180" s="1"/>
      <c r="C1180" s="1"/>
      <c r="D1180"/>
      <c r="E1180" s="86"/>
      <c r="F1180" s="86"/>
    </row>
    <row r="1181" spans="2:6">
      <c r="B1181" s="1"/>
      <c r="C1181" s="1"/>
      <c r="D1181"/>
      <c r="E1181" s="86"/>
      <c r="F1181" s="86"/>
    </row>
    <row r="1182" spans="2:6">
      <c r="B1182" s="1"/>
      <c r="C1182" s="1"/>
      <c r="D1182"/>
      <c r="E1182" s="86"/>
      <c r="F1182" s="86"/>
    </row>
    <row r="1183" spans="2:6">
      <c r="B1183" s="1"/>
      <c r="C1183" s="1"/>
      <c r="D1183"/>
      <c r="E1183" s="86"/>
      <c r="F1183" s="86"/>
    </row>
    <row r="1184" spans="2:6">
      <c r="B1184" s="1"/>
      <c r="C1184" s="1"/>
      <c r="D1184"/>
      <c r="E1184" s="86"/>
      <c r="F1184" s="86"/>
    </row>
    <row r="1185" spans="2:6">
      <c r="B1185" s="1"/>
      <c r="C1185" s="1"/>
      <c r="D1185"/>
      <c r="E1185" s="86"/>
      <c r="F1185" s="86"/>
    </row>
    <row r="1186" spans="2:6">
      <c r="B1186" s="1"/>
      <c r="C1186" s="1"/>
      <c r="D1186"/>
      <c r="E1186" s="86"/>
      <c r="F1186" s="86"/>
    </row>
    <row r="1187" spans="2:6">
      <c r="B1187" s="1"/>
      <c r="C1187" s="1"/>
      <c r="D1187"/>
      <c r="E1187" s="86"/>
      <c r="F1187" s="86"/>
    </row>
    <row r="1188" spans="2:6">
      <c r="B1188" s="1"/>
      <c r="C1188" s="1"/>
      <c r="D1188"/>
      <c r="E1188" s="86"/>
      <c r="F1188" s="86"/>
    </row>
    <row r="1189" spans="2:6">
      <c r="B1189" s="1"/>
      <c r="C1189" s="1"/>
      <c r="D1189"/>
      <c r="E1189" s="86"/>
      <c r="F1189" s="86"/>
    </row>
    <row r="1190" spans="2:6">
      <c r="B1190" s="1"/>
      <c r="C1190" s="1"/>
      <c r="D1190"/>
      <c r="E1190" s="86"/>
      <c r="F1190" s="86"/>
    </row>
    <row r="1191" spans="2:6">
      <c r="B1191" s="1"/>
      <c r="C1191" s="1"/>
      <c r="D1191"/>
      <c r="E1191" s="86"/>
      <c r="F1191" s="86"/>
    </row>
    <row r="1192" spans="2:6">
      <c r="B1192" s="1"/>
      <c r="C1192" s="1"/>
      <c r="D1192"/>
      <c r="E1192" s="86"/>
      <c r="F1192" s="86"/>
    </row>
    <row r="1193" spans="2:6">
      <c r="B1193" s="1"/>
      <c r="C1193" s="1"/>
      <c r="D1193"/>
      <c r="E1193" s="86"/>
      <c r="F1193" s="86"/>
    </row>
    <row r="1194" spans="2:6">
      <c r="B1194" s="1"/>
      <c r="C1194" s="1"/>
      <c r="D1194"/>
      <c r="E1194" s="86"/>
      <c r="F1194" s="86"/>
    </row>
    <row r="1195" spans="2:6">
      <c r="B1195" s="1"/>
      <c r="C1195" s="1"/>
      <c r="D1195"/>
      <c r="E1195" s="86"/>
      <c r="F1195" s="86"/>
    </row>
    <row r="1196" spans="2:6">
      <c r="B1196" s="1"/>
      <c r="C1196" s="1"/>
      <c r="D1196"/>
      <c r="E1196" s="86"/>
      <c r="F1196" s="86"/>
    </row>
    <row r="1197" spans="2:6">
      <c r="B1197" s="1"/>
      <c r="C1197" s="1"/>
      <c r="D1197"/>
      <c r="E1197" s="86"/>
      <c r="F1197" s="86"/>
    </row>
    <row r="1198" spans="2:6">
      <c r="B1198" s="1"/>
      <c r="C1198" s="1"/>
      <c r="D1198"/>
      <c r="E1198" s="86"/>
      <c r="F1198" s="86"/>
    </row>
    <row r="1199" spans="2:6">
      <c r="B1199" s="1"/>
      <c r="C1199" s="1"/>
      <c r="D1199"/>
      <c r="E1199" s="86"/>
      <c r="F1199" s="86"/>
    </row>
    <row r="1200" spans="2:6">
      <c r="B1200" s="1"/>
      <c r="C1200" s="1"/>
      <c r="D1200"/>
      <c r="E1200" s="86"/>
      <c r="F1200" s="86"/>
    </row>
    <row r="1201" spans="2:6">
      <c r="B1201" s="1"/>
      <c r="C1201" s="1"/>
      <c r="D1201"/>
      <c r="E1201" s="86"/>
      <c r="F1201" s="86"/>
    </row>
    <row r="1202" spans="2:6">
      <c r="B1202" s="1"/>
      <c r="C1202" s="1"/>
      <c r="D1202"/>
      <c r="E1202" s="86"/>
      <c r="F1202" s="86"/>
    </row>
    <row r="1203" spans="2:6">
      <c r="B1203" s="1"/>
      <c r="C1203" s="1"/>
      <c r="D1203"/>
      <c r="E1203" s="86"/>
      <c r="F1203" s="86"/>
    </row>
    <row r="1204" spans="2:6">
      <c r="B1204" s="1"/>
      <c r="C1204" s="1"/>
      <c r="D1204"/>
      <c r="E1204" s="86"/>
      <c r="F1204" s="86"/>
    </row>
    <row r="1205" spans="2:6">
      <c r="B1205" s="1"/>
      <c r="C1205" s="1"/>
      <c r="D1205"/>
      <c r="E1205" s="86"/>
      <c r="F1205" s="86"/>
    </row>
    <row r="1206" spans="2:6">
      <c r="B1206" s="1"/>
      <c r="C1206" s="1"/>
      <c r="D1206"/>
      <c r="E1206" s="86"/>
      <c r="F1206" s="86"/>
    </row>
    <row r="1207" spans="2:6">
      <c r="B1207" s="1"/>
      <c r="C1207" s="1"/>
      <c r="D1207"/>
      <c r="E1207" s="86"/>
      <c r="F1207" s="86"/>
    </row>
    <row r="1208" spans="2:6">
      <c r="B1208" s="1"/>
      <c r="C1208" s="1"/>
      <c r="D1208"/>
      <c r="E1208" s="86"/>
      <c r="F1208" s="86"/>
    </row>
    <row r="1209" spans="2:6">
      <c r="B1209" s="1"/>
      <c r="C1209" s="1"/>
      <c r="D1209"/>
      <c r="E1209" s="86"/>
      <c r="F1209" s="86"/>
    </row>
    <row r="1210" spans="2:6">
      <c r="B1210" s="1"/>
      <c r="C1210" s="1"/>
      <c r="D1210"/>
      <c r="E1210" s="86"/>
      <c r="F1210" s="86"/>
    </row>
    <row r="1211" spans="2:6">
      <c r="B1211" s="1"/>
      <c r="C1211" s="1"/>
      <c r="D1211"/>
      <c r="E1211" s="86"/>
      <c r="F1211" s="86"/>
    </row>
    <row r="1212" spans="2:6">
      <c r="B1212" s="1"/>
      <c r="C1212" s="1"/>
      <c r="D1212"/>
      <c r="E1212" s="86"/>
      <c r="F1212" s="86"/>
    </row>
    <row r="1213" spans="2:6">
      <c r="B1213" s="1"/>
      <c r="C1213" s="1"/>
      <c r="D1213"/>
      <c r="E1213" s="86"/>
      <c r="F1213" s="86"/>
    </row>
    <row r="1214" spans="2:6">
      <c r="B1214" s="1"/>
      <c r="C1214" s="1"/>
      <c r="D1214"/>
      <c r="E1214" s="86"/>
      <c r="F1214" s="86"/>
    </row>
    <row r="1215" spans="2:6">
      <c r="B1215" s="1"/>
      <c r="C1215" s="1"/>
      <c r="D1215"/>
      <c r="E1215" s="86"/>
      <c r="F1215" s="86"/>
    </row>
    <row r="1216" spans="2:6">
      <c r="B1216" s="1"/>
      <c r="C1216" s="1"/>
      <c r="D1216"/>
      <c r="E1216" s="86"/>
      <c r="F1216" s="86"/>
    </row>
    <row r="1217" spans="2:6">
      <c r="B1217" s="1"/>
      <c r="C1217" s="1"/>
      <c r="D1217"/>
      <c r="E1217" s="86"/>
      <c r="F1217" s="86"/>
    </row>
    <row r="1218" spans="2:6">
      <c r="B1218" s="1"/>
      <c r="C1218" s="1"/>
      <c r="D1218"/>
      <c r="E1218" s="86"/>
      <c r="F1218" s="86"/>
    </row>
    <row r="1219" spans="2:6">
      <c r="B1219" s="1"/>
      <c r="C1219" s="1"/>
      <c r="D1219"/>
      <c r="E1219" s="86"/>
      <c r="F1219" s="86"/>
    </row>
    <row r="1220" spans="2:6">
      <c r="B1220" s="1"/>
      <c r="C1220" s="1"/>
      <c r="D1220"/>
      <c r="E1220" s="86"/>
      <c r="F1220" s="86"/>
    </row>
    <row r="1221" spans="2:6">
      <c r="B1221" s="1"/>
      <c r="C1221" s="1"/>
      <c r="D1221"/>
      <c r="E1221" s="86"/>
      <c r="F1221" s="86"/>
    </row>
    <row r="1222" spans="2:6">
      <c r="B1222" s="1"/>
      <c r="C1222" s="1"/>
      <c r="D1222"/>
      <c r="E1222" s="86"/>
      <c r="F1222" s="86"/>
    </row>
    <row r="1223" spans="2:6">
      <c r="B1223" s="1"/>
      <c r="C1223" s="1"/>
      <c r="D1223"/>
      <c r="E1223" s="86"/>
      <c r="F1223" s="86"/>
    </row>
    <row r="1224" spans="2:6">
      <c r="B1224" s="1"/>
      <c r="C1224" s="1"/>
      <c r="D1224"/>
      <c r="E1224" s="86"/>
      <c r="F1224" s="86"/>
    </row>
    <row r="1225" spans="2:6">
      <c r="B1225" s="1"/>
      <c r="C1225" s="1"/>
      <c r="D1225"/>
      <c r="E1225" s="86"/>
      <c r="F1225" s="86"/>
    </row>
    <row r="1226" spans="2:6">
      <c r="B1226" s="1"/>
      <c r="C1226" s="1"/>
      <c r="D1226"/>
      <c r="E1226" s="86"/>
      <c r="F1226" s="86"/>
    </row>
    <row r="1227" spans="2:6">
      <c r="B1227" s="1"/>
      <c r="C1227" s="1"/>
      <c r="D1227"/>
      <c r="E1227" s="86"/>
      <c r="F1227" s="86"/>
    </row>
    <row r="1228" spans="2:6">
      <c r="B1228" s="1"/>
      <c r="C1228" s="1"/>
      <c r="D1228"/>
      <c r="E1228" s="86"/>
      <c r="F1228" s="86"/>
    </row>
    <row r="1229" spans="2:6">
      <c r="B1229" s="1"/>
      <c r="C1229" s="1"/>
      <c r="D1229"/>
      <c r="E1229" s="86"/>
      <c r="F1229" s="86"/>
    </row>
    <row r="1230" spans="2:6">
      <c r="B1230" s="1"/>
      <c r="C1230" s="1"/>
      <c r="D1230"/>
      <c r="E1230" s="86"/>
      <c r="F1230" s="86"/>
    </row>
    <row r="1231" spans="2:6">
      <c r="B1231" s="1"/>
      <c r="C1231" s="1"/>
      <c r="D1231"/>
      <c r="E1231" s="86"/>
      <c r="F1231" s="86"/>
    </row>
    <row r="1232" spans="2:6">
      <c r="B1232" s="1"/>
      <c r="C1232" s="1"/>
      <c r="D1232"/>
      <c r="E1232" s="86"/>
      <c r="F1232" s="86"/>
    </row>
    <row r="1233" spans="2:6">
      <c r="B1233" s="1"/>
      <c r="C1233" s="1"/>
      <c r="D1233"/>
      <c r="E1233" s="86"/>
      <c r="F1233" s="86"/>
    </row>
    <row r="1234" spans="2:6">
      <c r="B1234" s="1"/>
      <c r="C1234" s="1"/>
      <c r="D1234"/>
      <c r="E1234" s="86"/>
      <c r="F1234" s="86"/>
    </row>
    <row r="1235" spans="2:6">
      <c r="B1235" s="1"/>
      <c r="C1235" s="1"/>
      <c r="D1235"/>
      <c r="E1235" s="86"/>
      <c r="F1235" s="86"/>
    </row>
    <row r="1236" spans="2:6">
      <c r="B1236" s="1"/>
      <c r="C1236" s="1"/>
      <c r="D1236"/>
      <c r="E1236" s="86"/>
      <c r="F1236" s="86"/>
    </row>
    <row r="1237" spans="2:6">
      <c r="B1237" s="1"/>
      <c r="C1237" s="1"/>
      <c r="D1237"/>
      <c r="E1237" s="86"/>
      <c r="F1237" s="86"/>
    </row>
    <row r="1238" spans="2:6">
      <c r="B1238" s="1"/>
      <c r="C1238" s="1"/>
      <c r="D1238"/>
      <c r="E1238" s="86"/>
      <c r="F1238" s="86"/>
    </row>
    <row r="1239" spans="2:6">
      <c r="B1239" s="1"/>
      <c r="C1239" s="1"/>
      <c r="D1239"/>
      <c r="E1239" s="86"/>
      <c r="F1239" s="86"/>
    </row>
    <row r="1240" spans="2:6">
      <c r="B1240" s="1"/>
      <c r="C1240" s="1"/>
      <c r="D1240"/>
      <c r="E1240" s="86"/>
      <c r="F1240" s="86"/>
    </row>
    <row r="1241" spans="2:6">
      <c r="B1241" s="1"/>
      <c r="C1241" s="1"/>
      <c r="D1241"/>
      <c r="E1241" s="86"/>
      <c r="F1241" s="86"/>
    </row>
    <row r="1242" spans="2:6">
      <c r="B1242" s="1"/>
      <c r="C1242" s="1"/>
      <c r="D1242"/>
      <c r="E1242" s="86"/>
      <c r="F1242" s="86"/>
    </row>
    <row r="1243" spans="2:6">
      <c r="B1243" s="1"/>
      <c r="C1243" s="1"/>
      <c r="D1243"/>
      <c r="E1243" s="86"/>
      <c r="F1243" s="86"/>
    </row>
    <row r="1244" spans="2:6">
      <c r="B1244" s="1"/>
      <c r="C1244" s="1"/>
      <c r="D1244"/>
      <c r="E1244" s="86"/>
      <c r="F1244" s="86"/>
    </row>
    <row r="1245" spans="2:6">
      <c r="B1245" s="1"/>
      <c r="C1245" s="1"/>
      <c r="D1245"/>
      <c r="E1245" s="86"/>
      <c r="F1245" s="86"/>
    </row>
    <row r="1246" spans="2:6">
      <c r="B1246" s="1"/>
      <c r="C1246" s="1"/>
      <c r="D1246"/>
      <c r="E1246" s="86"/>
      <c r="F1246" s="86"/>
    </row>
    <row r="1247" spans="2:6">
      <c r="B1247" s="1"/>
      <c r="C1247" s="1"/>
      <c r="D1247"/>
      <c r="E1247" s="86"/>
      <c r="F1247" s="86"/>
    </row>
    <row r="1248" spans="2:6">
      <c r="B1248" s="1"/>
      <c r="C1248" s="1"/>
      <c r="D1248"/>
      <c r="E1248" s="86"/>
      <c r="F1248" s="86"/>
    </row>
    <row r="1249" spans="2:6">
      <c r="B1249" s="1"/>
      <c r="C1249" s="1"/>
      <c r="D1249"/>
      <c r="E1249" s="86"/>
      <c r="F1249" s="86"/>
    </row>
    <row r="1250" spans="2:6">
      <c r="B1250" s="1"/>
      <c r="C1250" s="1"/>
      <c r="D1250"/>
      <c r="E1250" s="86"/>
      <c r="F1250" s="86"/>
    </row>
    <row r="1251" spans="2:6">
      <c r="B1251" s="1"/>
      <c r="C1251" s="1"/>
      <c r="D1251"/>
      <c r="E1251" s="86"/>
      <c r="F1251" s="86"/>
    </row>
    <row r="1252" spans="2:6">
      <c r="B1252" s="1"/>
      <c r="C1252" s="1"/>
      <c r="D1252"/>
      <c r="E1252" s="86"/>
      <c r="F1252" s="86"/>
    </row>
    <row r="1253" spans="2:6">
      <c r="B1253" s="1"/>
      <c r="C1253" s="1"/>
      <c r="D1253"/>
      <c r="E1253" s="86"/>
      <c r="F1253" s="86"/>
    </row>
    <row r="1254" spans="2:6">
      <c r="B1254" s="1"/>
      <c r="C1254" s="1"/>
      <c r="D1254"/>
      <c r="E1254" s="86"/>
      <c r="F1254" s="86"/>
    </row>
    <row r="1255" spans="2:6">
      <c r="B1255" s="1"/>
      <c r="C1255" s="1"/>
      <c r="D1255"/>
      <c r="E1255" s="86"/>
      <c r="F1255" s="86"/>
    </row>
    <row r="1256" spans="2:6">
      <c r="B1256" s="1"/>
      <c r="C1256" s="1"/>
      <c r="D1256"/>
      <c r="E1256" s="86"/>
      <c r="F1256" s="86"/>
    </row>
    <row r="1257" spans="2:6">
      <c r="B1257" s="1"/>
      <c r="C1257" s="1"/>
      <c r="D1257"/>
      <c r="E1257" s="86"/>
      <c r="F1257" s="86"/>
    </row>
    <row r="1258" spans="2:6">
      <c r="B1258" s="1"/>
      <c r="C1258" s="1"/>
      <c r="D1258"/>
      <c r="E1258" s="86"/>
      <c r="F1258" s="86"/>
    </row>
    <row r="1259" spans="2:6">
      <c r="B1259" s="1"/>
      <c r="C1259" s="1"/>
      <c r="D1259"/>
      <c r="E1259" s="86"/>
      <c r="F1259" s="86"/>
    </row>
    <row r="1260" spans="2:6">
      <c r="B1260" s="1"/>
      <c r="C1260" s="1"/>
      <c r="D1260"/>
      <c r="E1260" s="86"/>
      <c r="F1260" s="86"/>
    </row>
    <row r="1261" spans="2:6">
      <c r="B1261" s="1"/>
      <c r="C1261" s="1"/>
      <c r="D1261"/>
      <c r="E1261" s="86"/>
      <c r="F1261" s="86"/>
    </row>
    <row r="1262" spans="2:6">
      <c r="B1262" s="1"/>
      <c r="C1262" s="1"/>
      <c r="D1262"/>
      <c r="E1262" s="86"/>
      <c r="F1262" s="86"/>
    </row>
    <row r="1263" spans="2:6">
      <c r="B1263" s="1"/>
      <c r="C1263" s="1"/>
      <c r="D1263"/>
      <c r="E1263" s="86"/>
      <c r="F1263" s="86"/>
    </row>
    <row r="1264" spans="2:6">
      <c r="B1264" s="1"/>
      <c r="C1264" s="1"/>
      <c r="D1264"/>
      <c r="E1264" s="86"/>
      <c r="F1264" s="86"/>
    </row>
    <row r="1265" spans="2:6">
      <c r="B1265" s="1"/>
      <c r="C1265" s="1"/>
      <c r="D1265"/>
      <c r="E1265" s="86"/>
      <c r="F1265" s="86"/>
    </row>
    <row r="1266" spans="2:6">
      <c r="B1266" s="1"/>
      <c r="C1266" s="1"/>
      <c r="D1266"/>
      <c r="E1266" s="86"/>
      <c r="F1266" s="86"/>
    </row>
    <row r="1267" spans="2:6">
      <c r="B1267" s="1"/>
      <c r="C1267" s="1"/>
      <c r="D1267"/>
      <c r="E1267" s="86"/>
      <c r="F1267" s="86"/>
    </row>
    <row r="1268" spans="2:6">
      <c r="B1268" s="1"/>
      <c r="C1268" s="1"/>
      <c r="D1268"/>
      <c r="E1268" s="86"/>
      <c r="F1268" s="86"/>
    </row>
    <row r="1269" spans="2:6">
      <c r="B1269" s="1"/>
      <c r="C1269" s="1"/>
      <c r="D1269"/>
      <c r="E1269" s="86"/>
      <c r="F1269" s="86"/>
    </row>
    <row r="1270" spans="2:6">
      <c r="B1270" s="1"/>
      <c r="C1270" s="1"/>
      <c r="D1270"/>
      <c r="E1270" s="86"/>
      <c r="F1270" s="86"/>
    </row>
    <row r="1271" spans="2:6">
      <c r="B1271" s="1"/>
      <c r="C1271" s="1"/>
      <c r="D1271"/>
      <c r="E1271" s="86"/>
      <c r="F1271" s="86"/>
    </row>
    <row r="1272" spans="2:6">
      <c r="B1272" s="1"/>
      <c r="C1272" s="1"/>
      <c r="D1272"/>
      <c r="E1272" s="86"/>
      <c r="F1272" s="86"/>
    </row>
    <row r="1273" spans="2:6">
      <c r="B1273" s="1"/>
      <c r="C1273" s="1"/>
      <c r="D1273"/>
      <c r="E1273" s="86"/>
      <c r="F1273" s="86"/>
    </row>
    <row r="1274" spans="2:6">
      <c r="B1274" s="1"/>
      <c r="C1274" s="1"/>
      <c r="D1274"/>
      <c r="E1274" s="86"/>
      <c r="F1274" s="86"/>
    </row>
    <row r="1275" spans="2:6">
      <c r="B1275" s="1"/>
      <c r="C1275" s="1"/>
      <c r="D1275"/>
      <c r="E1275" s="86"/>
      <c r="F1275" s="86"/>
    </row>
    <row r="1276" spans="2:6">
      <c r="B1276" s="1"/>
      <c r="C1276" s="1"/>
      <c r="D1276"/>
      <c r="E1276" s="86"/>
      <c r="F1276" s="86"/>
    </row>
    <row r="1277" spans="2:6">
      <c r="B1277" s="1"/>
      <c r="C1277" s="1"/>
      <c r="D1277"/>
      <c r="E1277" s="86"/>
      <c r="F1277" s="86"/>
    </row>
    <row r="1278" spans="2:6">
      <c r="B1278" s="1"/>
      <c r="C1278" s="1"/>
      <c r="D1278"/>
      <c r="E1278" s="86"/>
      <c r="F1278" s="86"/>
    </row>
    <row r="1279" spans="2:6">
      <c r="B1279" s="1"/>
      <c r="C1279" s="1"/>
      <c r="D1279"/>
      <c r="E1279" s="86"/>
      <c r="F1279" s="86"/>
    </row>
    <row r="1280" spans="2:6">
      <c r="B1280" s="1"/>
      <c r="C1280" s="1"/>
      <c r="D1280"/>
      <c r="E1280" s="86"/>
      <c r="F1280" s="86"/>
    </row>
    <row r="1281" spans="2:6">
      <c r="B1281" s="1"/>
      <c r="C1281" s="1"/>
      <c r="D1281"/>
      <c r="E1281" s="86"/>
      <c r="F1281" s="86"/>
    </row>
    <row r="1282" spans="2:6">
      <c r="B1282" s="1"/>
      <c r="C1282" s="1"/>
      <c r="D1282"/>
      <c r="E1282" s="86"/>
      <c r="F1282" s="86"/>
    </row>
    <row r="1283" spans="2:6">
      <c r="B1283" s="1"/>
      <c r="C1283" s="1"/>
      <c r="D1283"/>
      <c r="E1283" s="86"/>
      <c r="F1283" s="86"/>
    </row>
    <row r="1284" spans="2:6">
      <c r="B1284" s="1"/>
      <c r="C1284" s="1"/>
      <c r="D1284"/>
      <c r="E1284" s="86"/>
      <c r="F1284" s="86"/>
    </row>
    <row r="1285" spans="2:6">
      <c r="B1285" s="1"/>
      <c r="C1285" s="1"/>
      <c r="D1285"/>
      <c r="E1285" s="86"/>
      <c r="F1285" s="86"/>
    </row>
    <row r="1286" spans="2:6">
      <c r="B1286" s="1"/>
      <c r="C1286" s="1"/>
      <c r="D1286"/>
      <c r="E1286" s="86"/>
      <c r="F1286" s="86"/>
    </row>
    <row r="1287" spans="2:6">
      <c r="B1287" s="1"/>
      <c r="C1287" s="1"/>
      <c r="D1287"/>
      <c r="E1287" s="86"/>
      <c r="F1287" s="86"/>
    </row>
    <row r="1288" spans="2:6">
      <c r="B1288" s="1"/>
      <c r="C1288" s="1"/>
      <c r="D1288"/>
      <c r="E1288" s="86"/>
      <c r="F1288" s="86"/>
    </row>
    <row r="1289" spans="2:6">
      <c r="B1289" s="1"/>
      <c r="C1289" s="1"/>
      <c r="D1289"/>
      <c r="E1289" s="86"/>
      <c r="F1289" s="86"/>
    </row>
    <row r="1290" spans="2:6">
      <c r="B1290" s="1"/>
      <c r="C1290" s="1"/>
      <c r="D1290"/>
      <c r="E1290" s="86"/>
      <c r="F1290" s="86"/>
    </row>
    <row r="1291" spans="2:6">
      <c r="B1291" s="1"/>
      <c r="C1291" s="1"/>
      <c r="D1291"/>
      <c r="E1291" s="86"/>
      <c r="F1291" s="86"/>
    </row>
    <row r="1292" spans="2:6">
      <c r="B1292" s="1"/>
      <c r="C1292" s="1"/>
      <c r="D1292"/>
      <c r="E1292" s="86"/>
      <c r="F1292" s="86"/>
    </row>
    <row r="1293" spans="2:6">
      <c r="B1293" s="1"/>
      <c r="C1293" s="1"/>
      <c r="D1293"/>
      <c r="E1293" s="86"/>
      <c r="F1293" s="86"/>
    </row>
    <row r="1294" spans="2:6">
      <c r="B1294" s="1"/>
      <c r="C1294" s="1"/>
      <c r="D1294"/>
      <c r="E1294" s="86"/>
      <c r="F1294" s="86"/>
    </row>
    <row r="1295" spans="2:6">
      <c r="B1295" s="1"/>
      <c r="C1295" s="1"/>
      <c r="D1295"/>
      <c r="E1295" s="86"/>
      <c r="F1295" s="86"/>
    </row>
    <row r="1296" spans="2:6">
      <c r="B1296" s="1"/>
      <c r="C1296" s="1"/>
      <c r="D1296"/>
      <c r="E1296" s="86"/>
      <c r="F1296" s="86"/>
    </row>
    <row r="1297" spans="2:6">
      <c r="B1297" s="1"/>
      <c r="C1297" s="1"/>
      <c r="D1297"/>
      <c r="E1297" s="86"/>
      <c r="F1297" s="86"/>
    </row>
    <row r="1298" spans="2:6">
      <c r="B1298" s="1"/>
      <c r="C1298" s="1"/>
      <c r="D1298"/>
      <c r="E1298" s="86"/>
      <c r="F1298" s="86"/>
    </row>
    <row r="1299" spans="2:6">
      <c r="B1299" s="1"/>
      <c r="C1299" s="1"/>
      <c r="D1299"/>
      <c r="E1299" s="86"/>
      <c r="F1299" s="86"/>
    </row>
    <row r="1300" spans="2:6">
      <c r="B1300" s="1"/>
      <c r="C1300" s="1"/>
      <c r="D1300"/>
      <c r="E1300" s="86"/>
      <c r="F1300" s="86"/>
    </row>
    <row r="1301" spans="2:6">
      <c r="B1301" s="1"/>
      <c r="C1301" s="1"/>
      <c r="D1301"/>
      <c r="E1301" s="86"/>
      <c r="F1301" s="86"/>
    </row>
    <row r="1302" spans="2:6">
      <c r="B1302" s="1"/>
      <c r="C1302" s="1"/>
      <c r="D1302"/>
      <c r="E1302" s="86"/>
      <c r="F1302" s="86"/>
    </row>
    <row r="1303" spans="2:6">
      <c r="B1303" s="1"/>
      <c r="C1303" s="1"/>
      <c r="D1303"/>
      <c r="E1303" s="86"/>
      <c r="F1303" s="86"/>
    </row>
    <row r="1304" spans="2:6">
      <c r="B1304" s="1"/>
      <c r="C1304" s="1"/>
      <c r="D1304"/>
      <c r="E1304" s="86"/>
      <c r="F1304" s="86"/>
    </row>
    <row r="1305" spans="2:6">
      <c r="B1305" s="1"/>
      <c r="C1305" s="1"/>
      <c r="D1305"/>
      <c r="E1305" s="86"/>
      <c r="F1305" s="86"/>
    </row>
    <row r="1306" spans="2:6">
      <c r="B1306" s="1"/>
      <c r="C1306" s="1"/>
      <c r="D1306"/>
      <c r="E1306" s="86"/>
      <c r="F1306" s="86"/>
    </row>
    <row r="1307" spans="2:6">
      <c r="B1307" s="1"/>
      <c r="C1307" s="1"/>
      <c r="D1307"/>
      <c r="E1307" s="86"/>
      <c r="F1307" s="86"/>
    </row>
    <row r="1308" spans="2:6">
      <c r="B1308" s="1"/>
      <c r="C1308" s="1"/>
      <c r="D1308"/>
      <c r="E1308" s="86"/>
      <c r="F1308" s="86"/>
    </row>
    <row r="1309" spans="2:6">
      <c r="B1309" s="1"/>
      <c r="C1309" s="1"/>
      <c r="D1309"/>
      <c r="E1309" s="86"/>
      <c r="F1309" s="86"/>
    </row>
    <row r="1310" spans="2:6">
      <c r="B1310" s="1"/>
      <c r="C1310" s="1"/>
      <c r="D1310"/>
      <c r="E1310" s="86"/>
      <c r="F1310" s="86"/>
    </row>
    <row r="1311" spans="2:6">
      <c r="B1311" s="1"/>
      <c r="C1311" s="1"/>
      <c r="D1311"/>
      <c r="E1311" s="86"/>
      <c r="F1311" s="86"/>
    </row>
    <row r="1312" spans="2:6">
      <c r="B1312" s="1"/>
      <c r="C1312" s="1"/>
      <c r="D1312"/>
      <c r="E1312" s="86"/>
      <c r="F1312" s="86"/>
    </row>
    <row r="1313" spans="2:6">
      <c r="B1313" s="1"/>
      <c r="C1313" s="1"/>
      <c r="D1313"/>
      <c r="E1313" s="86"/>
      <c r="F1313" s="86"/>
    </row>
    <row r="1314" spans="2:6">
      <c r="B1314" s="1"/>
      <c r="C1314" s="1"/>
      <c r="D1314"/>
      <c r="E1314" s="86"/>
      <c r="F1314" s="86"/>
    </row>
    <row r="1315" spans="2:6">
      <c r="B1315" s="1"/>
      <c r="C1315" s="1"/>
      <c r="D1315"/>
      <c r="E1315" s="86"/>
      <c r="F1315" s="86"/>
    </row>
    <row r="1316" spans="2:6">
      <c r="B1316" s="1"/>
      <c r="C1316" s="1"/>
      <c r="D1316"/>
      <c r="E1316" s="86"/>
      <c r="F1316" s="86"/>
    </row>
    <row r="1317" spans="2:6">
      <c r="B1317" s="1"/>
      <c r="C1317" s="1"/>
      <c r="D1317"/>
      <c r="E1317" s="86"/>
      <c r="F1317" s="86"/>
    </row>
    <row r="1318" spans="2:6">
      <c r="B1318" s="1"/>
      <c r="C1318" s="1"/>
      <c r="D1318"/>
      <c r="E1318" s="86"/>
      <c r="F1318" s="86"/>
    </row>
    <row r="1319" spans="2:6">
      <c r="B1319" s="1"/>
      <c r="C1319" s="1"/>
      <c r="D1319"/>
      <c r="E1319" s="86"/>
      <c r="F1319" s="86"/>
    </row>
    <row r="1320" spans="2:6">
      <c r="B1320" s="1"/>
      <c r="C1320" s="1"/>
      <c r="D1320"/>
      <c r="E1320" s="86"/>
      <c r="F1320" s="86"/>
    </row>
    <row r="1321" spans="2:6">
      <c r="B1321" s="1"/>
      <c r="C1321" s="1"/>
      <c r="D1321"/>
      <c r="E1321" s="86"/>
      <c r="F1321" s="86"/>
    </row>
    <row r="1322" spans="2:6">
      <c r="B1322" s="1"/>
      <c r="C1322" s="1"/>
      <c r="D1322"/>
      <c r="E1322" s="86"/>
      <c r="F1322" s="86"/>
    </row>
    <row r="1323" spans="2:6">
      <c r="B1323" s="1"/>
      <c r="C1323" s="1"/>
      <c r="D1323"/>
      <c r="E1323" s="86"/>
      <c r="F1323" s="86"/>
    </row>
    <row r="1324" spans="2:6">
      <c r="B1324" s="1"/>
      <c r="C1324" s="1"/>
      <c r="D1324"/>
      <c r="E1324" s="86"/>
      <c r="F1324" s="86"/>
    </row>
    <row r="1325" spans="2:6">
      <c r="B1325" s="1"/>
      <c r="C1325" s="1"/>
      <c r="D1325"/>
      <c r="E1325" s="86"/>
      <c r="F1325" s="86"/>
    </row>
    <row r="1326" spans="2:6">
      <c r="B1326" s="1"/>
      <c r="C1326" s="1"/>
      <c r="D1326"/>
      <c r="E1326" s="86"/>
      <c r="F1326" s="86"/>
    </row>
    <row r="1327" spans="2:6">
      <c r="B1327" s="1"/>
      <c r="C1327" s="1"/>
      <c r="D1327"/>
      <c r="E1327" s="86"/>
      <c r="F1327" s="86"/>
    </row>
    <row r="1328" spans="2:6">
      <c r="B1328" s="1"/>
      <c r="C1328" s="1"/>
      <c r="D1328"/>
      <c r="E1328" s="86"/>
      <c r="F1328" s="86"/>
    </row>
    <row r="1329" spans="2:6">
      <c r="B1329" s="1"/>
      <c r="C1329" s="1"/>
      <c r="D1329"/>
      <c r="E1329" s="86"/>
      <c r="F1329" s="86"/>
    </row>
    <row r="1330" spans="2:6">
      <c r="B1330" s="1"/>
      <c r="C1330" s="1"/>
      <c r="D1330"/>
      <c r="E1330" s="86"/>
      <c r="F1330" s="86"/>
    </row>
    <row r="1331" spans="2:6">
      <c r="B1331" s="1"/>
      <c r="C1331" s="1"/>
      <c r="D1331"/>
      <c r="E1331" s="86"/>
      <c r="F1331" s="86"/>
    </row>
    <row r="1332" spans="2:6">
      <c r="B1332" s="1"/>
      <c r="C1332" s="1"/>
      <c r="D1332"/>
      <c r="E1332" s="86"/>
      <c r="F1332" s="86"/>
    </row>
    <row r="1333" spans="2:6">
      <c r="B1333" s="1"/>
      <c r="C1333" s="1"/>
      <c r="D1333"/>
      <c r="E1333" s="86"/>
      <c r="F1333" s="86"/>
    </row>
    <row r="1334" spans="2:6">
      <c r="B1334" s="1"/>
      <c r="C1334" s="1"/>
      <c r="D1334"/>
      <c r="E1334" s="86"/>
      <c r="F1334" s="86"/>
    </row>
    <row r="1335" spans="2:6">
      <c r="B1335" s="1"/>
      <c r="C1335" s="1"/>
      <c r="D1335"/>
      <c r="E1335" s="86"/>
      <c r="F1335" s="86"/>
    </row>
    <row r="1336" spans="2:6">
      <c r="B1336" s="1"/>
      <c r="C1336" s="1"/>
      <c r="D1336"/>
      <c r="E1336" s="86"/>
      <c r="F1336" s="86"/>
    </row>
    <row r="1337" spans="2:6">
      <c r="B1337" s="1"/>
      <c r="C1337" s="1"/>
      <c r="D1337"/>
      <c r="E1337" s="86"/>
      <c r="F1337" s="86"/>
    </row>
    <row r="1338" spans="2:6">
      <c r="B1338" s="1"/>
      <c r="C1338" s="1"/>
      <c r="D1338"/>
      <c r="E1338" s="86"/>
      <c r="F1338" s="86"/>
    </row>
    <row r="1339" spans="2:6">
      <c r="B1339" s="1"/>
      <c r="C1339" s="1"/>
      <c r="D1339"/>
      <c r="E1339" s="86"/>
      <c r="F1339" s="86"/>
    </row>
    <row r="1340" spans="2:6">
      <c r="B1340" s="1"/>
      <c r="C1340" s="1"/>
      <c r="D1340"/>
      <c r="E1340" s="86"/>
      <c r="F1340" s="86"/>
    </row>
    <row r="1341" spans="2:6">
      <c r="B1341" s="1"/>
      <c r="C1341" s="1"/>
      <c r="D1341"/>
      <c r="E1341" s="86"/>
      <c r="F1341" s="86"/>
    </row>
    <row r="1342" spans="2:6">
      <c r="B1342" s="1"/>
      <c r="C1342" s="1"/>
      <c r="D1342"/>
      <c r="E1342" s="86"/>
      <c r="F1342" s="86"/>
    </row>
    <row r="1343" spans="2:6">
      <c r="B1343" s="1"/>
      <c r="C1343" s="1"/>
      <c r="D1343"/>
      <c r="E1343" s="86"/>
      <c r="F1343" s="86"/>
    </row>
    <row r="1344" spans="2:6">
      <c r="B1344" s="1"/>
      <c r="C1344" s="1"/>
      <c r="D1344"/>
      <c r="E1344" s="86"/>
      <c r="F1344" s="86"/>
    </row>
    <row r="1345" spans="2:6">
      <c r="B1345" s="1"/>
      <c r="C1345" s="1"/>
      <c r="D1345"/>
      <c r="E1345" s="86"/>
      <c r="F1345" s="86"/>
    </row>
    <row r="1346" spans="2:6">
      <c r="B1346" s="1"/>
      <c r="C1346" s="1"/>
      <c r="D1346"/>
      <c r="E1346" s="86"/>
      <c r="F1346" s="86"/>
    </row>
    <row r="1347" spans="2:6">
      <c r="B1347" s="1"/>
      <c r="C1347" s="1"/>
      <c r="D1347"/>
      <c r="E1347" s="86"/>
      <c r="F1347" s="86"/>
    </row>
    <row r="1348" spans="2:6">
      <c r="B1348" s="1"/>
      <c r="C1348" s="1"/>
      <c r="D1348"/>
      <c r="E1348" s="86"/>
      <c r="F1348" s="86"/>
    </row>
    <row r="1349" spans="2:6">
      <c r="B1349" s="1"/>
      <c r="C1349" s="1"/>
      <c r="D1349"/>
      <c r="E1349" s="86"/>
      <c r="F1349" s="86"/>
    </row>
    <row r="1350" spans="2:6">
      <c r="B1350" s="1"/>
      <c r="C1350" s="1"/>
      <c r="D1350"/>
      <c r="E1350" s="86"/>
      <c r="F1350" s="86"/>
    </row>
    <row r="1351" spans="2:6">
      <c r="B1351" s="1"/>
      <c r="C1351" s="1"/>
      <c r="D1351"/>
      <c r="E1351" s="86"/>
      <c r="F1351" s="86"/>
    </row>
    <row r="1352" spans="2:6">
      <c r="B1352" s="1"/>
      <c r="C1352" s="1"/>
      <c r="D1352"/>
      <c r="E1352" s="86"/>
      <c r="F1352" s="86"/>
    </row>
    <row r="1353" spans="2:6">
      <c r="B1353" s="1"/>
      <c r="C1353" s="1"/>
      <c r="D1353"/>
      <c r="E1353" s="86"/>
      <c r="F1353" s="86"/>
    </row>
    <row r="1354" spans="2:6">
      <c r="B1354" s="1"/>
      <c r="C1354" s="1"/>
      <c r="D1354"/>
      <c r="E1354" s="86"/>
      <c r="F1354" s="86"/>
    </row>
    <row r="1355" spans="2:6">
      <c r="B1355" s="1"/>
      <c r="C1355" s="1"/>
      <c r="D1355"/>
      <c r="E1355" s="86"/>
      <c r="F1355" s="86"/>
    </row>
    <row r="1356" spans="2:6">
      <c r="B1356" s="1"/>
      <c r="C1356" s="1"/>
      <c r="D1356"/>
      <c r="E1356" s="86"/>
      <c r="F1356" s="86"/>
    </row>
    <row r="1357" spans="2:6">
      <c r="B1357" s="1"/>
      <c r="C1357" s="1"/>
      <c r="D1357"/>
      <c r="E1357" s="86"/>
      <c r="F1357" s="86"/>
    </row>
    <row r="1358" spans="2:6">
      <c r="B1358" s="1"/>
      <c r="C1358" s="1"/>
      <c r="D1358"/>
      <c r="E1358" s="86"/>
      <c r="F1358" s="86"/>
    </row>
    <row r="1359" spans="2:6">
      <c r="B1359" s="1"/>
      <c r="C1359" s="1"/>
      <c r="D1359"/>
      <c r="E1359" s="86"/>
      <c r="F1359" s="86"/>
    </row>
    <row r="1360" spans="2:6">
      <c r="B1360" s="1"/>
      <c r="C1360" s="1"/>
      <c r="D1360"/>
      <c r="E1360" s="86"/>
      <c r="F1360" s="86"/>
    </row>
    <row r="1361" spans="2:6">
      <c r="B1361" s="1"/>
      <c r="C1361" s="1"/>
      <c r="D1361"/>
      <c r="E1361" s="86"/>
      <c r="F1361" s="86"/>
    </row>
    <row r="1362" spans="2:6">
      <c r="B1362" s="1"/>
      <c r="C1362" s="1"/>
      <c r="D1362"/>
      <c r="E1362" s="86"/>
      <c r="F1362" s="86"/>
    </row>
    <row r="1363" spans="2:6">
      <c r="B1363" s="1"/>
      <c r="C1363" s="1"/>
      <c r="D1363"/>
      <c r="E1363" s="86"/>
      <c r="F1363" s="86"/>
    </row>
    <row r="1364" spans="2:6">
      <c r="B1364" s="1"/>
      <c r="C1364" s="1"/>
      <c r="D1364"/>
      <c r="E1364" s="86"/>
      <c r="F1364" s="86"/>
    </row>
    <row r="1365" spans="2:6">
      <c r="B1365" s="1"/>
      <c r="C1365" s="1"/>
      <c r="D1365"/>
      <c r="E1365" s="86"/>
      <c r="F1365" s="86"/>
    </row>
    <row r="1366" spans="2:6">
      <c r="B1366" s="1"/>
      <c r="C1366" s="1"/>
      <c r="D1366"/>
      <c r="E1366" s="86"/>
      <c r="F1366" s="86"/>
    </row>
    <row r="1367" spans="2:6">
      <c r="B1367" s="1"/>
      <c r="C1367" s="1"/>
      <c r="D1367"/>
      <c r="E1367" s="86"/>
      <c r="F1367" s="86"/>
    </row>
    <row r="1368" spans="2:6">
      <c r="B1368" s="1"/>
      <c r="C1368" s="1"/>
      <c r="D1368"/>
      <c r="E1368" s="86"/>
      <c r="F1368" s="86"/>
    </row>
    <row r="1369" spans="2:6">
      <c r="B1369" s="1"/>
      <c r="C1369" s="1"/>
      <c r="D1369"/>
      <c r="E1369" s="86"/>
      <c r="F1369" s="86"/>
    </row>
    <row r="1370" spans="2:6">
      <c r="B1370" s="1"/>
      <c r="C1370" s="1"/>
      <c r="D1370"/>
      <c r="E1370" s="86"/>
      <c r="F1370" s="86"/>
    </row>
    <row r="1371" spans="2:6">
      <c r="B1371" s="1"/>
      <c r="C1371" s="1"/>
      <c r="D1371"/>
      <c r="E1371" s="86"/>
      <c r="F1371" s="86"/>
    </row>
    <row r="1372" spans="2:6">
      <c r="B1372" s="1"/>
      <c r="C1372" s="1"/>
      <c r="D1372"/>
      <c r="E1372" s="86"/>
      <c r="F1372" s="86"/>
    </row>
    <row r="1373" spans="2:6">
      <c r="B1373" s="1"/>
      <c r="C1373" s="1"/>
      <c r="D1373"/>
      <c r="E1373" s="86"/>
      <c r="F1373" s="86"/>
    </row>
    <row r="1374" spans="2:6">
      <c r="B1374" s="1"/>
      <c r="C1374" s="1"/>
      <c r="D1374"/>
      <c r="E1374" s="86"/>
      <c r="F1374" s="86"/>
    </row>
    <row r="1375" spans="2:6">
      <c r="B1375" s="1"/>
      <c r="C1375" s="1"/>
      <c r="D1375"/>
      <c r="E1375" s="86"/>
      <c r="F1375" s="86"/>
    </row>
    <row r="1376" spans="2:6">
      <c r="B1376" s="1"/>
      <c r="C1376" s="1"/>
      <c r="D1376"/>
      <c r="E1376" s="86"/>
      <c r="F1376" s="86"/>
    </row>
    <row r="1377" spans="2:6">
      <c r="B1377" s="1"/>
      <c r="C1377" s="1"/>
      <c r="D1377"/>
      <c r="E1377" s="86"/>
      <c r="F1377" s="86"/>
    </row>
    <row r="1378" spans="2:6">
      <c r="B1378" s="1"/>
      <c r="C1378" s="1"/>
      <c r="D1378"/>
      <c r="E1378" s="86"/>
      <c r="F1378" s="86"/>
    </row>
    <row r="1379" spans="2:6">
      <c r="B1379" s="1"/>
      <c r="C1379" s="1"/>
      <c r="D1379"/>
      <c r="E1379" s="86"/>
      <c r="F1379" s="86"/>
    </row>
    <row r="1380" spans="2:6">
      <c r="B1380" s="1"/>
      <c r="C1380" s="1"/>
      <c r="D1380"/>
      <c r="E1380" s="86"/>
      <c r="F1380" s="86"/>
    </row>
    <row r="1381" spans="2:6">
      <c r="B1381" s="1"/>
      <c r="C1381" s="1"/>
      <c r="D1381"/>
      <c r="E1381" s="86"/>
      <c r="F1381" s="86"/>
    </row>
    <row r="1382" spans="2:6">
      <c r="B1382" s="1"/>
      <c r="C1382" s="1"/>
      <c r="D1382"/>
      <c r="E1382" s="86"/>
      <c r="F1382" s="86"/>
    </row>
    <row r="1383" spans="2:6">
      <c r="B1383" s="1"/>
      <c r="C1383" s="1"/>
      <c r="D1383"/>
      <c r="E1383" s="86"/>
      <c r="F1383" s="86"/>
    </row>
    <row r="1384" spans="2:6">
      <c r="B1384" s="1"/>
      <c r="C1384" s="1"/>
      <c r="D1384"/>
      <c r="E1384" s="86"/>
      <c r="F1384" s="86"/>
    </row>
    <row r="1385" spans="2:6">
      <c r="B1385" s="1"/>
      <c r="C1385" s="1"/>
      <c r="D1385"/>
      <c r="E1385" s="86"/>
      <c r="F1385" s="86"/>
    </row>
    <row r="1386" spans="2:6">
      <c r="B1386" s="1"/>
      <c r="C1386" s="1"/>
      <c r="D1386"/>
      <c r="E1386" s="86"/>
      <c r="F1386" s="86"/>
    </row>
    <row r="1387" spans="2:6">
      <c r="B1387" s="1"/>
      <c r="C1387" s="1"/>
      <c r="D1387"/>
      <c r="E1387" s="86"/>
      <c r="F1387" s="86"/>
    </row>
    <row r="1388" spans="2:6">
      <c r="B1388" s="1"/>
      <c r="C1388" s="1"/>
      <c r="D1388"/>
      <c r="E1388" s="86"/>
      <c r="F1388" s="86"/>
    </row>
    <row r="1389" spans="2:6">
      <c r="B1389" s="1"/>
      <c r="C1389" s="1"/>
      <c r="D1389"/>
      <c r="E1389" s="86"/>
      <c r="F1389" s="86"/>
    </row>
    <row r="1390" spans="2:6">
      <c r="B1390" s="1"/>
      <c r="C1390" s="1"/>
      <c r="D1390"/>
      <c r="E1390" s="86"/>
      <c r="F1390" s="86"/>
    </row>
    <row r="1391" spans="2:6">
      <c r="B1391" s="1"/>
      <c r="C1391" s="1"/>
      <c r="D1391"/>
      <c r="E1391" s="86"/>
      <c r="F1391" s="86"/>
    </row>
    <row r="1392" spans="2:6">
      <c r="B1392" s="1"/>
      <c r="C1392" s="1"/>
      <c r="D1392"/>
      <c r="E1392" s="86"/>
      <c r="F1392" s="86"/>
    </row>
    <row r="1393" spans="2:6">
      <c r="B1393" s="1"/>
      <c r="C1393" s="1"/>
      <c r="D1393"/>
      <c r="E1393" s="86"/>
      <c r="F1393" s="86"/>
    </row>
    <row r="1394" spans="2:6">
      <c r="B1394" s="1"/>
      <c r="C1394" s="1"/>
      <c r="D1394"/>
      <c r="E1394" s="86"/>
      <c r="F1394" s="86"/>
    </row>
    <row r="1395" spans="2:6">
      <c r="B1395" s="1"/>
      <c r="C1395" s="1"/>
      <c r="D1395"/>
      <c r="E1395" s="86"/>
      <c r="F1395" s="86"/>
    </row>
    <row r="1396" spans="2:6">
      <c r="B1396" s="1"/>
      <c r="C1396" s="1"/>
      <c r="D1396"/>
      <c r="E1396" s="86"/>
      <c r="F1396" s="86"/>
    </row>
    <row r="1397" spans="2:6">
      <c r="B1397" s="1"/>
      <c r="C1397" s="1"/>
      <c r="D1397"/>
      <c r="E1397" s="86"/>
      <c r="F1397" s="86"/>
    </row>
    <row r="1398" spans="2:6">
      <c r="B1398" s="1"/>
      <c r="C1398" s="1"/>
      <c r="D1398"/>
      <c r="E1398" s="86"/>
      <c r="F1398" s="86"/>
    </row>
    <row r="1399" spans="2:6">
      <c r="B1399" s="1"/>
      <c r="C1399" s="1"/>
      <c r="D1399"/>
      <c r="E1399" s="86"/>
      <c r="F1399" s="86"/>
    </row>
    <row r="1400" spans="2:6">
      <c r="B1400" s="1"/>
      <c r="C1400" s="1"/>
      <c r="D1400"/>
      <c r="E1400" s="86"/>
      <c r="F1400" s="86"/>
    </row>
    <row r="1401" spans="2:6">
      <c r="B1401" s="1"/>
      <c r="C1401" s="1"/>
      <c r="D1401"/>
      <c r="E1401" s="86"/>
      <c r="F1401" s="86"/>
    </row>
    <row r="1402" spans="2:6">
      <c r="B1402" s="1"/>
      <c r="C1402" s="1"/>
      <c r="D1402"/>
      <c r="E1402" s="86"/>
      <c r="F1402" s="86"/>
    </row>
    <row r="1403" spans="2:6">
      <c r="B1403" s="1"/>
      <c r="C1403" s="1"/>
      <c r="D1403"/>
      <c r="E1403" s="86"/>
      <c r="F1403" s="86"/>
    </row>
    <row r="1404" spans="2:6">
      <c r="B1404" s="1"/>
      <c r="C1404" s="1"/>
      <c r="D1404"/>
      <c r="E1404" s="86"/>
      <c r="F1404" s="86"/>
    </row>
    <row r="1405" spans="2:6">
      <c r="B1405" s="1"/>
      <c r="C1405" s="1"/>
      <c r="D1405"/>
      <c r="E1405" s="86"/>
      <c r="F1405" s="86"/>
    </row>
    <row r="1406" spans="2:6">
      <c r="B1406" s="1"/>
      <c r="C1406" s="1"/>
      <c r="D1406"/>
      <c r="E1406" s="86"/>
      <c r="F1406" s="86"/>
    </row>
    <row r="1407" spans="2:6">
      <c r="B1407" s="1"/>
      <c r="C1407" s="1"/>
      <c r="D1407"/>
      <c r="E1407" s="86"/>
      <c r="F1407" s="86"/>
    </row>
    <row r="1408" spans="2:6">
      <c r="B1408" s="1"/>
      <c r="C1408" s="1"/>
      <c r="D1408"/>
      <c r="E1408" s="86"/>
      <c r="F1408" s="86"/>
    </row>
    <row r="1409" spans="2:6">
      <c r="B1409" s="1"/>
      <c r="C1409" s="1"/>
      <c r="D1409"/>
      <c r="E1409" s="86"/>
      <c r="F1409" s="86"/>
    </row>
    <row r="1410" spans="2:6">
      <c r="B1410" s="1"/>
      <c r="C1410" s="1"/>
      <c r="D1410"/>
      <c r="E1410" s="86"/>
      <c r="F1410" s="86"/>
    </row>
    <row r="1411" spans="2:6">
      <c r="B1411" s="1"/>
      <c r="C1411" s="1"/>
      <c r="D1411"/>
      <c r="E1411" s="86"/>
      <c r="F1411" s="86"/>
    </row>
    <row r="1412" spans="2:6">
      <c r="B1412" s="1"/>
      <c r="C1412" s="1"/>
      <c r="D1412"/>
      <c r="E1412" s="86"/>
      <c r="F1412" s="86"/>
    </row>
    <row r="1413" spans="2:6">
      <c r="B1413" s="1"/>
      <c r="C1413" s="1"/>
      <c r="D1413"/>
      <c r="E1413" s="86"/>
      <c r="F1413" s="86"/>
    </row>
    <row r="1414" spans="2:6">
      <c r="B1414" s="1"/>
      <c r="C1414" s="1"/>
      <c r="D1414"/>
      <c r="E1414" s="86"/>
      <c r="F1414" s="86"/>
    </row>
    <row r="1415" spans="2:6">
      <c r="B1415" s="1"/>
      <c r="C1415" s="1"/>
      <c r="D1415"/>
      <c r="E1415" s="86"/>
      <c r="F1415" s="86"/>
    </row>
    <row r="1416" spans="2:6">
      <c r="B1416" s="1"/>
      <c r="C1416" s="1"/>
      <c r="D1416"/>
      <c r="E1416" s="86"/>
      <c r="F1416" s="86"/>
    </row>
    <row r="1417" spans="2:6">
      <c r="B1417" s="1"/>
      <c r="C1417" s="1"/>
      <c r="D1417"/>
      <c r="E1417" s="86"/>
      <c r="F1417" s="86"/>
    </row>
    <row r="1418" spans="2:6">
      <c r="B1418" s="1"/>
      <c r="C1418" s="1"/>
      <c r="D1418"/>
      <c r="E1418" s="86"/>
      <c r="F1418" s="86"/>
    </row>
    <row r="1419" spans="2:6">
      <c r="B1419" s="1"/>
      <c r="C1419" s="1"/>
      <c r="D1419"/>
      <c r="E1419" s="86"/>
      <c r="F1419" s="86"/>
    </row>
    <row r="1420" spans="2:6">
      <c r="B1420" s="1"/>
      <c r="C1420" s="1"/>
      <c r="D1420"/>
      <c r="E1420" s="86"/>
      <c r="F1420" s="86"/>
    </row>
    <row r="1421" spans="2:6">
      <c r="B1421" s="1"/>
      <c r="C1421" s="1"/>
      <c r="D1421"/>
      <c r="E1421" s="86"/>
      <c r="F1421" s="86"/>
    </row>
    <row r="1422" spans="2:6">
      <c r="B1422" s="1"/>
      <c r="C1422" s="1"/>
      <c r="D1422"/>
      <c r="E1422" s="86"/>
      <c r="F1422" s="86"/>
    </row>
    <row r="1423" spans="2:6">
      <c r="B1423" s="1"/>
      <c r="C1423" s="1"/>
      <c r="D1423"/>
      <c r="E1423" s="86"/>
      <c r="F1423" s="86"/>
    </row>
    <row r="1424" spans="2:6">
      <c r="B1424" s="1"/>
      <c r="C1424" s="1"/>
      <c r="D1424"/>
      <c r="E1424" s="86"/>
      <c r="F1424" s="86"/>
    </row>
    <row r="1425" spans="2:6">
      <c r="B1425" s="1"/>
      <c r="C1425" s="1"/>
      <c r="D1425"/>
      <c r="E1425" s="86"/>
      <c r="F1425" s="86"/>
    </row>
    <row r="1426" spans="2:6">
      <c r="B1426" s="1"/>
      <c r="C1426" s="1"/>
      <c r="D1426"/>
      <c r="E1426" s="86"/>
      <c r="F1426" s="86"/>
    </row>
    <row r="1427" spans="2:6">
      <c r="B1427" s="1"/>
      <c r="C1427" s="1"/>
      <c r="D1427"/>
      <c r="E1427" s="86"/>
      <c r="F1427" s="86"/>
    </row>
    <row r="1428" spans="2:6">
      <c r="B1428" s="1"/>
      <c r="C1428" s="1"/>
      <c r="D1428"/>
      <c r="E1428" s="86"/>
      <c r="F1428" s="86"/>
    </row>
    <row r="1429" spans="2:6">
      <c r="B1429" s="1"/>
      <c r="C1429" s="1"/>
      <c r="D1429"/>
      <c r="E1429" s="86"/>
      <c r="F1429" s="86"/>
    </row>
    <row r="1430" spans="2:6">
      <c r="B1430" s="1"/>
      <c r="C1430" s="1"/>
      <c r="D1430"/>
      <c r="E1430" s="86"/>
      <c r="F1430" s="86"/>
    </row>
    <row r="1431" spans="2:6">
      <c r="B1431" s="1"/>
      <c r="C1431" s="1"/>
      <c r="D1431"/>
      <c r="E1431" s="86"/>
      <c r="F1431" s="86"/>
    </row>
    <row r="1432" spans="2:6">
      <c r="B1432" s="1"/>
      <c r="C1432" s="1"/>
      <c r="D1432"/>
      <c r="E1432" s="86"/>
      <c r="F1432" s="86"/>
    </row>
    <row r="1433" spans="2:6">
      <c r="B1433" s="1"/>
      <c r="C1433" s="1"/>
      <c r="D1433"/>
      <c r="E1433" s="86"/>
      <c r="F1433" s="86"/>
    </row>
    <row r="1434" spans="2:6">
      <c r="B1434" s="1"/>
      <c r="C1434" s="1"/>
      <c r="D1434"/>
      <c r="E1434" s="86"/>
      <c r="F1434" s="86"/>
    </row>
    <row r="1435" spans="2:6">
      <c r="B1435" s="1"/>
      <c r="C1435" s="1"/>
      <c r="D1435"/>
      <c r="E1435" s="86"/>
      <c r="F1435" s="86"/>
    </row>
    <row r="1436" spans="2:6">
      <c r="B1436" s="1"/>
      <c r="C1436" s="1"/>
      <c r="D1436"/>
      <c r="E1436" s="86"/>
      <c r="F1436" s="86"/>
    </row>
    <row r="1437" spans="2:6">
      <c r="B1437" s="1"/>
      <c r="C1437" s="1"/>
      <c r="D1437"/>
      <c r="E1437" s="86"/>
      <c r="F1437" s="86"/>
    </row>
    <row r="1438" spans="2:6">
      <c r="B1438" s="1"/>
      <c r="C1438" s="1"/>
      <c r="D1438"/>
      <c r="E1438" s="86"/>
      <c r="F1438" s="86"/>
    </row>
    <row r="1439" spans="2:6">
      <c r="B1439" s="1"/>
      <c r="C1439" s="1"/>
      <c r="D1439"/>
      <c r="E1439" s="86"/>
      <c r="F1439" s="86"/>
    </row>
    <row r="1440" spans="2:6">
      <c r="B1440" s="1"/>
      <c r="C1440" s="1"/>
      <c r="D1440"/>
      <c r="E1440" s="86"/>
      <c r="F1440" s="86"/>
    </row>
    <row r="1441" spans="2:6">
      <c r="B1441" s="1"/>
      <c r="C1441" s="1"/>
      <c r="D1441"/>
      <c r="E1441" s="86"/>
      <c r="F1441" s="86"/>
    </row>
    <row r="1442" spans="2:6">
      <c r="B1442" s="1"/>
      <c r="C1442" s="1"/>
      <c r="D1442"/>
      <c r="E1442" s="86"/>
      <c r="F1442" s="86"/>
    </row>
    <row r="1443" spans="2:6">
      <c r="B1443" s="1"/>
      <c r="C1443" s="1"/>
      <c r="D1443"/>
      <c r="E1443" s="86"/>
      <c r="F1443" s="86"/>
    </row>
    <row r="1444" spans="2:6">
      <c r="B1444" s="1"/>
      <c r="C1444" s="1"/>
      <c r="D1444"/>
      <c r="E1444" s="86"/>
      <c r="F1444" s="86"/>
    </row>
    <row r="1445" spans="2:6">
      <c r="B1445" s="1"/>
      <c r="C1445" s="1"/>
      <c r="D1445"/>
      <c r="E1445" s="86"/>
      <c r="F1445" s="86"/>
    </row>
    <row r="1446" spans="2:6">
      <c r="B1446" s="1"/>
      <c r="C1446" s="1"/>
      <c r="D1446"/>
      <c r="E1446" s="86"/>
      <c r="F1446" s="86"/>
    </row>
    <row r="1447" spans="2:6">
      <c r="B1447" s="1"/>
      <c r="C1447" s="1"/>
      <c r="D1447"/>
      <c r="E1447" s="86"/>
      <c r="F1447" s="86"/>
    </row>
    <row r="1448" spans="2:6">
      <c r="B1448" s="1"/>
      <c r="C1448" s="1"/>
      <c r="D1448"/>
      <c r="E1448" s="86"/>
      <c r="F1448" s="86"/>
    </row>
    <row r="1449" spans="2:6">
      <c r="B1449" s="1"/>
      <c r="C1449" s="1"/>
      <c r="D1449"/>
      <c r="E1449" s="86"/>
      <c r="F1449" s="86"/>
    </row>
    <row r="1450" spans="2:6">
      <c r="B1450" s="1"/>
      <c r="C1450" s="1"/>
      <c r="D1450"/>
      <c r="E1450" s="86"/>
      <c r="F1450" s="86"/>
    </row>
    <row r="1451" spans="2:6">
      <c r="B1451" s="1"/>
      <c r="C1451" s="1"/>
      <c r="D1451"/>
      <c r="E1451" s="86"/>
      <c r="F1451" s="86"/>
    </row>
    <row r="1452" spans="2:6">
      <c r="B1452" s="1"/>
      <c r="C1452" s="1"/>
      <c r="D1452"/>
      <c r="E1452" s="86"/>
      <c r="F1452" s="86"/>
    </row>
  </sheetData>
  <autoFilter ref="A1:I1452"/>
  <phoneticPr fontId="8" type="noConversion"/>
  <conditionalFormatting sqref="E1:E1048576">
    <cfRule type="cellIs" dxfId="10" priority="2" operator="lessThan">
      <formula>0</formula>
    </cfRule>
  </conditionalFormatting>
  <conditionalFormatting sqref="A1:I1048576">
    <cfRule type="expression" dxfId="9" priority="1">
      <formula>IFERROR(IF(YEAR($C1)=YEAR($C2),0,1),0)</formula>
    </cfRule>
    <cfRule type="expression" dxfId="8" priority="8">
      <formula>IF(OR($E1&gt;405,$E1&lt;-100),1,0)</formula>
    </cfRule>
  </conditionalFormatting>
  <dataValidations count="1">
    <dataValidation type="list" allowBlank="1" showInputMessage="1" sqref="H1:H1048576">
      <formula1>ManualTypes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tabColor theme="8" tint="-0.249977111117893"/>
  </sheetPr>
  <dimension ref="A1:IU134"/>
  <sheetViews>
    <sheetView workbookViewId="0">
      <pane xSplit="1" ySplit="26" topLeftCell="B27" activePane="bottomRight" state="frozenSplit"/>
      <selection pane="topRight" activeCell="B1" sqref="B1"/>
      <selection pane="bottomLeft"/>
      <selection pane="bottomRight" activeCell="C27" sqref="C27"/>
    </sheetView>
  </sheetViews>
  <sheetFormatPr defaultRowHeight="15" outlineLevelRow="1" outlineLevelCol="1"/>
  <cols>
    <col min="1" max="1" width="20.28515625" customWidth="1"/>
    <col min="2" max="2" width="15.28515625" customWidth="1"/>
    <col min="3" max="3" width="29.28515625" style="9" customWidth="1"/>
    <col min="4" max="4" width="15.28515625" customWidth="1"/>
    <col min="5" max="7" width="14.140625" customWidth="1"/>
    <col min="8" max="8" width="13.85546875" customWidth="1"/>
    <col min="9" max="10" width="9.140625" style="9"/>
    <col min="11" max="19" width="9.140625" style="9" hidden="1" customWidth="1" outlineLevel="1"/>
    <col min="20" max="20" width="9.140625" style="9" collapsed="1"/>
    <col min="21" max="16384" width="9.140625" style="9"/>
  </cols>
  <sheetData>
    <row r="1" spans="1:8" ht="30">
      <c r="A1" s="84">
        <v>2006</v>
      </c>
      <c r="B1" s="40" t="s">
        <v>17</v>
      </c>
      <c r="C1" s="40" t="s">
        <v>68</v>
      </c>
      <c r="D1" s="40" t="s">
        <v>18</v>
      </c>
      <c r="E1" s="41" t="s">
        <v>0</v>
      </c>
      <c r="F1" s="41" t="s">
        <v>67</v>
      </c>
      <c r="G1" s="41" t="s">
        <v>34</v>
      </c>
      <c r="H1" s="41" t="s">
        <v>23</v>
      </c>
    </row>
    <row r="2" spans="1:8">
      <c r="A2" s="71" t="s">
        <v>31</v>
      </c>
      <c r="B2" s="25">
        <f t="array" ref="B2">IF(SUM((IF(YEAR($A$27:$A$300)&gt;=$A$1,1,0))*B$27:B$300)=0,0,SUM((IF(YEAR($A$27:$A$300)&gt;=$A$1,1,0))*B$27:B$300)/SUM((IF(YEAR($A$27:$A$300)&gt;=$A$1,1,0))*1))</f>
        <v>0</v>
      </c>
      <c r="C2" s="25">
        <f t="array" ref="C2">IF(SUM((IF(YEAR($A$27:$A$300)&gt;=$A$1,1,0))*C$27:C$300)=0,0,SUM((IF(YEAR($A$27:$A$300)&gt;=$A$1,1,0))*C$27:C$300)/SUM((IF(YEAR($A$27:$A$300)&gt;=$A$1,1,0))*1))</f>
        <v>0</v>
      </c>
      <c r="D2" s="25">
        <f t="array" ref="D2">IF(SUM((IF(YEAR($A$27:$A$300)&gt;=$A$1,1,0))*D$27:D$300)=0,0,SUM((IF(YEAR($A$27:$A$300)&gt;=$A$1,1,0))*D$27:D$300)/SUM((IF(YEAR($A$27:$A$300)&gt;=$A$1,1,0))*1))</f>
        <v>0</v>
      </c>
      <c r="E2" s="25">
        <f t="array" ref="E2">IF(SUM((IF(YEAR($A$27:$A$300)&gt;=$A$1,1,0))*E$27:E$300)=0,0,SUM((IF(YEAR($A$27:$A$300)&gt;=$A$1,1,0))*E$27:E$300)/SUM((IF(YEAR($A$27:$A$300)&gt;=$A$1,1,0))*1))</f>
        <v>0</v>
      </c>
      <c r="F2" s="25">
        <f t="array" ref="F2">IF(SUM((IF(YEAR($A$27:$A$300)&gt;=$A$1,1,0))*F$27:F$300)=0,0,SUM((IF(YEAR($A$27:$A$300)&gt;=$A$1,1,0))*F$27:F$300)/SUM((IF(YEAR($A$27:$A$300)&gt;=$A$1,1,0))*1))</f>
        <v>0</v>
      </c>
      <c r="G2" s="25">
        <f t="array" ref="G2">IF(SUM((IF(YEAR($A$27:$A$300)&gt;=$A$1,1,0))*G$27:G$300)=0,0,SUM((IF(YEAR($A$27:$A$300)&gt;=$A$1,1,0))*G$27:G$300)/SUM((IF(YEAR($A$27:$A$300)&gt;=$A$1,1,0))*1))</f>
        <v>0</v>
      </c>
      <c r="H2" s="25">
        <f t="array" ref="H2">IF(SUM((IF(YEAR($A$27:$A$300)&gt;=$A$1,1,0))*H$27:H$300)=0,0,SUM((IF(YEAR($A$27:$A$300)&gt;=$A$1,1,0))*H$27:H$300)/SUM((IF(YEAR($A$27:$A$300)&gt;=$A$1,1,0))*1))</f>
        <v>0</v>
      </c>
    </row>
    <row r="3" spans="1:8">
      <c r="A3" s="71" t="s">
        <v>30</v>
      </c>
      <c r="B3" s="25">
        <f t="array" aca="1" ref="B3" ca="1">SUM((IF(YEAR($A$27:$A$300)&gt;=$A$1,1,0))*B$27:B$300)/(YEAR(TODAY())-$A$1+1)</f>
        <v>0</v>
      </c>
      <c r="C3" s="25">
        <f t="array" aca="1" ref="C3" ca="1">SUM((IF(YEAR($A$27:$A$300)&gt;=$A$1,1,0))*C$27:C$300)/(YEAR(TODAY())-$A$1+1)</f>
        <v>0</v>
      </c>
      <c r="D3" s="25">
        <f t="array" aca="1" ref="D3" ca="1">SUM((IF(YEAR($A$27:$A$300)&gt;=$A$1,1,0))*D$27:D$300)/(YEAR(TODAY())-$A$1+1)</f>
        <v>0</v>
      </c>
      <c r="E3" s="25">
        <f t="array" aca="1" ref="E3" ca="1">SUM((IF(YEAR($A$27:$A$300)&gt;=$A$1,1,0))*E$27:E$300)/(YEAR(TODAY())-$A$1+1)</f>
        <v>0</v>
      </c>
      <c r="F3" s="25">
        <f t="array" aca="1" ref="F3" ca="1">SUM((IF(YEAR($A$27:$A$300)&gt;=$A$1,1,0))*F$27:F$300)/(YEAR(TODAY())-$A$1+1)</f>
        <v>0</v>
      </c>
      <c r="G3" s="25">
        <f t="array" aca="1" ref="G3" ca="1">SUM((IF(YEAR($A$27:$A$300)&gt;=$A$1,1,0))*G$27:G$300)/(YEAR(TODAY())-$A$1+1)</f>
        <v>0</v>
      </c>
      <c r="H3" s="25">
        <f t="array" aca="1" ref="H3" ca="1">SUM((IF(YEAR($A$27:$A$300)&gt;=$A$1,1,0))*H$27:H$300)/(YEAR(TODAY())-$A$1+1)</f>
        <v>0</v>
      </c>
    </row>
    <row r="4" spans="1:8">
      <c r="A4" s="88" t="s">
        <v>29</v>
      </c>
      <c r="B4" s="21">
        <f t="array" ref="B4">IF(SUM((IF(YEAR($A$27:$A$300)&gt;=$A$1,1,0))*B$27:B$300)=0,0,SUM((IF(YEAR($A$27:$A$300)&gt;=$A$1,1,0))*B$27:B$300))</f>
        <v>0</v>
      </c>
      <c r="C4" s="21">
        <f t="array" ref="C4">IF(SUM((IF(YEAR($A$27:$A$300)&gt;=$A$1,1,0))*C$27:C$300)=0,0,SUM((IF(YEAR($A$27:$A$300)&gt;=$A$1,1,0))*C$27:C$300))</f>
        <v>0</v>
      </c>
      <c r="D4" s="21">
        <f t="array" ref="D4">IF(SUM((IF(YEAR($A$27:$A$300)&gt;=$A$1,1,0))*D$27:D$300)=0,0,SUM((IF(YEAR($A$27:$A$300)&gt;=$A$1,1,0))*D$27:D$300))</f>
        <v>0</v>
      </c>
      <c r="E4" s="21">
        <f t="array" ref="E4">IF(SUM((IF(YEAR($A$27:$A$300)&gt;=$A$1,1,0))*E$27:E$300)=0,0,SUM((IF(YEAR($A$27:$A$300)&gt;=$A$1,1,0))*E$27:E$300))</f>
        <v>0</v>
      </c>
      <c r="F4" s="21">
        <f t="array" ref="F4">IF(SUM((IF(YEAR($A$27:$A$300)&gt;=$A$1,1,0))*F$27:F$300)=0,0,SUM((IF(YEAR($A$27:$A$300)&gt;=$A$1,1,0))*F$27:F$300))</f>
        <v>0</v>
      </c>
      <c r="G4" s="21">
        <f t="array" ref="G4">IF(SUM((IF(YEAR($A$27:$A$300)&gt;=$A$1,1,0))*G$27:G$300)=0,0,SUM((IF(YEAR($A$27:$A$300)&gt;=$A$1,1,0))*G$27:G$300))</f>
        <v>0</v>
      </c>
      <c r="H4" s="21">
        <f t="array" ref="H4">IF(SUM((IF(YEAR($A$27:$A$300)&gt;=$A$1,1,0))*H$27:H$300)=0,0,SUM((IF(YEAR($A$27:$A$300)&gt;=$A$1,1,0))*H$27:H$300))</f>
        <v>0</v>
      </c>
    </row>
    <row r="5" spans="1:8" hidden="1" outlineLevel="1">
      <c r="A5" s="37">
        <v>36892</v>
      </c>
      <c r="B5" s="25">
        <f t="array" ref="B5">SUM((IF(YEAR($A$27:$A$300)=YEAR($A5),1,0))*B$27:B$300)</f>
        <v>0</v>
      </c>
      <c r="C5" s="25">
        <f t="array" ref="C5">SUM((IF(YEAR($A$27:$A$300)=YEAR($A5),1,0))*C$27:C$300)</f>
        <v>0</v>
      </c>
      <c r="D5" s="25">
        <f t="array" ref="D5">SUM((IF(YEAR($A$27:$A$300)=YEAR($A5),1,0))*D$27:D$300)</f>
        <v>0</v>
      </c>
      <c r="E5" s="25">
        <f t="array" ref="E5">SUM((IF(YEAR($A$27:$A$300)=YEAR($A5),1,0))*E$27:E$300)</f>
        <v>0</v>
      </c>
      <c r="F5" s="25">
        <f t="array" ref="F5">SUM((IF(YEAR($A$27:$A$300)=YEAR($A5),1,0))*F$27:F$300)</f>
        <v>0</v>
      </c>
      <c r="G5" s="25">
        <f t="array" ref="G5">SUM((IF(YEAR($A$27:$A$300)=YEAR($A5),1,0))*G$27:G$300)</f>
        <v>0</v>
      </c>
      <c r="H5" s="25">
        <f t="array" ref="H5">SUM((IF(YEAR($A$27:$A$300)=YEAR($A5),1,0))*H$27:H$300)</f>
        <v>0</v>
      </c>
    </row>
    <row r="6" spans="1:8" hidden="1" outlineLevel="1">
      <c r="A6" s="37" t="s">
        <v>28</v>
      </c>
      <c r="B6" s="25">
        <f t="array" ref="B6">IF(B5=0,0,B5/SUM((IF(YEAR($A$27:$A$300)=YEAR($A5),1,0))*1))</f>
        <v>0</v>
      </c>
      <c r="C6" s="25">
        <f t="array" ref="C6">IF(C5=0,0,C5/SUM((IF(YEAR($A$27:$A$300)=YEAR($A5),1,0))*1))</f>
        <v>0</v>
      </c>
      <c r="D6" s="25">
        <f t="array" ref="D6">IF(D5=0,0,D5/SUM((IF(YEAR($A$27:$A$300)=YEAR($A5),1,0))*1))</f>
        <v>0</v>
      </c>
      <c r="E6" s="25">
        <f t="array" ref="E6">IF(E5=0,0,E5/SUM((IF(YEAR($A$27:$A$300)=YEAR($A5),1,0))*1))</f>
        <v>0</v>
      </c>
      <c r="F6" s="25">
        <f t="array" ref="F6">IF(F5=0,0,F5/SUM((IF(YEAR($A$27:$A$300)=YEAR($A5),1,0))*1))</f>
        <v>0</v>
      </c>
      <c r="G6" s="25">
        <f t="array" ref="G6">IF(G5=0,0,G5/SUM((IF(YEAR($A$27:$A$300)=YEAR($A5),1,0))*1))</f>
        <v>0</v>
      </c>
      <c r="H6" s="25">
        <f t="array" ref="H6">IF(H5=0,0,H5/SUM((IF(YEAR($A$27:$A$300)=YEAR($A5),1,0))*1))</f>
        <v>0</v>
      </c>
    </row>
    <row r="7" spans="1:8" hidden="1" outlineLevel="1">
      <c r="A7" s="37">
        <v>37257</v>
      </c>
      <c r="B7" s="25">
        <f t="array" ref="B7">SUM((IF(YEAR($A$27:$A$300)=YEAR($A7),1,0))*B$27:B$300)</f>
        <v>0</v>
      </c>
      <c r="C7" s="25">
        <f t="array" ref="C7">SUM((IF(YEAR($A$27:$A$300)=YEAR($A7),1,0))*C$27:C$300)</f>
        <v>0</v>
      </c>
      <c r="D7" s="25">
        <f t="array" ref="D7">SUM((IF(YEAR($A$27:$A$300)=YEAR($A7),1,0))*D$27:D$300)</f>
        <v>0</v>
      </c>
      <c r="E7" s="25">
        <f t="array" ref="E7">SUM((IF(YEAR($A$27:$A$300)=YEAR($A7),1,0))*E$27:E$300)</f>
        <v>0</v>
      </c>
      <c r="F7" s="25">
        <f t="array" ref="F7">SUM((IF(YEAR($A$27:$A$300)=YEAR($A7),1,0))*F$27:F$300)</f>
        <v>0</v>
      </c>
      <c r="G7" s="25">
        <f t="array" ref="G7">SUM((IF(YEAR($A$27:$A$300)=YEAR($A7),1,0))*G$27:G$300)</f>
        <v>0</v>
      </c>
      <c r="H7" s="25">
        <f t="array" ref="H7">SUM((IF(YEAR($A$27:$A$300)=YEAR($A7),1,0))*H$27:H$300)</f>
        <v>0</v>
      </c>
    </row>
    <row r="8" spans="1:8" hidden="1" outlineLevel="1">
      <c r="A8" s="37" t="s">
        <v>27</v>
      </c>
      <c r="B8" s="25">
        <f t="array" ref="B8">IF(B7=0,0,B7/SUM((IF(YEAR($A$27:$A$300)=YEAR($A7),1,0))*1))</f>
        <v>0</v>
      </c>
      <c r="C8" s="25">
        <f t="array" ref="C8">IF(C7=0,0,C7/SUM((IF(YEAR($A$27:$A$300)=YEAR($A7),1,0))*1))</f>
        <v>0</v>
      </c>
      <c r="D8" s="25">
        <f t="array" ref="D8">IF(D7=0,0,D7/SUM((IF(YEAR($A$27:$A$300)=YEAR($A7),1,0))*1))</f>
        <v>0</v>
      </c>
      <c r="E8" s="25">
        <f t="array" ref="E8">IF(E7=0,0,E7/SUM((IF(YEAR($A$27:$A$300)=YEAR($A7),1,0))*1))</f>
        <v>0</v>
      </c>
      <c r="F8" s="25">
        <f t="array" ref="F8">IF(F7=0,0,F7/SUM((IF(YEAR($A$27:$A$300)=YEAR($A7),1,0))*1))</f>
        <v>0</v>
      </c>
      <c r="G8" s="25">
        <f t="array" ref="G8">IF(G7=0,0,G7/SUM((IF(YEAR($A$27:$A$300)=YEAR($A7),1,0))*1))</f>
        <v>0</v>
      </c>
      <c r="H8" s="25">
        <f t="array" ref="H8">IF(H7=0,0,H7/SUM((IF(YEAR($A$27:$A$300)=YEAR($A7),1,0))*1))</f>
        <v>0</v>
      </c>
    </row>
    <row r="9" spans="1:8" hidden="1" outlineLevel="1">
      <c r="A9" s="37">
        <v>37622</v>
      </c>
      <c r="B9" s="25">
        <f t="array" ref="B9">SUM((IF(YEAR($A$27:$A$300)=YEAR($A9),1,0))*B$27:B$300)</f>
        <v>0</v>
      </c>
      <c r="C9" s="25">
        <f t="array" ref="C9">SUM((IF(YEAR($A$27:$A$300)=YEAR($A9),1,0))*C$27:C$300)</f>
        <v>0</v>
      </c>
      <c r="D9" s="25">
        <f t="array" ref="D9">SUM((IF(YEAR($A$27:$A$300)=YEAR($A9),1,0))*D$27:D$300)</f>
        <v>0</v>
      </c>
      <c r="E9" s="25">
        <f t="array" ref="E9">SUM((IF(YEAR($A$27:$A$300)=YEAR($A9),1,0))*E$27:E$300)</f>
        <v>0</v>
      </c>
      <c r="F9" s="25">
        <f t="array" ref="F9">SUM((IF(YEAR($A$27:$A$300)=YEAR($A9),1,0))*F$27:F$300)</f>
        <v>0</v>
      </c>
      <c r="G9" s="25">
        <f t="array" ref="G9">SUM((IF(YEAR($A$27:$A$300)=YEAR($A9),1,0))*G$27:G$300)</f>
        <v>0</v>
      </c>
      <c r="H9" s="25">
        <f t="array" ref="H9">SUM((IF(YEAR($A$27:$A$300)=YEAR($A9),1,0))*H$27:H$300)</f>
        <v>0</v>
      </c>
    </row>
    <row r="10" spans="1:8" hidden="1" outlineLevel="1">
      <c r="A10" s="37" t="s">
        <v>26</v>
      </c>
      <c r="B10" s="25">
        <f t="array" ref="B10">IF(B9=0,0,B9/SUM((IF(YEAR($A$27:$A$300)=YEAR($A9),1,0))*1))</f>
        <v>0</v>
      </c>
      <c r="C10" s="25">
        <f t="array" ref="C10">IF(C9=0,0,C9/SUM((IF(YEAR($A$27:$A$300)=YEAR($A9),1,0))*1))</f>
        <v>0</v>
      </c>
      <c r="D10" s="25">
        <f t="array" ref="D10">IF(D9=0,0,D9/SUM((IF(YEAR($A$27:$A$300)=YEAR($A9),1,0))*1))</f>
        <v>0</v>
      </c>
      <c r="E10" s="25">
        <f t="array" ref="E10">IF(E9=0,0,E9/SUM((IF(YEAR($A$27:$A$300)=YEAR($A9),1,0))*1))</f>
        <v>0</v>
      </c>
      <c r="F10" s="25">
        <f t="array" ref="F10">IF(F9=0,0,F9/SUM((IF(YEAR($A$27:$A$300)=YEAR($A9),1,0))*1))</f>
        <v>0</v>
      </c>
      <c r="G10" s="25">
        <f t="array" ref="G10">IF(G9=0,0,G9/SUM((IF(YEAR($A$27:$A$300)=YEAR($A9),1,0))*1))</f>
        <v>0</v>
      </c>
      <c r="H10" s="25">
        <f t="array" ref="H10">IF(H9=0,0,H9/SUM((IF(YEAR($A$27:$A$300)=YEAR($A9),1,0))*1))</f>
        <v>0</v>
      </c>
    </row>
    <row r="11" spans="1:8" hidden="1" outlineLevel="1">
      <c r="A11" s="37">
        <v>37987</v>
      </c>
      <c r="B11" s="25">
        <f t="array" ref="B11">SUM((IF(YEAR($A$27:$A$300)=YEAR($A11),1,0))*B$27:B$300)</f>
        <v>0</v>
      </c>
      <c r="C11" s="25">
        <f t="array" ref="C11">SUM((IF(YEAR($A$27:$A$300)=YEAR($A11),1,0))*C$27:C$300)</f>
        <v>0</v>
      </c>
      <c r="D11" s="25">
        <f t="array" ref="D11">SUM((IF(YEAR($A$27:$A$300)=YEAR($A11),1,0))*D$27:D$300)</f>
        <v>0</v>
      </c>
      <c r="E11" s="25">
        <f t="array" ref="E11">SUM((IF(YEAR($A$27:$A$300)=YEAR($A11),1,0))*E$27:E$300)</f>
        <v>0</v>
      </c>
      <c r="F11" s="25">
        <f t="array" ref="F11">SUM((IF(YEAR($A$27:$A$300)=YEAR($A11),1,0))*F$27:F$300)</f>
        <v>0</v>
      </c>
      <c r="G11" s="25">
        <f t="array" ref="G11">SUM((IF(YEAR($A$27:$A$300)=YEAR($A11),1,0))*G$27:G$300)</f>
        <v>0</v>
      </c>
      <c r="H11" s="25">
        <f t="array" ref="H11">SUM((IF(YEAR($A$27:$A$300)=YEAR($A11),1,0))*H$27:H$300)</f>
        <v>0</v>
      </c>
    </row>
    <row r="12" spans="1:8" hidden="1" outlineLevel="1">
      <c r="A12" s="37" t="s">
        <v>25</v>
      </c>
      <c r="B12" s="25">
        <f t="array" ref="B12">IF(B11=0,0,B11/SUM((IF(YEAR($A$27:$A$300)=YEAR($A11),1,0))*1))</f>
        <v>0</v>
      </c>
      <c r="C12" s="25">
        <f t="array" ref="C12">IF(C11=0,0,C11/SUM((IF(YEAR($A$27:$A$300)=YEAR($A11),1,0))*1))</f>
        <v>0</v>
      </c>
      <c r="D12" s="25">
        <f t="array" ref="D12">IF(D11=0,0,D11/SUM((IF(YEAR($A$27:$A$300)=YEAR($A11),1,0))*1))</f>
        <v>0</v>
      </c>
      <c r="E12" s="25">
        <f t="array" ref="E12">IF(E11=0,0,E11/SUM((IF(YEAR($A$27:$A$300)=YEAR($A11),1,0))*1))</f>
        <v>0</v>
      </c>
      <c r="F12" s="25">
        <f t="array" ref="F12">IF(F11=0,0,F11/SUM((IF(YEAR($A$27:$A$300)=YEAR($A11),1,0))*1))</f>
        <v>0</v>
      </c>
      <c r="G12" s="25">
        <f t="array" ref="G12">IF(G11=0,0,G11/SUM((IF(YEAR($A$27:$A$300)=YEAR($A11),1,0))*1))</f>
        <v>0</v>
      </c>
      <c r="H12" s="25">
        <f t="array" ref="H12">IF(H11=0,0,H11/SUM((IF(YEAR($A$27:$A$300)=YEAR($A11),1,0))*1))</f>
        <v>0</v>
      </c>
    </row>
    <row r="13" spans="1:8" hidden="1" outlineLevel="1">
      <c r="A13" s="37">
        <v>38353</v>
      </c>
      <c r="B13" s="25">
        <f t="array" ref="B13">SUM((IF(YEAR($A$27:$A$300)=YEAR($A13),1,0))*B$27:B$300)</f>
        <v>0</v>
      </c>
      <c r="C13" s="25">
        <f t="array" ref="C13">SUM((IF(YEAR($A$27:$A$300)=YEAR($A13),1,0))*C$27:C$300)</f>
        <v>0</v>
      </c>
      <c r="D13" s="25">
        <f t="array" ref="D13">SUM((IF(YEAR($A$27:$A$300)=YEAR($A13),1,0))*D$27:D$300)</f>
        <v>0</v>
      </c>
      <c r="E13" s="25">
        <f t="array" ref="E13">SUM((IF(YEAR($A$27:$A$300)=YEAR($A13),1,0))*E$27:E$300)</f>
        <v>0</v>
      </c>
      <c r="F13" s="25">
        <f t="array" ref="F13">SUM((IF(YEAR($A$27:$A$300)=YEAR($A13),1,0))*F$27:F$300)</f>
        <v>0</v>
      </c>
      <c r="G13" s="25">
        <f t="array" ref="G13">SUM((IF(YEAR($A$27:$A$300)=YEAR($A13),1,0))*G$27:G$300)</f>
        <v>0</v>
      </c>
      <c r="H13" s="25">
        <f t="array" ref="H13">SUM((IF(YEAR($A$27:$A$300)=YEAR($A13),1,0))*H$27:H$300)</f>
        <v>0</v>
      </c>
    </row>
    <row r="14" spans="1:8" hidden="1" outlineLevel="1">
      <c r="A14" s="37" t="s">
        <v>24</v>
      </c>
      <c r="B14" s="25">
        <f t="array" ref="B14">IF(B13=0,0,B13/SUM((IF(YEAR($A$27:$A$300)=YEAR($A13),1,0))*1))</f>
        <v>0</v>
      </c>
      <c r="C14" s="25">
        <f t="array" ref="C14">IF(C13=0,0,C13/SUM((IF(YEAR($A$27:$A$300)=YEAR($A13),1,0))*1))</f>
        <v>0</v>
      </c>
      <c r="D14" s="25">
        <f t="array" ref="D14">IF(D13=0,0,D13/SUM((IF(YEAR($A$27:$A$300)=YEAR($A13),1,0))*1))</f>
        <v>0</v>
      </c>
      <c r="E14" s="25">
        <f t="array" ref="E14">IF(E13=0,0,E13/SUM((IF(YEAR($A$27:$A$300)=YEAR($A13),1,0))*1))</f>
        <v>0</v>
      </c>
      <c r="F14" s="25">
        <f t="array" ref="F14">IF(F13=0,0,F13/SUM((IF(YEAR($A$27:$A$300)=YEAR($A13),1,0))*1))</f>
        <v>0</v>
      </c>
      <c r="G14" s="25">
        <f t="array" ref="G14">IF(G13=0,0,G13/SUM((IF(YEAR($A$27:$A$300)=YEAR($A13),1,0))*1))</f>
        <v>0</v>
      </c>
      <c r="H14" s="25">
        <f t="array" ref="H14">IF(H13=0,0,H13/SUM((IF(YEAR($A$27:$A$300)=YEAR($A13),1,0))*1))</f>
        <v>0</v>
      </c>
    </row>
    <row r="15" spans="1:8" hidden="1" outlineLevel="1">
      <c r="A15" s="37">
        <v>38718</v>
      </c>
      <c r="B15" s="25">
        <f t="array" ref="B15">SUM((IF(YEAR($A$27:$A$300)=YEAR($A15),1,0))*B$27:B$300)</f>
        <v>0</v>
      </c>
      <c r="C15" s="25">
        <f t="array" ref="C15">SUM((IF(YEAR($A$27:$A$300)=YEAR($A15),1,0))*C$27:C$300)</f>
        <v>0</v>
      </c>
      <c r="D15" s="25">
        <f t="array" ref="D15">SUM((IF(YEAR($A$27:$A$300)=YEAR($A15),1,0))*D$27:D$300)</f>
        <v>0</v>
      </c>
      <c r="E15" s="25">
        <f t="array" ref="E15">SUM((IF(YEAR($A$27:$A$300)=YEAR($A15),1,0))*E$27:E$300)</f>
        <v>0</v>
      </c>
      <c r="F15" s="25">
        <f t="array" ref="F15">SUM((IF(YEAR($A$27:$A$300)=YEAR($A15),1,0))*F$27:F$300)</f>
        <v>0</v>
      </c>
      <c r="G15" s="25">
        <f t="array" ref="G15">SUM((IF(YEAR($A$27:$A$300)=YEAR($A15),1,0))*G$27:G$300)</f>
        <v>0</v>
      </c>
      <c r="H15" s="25">
        <f t="array" ref="H15">SUM((IF(YEAR($A$27:$A$300)=YEAR($A15),1,0))*H$27:H$300)</f>
        <v>0</v>
      </c>
    </row>
    <row r="16" spans="1:8" hidden="1" outlineLevel="1">
      <c r="A16" s="37" t="s">
        <v>48</v>
      </c>
      <c r="B16" s="25">
        <f t="array" ref="B16">IF(B15=0,0,B15/SUM((IF(YEAR($A$27:$A$300)=YEAR($A15),1,0))*1))</f>
        <v>0</v>
      </c>
      <c r="C16" s="25">
        <f t="array" ref="C16">IF(C15=0,0,C15/SUM((IF(YEAR($A$27:$A$300)=YEAR($A15),1,0))*1))</f>
        <v>0</v>
      </c>
      <c r="D16" s="25">
        <f t="array" ref="D16">IF(D15=0,0,D15/SUM((IF(YEAR($A$27:$A$300)=YEAR($A15),1,0))*1))</f>
        <v>0</v>
      </c>
      <c r="E16" s="25">
        <f t="array" ref="E16">IF(E15=0,0,E15/SUM((IF(YEAR($A$27:$A$300)=YEAR($A15),1,0))*1))</f>
        <v>0</v>
      </c>
      <c r="F16" s="25">
        <f t="array" ref="F16">IF(F15=0,0,F15/SUM((IF(YEAR($A$27:$A$300)=YEAR($A15),1,0))*1))</f>
        <v>0</v>
      </c>
      <c r="G16" s="25">
        <f t="array" ref="G16">IF(G15=0,0,G15/SUM((IF(YEAR($A$27:$A$300)=YEAR($A15),1,0))*1))</f>
        <v>0</v>
      </c>
      <c r="H16" s="25">
        <f t="array" ref="H16">IF(H15=0,0,H15/SUM((IF(YEAR($A$27:$A$300)=YEAR($A15),1,0))*1))</f>
        <v>0</v>
      </c>
    </row>
    <row r="17" spans="1:255" hidden="1" outlineLevel="1">
      <c r="A17" s="37">
        <v>39083</v>
      </c>
      <c r="B17" s="25">
        <f t="array" ref="B17">SUM((IF(YEAR($A$27:$A$300)=YEAR($A17),1,0))*B$27:B$300)</f>
        <v>0</v>
      </c>
      <c r="C17" s="25">
        <f t="array" ref="C17">SUM((IF(YEAR($A$27:$A$300)=YEAR($A17),1,0))*C$27:C$300)</f>
        <v>0</v>
      </c>
      <c r="D17" s="25">
        <f t="array" ref="D17">SUM((IF(YEAR($A$27:$A$300)=YEAR($A17),1,0))*D$27:D$300)</f>
        <v>0</v>
      </c>
      <c r="E17" s="25">
        <f t="array" ref="E17">SUM((IF(YEAR($A$27:$A$300)=YEAR($A17),1,0))*E$27:E$300)</f>
        <v>0</v>
      </c>
      <c r="F17" s="25">
        <f t="array" ref="F17">SUM((IF(YEAR($A$27:$A$300)=YEAR($A17),1,0))*F$27:F$300)</f>
        <v>0</v>
      </c>
      <c r="G17" s="25">
        <f t="array" ref="G17">SUM((IF(YEAR($A$27:$A$300)=YEAR($A17),1,0))*G$27:G$300)</f>
        <v>0</v>
      </c>
      <c r="H17" s="25">
        <f t="array" ref="H17">SUM((IF(YEAR($A$27:$A$300)=YEAR($A17),1,0))*H$27:H$300)</f>
        <v>0</v>
      </c>
    </row>
    <row r="18" spans="1:255" hidden="1" outlineLevel="1">
      <c r="A18" s="37" t="s">
        <v>49</v>
      </c>
      <c r="B18" s="25">
        <f t="array" ref="B18">IF(B17=0,0,B17/SUM((IF(YEAR($A$27:$A$300)=YEAR($A17),1,0))*1))</f>
        <v>0</v>
      </c>
      <c r="C18" s="25">
        <f t="array" ref="C18">IF(C17=0,0,C17/SUM((IF(YEAR($A$27:$A$300)=YEAR($A17),1,0))*1))</f>
        <v>0</v>
      </c>
      <c r="D18" s="25">
        <f t="array" ref="D18">IF(D17=0,0,D17/SUM((IF(YEAR($A$27:$A$300)=YEAR($A17),1,0))*1))</f>
        <v>0</v>
      </c>
      <c r="E18" s="25">
        <f t="array" ref="E18">IF(E17=0,0,E17/SUM((IF(YEAR($A$27:$A$300)=YEAR($A17),1,0))*1))</f>
        <v>0</v>
      </c>
      <c r="F18" s="25">
        <f t="array" ref="F18">IF(F17=0,0,F17/SUM((IF(YEAR($A$27:$A$300)=YEAR($A17),1,0))*1))</f>
        <v>0</v>
      </c>
      <c r="G18" s="25">
        <f t="array" ref="G18">IF(G17=0,0,G17/SUM((IF(YEAR($A$27:$A$300)=YEAR($A17),1,0))*1))</f>
        <v>0</v>
      </c>
      <c r="H18" s="25">
        <f t="array" ref="H18">IF(H17=0,0,H17/SUM((IF(YEAR($A$27:$A$300)=YEAR($A17),1,0))*1))</f>
        <v>0</v>
      </c>
    </row>
    <row r="19" spans="1:255" hidden="1" outlineLevel="1">
      <c r="A19" s="37">
        <v>39448</v>
      </c>
      <c r="B19" s="25">
        <f t="array" ref="B19">SUM((IF(YEAR($A$27:$A$300)=YEAR($A19),1,0))*B$27:B$300)</f>
        <v>0</v>
      </c>
      <c r="C19" s="25">
        <f t="array" ref="C19">SUM((IF(YEAR($A$27:$A$300)=YEAR($A19),1,0))*C$27:C$300)</f>
        <v>0</v>
      </c>
      <c r="D19" s="25">
        <f t="array" ref="D19">SUM((IF(YEAR($A$27:$A$300)=YEAR($A19),1,0))*D$27:D$300)</f>
        <v>0</v>
      </c>
      <c r="E19" s="25">
        <f t="array" ref="E19">SUM((IF(YEAR($A$27:$A$300)=YEAR($A19),1,0))*E$27:E$300)</f>
        <v>0</v>
      </c>
      <c r="F19" s="25">
        <f t="array" ref="F19">SUM((IF(YEAR($A$27:$A$300)=YEAR($A19),1,0))*F$27:F$300)</f>
        <v>0</v>
      </c>
      <c r="G19" s="25">
        <f t="array" ref="G19">SUM((IF(YEAR($A$27:$A$300)=YEAR($A19),1,0))*G$27:G$300)</f>
        <v>0</v>
      </c>
      <c r="H19" s="25">
        <f t="array" ref="H19">SUM((IF(YEAR($A$27:$A$300)=YEAR($A19),1,0))*H$27:H$300)</f>
        <v>0</v>
      </c>
    </row>
    <row r="20" spans="1:255" hidden="1" outlineLevel="1">
      <c r="A20" s="37" t="s">
        <v>50</v>
      </c>
      <c r="B20" s="25">
        <f t="array" ref="B20">IF(B19=0,0,B19/SUM((IF(YEAR($A$27:$A$300)=YEAR($A19),1,0))*1))</f>
        <v>0</v>
      </c>
      <c r="C20" s="25">
        <f t="array" ref="C20">IF(C19=0,0,C19/SUM((IF(YEAR($A$27:$A$300)=YEAR($A19),1,0))*1))</f>
        <v>0</v>
      </c>
      <c r="D20" s="25">
        <f t="array" ref="D20">IF(D19=0,0,D19/SUM((IF(YEAR($A$27:$A$300)=YEAR($A19),1,0))*1))</f>
        <v>0</v>
      </c>
      <c r="E20" s="25">
        <f t="array" ref="E20">IF(E19=0,0,E19/SUM((IF(YEAR($A$27:$A$300)=YEAR($A19),1,0))*1))</f>
        <v>0</v>
      </c>
      <c r="F20" s="25">
        <f t="array" ref="F20">IF(F19=0,0,F19/SUM((IF(YEAR($A$27:$A$300)=YEAR($A19),1,0))*1))</f>
        <v>0</v>
      </c>
      <c r="G20" s="25">
        <f t="array" ref="G20">IF(G19=0,0,G19/SUM((IF(YEAR($A$27:$A$300)=YEAR($A19),1,0))*1))</f>
        <v>0</v>
      </c>
      <c r="H20" s="25">
        <f t="array" ref="H20">IF(H19=0,0,H19/SUM((IF(YEAR($A$27:$A$300)=YEAR($A19),1,0))*1))</f>
        <v>0</v>
      </c>
    </row>
    <row r="21" spans="1:255" collapsed="1">
      <c r="A21" s="37">
        <v>39814</v>
      </c>
      <c r="B21" s="25">
        <f t="array" ref="B21">SUM((IF(YEAR($A$27:$A$300)=YEAR($A21),1,0))*B$27:B$300)</f>
        <v>0</v>
      </c>
      <c r="C21" s="25">
        <f t="array" ref="C21">SUM((IF(YEAR($A$27:$A$300)=YEAR($A21),1,0))*C$27:C$300)</f>
        <v>0</v>
      </c>
      <c r="D21" s="25">
        <f t="array" ref="D21">SUM((IF(YEAR($A$27:$A$300)=YEAR($A21),1,0))*D$27:D$300)</f>
        <v>0</v>
      </c>
      <c r="E21" s="25">
        <f t="array" ref="E21">SUM((IF(YEAR($A$27:$A$300)=YEAR($A21),1,0))*E$27:E$300)</f>
        <v>0</v>
      </c>
      <c r="F21" s="25">
        <f t="array" ref="F21">SUM((IF(YEAR($A$27:$A$300)=YEAR($A21),1,0))*F$27:F$300)</f>
        <v>0</v>
      </c>
      <c r="G21" s="25">
        <f t="array" ref="G21">SUM((IF(YEAR($A$27:$A$300)=YEAR($A21),1,0))*G$27:G$300)</f>
        <v>0</v>
      </c>
      <c r="H21" s="25">
        <f t="array" ref="H21">SUM((IF(YEAR($A$27:$A$300)=YEAR($A21),1,0))*H$27:H$300)</f>
        <v>0</v>
      </c>
    </row>
    <row r="22" spans="1:255">
      <c r="A22" s="37" t="s">
        <v>51</v>
      </c>
      <c r="B22" s="25">
        <f t="array" ref="B22">IF(B21=0,0,B21/SUM((IF(YEAR($A$27:$A$300)=YEAR($A21),1,0))*1))</f>
        <v>0</v>
      </c>
      <c r="C22" s="25">
        <f t="array" ref="C22">IF(C21=0,0,C21/SUM((IF(YEAR($A$27:$A$300)=YEAR($A21),1,0))*1))</f>
        <v>0</v>
      </c>
      <c r="D22" s="25">
        <f t="array" ref="D22">IF(D21=0,0,D21/SUM((IF(YEAR($A$27:$A$300)=YEAR($A21),1,0))*1))</f>
        <v>0</v>
      </c>
      <c r="E22" s="25">
        <f t="array" ref="E22">IF(E21=0,0,E21/SUM((IF(YEAR($A$27:$A$300)=YEAR($A21),1,0))*1))</f>
        <v>0</v>
      </c>
      <c r="F22" s="25">
        <f t="array" ref="F22">IF(F21=0,0,F21/SUM((IF(YEAR($A$27:$A$300)=YEAR($A21),1,0))*1))</f>
        <v>0</v>
      </c>
      <c r="G22" s="25">
        <f t="array" ref="G22">IF(G21=0,0,G21/SUM((IF(YEAR($A$27:$A$300)=YEAR($A21),1,0))*1))</f>
        <v>0</v>
      </c>
      <c r="H22" s="25">
        <f t="array" ref="H22">IF(H21=0,0,H21/SUM((IF(YEAR($A$27:$A$300)=YEAR($A21),1,0))*1))</f>
        <v>0</v>
      </c>
    </row>
    <row r="23" spans="1:255">
      <c r="A23" s="37">
        <v>40179</v>
      </c>
      <c r="B23" s="25">
        <f t="array" ref="B23">SUM((IF(YEAR($A$27:$A$300)=YEAR($A23),1,0))*B$27:B$300)</f>
        <v>0</v>
      </c>
      <c r="C23" s="25">
        <f t="array" ref="C23">SUM((IF(YEAR($A$27:$A$300)=YEAR($A23),1,0))*C$27:C$300)</f>
        <v>0</v>
      </c>
      <c r="D23" s="25">
        <f t="array" ref="D23">SUM((IF(YEAR($A$27:$A$300)=YEAR($A23),1,0))*D$27:D$300)</f>
        <v>0</v>
      </c>
      <c r="E23" s="25">
        <f t="array" ref="E23">SUM((IF(YEAR($A$27:$A$300)=YEAR($A23),1,0))*E$27:E$300)</f>
        <v>0</v>
      </c>
      <c r="F23" s="25">
        <f t="array" ref="F23">SUM((IF(YEAR($A$27:$A$300)=YEAR($A23),1,0))*F$27:F$300)</f>
        <v>0</v>
      </c>
      <c r="G23" s="25">
        <f t="array" ref="G23">SUM((IF(YEAR($A$27:$A$300)=YEAR($A23),1,0))*G$27:G$300)</f>
        <v>0</v>
      </c>
      <c r="H23" s="25">
        <f t="array" ref="H23">SUM((IF(YEAR($A$27:$A$300)=YEAR($A23),1,0))*H$27:H$300)</f>
        <v>0</v>
      </c>
    </row>
    <row r="24" spans="1:255">
      <c r="A24" s="37" t="s">
        <v>52</v>
      </c>
      <c r="B24" s="25">
        <f t="array" ref="B24">IF(B23=0,0,B23/SUM((IF(YEAR($A$27:$A$300)=YEAR($A23),1,0))*1))</f>
        <v>0</v>
      </c>
      <c r="C24" s="25">
        <f t="array" ref="C24">IF(C23=0,0,C23/SUM((IF(YEAR($A$27:$A$300)=YEAR($A23),1,0))*1))</f>
        <v>0</v>
      </c>
      <c r="D24" s="25">
        <f t="array" ref="D24">IF(D23=0,0,D23/SUM((IF(YEAR($A$27:$A$300)=YEAR($A23),1,0))*1))</f>
        <v>0</v>
      </c>
      <c r="E24" s="25">
        <f t="array" ref="E24">IF(E23=0,0,E23/SUM((IF(YEAR($A$27:$A$300)=YEAR($A23),1,0))*1))</f>
        <v>0</v>
      </c>
      <c r="F24" s="25">
        <f t="array" ref="F24">IF(F23=0,0,F23/SUM((IF(YEAR($A$27:$A$300)=YEAR($A23),1,0))*1))</f>
        <v>0</v>
      </c>
      <c r="G24" s="25">
        <f t="array" ref="G24">IF(G23=0,0,G23/SUM((IF(YEAR($A$27:$A$300)=YEAR($A23),1,0))*1))</f>
        <v>0</v>
      </c>
      <c r="H24" s="25">
        <f t="array" ref="H24">IF(H23=0,0,H23/SUM((IF(YEAR($A$27:$A$300)=YEAR($A23),1,0))*1))</f>
        <v>0</v>
      </c>
    </row>
    <row r="25" spans="1:255">
      <c r="A25" s="9"/>
      <c r="B25" s="9"/>
      <c r="D25" s="9"/>
      <c r="E25" s="9"/>
      <c r="F25" s="9"/>
      <c r="G25" s="9"/>
      <c r="H25" s="9"/>
    </row>
    <row r="26" spans="1:255" s="30" customFormat="1" ht="30.75" thickBot="1">
      <c r="A26" s="39" t="s">
        <v>19</v>
      </c>
      <c r="B26" s="38" t="str">
        <f t="shared" ref="B26:H26" si="0">B1</f>
        <v>Afhalingen</v>
      </c>
      <c r="C26" s="38" t="str">
        <f t="shared" si="0"/>
        <v>Afhaling NT naar spaar rek of gem rek of belastingen</v>
      </c>
      <c r="D26" s="38" t="str">
        <f t="shared" si="0"/>
        <v>Stortingen</v>
      </c>
      <c r="E26" s="38" t="str">
        <f t="shared" si="0"/>
        <v>Loon A</v>
      </c>
      <c r="F26" s="38" t="str">
        <f t="shared" si="0"/>
        <v>Auto</v>
      </c>
      <c r="G26" s="38" t="str">
        <f t="shared" si="0"/>
        <v>Kleding</v>
      </c>
      <c r="H26" s="39" t="str">
        <f t="shared" si="0"/>
        <v>Gespaard</v>
      </c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</row>
    <row r="27" spans="1:255" outlineLevel="1">
      <c r="A27" s="10">
        <v>37196</v>
      </c>
      <c r="B27" s="5">
        <f t="array" aca="1" ref="B27" ca="1">SUM((IF(MONTH(KBCCompData!$C$2:$C$4000)=MONTH(KBCCompSamenv!$A27),1,0))*(IF(YEAR(KBCCompData!$C$2:$C$4000)=YEAR(KBCCompSamenv!$A27),1,0))*(IF(KBCCompData!$E$2:$E$4000&lt;0,1,0))*KBCCompData!$E$2:$E$4000)</f>
        <v>0</v>
      </c>
      <c r="C27" s="11">
        <f t="array" aca="1" ref="C27" ca="1">SUM(IF(MONTH(KBCCompData!$C$2:$C$4000)=MONTH(KBCCompSamenv!$A27),1,0)*IF(YEAR(KBCCompData!$C$2:$C$4000)=YEAR(KBCCompSamenv!$A27),1,0)*IF(KBCCompData!$E$2:$E$4000&lt;0,1,0)*IF(KBCCompData!$G$2:$G$4000=Categorieën!$E$1,0,1)*IF(KBCCompData!$G$2:$G$4000=Categorieën!$F$1,0,1)*IF(KBCCompData!$G$2:$G$4000=Categorieën!$L$1,0,1)*KBCCompData!$E$2:$E$4000)</f>
        <v>0</v>
      </c>
      <c r="D27" s="11">
        <f ca="1">SUM(IF(MONTH(KBCCompData!$C$2:$C$4000)=MONTH(KBCCompSamenv!$A27),1,0)*IF(YEAR(KBCCompData!$C$2:$C$4000)=YEAR(KBCCompSamenv!$A27),1,0)*IF(KBCCompData!$E$2:$E$4000&gt;0,1,0)*KBCCompData!$E$2:$E$4000)</f>
        <v>0</v>
      </c>
      <c r="E27" s="11">
        <f t="array" aca="1" ref="E27" ca="1">SUM(IF(MONTH(KBCCompData!$C$2:$C$4000)=MONTH(KBCCompSamenv!$A27),1,0)*IF(YEAR(KBCCompData!$C$2:$C$4000)=YEAR(KBCCompSamenv!$A27),1,0)*IF(KBCCompData!$G$2:$G$4000=E$1,1,0)*KBCCompData!$E$2:$E$4000)+SUM(IF(MONTH(CrelanData!$A$2:$A$4000)=MONTH(KBCCompSamenv!$A28),1,0)*IF(YEAR(CrelanData!$A$2:$A$4000)=YEAR(KBCCompSamenv!$A28),1,0)*IF(CrelanData!$H$2:$H$4000=Categorieën!$B$1,1,0)*CrelanData!$B$2:$B$4000)</f>
        <v>0</v>
      </c>
      <c r="F27" s="11">
        <f t="array" aca="1" ref="F27" ca="1">SUM(IF(MONTH(KBCCompData!$C$2:$C$4000)=MONTH(KBCCompSamenv!$A27),1,0)*IF(YEAR(KBCCompData!$C$2:$C$4000)=YEAR(KBCCompSamenv!$A27),1,0)*IF(KBCCompData!$G$2:$G$4000=F$1,1,0)*KBCCompData!$E$2:$E$4000)+SUM(IF(MONTH(CrelanData!$A$2:$A$4000)=MONTH(KBCCompSamenv!$A28),1,0)*IF(YEAR(CrelanData!$A$2:$A$4000)=YEAR(KBCCompSamenv!$A28),1,0)*IF(CrelanData!$H$2:$H$4000=Categorieën!$B$1,1,0)*CrelanData!$B$2:$B$4000)</f>
        <v>0</v>
      </c>
      <c r="G27" s="11">
        <f t="array" aca="1" ref="G27" ca="1">SUM(IF(MONTH(KBCCompData!$C$2:$C$4000)=MONTH(KBCCompSamenv!$A27),1,0)*IF(YEAR(KBCCompData!$C$2:$C$4000)=YEAR(KBCCompSamenv!$A27),1,0)*IF(KBCCompData!$G$2:$G$4000=G$1,1,0)*KBCCompData!$E$2:$E$4000)+SUM(IF(MONTH(CrelanData!$A$2:$A$4000)=MONTH(KBCCompSamenv!$A28),1,0)*IF(YEAR(CrelanData!$A$2:$A$4000)=YEAR(KBCCompSamenv!$A28),1,0)*IF(CrelanData!$H$2:$H$4000=Categorieën!$B$1,1,0)*CrelanData!$B$2:$B$4000)</f>
        <v>0</v>
      </c>
      <c r="H27" s="5">
        <f ca="1">KBCSpaarrekSamenv!D5</f>
        <v>0</v>
      </c>
    </row>
    <row r="28" spans="1:255">
      <c r="A28" s="10">
        <v>37226</v>
      </c>
      <c r="B28" s="5">
        <f t="array" aca="1" ref="B28" ca="1">SUM((IF(MONTH(KBCCompData!$C$2:$C$4000)=MONTH(KBCCompSamenv!$A28),1,0))*(IF(YEAR(KBCCompData!$C$2:$C$4000)=YEAR(KBCCompSamenv!$A28),1,0))*(IF(KBCCompData!$E$2:$E$4000&lt;0,1,0))*KBCCompData!$E$2:$E$4000)</f>
        <v>0</v>
      </c>
      <c r="C28" s="11">
        <f t="array" aca="1" ref="C28" ca="1">SUM(IF(MONTH(KBCCompData!$C$2:$C$4000)=MONTH(KBCCompSamenv!$A28),1,0)*IF(YEAR(KBCCompData!$C$2:$C$4000)=YEAR(KBCCompSamenv!$A28),1,0)*IF(KBCCompData!$E$2:$E$4000&lt;0,1,0)*IF(KBCCompData!$G$2:$G$4000=Categorieën!$E$1,0,1)*IF(KBCCompData!$G$2:$G$4000=Categorieën!$F$1,0,1)*IF(KBCCompData!$G$2:$G$4000=Categorieën!$L$1,0,1)*KBCCompData!$E$2:$E$4000)</f>
        <v>0</v>
      </c>
      <c r="D28" s="11">
        <f ca="1">SUM(IF(MONTH(KBCCompData!$C$2:$C$4000)=MONTH(KBCCompSamenv!$A28),1,0)*IF(YEAR(KBCCompData!$C$2:$C$4000)=YEAR(KBCCompSamenv!$A28),1,0)*IF(KBCCompData!$E$2:$E$4000&gt;0,1,0)*KBCCompData!$E$2:$E$4000)</f>
        <v>0</v>
      </c>
      <c r="E28" s="11">
        <f t="array" aca="1" ref="E28" ca="1">SUM(IF(MONTH(KBCCompData!$C$2:$C$4000)=MONTH(KBCCompSamenv!$A28),1,0)*IF(YEAR(KBCCompData!$C$2:$C$4000)=YEAR(KBCCompSamenv!$A28),1,0)*IF(KBCCompData!$G$2:$G$4000=E$1,1,0)*KBCCompData!$E$2:$E$4000)+SUM(IF(MONTH(CrelanData!$A$2:$A$4000)=MONTH(KBCCompSamenv!$A29),1,0)*IF(YEAR(CrelanData!$A$2:$A$4000)=YEAR(KBCCompSamenv!$A29),1,0)*IF(CrelanData!$H$2:$H$4000=Categorieën!$B$1,1,0)*CrelanData!$B$2:$B$4000)</f>
        <v>0</v>
      </c>
      <c r="F28" s="11">
        <f t="array" aca="1" ref="F28" ca="1">SUM(IF(MONTH(KBCCompData!$C$2:$C$4000)=MONTH(KBCCompSamenv!$A28),1,0)*IF(YEAR(KBCCompData!$C$2:$C$4000)=YEAR(KBCCompSamenv!$A28),1,0)*IF(KBCCompData!$G$2:$G$4000=F$1,1,0)*KBCCompData!$E$2:$E$4000)+SUM(IF(MONTH(CrelanData!$A$2:$A$4000)=MONTH(KBCCompSamenv!$A29),1,0)*IF(YEAR(CrelanData!$A$2:$A$4000)=YEAR(KBCCompSamenv!$A29),1,0)*IF(CrelanData!$H$2:$H$4000=Categorieën!$B$1,1,0)*CrelanData!$B$2:$B$4000)</f>
        <v>0</v>
      </c>
      <c r="G28" s="11">
        <f t="array" aca="1" ref="G28" ca="1">SUM(IF(MONTH(KBCCompData!$C$2:$C$4000)=MONTH(KBCCompSamenv!$A28),1,0)*IF(YEAR(KBCCompData!$C$2:$C$4000)=YEAR(KBCCompSamenv!$A28),1,0)*IF(KBCCompData!$G$2:$G$4000=G$1,1,0)*KBCCompData!$E$2:$E$4000)+SUM(IF(MONTH(CrelanData!$A$2:$A$4000)=MONTH(KBCCompSamenv!$A29),1,0)*IF(YEAR(CrelanData!$A$2:$A$4000)=YEAR(KBCCompSamenv!$A29),1,0)*IF(CrelanData!$H$2:$H$4000=Categorieën!$B$1,1,0)*CrelanData!$B$2:$B$4000)</f>
        <v>0</v>
      </c>
      <c r="H28" s="5">
        <f ca="1">KBCSpaarrekSamenv!D6</f>
        <v>0</v>
      </c>
    </row>
    <row r="29" spans="1:255" outlineLevel="1">
      <c r="A29" s="10">
        <v>37257</v>
      </c>
      <c r="B29" s="5">
        <f t="array" aca="1" ref="B29" ca="1">SUM((IF(MONTH(KBCCompData!$C$2:$C$4000)=MONTH(KBCCompSamenv!$A29),1,0))*(IF(YEAR(KBCCompData!$C$2:$C$4000)=YEAR(KBCCompSamenv!$A29),1,0))*(IF(KBCCompData!$E$2:$E$4000&lt;0,1,0))*KBCCompData!$E$2:$E$4000)</f>
        <v>0</v>
      </c>
      <c r="C29" s="11">
        <f t="array" aca="1" ref="C29" ca="1">SUM(IF(MONTH(KBCCompData!$C$2:$C$4000)=MONTH(KBCCompSamenv!$A29),1,0)*IF(YEAR(KBCCompData!$C$2:$C$4000)=YEAR(KBCCompSamenv!$A29),1,0)*IF(KBCCompData!$E$2:$E$4000&lt;0,1,0)*IF(KBCCompData!$G$2:$G$4000=Categorieën!$E$1,0,1)*IF(KBCCompData!$G$2:$G$4000=Categorieën!$F$1,0,1)*IF(KBCCompData!$G$2:$G$4000=Categorieën!$L$1,0,1)*KBCCompData!$E$2:$E$4000)</f>
        <v>0</v>
      </c>
      <c r="D29" s="11">
        <f ca="1">SUM(IF(MONTH(KBCCompData!$C$2:$C$4000)=MONTH(KBCCompSamenv!$A29),1,0)*IF(YEAR(KBCCompData!$C$2:$C$4000)=YEAR(KBCCompSamenv!$A29),1,0)*IF(KBCCompData!$E$2:$E$4000&gt;0,1,0)*KBCCompData!$E$2:$E$4000)</f>
        <v>0</v>
      </c>
      <c r="E29" s="11">
        <f t="array" aca="1" ref="E29" ca="1">SUM(IF(MONTH(KBCCompData!$C$2:$C$4000)=MONTH(KBCCompSamenv!$A29),1,0)*IF(YEAR(KBCCompData!$C$2:$C$4000)=YEAR(KBCCompSamenv!$A29),1,0)*IF(KBCCompData!$G$2:$G$4000=E$1,1,0)*KBCCompData!$E$2:$E$4000)+SUM(IF(MONTH(CrelanData!$A$2:$A$4000)=MONTH(KBCCompSamenv!$A30),1,0)*IF(YEAR(CrelanData!$A$2:$A$4000)=YEAR(KBCCompSamenv!$A30),1,0)*IF(CrelanData!$H$2:$H$4000=Categorieën!$B$1,1,0)*CrelanData!$B$2:$B$4000)</f>
        <v>0</v>
      </c>
      <c r="F29" s="11">
        <f t="array" aca="1" ref="F29" ca="1">SUM(IF(MONTH(KBCCompData!$C$2:$C$4000)=MONTH(KBCCompSamenv!$A29),1,0)*IF(YEAR(KBCCompData!$C$2:$C$4000)=YEAR(KBCCompSamenv!$A29),1,0)*IF(KBCCompData!$G$2:$G$4000=F$1,1,0)*KBCCompData!$E$2:$E$4000)+SUM(IF(MONTH(CrelanData!$A$2:$A$4000)=MONTH(KBCCompSamenv!$A30),1,0)*IF(YEAR(CrelanData!$A$2:$A$4000)=YEAR(KBCCompSamenv!$A30),1,0)*IF(CrelanData!$H$2:$H$4000=Categorieën!$B$1,1,0)*CrelanData!$B$2:$B$4000)</f>
        <v>0</v>
      </c>
      <c r="G29" s="11">
        <f t="array" aca="1" ref="G29" ca="1">SUM(IF(MONTH(KBCCompData!$C$2:$C$4000)=MONTH(KBCCompSamenv!$A29),1,0)*IF(YEAR(KBCCompData!$C$2:$C$4000)=YEAR(KBCCompSamenv!$A29),1,0)*IF(KBCCompData!$G$2:$G$4000=G$1,1,0)*KBCCompData!$E$2:$E$4000)+SUM(IF(MONTH(CrelanData!$A$2:$A$4000)=MONTH(KBCCompSamenv!$A30),1,0)*IF(YEAR(CrelanData!$A$2:$A$4000)=YEAR(KBCCompSamenv!$A30),1,0)*IF(CrelanData!$H$2:$H$4000=Categorieën!$B$1,1,0)*CrelanData!$B$2:$B$4000)</f>
        <v>0</v>
      </c>
      <c r="H29" s="5">
        <f ca="1">KBCSpaarrekSamenv!D7</f>
        <v>0</v>
      </c>
    </row>
    <row r="30" spans="1:255" outlineLevel="1">
      <c r="A30" s="10">
        <v>37288</v>
      </c>
      <c r="B30" s="5">
        <f t="array" aca="1" ref="B30" ca="1">SUM((IF(MONTH(KBCCompData!$C$2:$C$4000)=MONTH(KBCCompSamenv!$A30),1,0))*(IF(YEAR(KBCCompData!$C$2:$C$4000)=YEAR(KBCCompSamenv!$A30),1,0))*(IF(KBCCompData!$E$2:$E$4000&lt;0,1,0))*KBCCompData!$E$2:$E$4000)</f>
        <v>0</v>
      </c>
      <c r="C30" s="11">
        <f t="array" aca="1" ref="C30" ca="1">SUM(IF(MONTH(KBCCompData!$C$2:$C$4000)=MONTH(KBCCompSamenv!$A30),1,0)*IF(YEAR(KBCCompData!$C$2:$C$4000)=YEAR(KBCCompSamenv!$A30),1,0)*IF(KBCCompData!$E$2:$E$4000&lt;0,1,0)*IF(KBCCompData!$G$2:$G$4000=Categorieën!$E$1,0,1)*IF(KBCCompData!$G$2:$G$4000=Categorieën!$F$1,0,1)*IF(KBCCompData!$G$2:$G$4000=Categorieën!$L$1,0,1)*KBCCompData!$E$2:$E$4000)</f>
        <v>0</v>
      </c>
      <c r="D30" s="11">
        <f ca="1">SUM(IF(MONTH(KBCCompData!$C$2:$C$4000)=MONTH(KBCCompSamenv!$A30),1,0)*IF(YEAR(KBCCompData!$C$2:$C$4000)=YEAR(KBCCompSamenv!$A30),1,0)*IF(KBCCompData!$E$2:$E$4000&gt;0,1,0)*KBCCompData!$E$2:$E$4000)</f>
        <v>0</v>
      </c>
      <c r="E30" s="11">
        <f t="array" aca="1" ref="E30" ca="1">SUM(IF(MONTH(KBCCompData!$C$2:$C$4000)=MONTH(KBCCompSamenv!$A30),1,0)*IF(YEAR(KBCCompData!$C$2:$C$4000)=YEAR(KBCCompSamenv!$A30),1,0)*IF(KBCCompData!$G$2:$G$4000=E$1,1,0)*KBCCompData!$E$2:$E$4000)+SUM(IF(MONTH(CrelanData!$A$2:$A$4000)=MONTH(KBCCompSamenv!$A31),1,0)*IF(YEAR(CrelanData!$A$2:$A$4000)=YEAR(KBCCompSamenv!$A31),1,0)*IF(CrelanData!$H$2:$H$4000=Categorieën!$B$1,1,0)*CrelanData!$B$2:$B$4000)</f>
        <v>0</v>
      </c>
      <c r="F30" s="11">
        <f t="array" aca="1" ref="F30" ca="1">SUM(IF(MONTH(KBCCompData!$C$2:$C$4000)=MONTH(KBCCompSamenv!$A30),1,0)*IF(YEAR(KBCCompData!$C$2:$C$4000)=YEAR(KBCCompSamenv!$A30),1,0)*IF(KBCCompData!$G$2:$G$4000=F$1,1,0)*KBCCompData!$E$2:$E$4000)+SUM(IF(MONTH(CrelanData!$A$2:$A$4000)=MONTH(KBCCompSamenv!$A31),1,0)*IF(YEAR(CrelanData!$A$2:$A$4000)=YEAR(KBCCompSamenv!$A31),1,0)*IF(CrelanData!$H$2:$H$4000=Categorieën!$B$1,1,0)*CrelanData!$B$2:$B$4000)</f>
        <v>0</v>
      </c>
      <c r="G30" s="11">
        <f t="array" aca="1" ref="G30" ca="1">SUM(IF(MONTH(KBCCompData!$C$2:$C$4000)=MONTH(KBCCompSamenv!$A30),1,0)*IF(YEAR(KBCCompData!$C$2:$C$4000)=YEAR(KBCCompSamenv!$A30),1,0)*IF(KBCCompData!$G$2:$G$4000=G$1,1,0)*KBCCompData!$E$2:$E$4000)+SUM(IF(MONTH(CrelanData!$A$2:$A$4000)=MONTH(KBCCompSamenv!$A31),1,0)*IF(YEAR(CrelanData!$A$2:$A$4000)=YEAR(KBCCompSamenv!$A31),1,0)*IF(CrelanData!$H$2:$H$4000=Categorieën!$B$1,1,0)*CrelanData!$B$2:$B$4000)</f>
        <v>0</v>
      </c>
      <c r="H30" s="5">
        <f ca="1">KBCSpaarrekSamenv!D8</f>
        <v>0</v>
      </c>
    </row>
    <row r="31" spans="1:255" outlineLevel="1">
      <c r="A31" s="10">
        <v>37316</v>
      </c>
      <c r="B31" s="5">
        <f t="array" aca="1" ref="B31" ca="1">SUM((IF(MONTH(KBCCompData!$C$2:$C$4000)=MONTH(KBCCompSamenv!$A31),1,0))*(IF(YEAR(KBCCompData!$C$2:$C$4000)=YEAR(KBCCompSamenv!$A31),1,0))*(IF(KBCCompData!$E$2:$E$4000&lt;0,1,0))*KBCCompData!$E$2:$E$4000)</f>
        <v>0</v>
      </c>
      <c r="C31" s="11">
        <f t="array" aca="1" ref="C31" ca="1">SUM(IF(MONTH(KBCCompData!$C$2:$C$4000)=MONTH(KBCCompSamenv!$A31),1,0)*IF(YEAR(KBCCompData!$C$2:$C$4000)=YEAR(KBCCompSamenv!$A31),1,0)*IF(KBCCompData!$E$2:$E$4000&lt;0,1,0)*IF(KBCCompData!$G$2:$G$4000=Categorieën!$E$1,0,1)*IF(KBCCompData!$G$2:$G$4000=Categorieën!$F$1,0,1)*IF(KBCCompData!$G$2:$G$4000=Categorieën!$L$1,0,1)*KBCCompData!$E$2:$E$4000)</f>
        <v>0</v>
      </c>
      <c r="D31" s="11">
        <f ca="1">SUM(IF(MONTH(KBCCompData!$C$2:$C$4000)=MONTH(KBCCompSamenv!$A31),1,0)*IF(YEAR(KBCCompData!$C$2:$C$4000)=YEAR(KBCCompSamenv!$A31),1,0)*IF(KBCCompData!$E$2:$E$4000&gt;0,1,0)*KBCCompData!$E$2:$E$4000)</f>
        <v>0</v>
      </c>
      <c r="E31" s="11">
        <f t="array" aca="1" ref="E31" ca="1">SUM(IF(MONTH(KBCCompData!$C$2:$C$4000)=MONTH(KBCCompSamenv!$A31),1,0)*IF(YEAR(KBCCompData!$C$2:$C$4000)=YEAR(KBCCompSamenv!$A31),1,0)*IF(KBCCompData!$G$2:$G$4000=E$1,1,0)*KBCCompData!$E$2:$E$4000)+SUM(IF(MONTH(CrelanData!$A$2:$A$4000)=MONTH(KBCCompSamenv!$A32),1,0)*IF(YEAR(CrelanData!$A$2:$A$4000)=YEAR(KBCCompSamenv!$A32),1,0)*IF(CrelanData!$H$2:$H$4000=Categorieën!$B$1,1,0)*CrelanData!$B$2:$B$4000)</f>
        <v>0</v>
      </c>
      <c r="F31" s="11">
        <f t="array" aca="1" ref="F31" ca="1">SUM(IF(MONTH(KBCCompData!$C$2:$C$4000)=MONTH(KBCCompSamenv!$A31),1,0)*IF(YEAR(KBCCompData!$C$2:$C$4000)=YEAR(KBCCompSamenv!$A31),1,0)*IF(KBCCompData!$G$2:$G$4000=F$1,1,0)*KBCCompData!$E$2:$E$4000)+SUM(IF(MONTH(CrelanData!$A$2:$A$4000)=MONTH(KBCCompSamenv!$A32),1,0)*IF(YEAR(CrelanData!$A$2:$A$4000)=YEAR(KBCCompSamenv!$A32),1,0)*IF(CrelanData!$H$2:$H$4000=Categorieën!$B$1,1,0)*CrelanData!$B$2:$B$4000)</f>
        <v>0</v>
      </c>
      <c r="G31" s="11">
        <f t="array" aca="1" ref="G31" ca="1">SUM(IF(MONTH(KBCCompData!$C$2:$C$4000)=MONTH(KBCCompSamenv!$A31),1,0)*IF(YEAR(KBCCompData!$C$2:$C$4000)=YEAR(KBCCompSamenv!$A31),1,0)*IF(KBCCompData!$G$2:$G$4000=G$1,1,0)*KBCCompData!$E$2:$E$4000)+SUM(IF(MONTH(CrelanData!$A$2:$A$4000)=MONTH(KBCCompSamenv!$A32),1,0)*IF(YEAR(CrelanData!$A$2:$A$4000)=YEAR(KBCCompSamenv!$A32),1,0)*IF(CrelanData!$H$2:$H$4000=Categorieën!$B$1,1,0)*CrelanData!$B$2:$B$4000)</f>
        <v>0</v>
      </c>
      <c r="H31" s="5">
        <f ca="1">KBCSpaarrekSamenv!D9</f>
        <v>0</v>
      </c>
    </row>
    <row r="32" spans="1:255" outlineLevel="1">
      <c r="A32" s="10">
        <v>37347</v>
      </c>
      <c r="B32" s="5">
        <f t="array" aca="1" ref="B32" ca="1">SUM((IF(MONTH(KBCCompData!$C$2:$C$4000)=MONTH(KBCCompSamenv!$A32),1,0))*(IF(YEAR(KBCCompData!$C$2:$C$4000)=YEAR(KBCCompSamenv!$A32),1,0))*(IF(KBCCompData!$E$2:$E$4000&lt;0,1,0))*KBCCompData!$E$2:$E$4000)</f>
        <v>0</v>
      </c>
      <c r="C32" s="11">
        <f t="array" aca="1" ref="C32" ca="1">SUM(IF(MONTH(KBCCompData!$C$2:$C$4000)=MONTH(KBCCompSamenv!$A32),1,0)*IF(YEAR(KBCCompData!$C$2:$C$4000)=YEAR(KBCCompSamenv!$A32),1,0)*IF(KBCCompData!$E$2:$E$4000&lt;0,1,0)*IF(KBCCompData!$G$2:$G$4000=Categorieën!$E$1,0,1)*IF(KBCCompData!$G$2:$G$4000=Categorieën!$F$1,0,1)*IF(KBCCompData!$G$2:$G$4000=Categorieën!$L$1,0,1)*KBCCompData!$E$2:$E$4000)</f>
        <v>0</v>
      </c>
      <c r="D32" s="11">
        <f ca="1">SUM(IF(MONTH(KBCCompData!$C$2:$C$4000)=MONTH(KBCCompSamenv!$A32),1,0)*IF(YEAR(KBCCompData!$C$2:$C$4000)=YEAR(KBCCompSamenv!$A32),1,0)*IF(KBCCompData!$E$2:$E$4000&gt;0,1,0)*KBCCompData!$E$2:$E$4000)</f>
        <v>0</v>
      </c>
      <c r="E32" s="11">
        <f t="array" aca="1" ref="E32" ca="1">SUM(IF(MONTH(KBCCompData!$C$2:$C$4000)=MONTH(KBCCompSamenv!$A32),1,0)*IF(YEAR(KBCCompData!$C$2:$C$4000)=YEAR(KBCCompSamenv!$A32),1,0)*IF(KBCCompData!$G$2:$G$4000=E$1,1,0)*KBCCompData!$E$2:$E$4000)+SUM(IF(MONTH(CrelanData!$A$2:$A$4000)=MONTH(KBCCompSamenv!$A33),1,0)*IF(YEAR(CrelanData!$A$2:$A$4000)=YEAR(KBCCompSamenv!$A33),1,0)*IF(CrelanData!$H$2:$H$4000=Categorieën!$B$1,1,0)*CrelanData!$B$2:$B$4000)</f>
        <v>0</v>
      </c>
      <c r="F32" s="11">
        <f t="array" aca="1" ref="F32" ca="1">SUM(IF(MONTH(KBCCompData!$C$2:$C$4000)=MONTH(KBCCompSamenv!$A32),1,0)*IF(YEAR(KBCCompData!$C$2:$C$4000)=YEAR(KBCCompSamenv!$A32),1,0)*IF(KBCCompData!$G$2:$G$4000=F$1,1,0)*KBCCompData!$E$2:$E$4000)+SUM(IF(MONTH(CrelanData!$A$2:$A$4000)=MONTH(KBCCompSamenv!$A33),1,0)*IF(YEAR(CrelanData!$A$2:$A$4000)=YEAR(KBCCompSamenv!$A33),1,0)*IF(CrelanData!$H$2:$H$4000=Categorieën!$B$1,1,0)*CrelanData!$B$2:$B$4000)</f>
        <v>0</v>
      </c>
      <c r="G32" s="11">
        <f t="array" aca="1" ref="G32" ca="1">SUM(IF(MONTH(KBCCompData!$C$2:$C$4000)=MONTH(KBCCompSamenv!$A32),1,0)*IF(YEAR(KBCCompData!$C$2:$C$4000)=YEAR(KBCCompSamenv!$A32),1,0)*IF(KBCCompData!$G$2:$G$4000=G$1,1,0)*KBCCompData!$E$2:$E$4000)+SUM(IF(MONTH(CrelanData!$A$2:$A$4000)=MONTH(KBCCompSamenv!$A33),1,0)*IF(YEAR(CrelanData!$A$2:$A$4000)=YEAR(KBCCompSamenv!$A33),1,0)*IF(CrelanData!$H$2:$H$4000=Categorieën!$B$1,1,0)*CrelanData!$B$2:$B$4000)</f>
        <v>0</v>
      </c>
      <c r="H32" s="5">
        <f ca="1">KBCSpaarrekSamenv!D10</f>
        <v>0</v>
      </c>
    </row>
    <row r="33" spans="1:8" outlineLevel="1">
      <c r="A33" s="10">
        <v>37377</v>
      </c>
      <c r="B33" s="5">
        <f t="array" aca="1" ref="B33" ca="1">SUM((IF(MONTH(KBCCompData!$C$2:$C$4000)=MONTH(KBCCompSamenv!$A33),1,0))*(IF(YEAR(KBCCompData!$C$2:$C$4000)=YEAR(KBCCompSamenv!$A33),1,0))*(IF(KBCCompData!$E$2:$E$4000&lt;0,1,0))*KBCCompData!$E$2:$E$4000)</f>
        <v>0</v>
      </c>
      <c r="C33" s="11">
        <f t="array" aca="1" ref="C33" ca="1">SUM(IF(MONTH(KBCCompData!$C$2:$C$4000)=MONTH(KBCCompSamenv!$A33),1,0)*IF(YEAR(KBCCompData!$C$2:$C$4000)=YEAR(KBCCompSamenv!$A33),1,0)*IF(KBCCompData!$E$2:$E$4000&lt;0,1,0)*IF(KBCCompData!$G$2:$G$4000=Categorieën!$E$1,0,1)*IF(KBCCompData!$G$2:$G$4000=Categorieën!$F$1,0,1)*IF(KBCCompData!$G$2:$G$4000=Categorieën!$L$1,0,1)*KBCCompData!$E$2:$E$4000)</f>
        <v>0</v>
      </c>
      <c r="D33" s="11">
        <f ca="1">SUM(IF(MONTH(KBCCompData!$C$2:$C$4000)=MONTH(KBCCompSamenv!$A33),1,0)*IF(YEAR(KBCCompData!$C$2:$C$4000)=YEAR(KBCCompSamenv!$A33),1,0)*IF(KBCCompData!$E$2:$E$4000&gt;0,1,0)*KBCCompData!$E$2:$E$4000)</f>
        <v>0</v>
      </c>
      <c r="E33" s="11">
        <f t="array" aca="1" ref="E33" ca="1">SUM(IF(MONTH(KBCCompData!$C$2:$C$4000)=MONTH(KBCCompSamenv!$A33),1,0)*IF(YEAR(KBCCompData!$C$2:$C$4000)=YEAR(KBCCompSamenv!$A33),1,0)*IF(KBCCompData!$G$2:$G$4000=E$1,1,0)*KBCCompData!$E$2:$E$4000)+SUM(IF(MONTH(CrelanData!$A$2:$A$4000)=MONTH(KBCCompSamenv!$A34),1,0)*IF(YEAR(CrelanData!$A$2:$A$4000)=YEAR(KBCCompSamenv!$A34),1,0)*IF(CrelanData!$H$2:$H$4000=Categorieën!$B$1,1,0)*CrelanData!$B$2:$B$4000)</f>
        <v>0</v>
      </c>
      <c r="F33" s="11">
        <f t="array" aca="1" ref="F33" ca="1">SUM(IF(MONTH(KBCCompData!$C$2:$C$4000)=MONTH(KBCCompSamenv!$A33),1,0)*IF(YEAR(KBCCompData!$C$2:$C$4000)=YEAR(KBCCompSamenv!$A33),1,0)*IF(KBCCompData!$G$2:$G$4000=F$1,1,0)*KBCCompData!$E$2:$E$4000)+SUM(IF(MONTH(CrelanData!$A$2:$A$4000)=MONTH(KBCCompSamenv!$A34),1,0)*IF(YEAR(CrelanData!$A$2:$A$4000)=YEAR(KBCCompSamenv!$A34),1,0)*IF(CrelanData!$H$2:$H$4000=Categorieën!$B$1,1,0)*CrelanData!$B$2:$B$4000)</f>
        <v>0</v>
      </c>
      <c r="G33" s="11">
        <f t="array" aca="1" ref="G33" ca="1">SUM(IF(MONTH(KBCCompData!$C$2:$C$4000)=MONTH(KBCCompSamenv!$A33),1,0)*IF(YEAR(KBCCompData!$C$2:$C$4000)=YEAR(KBCCompSamenv!$A33),1,0)*IF(KBCCompData!$G$2:$G$4000=G$1,1,0)*KBCCompData!$E$2:$E$4000)+SUM(IF(MONTH(CrelanData!$A$2:$A$4000)=MONTH(KBCCompSamenv!$A34),1,0)*IF(YEAR(CrelanData!$A$2:$A$4000)=YEAR(KBCCompSamenv!$A34),1,0)*IF(CrelanData!$H$2:$H$4000=Categorieën!$B$1,1,0)*CrelanData!$B$2:$B$4000)</f>
        <v>0</v>
      </c>
      <c r="H33" s="5">
        <f ca="1">KBCSpaarrekSamenv!D11</f>
        <v>0</v>
      </c>
    </row>
    <row r="34" spans="1:8" outlineLevel="1">
      <c r="A34" s="10">
        <v>37408</v>
      </c>
      <c r="B34" s="5">
        <f t="array" aca="1" ref="B34" ca="1">SUM((IF(MONTH(KBCCompData!$C$2:$C$4000)=MONTH(KBCCompSamenv!$A34),1,0))*(IF(YEAR(KBCCompData!$C$2:$C$4000)=YEAR(KBCCompSamenv!$A34),1,0))*(IF(KBCCompData!$E$2:$E$4000&lt;0,1,0))*KBCCompData!$E$2:$E$4000)</f>
        <v>0</v>
      </c>
      <c r="C34" s="11">
        <f t="array" aca="1" ref="C34" ca="1">SUM(IF(MONTH(KBCCompData!$C$2:$C$4000)=MONTH(KBCCompSamenv!$A34),1,0)*IF(YEAR(KBCCompData!$C$2:$C$4000)=YEAR(KBCCompSamenv!$A34),1,0)*IF(KBCCompData!$E$2:$E$4000&lt;0,1,0)*IF(KBCCompData!$G$2:$G$4000=Categorieën!$E$1,0,1)*IF(KBCCompData!$G$2:$G$4000=Categorieën!$F$1,0,1)*IF(KBCCompData!$G$2:$G$4000=Categorieën!$L$1,0,1)*KBCCompData!$E$2:$E$4000)</f>
        <v>0</v>
      </c>
      <c r="D34" s="11">
        <f ca="1">SUM(IF(MONTH(KBCCompData!$C$2:$C$4000)=MONTH(KBCCompSamenv!$A34),1,0)*IF(YEAR(KBCCompData!$C$2:$C$4000)=YEAR(KBCCompSamenv!$A34),1,0)*IF(KBCCompData!$E$2:$E$4000&gt;0,1,0)*KBCCompData!$E$2:$E$4000)</f>
        <v>0</v>
      </c>
      <c r="E34" s="11">
        <f t="array" aca="1" ref="E34" ca="1">SUM(IF(MONTH(KBCCompData!$C$2:$C$4000)=MONTH(KBCCompSamenv!$A34),1,0)*IF(YEAR(KBCCompData!$C$2:$C$4000)=YEAR(KBCCompSamenv!$A34),1,0)*IF(KBCCompData!$G$2:$G$4000=E$1,1,0)*KBCCompData!$E$2:$E$4000)+SUM(IF(MONTH(CrelanData!$A$2:$A$4000)=MONTH(KBCCompSamenv!$A35),1,0)*IF(YEAR(CrelanData!$A$2:$A$4000)=YEAR(KBCCompSamenv!$A35),1,0)*IF(CrelanData!$H$2:$H$4000=Categorieën!$B$1,1,0)*CrelanData!$B$2:$B$4000)</f>
        <v>0</v>
      </c>
      <c r="F34" s="11">
        <f t="array" aca="1" ref="F34" ca="1">SUM(IF(MONTH(KBCCompData!$C$2:$C$4000)=MONTH(KBCCompSamenv!$A34),1,0)*IF(YEAR(KBCCompData!$C$2:$C$4000)=YEAR(KBCCompSamenv!$A34),1,0)*IF(KBCCompData!$G$2:$G$4000=F$1,1,0)*KBCCompData!$E$2:$E$4000)+SUM(IF(MONTH(CrelanData!$A$2:$A$4000)=MONTH(KBCCompSamenv!$A35),1,0)*IF(YEAR(CrelanData!$A$2:$A$4000)=YEAR(KBCCompSamenv!$A35),1,0)*IF(CrelanData!$H$2:$H$4000=Categorieën!$B$1,1,0)*CrelanData!$B$2:$B$4000)</f>
        <v>0</v>
      </c>
      <c r="G34" s="11">
        <f t="array" aca="1" ref="G34" ca="1">SUM(IF(MONTH(KBCCompData!$C$2:$C$4000)=MONTH(KBCCompSamenv!$A34),1,0)*IF(YEAR(KBCCompData!$C$2:$C$4000)=YEAR(KBCCompSamenv!$A34),1,0)*IF(KBCCompData!$G$2:$G$4000=G$1,1,0)*KBCCompData!$E$2:$E$4000)+SUM(IF(MONTH(CrelanData!$A$2:$A$4000)=MONTH(KBCCompSamenv!$A35),1,0)*IF(YEAR(CrelanData!$A$2:$A$4000)=YEAR(KBCCompSamenv!$A35),1,0)*IF(CrelanData!$H$2:$H$4000=Categorieën!$B$1,1,0)*CrelanData!$B$2:$B$4000)</f>
        <v>0</v>
      </c>
      <c r="H34" s="5">
        <f ca="1">KBCSpaarrekSamenv!D12</f>
        <v>0</v>
      </c>
    </row>
    <row r="35" spans="1:8" outlineLevel="1">
      <c r="A35" s="10">
        <v>37438</v>
      </c>
      <c r="B35" s="5">
        <f t="array" aca="1" ref="B35" ca="1">SUM((IF(MONTH(KBCCompData!$C$2:$C$4000)=MONTH(KBCCompSamenv!$A35),1,0))*(IF(YEAR(KBCCompData!$C$2:$C$4000)=YEAR(KBCCompSamenv!$A35),1,0))*(IF(KBCCompData!$E$2:$E$4000&lt;0,1,0))*KBCCompData!$E$2:$E$4000)</f>
        <v>0</v>
      </c>
      <c r="C35" s="11">
        <f t="array" aca="1" ref="C35" ca="1">SUM(IF(MONTH(KBCCompData!$C$2:$C$4000)=MONTH(KBCCompSamenv!$A35),1,0)*IF(YEAR(KBCCompData!$C$2:$C$4000)=YEAR(KBCCompSamenv!$A35),1,0)*IF(KBCCompData!$E$2:$E$4000&lt;0,1,0)*IF(KBCCompData!$G$2:$G$4000=Categorieën!$E$1,0,1)*IF(KBCCompData!$G$2:$G$4000=Categorieën!$F$1,0,1)*IF(KBCCompData!$G$2:$G$4000=Categorieën!$L$1,0,1)*KBCCompData!$E$2:$E$4000)</f>
        <v>0</v>
      </c>
      <c r="D35" s="11">
        <f ca="1">SUM(IF(MONTH(KBCCompData!$C$2:$C$4000)=MONTH(KBCCompSamenv!$A35),1,0)*IF(YEAR(KBCCompData!$C$2:$C$4000)=YEAR(KBCCompSamenv!$A35),1,0)*IF(KBCCompData!$E$2:$E$4000&gt;0,1,0)*KBCCompData!$E$2:$E$4000)</f>
        <v>0</v>
      </c>
      <c r="E35" s="11">
        <f t="array" aca="1" ref="E35" ca="1">SUM(IF(MONTH(KBCCompData!$C$2:$C$4000)=MONTH(KBCCompSamenv!$A35),1,0)*IF(YEAR(KBCCompData!$C$2:$C$4000)=YEAR(KBCCompSamenv!$A35),1,0)*IF(KBCCompData!$G$2:$G$4000=E$1,1,0)*KBCCompData!$E$2:$E$4000)+SUM(IF(MONTH(CrelanData!$A$2:$A$4000)=MONTH(KBCCompSamenv!$A36),1,0)*IF(YEAR(CrelanData!$A$2:$A$4000)=YEAR(KBCCompSamenv!$A36),1,0)*IF(CrelanData!$H$2:$H$4000=Categorieën!$B$1,1,0)*CrelanData!$B$2:$B$4000)</f>
        <v>0</v>
      </c>
      <c r="F35" s="11">
        <f t="array" aca="1" ref="F35" ca="1">SUM(IF(MONTH(KBCCompData!$C$2:$C$4000)=MONTH(KBCCompSamenv!$A35),1,0)*IF(YEAR(KBCCompData!$C$2:$C$4000)=YEAR(KBCCompSamenv!$A35),1,0)*IF(KBCCompData!$G$2:$G$4000=F$1,1,0)*KBCCompData!$E$2:$E$4000)+SUM(IF(MONTH(CrelanData!$A$2:$A$4000)=MONTH(KBCCompSamenv!$A36),1,0)*IF(YEAR(CrelanData!$A$2:$A$4000)=YEAR(KBCCompSamenv!$A36),1,0)*IF(CrelanData!$H$2:$H$4000=Categorieën!$B$1,1,0)*CrelanData!$B$2:$B$4000)</f>
        <v>0</v>
      </c>
      <c r="G35" s="11">
        <f t="array" aca="1" ref="G35" ca="1">SUM(IF(MONTH(KBCCompData!$C$2:$C$4000)=MONTH(KBCCompSamenv!$A35),1,0)*IF(YEAR(KBCCompData!$C$2:$C$4000)=YEAR(KBCCompSamenv!$A35),1,0)*IF(KBCCompData!$G$2:$G$4000=G$1,1,0)*KBCCompData!$E$2:$E$4000)+SUM(IF(MONTH(CrelanData!$A$2:$A$4000)=MONTH(KBCCompSamenv!$A36),1,0)*IF(YEAR(CrelanData!$A$2:$A$4000)=YEAR(KBCCompSamenv!$A36),1,0)*IF(CrelanData!$H$2:$H$4000=Categorieën!$B$1,1,0)*CrelanData!$B$2:$B$4000)</f>
        <v>0</v>
      </c>
      <c r="H35" s="5">
        <f ca="1">KBCSpaarrekSamenv!D13</f>
        <v>0</v>
      </c>
    </row>
    <row r="36" spans="1:8" outlineLevel="1">
      <c r="A36" s="10">
        <v>37469</v>
      </c>
      <c r="B36" s="5">
        <f t="array" aca="1" ref="B36" ca="1">SUM((IF(MONTH(KBCCompData!$C$2:$C$4000)=MONTH(KBCCompSamenv!$A36),1,0))*(IF(YEAR(KBCCompData!$C$2:$C$4000)=YEAR(KBCCompSamenv!$A36),1,0))*(IF(KBCCompData!$E$2:$E$4000&lt;0,1,0))*KBCCompData!$E$2:$E$4000)</f>
        <v>0</v>
      </c>
      <c r="C36" s="11">
        <f t="array" aca="1" ref="C36" ca="1">SUM(IF(MONTH(KBCCompData!$C$2:$C$4000)=MONTH(KBCCompSamenv!$A36),1,0)*IF(YEAR(KBCCompData!$C$2:$C$4000)=YEAR(KBCCompSamenv!$A36),1,0)*IF(KBCCompData!$E$2:$E$4000&lt;0,1,0)*IF(KBCCompData!$G$2:$G$4000=Categorieën!$E$1,0,1)*IF(KBCCompData!$G$2:$G$4000=Categorieën!$F$1,0,1)*IF(KBCCompData!$G$2:$G$4000=Categorieën!$L$1,0,1)*KBCCompData!$E$2:$E$4000)</f>
        <v>0</v>
      </c>
      <c r="D36" s="11">
        <f ca="1">SUM(IF(MONTH(KBCCompData!$C$2:$C$4000)=MONTH(KBCCompSamenv!$A36),1,0)*IF(YEAR(KBCCompData!$C$2:$C$4000)=YEAR(KBCCompSamenv!$A36),1,0)*IF(KBCCompData!$E$2:$E$4000&gt;0,1,0)*KBCCompData!$E$2:$E$4000)</f>
        <v>0</v>
      </c>
      <c r="E36" s="11">
        <f t="array" aca="1" ref="E36" ca="1">SUM(IF(MONTH(KBCCompData!$C$2:$C$4000)=MONTH(KBCCompSamenv!$A36),1,0)*IF(YEAR(KBCCompData!$C$2:$C$4000)=YEAR(KBCCompSamenv!$A36),1,0)*IF(KBCCompData!$G$2:$G$4000=E$1,1,0)*KBCCompData!$E$2:$E$4000)+SUM(IF(MONTH(CrelanData!$A$2:$A$4000)=MONTH(KBCCompSamenv!$A37),1,0)*IF(YEAR(CrelanData!$A$2:$A$4000)=YEAR(KBCCompSamenv!$A37),1,0)*IF(CrelanData!$H$2:$H$4000=Categorieën!$B$1,1,0)*CrelanData!$B$2:$B$4000)</f>
        <v>0</v>
      </c>
      <c r="F36" s="11">
        <f t="array" aca="1" ref="F36" ca="1">SUM(IF(MONTH(KBCCompData!$C$2:$C$4000)=MONTH(KBCCompSamenv!$A36),1,0)*IF(YEAR(KBCCompData!$C$2:$C$4000)=YEAR(KBCCompSamenv!$A36),1,0)*IF(KBCCompData!$G$2:$G$4000=F$1,1,0)*KBCCompData!$E$2:$E$4000)+SUM(IF(MONTH(CrelanData!$A$2:$A$4000)=MONTH(KBCCompSamenv!$A37),1,0)*IF(YEAR(CrelanData!$A$2:$A$4000)=YEAR(KBCCompSamenv!$A37),1,0)*IF(CrelanData!$H$2:$H$4000=Categorieën!$B$1,1,0)*CrelanData!$B$2:$B$4000)</f>
        <v>0</v>
      </c>
      <c r="G36" s="11">
        <f t="array" aca="1" ref="G36" ca="1">SUM(IF(MONTH(KBCCompData!$C$2:$C$4000)=MONTH(KBCCompSamenv!$A36),1,0)*IF(YEAR(KBCCompData!$C$2:$C$4000)=YEAR(KBCCompSamenv!$A36),1,0)*IF(KBCCompData!$G$2:$G$4000=G$1,1,0)*KBCCompData!$E$2:$E$4000)+SUM(IF(MONTH(CrelanData!$A$2:$A$4000)=MONTH(KBCCompSamenv!$A37),1,0)*IF(YEAR(CrelanData!$A$2:$A$4000)=YEAR(KBCCompSamenv!$A37),1,0)*IF(CrelanData!$H$2:$H$4000=Categorieën!$B$1,1,0)*CrelanData!$B$2:$B$4000)</f>
        <v>0</v>
      </c>
      <c r="H36" s="5">
        <f ca="1">KBCSpaarrekSamenv!D14</f>
        <v>0</v>
      </c>
    </row>
    <row r="37" spans="1:8" outlineLevel="1">
      <c r="A37" s="10">
        <v>37500</v>
      </c>
      <c r="B37" s="5">
        <f t="array" aca="1" ref="B37" ca="1">SUM((IF(MONTH(KBCCompData!$C$2:$C$4000)=MONTH(KBCCompSamenv!$A37),1,0))*(IF(YEAR(KBCCompData!$C$2:$C$4000)=YEAR(KBCCompSamenv!$A37),1,0))*(IF(KBCCompData!$E$2:$E$4000&lt;0,1,0))*KBCCompData!$E$2:$E$4000)</f>
        <v>0</v>
      </c>
      <c r="C37" s="11">
        <f t="array" aca="1" ref="C37" ca="1">SUM(IF(MONTH(KBCCompData!$C$2:$C$4000)=MONTH(KBCCompSamenv!$A37),1,0)*IF(YEAR(KBCCompData!$C$2:$C$4000)=YEAR(KBCCompSamenv!$A37),1,0)*IF(KBCCompData!$E$2:$E$4000&lt;0,1,0)*IF(KBCCompData!$G$2:$G$4000=Categorieën!$E$1,0,1)*IF(KBCCompData!$G$2:$G$4000=Categorieën!$F$1,0,1)*IF(KBCCompData!$G$2:$G$4000=Categorieën!$L$1,0,1)*KBCCompData!$E$2:$E$4000)</f>
        <v>0</v>
      </c>
      <c r="D37" s="11">
        <f ca="1">SUM(IF(MONTH(KBCCompData!$C$2:$C$4000)=MONTH(KBCCompSamenv!$A37),1,0)*IF(YEAR(KBCCompData!$C$2:$C$4000)=YEAR(KBCCompSamenv!$A37),1,0)*IF(KBCCompData!$E$2:$E$4000&gt;0,1,0)*KBCCompData!$E$2:$E$4000)</f>
        <v>0</v>
      </c>
      <c r="E37" s="11">
        <f t="array" aca="1" ref="E37" ca="1">SUM(IF(MONTH(KBCCompData!$C$2:$C$4000)=MONTH(KBCCompSamenv!$A37),1,0)*IF(YEAR(KBCCompData!$C$2:$C$4000)=YEAR(KBCCompSamenv!$A37),1,0)*IF(KBCCompData!$G$2:$G$4000=E$1,1,0)*KBCCompData!$E$2:$E$4000)+SUM(IF(MONTH(CrelanData!$A$2:$A$4000)=MONTH(KBCCompSamenv!$A38),1,0)*IF(YEAR(CrelanData!$A$2:$A$4000)=YEAR(KBCCompSamenv!$A38),1,0)*IF(CrelanData!$H$2:$H$4000=Categorieën!$B$1,1,0)*CrelanData!$B$2:$B$4000)</f>
        <v>0</v>
      </c>
      <c r="F37" s="11">
        <f t="array" aca="1" ref="F37" ca="1">SUM(IF(MONTH(KBCCompData!$C$2:$C$4000)=MONTH(KBCCompSamenv!$A37),1,0)*IF(YEAR(KBCCompData!$C$2:$C$4000)=YEAR(KBCCompSamenv!$A37),1,0)*IF(KBCCompData!$G$2:$G$4000=F$1,1,0)*KBCCompData!$E$2:$E$4000)+SUM(IF(MONTH(CrelanData!$A$2:$A$4000)=MONTH(KBCCompSamenv!$A38),1,0)*IF(YEAR(CrelanData!$A$2:$A$4000)=YEAR(KBCCompSamenv!$A38),1,0)*IF(CrelanData!$H$2:$H$4000=Categorieën!$B$1,1,0)*CrelanData!$B$2:$B$4000)</f>
        <v>0</v>
      </c>
      <c r="G37" s="11">
        <f t="array" aca="1" ref="G37" ca="1">SUM(IF(MONTH(KBCCompData!$C$2:$C$4000)=MONTH(KBCCompSamenv!$A37),1,0)*IF(YEAR(KBCCompData!$C$2:$C$4000)=YEAR(KBCCompSamenv!$A37),1,0)*IF(KBCCompData!$G$2:$G$4000=G$1,1,0)*KBCCompData!$E$2:$E$4000)+SUM(IF(MONTH(CrelanData!$A$2:$A$4000)=MONTH(KBCCompSamenv!$A38),1,0)*IF(YEAR(CrelanData!$A$2:$A$4000)=YEAR(KBCCompSamenv!$A38),1,0)*IF(CrelanData!$H$2:$H$4000=Categorieën!$B$1,1,0)*CrelanData!$B$2:$B$4000)</f>
        <v>0</v>
      </c>
      <c r="H37" s="5">
        <f ca="1">KBCSpaarrekSamenv!D15</f>
        <v>0</v>
      </c>
    </row>
    <row r="38" spans="1:8" outlineLevel="1">
      <c r="A38" s="10">
        <v>37530</v>
      </c>
      <c r="B38" s="5">
        <f t="array" aca="1" ref="B38" ca="1">SUM((IF(MONTH(KBCCompData!$C$2:$C$4000)=MONTH(KBCCompSamenv!$A38),1,0))*(IF(YEAR(KBCCompData!$C$2:$C$4000)=YEAR(KBCCompSamenv!$A38),1,0))*(IF(KBCCompData!$E$2:$E$4000&lt;0,1,0))*KBCCompData!$E$2:$E$4000)</f>
        <v>0</v>
      </c>
      <c r="C38" s="11">
        <f t="array" aca="1" ref="C38" ca="1">SUM(IF(MONTH(KBCCompData!$C$2:$C$4000)=MONTH(KBCCompSamenv!$A38),1,0)*IF(YEAR(KBCCompData!$C$2:$C$4000)=YEAR(KBCCompSamenv!$A38),1,0)*IF(KBCCompData!$E$2:$E$4000&lt;0,1,0)*IF(KBCCompData!$G$2:$G$4000=Categorieën!$E$1,0,1)*IF(KBCCompData!$G$2:$G$4000=Categorieën!$F$1,0,1)*IF(KBCCompData!$G$2:$G$4000=Categorieën!$L$1,0,1)*KBCCompData!$E$2:$E$4000)</f>
        <v>0</v>
      </c>
      <c r="D38" s="11">
        <f ca="1">SUM(IF(MONTH(KBCCompData!$C$2:$C$4000)=MONTH(KBCCompSamenv!$A38),1,0)*IF(YEAR(KBCCompData!$C$2:$C$4000)=YEAR(KBCCompSamenv!$A38),1,0)*IF(KBCCompData!$E$2:$E$4000&gt;0,1,0)*KBCCompData!$E$2:$E$4000)</f>
        <v>0</v>
      </c>
      <c r="E38" s="11">
        <f t="array" aca="1" ref="E38" ca="1">SUM(IF(MONTH(KBCCompData!$C$2:$C$4000)=MONTH(KBCCompSamenv!$A38),1,0)*IF(YEAR(KBCCompData!$C$2:$C$4000)=YEAR(KBCCompSamenv!$A38),1,0)*IF(KBCCompData!$G$2:$G$4000=E$1,1,0)*KBCCompData!$E$2:$E$4000)+SUM(IF(MONTH(CrelanData!$A$2:$A$4000)=MONTH(KBCCompSamenv!$A39),1,0)*IF(YEAR(CrelanData!$A$2:$A$4000)=YEAR(KBCCompSamenv!$A39),1,0)*IF(CrelanData!$H$2:$H$4000=Categorieën!$B$1,1,0)*CrelanData!$B$2:$B$4000)</f>
        <v>0</v>
      </c>
      <c r="F38" s="11">
        <f t="array" aca="1" ref="F38" ca="1">SUM(IF(MONTH(KBCCompData!$C$2:$C$4000)=MONTH(KBCCompSamenv!$A38),1,0)*IF(YEAR(KBCCompData!$C$2:$C$4000)=YEAR(KBCCompSamenv!$A38),1,0)*IF(KBCCompData!$G$2:$G$4000=F$1,1,0)*KBCCompData!$E$2:$E$4000)+SUM(IF(MONTH(CrelanData!$A$2:$A$4000)=MONTH(KBCCompSamenv!$A39),1,0)*IF(YEAR(CrelanData!$A$2:$A$4000)=YEAR(KBCCompSamenv!$A39),1,0)*IF(CrelanData!$H$2:$H$4000=Categorieën!$B$1,1,0)*CrelanData!$B$2:$B$4000)</f>
        <v>0</v>
      </c>
      <c r="G38" s="11">
        <f t="array" aca="1" ref="G38" ca="1">SUM(IF(MONTH(KBCCompData!$C$2:$C$4000)=MONTH(KBCCompSamenv!$A38),1,0)*IF(YEAR(KBCCompData!$C$2:$C$4000)=YEAR(KBCCompSamenv!$A38),1,0)*IF(KBCCompData!$G$2:$G$4000=G$1,1,0)*KBCCompData!$E$2:$E$4000)+SUM(IF(MONTH(CrelanData!$A$2:$A$4000)=MONTH(KBCCompSamenv!$A39),1,0)*IF(YEAR(CrelanData!$A$2:$A$4000)=YEAR(KBCCompSamenv!$A39),1,0)*IF(CrelanData!$H$2:$H$4000=Categorieën!$B$1,1,0)*CrelanData!$B$2:$B$4000)</f>
        <v>0</v>
      </c>
      <c r="H38" s="5">
        <f ca="1">KBCSpaarrekSamenv!D16</f>
        <v>0</v>
      </c>
    </row>
    <row r="39" spans="1:8" outlineLevel="1">
      <c r="A39" s="10">
        <v>37561</v>
      </c>
      <c r="B39" s="5">
        <f t="array" aca="1" ref="B39" ca="1">SUM((IF(MONTH(KBCCompData!$C$2:$C$4000)=MONTH(KBCCompSamenv!$A39),1,0))*(IF(YEAR(KBCCompData!$C$2:$C$4000)=YEAR(KBCCompSamenv!$A39),1,0))*(IF(KBCCompData!$E$2:$E$4000&lt;0,1,0))*KBCCompData!$E$2:$E$4000)</f>
        <v>0</v>
      </c>
      <c r="C39" s="11">
        <f t="array" aca="1" ref="C39" ca="1">SUM(IF(MONTH(KBCCompData!$C$2:$C$4000)=MONTH(KBCCompSamenv!$A39),1,0)*IF(YEAR(KBCCompData!$C$2:$C$4000)=YEAR(KBCCompSamenv!$A39),1,0)*IF(KBCCompData!$E$2:$E$4000&lt;0,1,0)*IF(KBCCompData!$G$2:$G$4000=Categorieën!$E$1,0,1)*IF(KBCCompData!$G$2:$G$4000=Categorieën!$F$1,0,1)*IF(KBCCompData!$G$2:$G$4000=Categorieën!$L$1,0,1)*KBCCompData!$E$2:$E$4000)</f>
        <v>0</v>
      </c>
      <c r="D39" s="11">
        <f ca="1">SUM(IF(MONTH(KBCCompData!$C$2:$C$4000)=MONTH(KBCCompSamenv!$A39),1,0)*IF(YEAR(KBCCompData!$C$2:$C$4000)=YEAR(KBCCompSamenv!$A39),1,0)*IF(KBCCompData!$E$2:$E$4000&gt;0,1,0)*KBCCompData!$E$2:$E$4000)</f>
        <v>0</v>
      </c>
      <c r="E39" s="11">
        <f t="array" aca="1" ref="E39" ca="1">SUM(IF(MONTH(KBCCompData!$C$2:$C$4000)=MONTH(KBCCompSamenv!$A39),1,0)*IF(YEAR(KBCCompData!$C$2:$C$4000)=YEAR(KBCCompSamenv!$A39),1,0)*IF(KBCCompData!$G$2:$G$4000=E$1,1,0)*KBCCompData!$E$2:$E$4000)+SUM(IF(MONTH(CrelanData!$A$2:$A$4000)=MONTH(KBCCompSamenv!$A40),1,0)*IF(YEAR(CrelanData!$A$2:$A$4000)=YEAR(KBCCompSamenv!$A40),1,0)*IF(CrelanData!$H$2:$H$4000=Categorieën!$B$1,1,0)*CrelanData!$B$2:$B$4000)</f>
        <v>0</v>
      </c>
      <c r="F39" s="11">
        <f t="array" aca="1" ref="F39" ca="1">SUM(IF(MONTH(KBCCompData!$C$2:$C$4000)=MONTH(KBCCompSamenv!$A39),1,0)*IF(YEAR(KBCCompData!$C$2:$C$4000)=YEAR(KBCCompSamenv!$A39),1,0)*IF(KBCCompData!$G$2:$G$4000=F$1,1,0)*KBCCompData!$E$2:$E$4000)+SUM(IF(MONTH(CrelanData!$A$2:$A$4000)=MONTH(KBCCompSamenv!$A40),1,0)*IF(YEAR(CrelanData!$A$2:$A$4000)=YEAR(KBCCompSamenv!$A40),1,0)*IF(CrelanData!$H$2:$H$4000=Categorieën!$B$1,1,0)*CrelanData!$B$2:$B$4000)</f>
        <v>0</v>
      </c>
      <c r="G39" s="11">
        <f t="array" aca="1" ref="G39" ca="1">SUM(IF(MONTH(KBCCompData!$C$2:$C$4000)=MONTH(KBCCompSamenv!$A39),1,0)*IF(YEAR(KBCCompData!$C$2:$C$4000)=YEAR(KBCCompSamenv!$A39),1,0)*IF(KBCCompData!$G$2:$G$4000=G$1,1,0)*KBCCompData!$E$2:$E$4000)+SUM(IF(MONTH(CrelanData!$A$2:$A$4000)=MONTH(KBCCompSamenv!$A40),1,0)*IF(YEAR(CrelanData!$A$2:$A$4000)=YEAR(KBCCompSamenv!$A40),1,0)*IF(CrelanData!$H$2:$H$4000=Categorieën!$B$1,1,0)*CrelanData!$B$2:$B$4000)</f>
        <v>0</v>
      </c>
      <c r="H39" s="5">
        <f ca="1">KBCSpaarrekSamenv!D17</f>
        <v>0</v>
      </c>
    </row>
    <row r="40" spans="1:8">
      <c r="A40" s="10">
        <v>37591</v>
      </c>
      <c r="B40" s="5">
        <f t="array" aca="1" ref="B40" ca="1">SUM((IF(MONTH(KBCCompData!$C$2:$C$4000)=MONTH(KBCCompSamenv!$A40),1,0))*(IF(YEAR(KBCCompData!$C$2:$C$4000)=YEAR(KBCCompSamenv!$A40),1,0))*(IF(KBCCompData!$E$2:$E$4000&lt;0,1,0))*KBCCompData!$E$2:$E$4000)</f>
        <v>0</v>
      </c>
      <c r="C40" s="11">
        <f t="array" aca="1" ref="C40" ca="1">SUM(IF(MONTH(KBCCompData!$C$2:$C$4000)=MONTH(KBCCompSamenv!$A40),1,0)*IF(YEAR(KBCCompData!$C$2:$C$4000)=YEAR(KBCCompSamenv!$A40),1,0)*IF(KBCCompData!$E$2:$E$4000&lt;0,1,0)*IF(KBCCompData!$G$2:$G$4000=Categorieën!$E$1,0,1)*IF(KBCCompData!$G$2:$G$4000=Categorieën!$F$1,0,1)*IF(KBCCompData!$G$2:$G$4000=Categorieën!$L$1,0,1)*KBCCompData!$E$2:$E$4000)</f>
        <v>0</v>
      </c>
      <c r="D40" s="11">
        <f ca="1">SUM(IF(MONTH(KBCCompData!$C$2:$C$4000)=MONTH(KBCCompSamenv!$A40),1,0)*IF(YEAR(KBCCompData!$C$2:$C$4000)=YEAR(KBCCompSamenv!$A40),1,0)*IF(KBCCompData!$E$2:$E$4000&gt;0,1,0)*KBCCompData!$E$2:$E$4000)</f>
        <v>0</v>
      </c>
      <c r="E40" s="11">
        <f t="array" aca="1" ref="E40" ca="1">SUM(IF(MONTH(KBCCompData!$C$2:$C$4000)=MONTH(KBCCompSamenv!$A40),1,0)*IF(YEAR(KBCCompData!$C$2:$C$4000)=YEAR(KBCCompSamenv!$A40),1,0)*IF(KBCCompData!$G$2:$G$4000=E$1,1,0)*KBCCompData!$E$2:$E$4000)+SUM(IF(MONTH(CrelanData!$A$2:$A$4000)=MONTH(KBCCompSamenv!$A41),1,0)*IF(YEAR(CrelanData!$A$2:$A$4000)=YEAR(KBCCompSamenv!$A41),1,0)*IF(CrelanData!$H$2:$H$4000=Categorieën!$B$1,1,0)*CrelanData!$B$2:$B$4000)</f>
        <v>0</v>
      </c>
      <c r="F40" s="11">
        <f t="array" aca="1" ref="F40" ca="1">SUM(IF(MONTH(KBCCompData!$C$2:$C$4000)=MONTH(KBCCompSamenv!$A40),1,0)*IF(YEAR(KBCCompData!$C$2:$C$4000)=YEAR(KBCCompSamenv!$A40),1,0)*IF(KBCCompData!$G$2:$G$4000=F$1,1,0)*KBCCompData!$E$2:$E$4000)+SUM(IF(MONTH(CrelanData!$A$2:$A$4000)=MONTH(KBCCompSamenv!$A41),1,0)*IF(YEAR(CrelanData!$A$2:$A$4000)=YEAR(KBCCompSamenv!$A41),1,0)*IF(CrelanData!$H$2:$H$4000=Categorieën!$B$1,1,0)*CrelanData!$B$2:$B$4000)</f>
        <v>0</v>
      </c>
      <c r="G40" s="11">
        <f t="array" aca="1" ref="G40" ca="1">SUM(IF(MONTH(KBCCompData!$C$2:$C$4000)=MONTH(KBCCompSamenv!$A40),1,0)*IF(YEAR(KBCCompData!$C$2:$C$4000)=YEAR(KBCCompSamenv!$A40),1,0)*IF(KBCCompData!$G$2:$G$4000=G$1,1,0)*KBCCompData!$E$2:$E$4000)+SUM(IF(MONTH(CrelanData!$A$2:$A$4000)=MONTH(KBCCompSamenv!$A41),1,0)*IF(YEAR(CrelanData!$A$2:$A$4000)=YEAR(KBCCompSamenv!$A41),1,0)*IF(CrelanData!$H$2:$H$4000=Categorieën!$B$1,1,0)*CrelanData!$B$2:$B$4000)</f>
        <v>0</v>
      </c>
      <c r="H40" s="5">
        <f ca="1">KBCSpaarrekSamenv!D18</f>
        <v>0</v>
      </c>
    </row>
    <row r="41" spans="1:8" outlineLevel="1">
      <c r="A41" s="10">
        <v>37622</v>
      </c>
      <c r="B41" s="5">
        <f t="array" aca="1" ref="B41" ca="1">SUM((IF(MONTH(KBCCompData!$C$2:$C$4000)=MONTH(KBCCompSamenv!$A41),1,0))*(IF(YEAR(KBCCompData!$C$2:$C$4000)=YEAR(KBCCompSamenv!$A41),1,0))*(IF(KBCCompData!$E$2:$E$4000&lt;0,1,0))*KBCCompData!$E$2:$E$4000)</f>
        <v>0</v>
      </c>
      <c r="C41" s="11">
        <f t="array" aca="1" ref="C41" ca="1">SUM(IF(MONTH(KBCCompData!$C$2:$C$4000)=MONTH(KBCCompSamenv!$A41),1,0)*IF(YEAR(KBCCompData!$C$2:$C$4000)=YEAR(KBCCompSamenv!$A41),1,0)*IF(KBCCompData!$E$2:$E$4000&lt;0,1,0)*IF(KBCCompData!$G$2:$G$4000=Categorieën!$E$1,0,1)*IF(KBCCompData!$G$2:$G$4000=Categorieën!$F$1,0,1)*IF(KBCCompData!$G$2:$G$4000=Categorieën!$L$1,0,1)*KBCCompData!$E$2:$E$4000)</f>
        <v>0</v>
      </c>
      <c r="D41" s="11">
        <f ca="1">SUM(IF(MONTH(KBCCompData!$C$2:$C$4000)=MONTH(KBCCompSamenv!$A41),1,0)*IF(YEAR(KBCCompData!$C$2:$C$4000)=YEAR(KBCCompSamenv!$A41),1,0)*IF(KBCCompData!$E$2:$E$4000&gt;0,1,0)*KBCCompData!$E$2:$E$4000)</f>
        <v>0</v>
      </c>
      <c r="E41" s="11">
        <f t="array" aca="1" ref="E41" ca="1">SUM(IF(MONTH(KBCCompData!$C$2:$C$4000)=MONTH(KBCCompSamenv!$A41),1,0)*IF(YEAR(KBCCompData!$C$2:$C$4000)=YEAR(KBCCompSamenv!$A41),1,0)*IF(KBCCompData!$G$2:$G$4000=E$1,1,0)*KBCCompData!$E$2:$E$4000)+SUM(IF(MONTH(CrelanData!$A$2:$A$4000)=MONTH(KBCCompSamenv!$A42),1,0)*IF(YEAR(CrelanData!$A$2:$A$4000)=YEAR(KBCCompSamenv!$A42),1,0)*IF(CrelanData!$H$2:$H$4000=Categorieën!$B$1,1,0)*CrelanData!$B$2:$B$4000)</f>
        <v>0</v>
      </c>
      <c r="F41" s="11">
        <f t="array" aca="1" ref="F41" ca="1">SUM(IF(MONTH(KBCCompData!$C$2:$C$4000)=MONTH(KBCCompSamenv!$A41),1,0)*IF(YEAR(KBCCompData!$C$2:$C$4000)=YEAR(KBCCompSamenv!$A41),1,0)*IF(KBCCompData!$G$2:$G$4000=F$1,1,0)*KBCCompData!$E$2:$E$4000)+SUM(IF(MONTH(CrelanData!$A$2:$A$4000)=MONTH(KBCCompSamenv!$A42),1,0)*IF(YEAR(CrelanData!$A$2:$A$4000)=YEAR(KBCCompSamenv!$A42),1,0)*IF(CrelanData!$H$2:$H$4000=Categorieën!$B$1,1,0)*CrelanData!$B$2:$B$4000)</f>
        <v>0</v>
      </c>
      <c r="G41" s="11">
        <f t="array" aca="1" ref="G41" ca="1">SUM(IF(MONTH(KBCCompData!$C$2:$C$4000)=MONTH(KBCCompSamenv!$A41),1,0)*IF(YEAR(KBCCompData!$C$2:$C$4000)=YEAR(KBCCompSamenv!$A41),1,0)*IF(KBCCompData!$G$2:$G$4000=G$1,1,0)*KBCCompData!$E$2:$E$4000)+SUM(IF(MONTH(CrelanData!$A$2:$A$4000)=MONTH(KBCCompSamenv!$A42),1,0)*IF(YEAR(CrelanData!$A$2:$A$4000)=YEAR(KBCCompSamenv!$A42),1,0)*IF(CrelanData!$H$2:$H$4000=Categorieën!$B$1,1,0)*CrelanData!$B$2:$B$4000)</f>
        <v>0</v>
      </c>
      <c r="H41" s="5">
        <f ca="1">KBCSpaarrekSamenv!D19</f>
        <v>0</v>
      </c>
    </row>
    <row r="42" spans="1:8" outlineLevel="1">
      <c r="A42" s="10">
        <v>37653</v>
      </c>
      <c r="B42" s="5">
        <f t="array" aca="1" ref="B42" ca="1">SUM((IF(MONTH(KBCCompData!$C$2:$C$4000)=MONTH(KBCCompSamenv!$A42),1,0))*(IF(YEAR(KBCCompData!$C$2:$C$4000)=YEAR(KBCCompSamenv!$A42),1,0))*(IF(KBCCompData!$E$2:$E$4000&lt;0,1,0))*KBCCompData!$E$2:$E$4000)</f>
        <v>0</v>
      </c>
      <c r="C42" s="11">
        <f t="array" aca="1" ref="C42" ca="1">SUM(IF(MONTH(KBCCompData!$C$2:$C$4000)=MONTH(KBCCompSamenv!$A42),1,0)*IF(YEAR(KBCCompData!$C$2:$C$4000)=YEAR(KBCCompSamenv!$A42),1,0)*IF(KBCCompData!$E$2:$E$4000&lt;0,1,0)*IF(KBCCompData!$G$2:$G$4000=Categorieën!$E$1,0,1)*IF(KBCCompData!$G$2:$G$4000=Categorieën!$F$1,0,1)*IF(KBCCompData!$G$2:$G$4000=Categorieën!$L$1,0,1)*KBCCompData!$E$2:$E$4000)</f>
        <v>0</v>
      </c>
      <c r="D42" s="11">
        <f ca="1">SUM(IF(MONTH(KBCCompData!$C$2:$C$4000)=MONTH(KBCCompSamenv!$A42),1,0)*IF(YEAR(KBCCompData!$C$2:$C$4000)=YEAR(KBCCompSamenv!$A42),1,0)*IF(KBCCompData!$E$2:$E$4000&gt;0,1,0)*KBCCompData!$E$2:$E$4000)</f>
        <v>0</v>
      </c>
      <c r="E42" s="11">
        <f t="array" aca="1" ref="E42" ca="1">SUM(IF(MONTH(KBCCompData!$C$2:$C$4000)=MONTH(KBCCompSamenv!$A42),1,0)*IF(YEAR(KBCCompData!$C$2:$C$4000)=YEAR(KBCCompSamenv!$A42),1,0)*IF(KBCCompData!$G$2:$G$4000=E$1,1,0)*KBCCompData!$E$2:$E$4000)+SUM(IF(MONTH(CrelanData!$A$2:$A$4000)=MONTH(KBCCompSamenv!$A43),1,0)*IF(YEAR(CrelanData!$A$2:$A$4000)=YEAR(KBCCompSamenv!$A43),1,0)*IF(CrelanData!$H$2:$H$4000=Categorieën!$B$1,1,0)*CrelanData!$B$2:$B$4000)</f>
        <v>0</v>
      </c>
      <c r="F42" s="11">
        <f t="array" aca="1" ref="F42" ca="1">SUM(IF(MONTH(KBCCompData!$C$2:$C$4000)=MONTH(KBCCompSamenv!$A42),1,0)*IF(YEAR(KBCCompData!$C$2:$C$4000)=YEAR(KBCCompSamenv!$A42),1,0)*IF(KBCCompData!$G$2:$G$4000=F$1,1,0)*KBCCompData!$E$2:$E$4000)+SUM(IF(MONTH(CrelanData!$A$2:$A$4000)=MONTH(KBCCompSamenv!$A43),1,0)*IF(YEAR(CrelanData!$A$2:$A$4000)=YEAR(KBCCompSamenv!$A43),1,0)*IF(CrelanData!$H$2:$H$4000=Categorieën!$B$1,1,0)*CrelanData!$B$2:$B$4000)</f>
        <v>0</v>
      </c>
      <c r="G42" s="11">
        <f t="array" aca="1" ref="G42" ca="1">SUM(IF(MONTH(KBCCompData!$C$2:$C$4000)=MONTH(KBCCompSamenv!$A42),1,0)*IF(YEAR(KBCCompData!$C$2:$C$4000)=YEAR(KBCCompSamenv!$A42),1,0)*IF(KBCCompData!$G$2:$G$4000=G$1,1,0)*KBCCompData!$E$2:$E$4000)+SUM(IF(MONTH(CrelanData!$A$2:$A$4000)=MONTH(KBCCompSamenv!$A43),1,0)*IF(YEAR(CrelanData!$A$2:$A$4000)=YEAR(KBCCompSamenv!$A43),1,0)*IF(CrelanData!$H$2:$H$4000=Categorieën!$B$1,1,0)*CrelanData!$B$2:$B$4000)</f>
        <v>0</v>
      </c>
      <c r="H42" s="5">
        <f ca="1">KBCSpaarrekSamenv!D20</f>
        <v>0</v>
      </c>
    </row>
    <row r="43" spans="1:8" outlineLevel="1">
      <c r="A43" s="10">
        <v>37681</v>
      </c>
      <c r="B43" s="5">
        <f t="array" aca="1" ref="B43" ca="1">SUM((IF(MONTH(KBCCompData!$C$2:$C$4000)=MONTH(KBCCompSamenv!$A43),1,0))*(IF(YEAR(KBCCompData!$C$2:$C$4000)=YEAR(KBCCompSamenv!$A43),1,0))*(IF(KBCCompData!$E$2:$E$4000&lt;0,1,0))*KBCCompData!$E$2:$E$4000)</f>
        <v>0</v>
      </c>
      <c r="C43" s="11">
        <f t="array" aca="1" ref="C43" ca="1">SUM(IF(MONTH(KBCCompData!$C$2:$C$4000)=MONTH(KBCCompSamenv!$A43),1,0)*IF(YEAR(KBCCompData!$C$2:$C$4000)=YEAR(KBCCompSamenv!$A43),1,0)*IF(KBCCompData!$E$2:$E$4000&lt;0,1,0)*IF(KBCCompData!$G$2:$G$4000=Categorieën!$E$1,0,1)*IF(KBCCompData!$G$2:$G$4000=Categorieën!$F$1,0,1)*IF(KBCCompData!$G$2:$G$4000=Categorieën!$L$1,0,1)*KBCCompData!$E$2:$E$4000)</f>
        <v>0</v>
      </c>
      <c r="D43" s="11">
        <f ca="1">SUM(IF(MONTH(KBCCompData!$C$2:$C$4000)=MONTH(KBCCompSamenv!$A43),1,0)*IF(YEAR(KBCCompData!$C$2:$C$4000)=YEAR(KBCCompSamenv!$A43),1,0)*IF(KBCCompData!$E$2:$E$4000&gt;0,1,0)*KBCCompData!$E$2:$E$4000)</f>
        <v>0</v>
      </c>
      <c r="E43" s="11">
        <f t="array" aca="1" ref="E43" ca="1">SUM(IF(MONTH(KBCCompData!$C$2:$C$4000)=MONTH(KBCCompSamenv!$A43),1,0)*IF(YEAR(KBCCompData!$C$2:$C$4000)=YEAR(KBCCompSamenv!$A43),1,0)*IF(KBCCompData!$G$2:$G$4000=E$1,1,0)*KBCCompData!$E$2:$E$4000)+SUM(IF(MONTH(CrelanData!$A$2:$A$4000)=MONTH(KBCCompSamenv!$A44),1,0)*IF(YEAR(CrelanData!$A$2:$A$4000)=YEAR(KBCCompSamenv!$A44),1,0)*IF(CrelanData!$H$2:$H$4000=Categorieën!$B$1,1,0)*CrelanData!$B$2:$B$4000)</f>
        <v>0</v>
      </c>
      <c r="F43" s="11">
        <f t="array" aca="1" ref="F43" ca="1">SUM(IF(MONTH(KBCCompData!$C$2:$C$4000)=MONTH(KBCCompSamenv!$A43),1,0)*IF(YEAR(KBCCompData!$C$2:$C$4000)=YEAR(KBCCompSamenv!$A43),1,0)*IF(KBCCompData!$G$2:$G$4000=F$1,1,0)*KBCCompData!$E$2:$E$4000)+SUM(IF(MONTH(CrelanData!$A$2:$A$4000)=MONTH(KBCCompSamenv!$A44),1,0)*IF(YEAR(CrelanData!$A$2:$A$4000)=YEAR(KBCCompSamenv!$A44),1,0)*IF(CrelanData!$H$2:$H$4000=Categorieën!$B$1,1,0)*CrelanData!$B$2:$B$4000)</f>
        <v>0</v>
      </c>
      <c r="G43" s="11">
        <f t="array" aca="1" ref="G43" ca="1">SUM(IF(MONTH(KBCCompData!$C$2:$C$4000)=MONTH(KBCCompSamenv!$A43),1,0)*IF(YEAR(KBCCompData!$C$2:$C$4000)=YEAR(KBCCompSamenv!$A43),1,0)*IF(KBCCompData!$G$2:$G$4000=G$1,1,0)*KBCCompData!$E$2:$E$4000)+SUM(IF(MONTH(CrelanData!$A$2:$A$4000)=MONTH(KBCCompSamenv!$A44),1,0)*IF(YEAR(CrelanData!$A$2:$A$4000)=YEAR(KBCCompSamenv!$A44),1,0)*IF(CrelanData!$H$2:$H$4000=Categorieën!$B$1,1,0)*CrelanData!$B$2:$B$4000)</f>
        <v>0</v>
      </c>
      <c r="H43" s="5">
        <f ca="1">KBCSpaarrekSamenv!D21</f>
        <v>0</v>
      </c>
    </row>
    <row r="44" spans="1:8" outlineLevel="1">
      <c r="A44" s="10">
        <v>37712</v>
      </c>
      <c r="B44" s="5">
        <f t="array" aca="1" ref="B44" ca="1">SUM((IF(MONTH(KBCCompData!$C$2:$C$4000)=MONTH(KBCCompSamenv!$A44),1,0))*(IF(YEAR(KBCCompData!$C$2:$C$4000)=YEAR(KBCCompSamenv!$A44),1,0))*(IF(KBCCompData!$E$2:$E$4000&lt;0,1,0))*KBCCompData!$E$2:$E$4000)</f>
        <v>0</v>
      </c>
      <c r="C44" s="11">
        <f t="array" aca="1" ref="C44" ca="1">SUM(IF(MONTH(KBCCompData!$C$2:$C$4000)=MONTH(KBCCompSamenv!$A44),1,0)*IF(YEAR(KBCCompData!$C$2:$C$4000)=YEAR(KBCCompSamenv!$A44),1,0)*IF(KBCCompData!$E$2:$E$4000&lt;0,1,0)*IF(KBCCompData!$G$2:$G$4000=Categorieën!$E$1,0,1)*IF(KBCCompData!$G$2:$G$4000=Categorieën!$F$1,0,1)*IF(KBCCompData!$G$2:$G$4000=Categorieën!$L$1,0,1)*KBCCompData!$E$2:$E$4000)</f>
        <v>0</v>
      </c>
      <c r="D44" s="11">
        <f ca="1">SUM(IF(MONTH(KBCCompData!$C$2:$C$4000)=MONTH(KBCCompSamenv!$A44),1,0)*IF(YEAR(KBCCompData!$C$2:$C$4000)=YEAR(KBCCompSamenv!$A44),1,0)*IF(KBCCompData!$E$2:$E$4000&gt;0,1,0)*KBCCompData!$E$2:$E$4000)</f>
        <v>0</v>
      </c>
      <c r="E44" s="11">
        <f t="array" aca="1" ref="E44" ca="1">SUM(IF(MONTH(KBCCompData!$C$2:$C$4000)=MONTH(KBCCompSamenv!$A44),1,0)*IF(YEAR(KBCCompData!$C$2:$C$4000)=YEAR(KBCCompSamenv!$A44),1,0)*IF(KBCCompData!$G$2:$G$4000=E$1,1,0)*KBCCompData!$E$2:$E$4000)+SUM(IF(MONTH(CrelanData!$A$2:$A$4000)=MONTH(KBCCompSamenv!$A45),1,0)*IF(YEAR(CrelanData!$A$2:$A$4000)=YEAR(KBCCompSamenv!$A45),1,0)*IF(CrelanData!$H$2:$H$4000=Categorieën!$B$1,1,0)*CrelanData!$B$2:$B$4000)</f>
        <v>0</v>
      </c>
      <c r="F44" s="11">
        <f t="array" aca="1" ref="F44" ca="1">SUM(IF(MONTH(KBCCompData!$C$2:$C$4000)=MONTH(KBCCompSamenv!$A44),1,0)*IF(YEAR(KBCCompData!$C$2:$C$4000)=YEAR(KBCCompSamenv!$A44),1,0)*IF(KBCCompData!$G$2:$G$4000=F$1,1,0)*KBCCompData!$E$2:$E$4000)+SUM(IF(MONTH(CrelanData!$A$2:$A$4000)=MONTH(KBCCompSamenv!$A45),1,0)*IF(YEAR(CrelanData!$A$2:$A$4000)=YEAR(KBCCompSamenv!$A45),1,0)*IF(CrelanData!$H$2:$H$4000=Categorieën!$B$1,1,0)*CrelanData!$B$2:$B$4000)</f>
        <v>0</v>
      </c>
      <c r="G44" s="11">
        <f t="array" aca="1" ref="G44" ca="1">SUM(IF(MONTH(KBCCompData!$C$2:$C$4000)=MONTH(KBCCompSamenv!$A44),1,0)*IF(YEAR(KBCCompData!$C$2:$C$4000)=YEAR(KBCCompSamenv!$A44),1,0)*IF(KBCCompData!$G$2:$G$4000=G$1,1,0)*KBCCompData!$E$2:$E$4000)+SUM(IF(MONTH(CrelanData!$A$2:$A$4000)=MONTH(KBCCompSamenv!$A45),1,0)*IF(YEAR(CrelanData!$A$2:$A$4000)=YEAR(KBCCompSamenv!$A45),1,0)*IF(CrelanData!$H$2:$H$4000=Categorieën!$B$1,1,0)*CrelanData!$B$2:$B$4000)</f>
        <v>0</v>
      </c>
      <c r="H44" s="5">
        <f ca="1">KBCSpaarrekSamenv!D22</f>
        <v>0</v>
      </c>
    </row>
    <row r="45" spans="1:8" outlineLevel="1">
      <c r="A45" s="10">
        <v>37742</v>
      </c>
      <c r="B45" s="5">
        <f t="array" aca="1" ref="B45" ca="1">SUM((IF(MONTH(KBCCompData!$C$2:$C$4000)=MONTH(KBCCompSamenv!$A45),1,0))*(IF(YEAR(KBCCompData!$C$2:$C$4000)=YEAR(KBCCompSamenv!$A45),1,0))*(IF(KBCCompData!$E$2:$E$4000&lt;0,1,0))*KBCCompData!$E$2:$E$4000)</f>
        <v>0</v>
      </c>
      <c r="C45" s="11">
        <f t="array" aca="1" ref="C45" ca="1">SUM(IF(MONTH(KBCCompData!$C$2:$C$4000)=MONTH(KBCCompSamenv!$A45),1,0)*IF(YEAR(KBCCompData!$C$2:$C$4000)=YEAR(KBCCompSamenv!$A45),1,0)*IF(KBCCompData!$E$2:$E$4000&lt;0,1,0)*IF(KBCCompData!$G$2:$G$4000=Categorieën!$E$1,0,1)*IF(KBCCompData!$G$2:$G$4000=Categorieën!$F$1,0,1)*IF(KBCCompData!$G$2:$G$4000=Categorieën!$L$1,0,1)*KBCCompData!$E$2:$E$4000)</f>
        <v>0</v>
      </c>
      <c r="D45" s="11">
        <f ca="1">SUM(IF(MONTH(KBCCompData!$C$2:$C$4000)=MONTH(KBCCompSamenv!$A45),1,0)*IF(YEAR(KBCCompData!$C$2:$C$4000)=YEAR(KBCCompSamenv!$A45),1,0)*IF(KBCCompData!$E$2:$E$4000&gt;0,1,0)*KBCCompData!$E$2:$E$4000)</f>
        <v>0</v>
      </c>
      <c r="E45" s="11">
        <f t="array" aca="1" ref="E45" ca="1">SUM(IF(MONTH(KBCCompData!$C$2:$C$4000)=MONTH(KBCCompSamenv!$A45),1,0)*IF(YEAR(KBCCompData!$C$2:$C$4000)=YEAR(KBCCompSamenv!$A45),1,0)*IF(KBCCompData!$G$2:$G$4000=E$1,1,0)*KBCCompData!$E$2:$E$4000)+SUM(IF(MONTH(CrelanData!$A$2:$A$4000)=MONTH(KBCCompSamenv!$A46),1,0)*IF(YEAR(CrelanData!$A$2:$A$4000)=YEAR(KBCCompSamenv!$A46),1,0)*IF(CrelanData!$H$2:$H$4000=Categorieën!$B$1,1,0)*CrelanData!$B$2:$B$4000)</f>
        <v>0</v>
      </c>
      <c r="F45" s="11">
        <f t="array" aca="1" ref="F45" ca="1">SUM(IF(MONTH(KBCCompData!$C$2:$C$4000)=MONTH(KBCCompSamenv!$A45),1,0)*IF(YEAR(KBCCompData!$C$2:$C$4000)=YEAR(KBCCompSamenv!$A45),1,0)*IF(KBCCompData!$G$2:$G$4000=F$1,1,0)*KBCCompData!$E$2:$E$4000)+SUM(IF(MONTH(CrelanData!$A$2:$A$4000)=MONTH(KBCCompSamenv!$A46),1,0)*IF(YEAR(CrelanData!$A$2:$A$4000)=YEAR(KBCCompSamenv!$A46),1,0)*IF(CrelanData!$H$2:$H$4000=Categorieën!$B$1,1,0)*CrelanData!$B$2:$B$4000)</f>
        <v>0</v>
      </c>
      <c r="G45" s="11">
        <f t="array" aca="1" ref="G45" ca="1">SUM(IF(MONTH(KBCCompData!$C$2:$C$4000)=MONTH(KBCCompSamenv!$A45),1,0)*IF(YEAR(KBCCompData!$C$2:$C$4000)=YEAR(KBCCompSamenv!$A45),1,0)*IF(KBCCompData!$G$2:$G$4000=G$1,1,0)*KBCCompData!$E$2:$E$4000)+SUM(IF(MONTH(CrelanData!$A$2:$A$4000)=MONTH(KBCCompSamenv!$A46),1,0)*IF(YEAR(CrelanData!$A$2:$A$4000)=YEAR(KBCCompSamenv!$A46),1,0)*IF(CrelanData!$H$2:$H$4000=Categorieën!$B$1,1,0)*CrelanData!$B$2:$B$4000)</f>
        <v>0</v>
      </c>
      <c r="H45" s="5">
        <f ca="1">KBCSpaarrekSamenv!D23</f>
        <v>0</v>
      </c>
    </row>
    <row r="46" spans="1:8" outlineLevel="1">
      <c r="A46" s="10">
        <v>37773</v>
      </c>
      <c r="B46" s="5">
        <f t="array" aca="1" ref="B46" ca="1">SUM((IF(MONTH(KBCCompData!$C$2:$C$4000)=MONTH(KBCCompSamenv!$A46),1,0))*(IF(YEAR(KBCCompData!$C$2:$C$4000)=YEAR(KBCCompSamenv!$A46),1,0))*(IF(KBCCompData!$E$2:$E$4000&lt;0,1,0))*KBCCompData!$E$2:$E$4000)</f>
        <v>0</v>
      </c>
      <c r="C46" s="11">
        <f t="array" aca="1" ref="C46" ca="1">SUM(IF(MONTH(KBCCompData!$C$2:$C$4000)=MONTH(KBCCompSamenv!$A46),1,0)*IF(YEAR(KBCCompData!$C$2:$C$4000)=YEAR(KBCCompSamenv!$A46),1,0)*IF(KBCCompData!$E$2:$E$4000&lt;0,1,0)*IF(KBCCompData!$G$2:$G$4000=Categorieën!$E$1,0,1)*IF(KBCCompData!$G$2:$G$4000=Categorieën!$F$1,0,1)*IF(KBCCompData!$G$2:$G$4000=Categorieën!$L$1,0,1)*KBCCompData!$E$2:$E$4000)</f>
        <v>0</v>
      </c>
      <c r="D46" s="11">
        <f ca="1">SUM(IF(MONTH(KBCCompData!$C$2:$C$4000)=MONTH(KBCCompSamenv!$A46),1,0)*IF(YEAR(KBCCompData!$C$2:$C$4000)=YEAR(KBCCompSamenv!$A46),1,0)*IF(KBCCompData!$E$2:$E$4000&gt;0,1,0)*KBCCompData!$E$2:$E$4000)</f>
        <v>0</v>
      </c>
      <c r="E46" s="11">
        <f t="array" aca="1" ref="E46" ca="1">SUM(IF(MONTH(KBCCompData!$C$2:$C$4000)=MONTH(KBCCompSamenv!$A46),1,0)*IF(YEAR(KBCCompData!$C$2:$C$4000)=YEAR(KBCCompSamenv!$A46),1,0)*IF(KBCCompData!$G$2:$G$4000=E$1,1,0)*KBCCompData!$E$2:$E$4000)+SUM(IF(MONTH(CrelanData!$A$2:$A$4000)=MONTH(KBCCompSamenv!$A47),1,0)*IF(YEAR(CrelanData!$A$2:$A$4000)=YEAR(KBCCompSamenv!$A47),1,0)*IF(CrelanData!$H$2:$H$4000=Categorieën!$B$1,1,0)*CrelanData!$B$2:$B$4000)</f>
        <v>0</v>
      </c>
      <c r="F46" s="11">
        <f t="array" aca="1" ref="F46" ca="1">SUM(IF(MONTH(KBCCompData!$C$2:$C$4000)=MONTH(KBCCompSamenv!$A46),1,0)*IF(YEAR(KBCCompData!$C$2:$C$4000)=YEAR(KBCCompSamenv!$A46),1,0)*IF(KBCCompData!$G$2:$G$4000=F$1,1,0)*KBCCompData!$E$2:$E$4000)+SUM(IF(MONTH(CrelanData!$A$2:$A$4000)=MONTH(KBCCompSamenv!$A47),1,0)*IF(YEAR(CrelanData!$A$2:$A$4000)=YEAR(KBCCompSamenv!$A47),1,0)*IF(CrelanData!$H$2:$H$4000=Categorieën!$B$1,1,0)*CrelanData!$B$2:$B$4000)</f>
        <v>0</v>
      </c>
      <c r="G46" s="11">
        <f t="array" aca="1" ref="G46" ca="1">SUM(IF(MONTH(KBCCompData!$C$2:$C$4000)=MONTH(KBCCompSamenv!$A46),1,0)*IF(YEAR(KBCCompData!$C$2:$C$4000)=YEAR(KBCCompSamenv!$A46),1,0)*IF(KBCCompData!$G$2:$G$4000=G$1,1,0)*KBCCompData!$E$2:$E$4000)+SUM(IF(MONTH(CrelanData!$A$2:$A$4000)=MONTH(KBCCompSamenv!$A47),1,0)*IF(YEAR(CrelanData!$A$2:$A$4000)=YEAR(KBCCompSamenv!$A47),1,0)*IF(CrelanData!$H$2:$H$4000=Categorieën!$B$1,1,0)*CrelanData!$B$2:$B$4000)</f>
        <v>0</v>
      </c>
      <c r="H46" s="5">
        <f ca="1">KBCSpaarrekSamenv!D24</f>
        <v>0</v>
      </c>
    </row>
    <row r="47" spans="1:8" outlineLevel="1">
      <c r="A47" s="10">
        <v>37803</v>
      </c>
      <c r="B47" s="5">
        <f t="array" aca="1" ref="B47" ca="1">SUM((IF(MONTH(KBCCompData!$C$2:$C$4000)=MONTH(KBCCompSamenv!$A47),1,0))*(IF(YEAR(KBCCompData!$C$2:$C$4000)=YEAR(KBCCompSamenv!$A47),1,0))*(IF(KBCCompData!$E$2:$E$4000&lt;0,1,0))*KBCCompData!$E$2:$E$4000)</f>
        <v>0</v>
      </c>
      <c r="C47" s="11">
        <f t="array" aca="1" ref="C47" ca="1">SUM(IF(MONTH(KBCCompData!$C$2:$C$4000)=MONTH(KBCCompSamenv!$A47),1,0)*IF(YEAR(KBCCompData!$C$2:$C$4000)=YEAR(KBCCompSamenv!$A47),1,0)*IF(KBCCompData!$E$2:$E$4000&lt;0,1,0)*IF(KBCCompData!$G$2:$G$4000=Categorieën!$E$1,0,1)*IF(KBCCompData!$G$2:$G$4000=Categorieën!$F$1,0,1)*IF(KBCCompData!$G$2:$G$4000=Categorieën!$L$1,0,1)*KBCCompData!$E$2:$E$4000)</f>
        <v>0</v>
      </c>
      <c r="D47" s="11">
        <f ca="1">SUM(IF(MONTH(KBCCompData!$C$2:$C$4000)=MONTH(KBCCompSamenv!$A47),1,0)*IF(YEAR(KBCCompData!$C$2:$C$4000)=YEAR(KBCCompSamenv!$A47),1,0)*IF(KBCCompData!$E$2:$E$4000&gt;0,1,0)*KBCCompData!$E$2:$E$4000)</f>
        <v>0</v>
      </c>
      <c r="E47" s="11">
        <f t="array" aca="1" ref="E47" ca="1">SUM(IF(MONTH(KBCCompData!$C$2:$C$4000)=MONTH(KBCCompSamenv!$A47),1,0)*IF(YEAR(KBCCompData!$C$2:$C$4000)=YEAR(KBCCompSamenv!$A47),1,0)*IF(KBCCompData!$G$2:$G$4000=E$1,1,0)*KBCCompData!$E$2:$E$4000)+SUM(IF(MONTH(CrelanData!$A$2:$A$4000)=MONTH(KBCCompSamenv!$A48),1,0)*IF(YEAR(CrelanData!$A$2:$A$4000)=YEAR(KBCCompSamenv!$A48),1,0)*IF(CrelanData!$H$2:$H$4000=Categorieën!$B$1,1,0)*CrelanData!$B$2:$B$4000)</f>
        <v>0</v>
      </c>
      <c r="F47" s="11">
        <f t="array" aca="1" ref="F47" ca="1">SUM(IF(MONTH(KBCCompData!$C$2:$C$4000)=MONTH(KBCCompSamenv!$A47),1,0)*IF(YEAR(KBCCompData!$C$2:$C$4000)=YEAR(KBCCompSamenv!$A47),1,0)*IF(KBCCompData!$G$2:$G$4000=F$1,1,0)*KBCCompData!$E$2:$E$4000)+SUM(IF(MONTH(CrelanData!$A$2:$A$4000)=MONTH(KBCCompSamenv!$A48),1,0)*IF(YEAR(CrelanData!$A$2:$A$4000)=YEAR(KBCCompSamenv!$A48),1,0)*IF(CrelanData!$H$2:$H$4000=Categorieën!$B$1,1,0)*CrelanData!$B$2:$B$4000)</f>
        <v>0</v>
      </c>
      <c r="G47" s="11">
        <f t="array" aca="1" ref="G47" ca="1">SUM(IF(MONTH(KBCCompData!$C$2:$C$4000)=MONTH(KBCCompSamenv!$A47),1,0)*IF(YEAR(KBCCompData!$C$2:$C$4000)=YEAR(KBCCompSamenv!$A47),1,0)*IF(KBCCompData!$G$2:$G$4000=G$1,1,0)*KBCCompData!$E$2:$E$4000)+SUM(IF(MONTH(CrelanData!$A$2:$A$4000)=MONTH(KBCCompSamenv!$A48),1,0)*IF(YEAR(CrelanData!$A$2:$A$4000)=YEAR(KBCCompSamenv!$A48),1,0)*IF(CrelanData!$H$2:$H$4000=Categorieën!$B$1,1,0)*CrelanData!$B$2:$B$4000)</f>
        <v>0</v>
      </c>
      <c r="H47" s="5">
        <f ca="1">KBCSpaarrekSamenv!D25</f>
        <v>0</v>
      </c>
    </row>
    <row r="48" spans="1:8" outlineLevel="1">
      <c r="A48" s="10">
        <v>37834</v>
      </c>
      <c r="B48" s="5">
        <f t="array" aca="1" ref="B48" ca="1">SUM((IF(MONTH(KBCCompData!$C$2:$C$4000)=MONTH(KBCCompSamenv!$A48),1,0))*(IF(YEAR(KBCCompData!$C$2:$C$4000)=YEAR(KBCCompSamenv!$A48),1,0))*(IF(KBCCompData!$E$2:$E$4000&lt;0,1,0))*KBCCompData!$E$2:$E$4000)</f>
        <v>0</v>
      </c>
      <c r="C48" s="11">
        <f t="array" aca="1" ref="C48" ca="1">SUM(IF(MONTH(KBCCompData!$C$2:$C$4000)=MONTH(KBCCompSamenv!$A48),1,0)*IF(YEAR(KBCCompData!$C$2:$C$4000)=YEAR(KBCCompSamenv!$A48),1,0)*IF(KBCCompData!$E$2:$E$4000&lt;0,1,0)*IF(KBCCompData!$G$2:$G$4000=Categorieën!$E$1,0,1)*IF(KBCCompData!$G$2:$G$4000=Categorieën!$F$1,0,1)*IF(KBCCompData!$G$2:$G$4000=Categorieën!$L$1,0,1)*KBCCompData!$E$2:$E$4000)</f>
        <v>0</v>
      </c>
      <c r="D48" s="11">
        <f ca="1">SUM(IF(MONTH(KBCCompData!$C$2:$C$4000)=MONTH(KBCCompSamenv!$A48),1,0)*IF(YEAR(KBCCompData!$C$2:$C$4000)=YEAR(KBCCompSamenv!$A48),1,0)*IF(KBCCompData!$E$2:$E$4000&gt;0,1,0)*KBCCompData!$E$2:$E$4000)</f>
        <v>0</v>
      </c>
      <c r="E48" s="11">
        <f t="array" aca="1" ref="E48" ca="1">SUM(IF(MONTH(KBCCompData!$C$2:$C$4000)=MONTH(KBCCompSamenv!$A48),1,0)*IF(YEAR(KBCCompData!$C$2:$C$4000)=YEAR(KBCCompSamenv!$A48),1,0)*IF(KBCCompData!$G$2:$G$4000=E$1,1,0)*KBCCompData!$E$2:$E$4000)+SUM(IF(MONTH(CrelanData!$A$2:$A$4000)=MONTH(KBCCompSamenv!$A49),1,0)*IF(YEAR(CrelanData!$A$2:$A$4000)=YEAR(KBCCompSamenv!$A49),1,0)*IF(CrelanData!$H$2:$H$4000=Categorieën!$B$1,1,0)*CrelanData!$B$2:$B$4000)</f>
        <v>0</v>
      </c>
      <c r="F48" s="11">
        <f t="array" aca="1" ref="F48" ca="1">SUM(IF(MONTH(KBCCompData!$C$2:$C$4000)=MONTH(KBCCompSamenv!$A48),1,0)*IF(YEAR(KBCCompData!$C$2:$C$4000)=YEAR(KBCCompSamenv!$A48),1,0)*IF(KBCCompData!$G$2:$G$4000=F$1,1,0)*KBCCompData!$E$2:$E$4000)+SUM(IF(MONTH(CrelanData!$A$2:$A$4000)=MONTH(KBCCompSamenv!$A49),1,0)*IF(YEAR(CrelanData!$A$2:$A$4000)=YEAR(KBCCompSamenv!$A49),1,0)*IF(CrelanData!$H$2:$H$4000=Categorieën!$B$1,1,0)*CrelanData!$B$2:$B$4000)</f>
        <v>0</v>
      </c>
      <c r="G48" s="11">
        <f t="array" aca="1" ref="G48" ca="1">SUM(IF(MONTH(KBCCompData!$C$2:$C$4000)=MONTH(KBCCompSamenv!$A48),1,0)*IF(YEAR(KBCCompData!$C$2:$C$4000)=YEAR(KBCCompSamenv!$A48),1,0)*IF(KBCCompData!$G$2:$G$4000=G$1,1,0)*KBCCompData!$E$2:$E$4000)+SUM(IF(MONTH(CrelanData!$A$2:$A$4000)=MONTH(KBCCompSamenv!$A49),1,0)*IF(YEAR(CrelanData!$A$2:$A$4000)=YEAR(KBCCompSamenv!$A49),1,0)*IF(CrelanData!$H$2:$H$4000=Categorieën!$B$1,1,0)*CrelanData!$B$2:$B$4000)</f>
        <v>0</v>
      </c>
      <c r="H48" s="5">
        <f ca="1">KBCSpaarrekSamenv!D26</f>
        <v>0</v>
      </c>
    </row>
    <row r="49" spans="1:8" outlineLevel="1">
      <c r="A49" s="10">
        <v>37865</v>
      </c>
      <c r="B49" s="5">
        <f t="array" aca="1" ref="B49" ca="1">SUM((IF(MONTH(KBCCompData!$C$2:$C$4000)=MONTH(KBCCompSamenv!$A49),1,0))*(IF(YEAR(KBCCompData!$C$2:$C$4000)=YEAR(KBCCompSamenv!$A49),1,0))*(IF(KBCCompData!$E$2:$E$4000&lt;0,1,0))*KBCCompData!$E$2:$E$4000)</f>
        <v>0</v>
      </c>
      <c r="C49" s="11">
        <f t="array" aca="1" ref="C49" ca="1">SUM(IF(MONTH(KBCCompData!$C$2:$C$4000)=MONTH(KBCCompSamenv!$A49),1,0)*IF(YEAR(KBCCompData!$C$2:$C$4000)=YEAR(KBCCompSamenv!$A49),1,0)*IF(KBCCompData!$E$2:$E$4000&lt;0,1,0)*IF(KBCCompData!$G$2:$G$4000=Categorieën!$E$1,0,1)*IF(KBCCompData!$G$2:$G$4000=Categorieën!$F$1,0,1)*IF(KBCCompData!$G$2:$G$4000=Categorieën!$L$1,0,1)*KBCCompData!$E$2:$E$4000)</f>
        <v>0</v>
      </c>
      <c r="D49" s="11">
        <f ca="1">SUM(IF(MONTH(KBCCompData!$C$2:$C$4000)=MONTH(KBCCompSamenv!$A49),1,0)*IF(YEAR(KBCCompData!$C$2:$C$4000)=YEAR(KBCCompSamenv!$A49),1,0)*IF(KBCCompData!$E$2:$E$4000&gt;0,1,0)*KBCCompData!$E$2:$E$4000)</f>
        <v>0</v>
      </c>
      <c r="E49" s="11">
        <f t="array" aca="1" ref="E49" ca="1">SUM(IF(MONTH(KBCCompData!$C$2:$C$4000)=MONTH(KBCCompSamenv!$A49),1,0)*IF(YEAR(KBCCompData!$C$2:$C$4000)=YEAR(KBCCompSamenv!$A49),1,0)*IF(KBCCompData!$G$2:$G$4000=E$1,1,0)*KBCCompData!$E$2:$E$4000)+SUM(IF(MONTH(CrelanData!$A$2:$A$4000)=MONTH(KBCCompSamenv!$A50),1,0)*IF(YEAR(CrelanData!$A$2:$A$4000)=YEAR(KBCCompSamenv!$A50),1,0)*IF(CrelanData!$H$2:$H$4000=Categorieën!$B$1,1,0)*CrelanData!$B$2:$B$4000)</f>
        <v>0</v>
      </c>
      <c r="F49" s="11">
        <f t="array" aca="1" ref="F49" ca="1">SUM(IF(MONTH(KBCCompData!$C$2:$C$4000)=MONTH(KBCCompSamenv!$A49),1,0)*IF(YEAR(KBCCompData!$C$2:$C$4000)=YEAR(KBCCompSamenv!$A49),1,0)*IF(KBCCompData!$G$2:$G$4000=F$1,1,0)*KBCCompData!$E$2:$E$4000)+SUM(IF(MONTH(CrelanData!$A$2:$A$4000)=MONTH(KBCCompSamenv!$A50),1,0)*IF(YEAR(CrelanData!$A$2:$A$4000)=YEAR(KBCCompSamenv!$A50),1,0)*IF(CrelanData!$H$2:$H$4000=Categorieën!$B$1,1,0)*CrelanData!$B$2:$B$4000)</f>
        <v>0</v>
      </c>
      <c r="G49" s="11">
        <f t="array" aca="1" ref="G49" ca="1">SUM(IF(MONTH(KBCCompData!$C$2:$C$4000)=MONTH(KBCCompSamenv!$A49),1,0)*IF(YEAR(KBCCompData!$C$2:$C$4000)=YEAR(KBCCompSamenv!$A49),1,0)*IF(KBCCompData!$G$2:$G$4000=G$1,1,0)*KBCCompData!$E$2:$E$4000)+SUM(IF(MONTH(CrelanData!$A$2:$A$4000)=MONTH(KBCCompSamenv!$A50),1,0)*IF(YEAR(CrelanData!$A$2:$A$4000)=YEAR(KBCCompSamenv!$A50),1,0)*IF(CrelanData!$H$2:$H$4000=Categorieën!$B$1,1,0)*CrelanData!$B$2:$B$4000)</f>
        <v>0</v>
      </c>
      <c r="H49" s="5">
        <f ca="1">KBCSpaarrekSamenv!D27</f>
        <v>0</v>
      </c>
    </row>
    <row r="50" spans="1:8" outlineLevel="1">
      <c r="A50" s="10">
        <v>37895</v>
      </c>
      <c r="B50" s="5">
        <f t="array" aca="1" ref="B50" ca="1">SUM((IF(MONTH(KBCCompData!$C$2:$C$4000)=MONTH(KBCCompSamenv!$A50),1,0))*(IF(YEAR(KBCCompData!$C$2:$C$4000)=YEAR(KBCCompSamenv!$A50),1,0))*(IF(KBCCompData!$E$2:$E$4000&lt;0,1,0))*KBCCompData!$E$2:$E$4000)</f>
        <v>0</v>
      </c>
      <c r="C50" s="11">
        <f t="array" aca="1" ref="C50" ca="1">SUM(IF(MONTH(KBCCompData!$C$2:$C$4000)=MONTH(KBCCompSamenv!$A50),1,0)*IF(YEAR(KBCCompData!$C$2:$C$4000)=YEAR(KBCCompSamenv!$A50),1,0)*IF(KBCCompData!$E$2:$E$4000&lt;0,1,0)*IF(KBCCompData!$G$2:$G$4000=Categorieën!$E$1,0,1)*IF(KBCCompData!$G$2:$G$4000=Categorieën!$F$1,0,1)*IF(KBCCompData!$G$2:$G$4000=Categorieën!$L$1,0,1)*KBCCompData!$E$2:$E$4000)</f>
        <v>0</v>
      </c>
      <c r="D50" s="11">
        <f ca="1">SUM(IF(MONTH(KBCCompData!$C$2:$C$4000)=MONTH(KBCCompSamenv!$A50),1,0)*IF(YEAR(KBCCompData!$C$2:$C$4000)=YEAR(KBCCompSamenv!$A50),1,0)*IF(KBCCompData!$E$2:$E$4000&gt;0,1,0)*KBCCompData!$E$2:$E$4000)</f>
        <v>0</v>
      </c>
      <c r="E50" s="11">
        <f t="array" aca="1" ref="E50" ca="1">SUM(IF(MONTH(KBCCompData!$C$2:$C$4000)=MONTH(KBCCompSamenv!$A50),1,0)*IF(YEAR(KBCCompData!$C$2:$C$4000)=YEAR(KBCCompSamenv!$A50),1,0)*IF(KBCCompData!$G$2:$G$4000=E$1,1,0)*KBCCompData!$E$2:$E$4000)+SUM(IF(MONTH(CrelanData!$A$2:$A$4000)=MONTH(KBCCompSamenv!$A51),1,0)*IF(YEAR(CrelanData!$A$2:$A$4000)=YEAR(KBCCompSamenv!$A51),1,0)*IF(CrelanData!$H$2:$H$4000=Categorieën!$B$1,1,0)*CrelanData!$B$2:$B$4000)</f>
        <v>0</v>
      </c>
      <c r="F50" s="11">
        <f t="array" aca="1" ref="F50" ca="1">SUM(IF(MONTH(KBCCompData!$C$2:$C$4000)=MONTH(KBCCompSamenv!$A50),1,0)*IF(YEAR(KBCCompData!$C$2:$C$4000)=YEAR(KBCCompSamenv!$A50),1,0)*IF(KBCCompData!$G$2:$G$4000=F$1,1,0)*KBCCompData!$E$2:$E$4000)+SUM(IF(MONTH(CrelanData!$A$2:$A$4000)=MONTH(KBCCompSamenv!$A51),1,0)*IF(YEAR(CrelanData!$A$2:$A$4000)=YEAR(KBCCompSamenv!$A51),1,0)*IF(CrelanData!$H$2:$H$4000=Categorieën!$B$1,1,0)*CrelanData!$B$2:$B$4000)</f>
        <v>0</v>
      </c>
      <c r="G50" s="11">
        <f t="array" aca="1" ref="G50" ca="1">SUM(IF(MONTH(KBCCompData!$C$2:$C$4000)=MONTH(KBCCompSamenv!$A50),1,0)*IF(YEAR(KBCCompData!$C$2:$C$4000)=YEAR(KBCCompSamenv!$A50),1,0)*IF(KBCCompData!$G$2:$G$4000=G$1,1,0)*KBCCompData!$E$2:$E$4000)+SUM(IF(MONTH(CrelanData!$A$2:$A$4000)=MONTH(KBCCompSamenv!$A51),1,0)*IF(YEAR(CrelanData!$A$2:$A$4000)=YEAR(KBCCompSamenv!$A51),1,0)*IF(CrelanData!$H$2:$H$4000=Categorieën!$B$1,1,0)*CrelanData!$B$2:$B$4000)</f>
        <v>0</v>
      </c>
      <c r="H50" s="5">
        <f ca="1">KBCSpaarrekSamenv!D28</f>
        <v>0</v>
      </c>
    </row>
    <row r="51" spans="1:8" outlineLevel="1">
      <c r="A51" s="10">
        <v>37926</v>
      </c>
      <c r="B51" s="5">
        <f t="array" aca="1" ref="B51" ca="1">SUM((IF(MONTH(KBCCompData!$C$2:$C$4000)=MONTH(KBCCompSamenv!$A51),1,0))*(IF(YEAR(KBCCompData!$C$2:$C$4000)=YEAR(KBCCompSamenv!$A51),1,0))*(IF(KBCCompData!$E$2:$E$4000&lt;0,1,0))*KBCCompData!$E$2:$E$4000)</f>
        <v>0</v>
      </c>
      <c r="C51" s="11">
        <f t="array" aca="1" ref="C51" ca="1">SUM(IF(MONTH(KBCCompData!$C$2:$C$4000)=MONTH(KBCCompSamenv!$A51),1,0)*IF(YEAR(KBCCompData!$C$2:$C$4000)=YEAR(KBCCompSamenv!$A51),1,0)*IF(KBCCompData!$E$2:$E$4000&lt;0,1,0)*IF(KBCCompData!$G$2:$G$4000=Categorieën!$E$1,0,1)*IF(KBCCompData!$G$2:$G$4000=Categorieën!$F$1,0,1)*IF(KBCCompData!$G$2:$G$4000=Categorieën!$L$1,0,1)*KBCCompData!$E$2:$E$4000)</f>
        <v>0</v>
      </c>
      <c r="D51" s="11">
        <f ca="1">SUM(IF(MONTH(KBCCompData!$C$2:$C$4000)=MONTH(KBCCompSamenv!$A51),1,0)*IF(YEAR(KBCCompData!$C$2:$C$4000)=YEAR(KBCCompSamenv!$A51),1,0)*IF(KBCCompData!$E$2:$E$4000&gt;0,1,0)*KBCCompData!$E$2:$E$4000)</f>
        <v>0</v>
      </c>
      <c r="E51" s="11">
        <f t="array" aca="1" ref="E51" ca="1">SUM(IF(MONTH(KBCCompData!$C$2:$C$4000)=MONTH(KBCCompSamenv!$A51),1,0)*IF(YEAR(KBCCompData!$C$2:$C$4000)=YEAR(KBCCompSamenv!$A51),1,0)*IF(KBCCompData!$G$2:$G$4000=E$1,1,0)*KBCCompData!$E$2:$E$4000)+SUM(IF(MONTH(CrelanData!$A$2:$A$4000)=MONTH(KBCCompSamenv!$A52),1,0)*IF(YEAR(CrelanData!$A$2:$A$4000)=YEAR(KBCCompSamenv!$A52),1,0)*IF(CrelanData!$H$2:$H$4000=Categorieën!$B$1,1,0)*CrelanData!$B$2:$B$4000)</f>
        <v>0</v>
      </c>
      <c r="F51" s="11">
        <f t="array" aca="1" ref="F51" ca="1">SUM(IF(MONTH(KBCCompData!$C$2:$C$4000)=MONTH(KBCCompSamenv!$A51),1,0)*IF(YEAR(KBCCompData!$C$2:$C$4000)=YEAR(KBCCompSamenv!$A51),1,0)*IF(KBCCompData!$G$2:$G$4000=F$1,1,0)*KBCCompData!$E$2:$E$4000)+SUM(IF(MONTH(CrelanData!$A$2:$A$4000)=MONTH(KBCCompSamenv!$A52),1,0)*IF(YEAR(CrelanData!$A$2:$A$4000)=YEAR(KBCCompSamenv!$A52),1,0)*IF(CrelanData!$H$2:$H$4000=Categorieën!$B$1,1,0)*CrelanData!$B$2:$B$4000)</f>
        <v>0</v>
      </c>
      <c r="G51" s="11">
        <f t="array" aca="1" ref="G51" ca="1">SUM(IF(MONTH(KBCCompData!$C$2:$C$4000)=MONTH(KBCCompSamenv!$A51),1,0)*IF(YEAR(KBCCompData!$C$2:$C$4000)=YEAR(KBCCompSamenv!$A51),1,0)*IF(KBCCompData!$G$2:$G$4000=G$1,1,0)*KBCCompData!$E$2:$E$4000)+SUM(IF(MONTH(CrelanData!$A$2:$A$4000)=MONTH(KBCCompSamenv!$A52),1,0)*IF(YEAR(CrelanData!$A$2:$A$4000)=YEAR(KBCCompSamenv!$A52),1,0)*IF(CrelanData!$H$2:$H$4000=Categorieën!$B$1,1,0)*CrelanData!$B$2:$B$4000)</f>
        <v>0</v>
      </c>
      <c r="H51" s="5">
        <f ca="1">KBCSpaarrekSamenv!D29</f>
        <v>0</v>
      </c>
    </row>
    <row r="52" spans="1:8">
      <c r="A52" s="10">
        <v>37956</v>
      </c>
      <c r="B52" s="5">
        <f t="array" aca="1" ref="B52" ca="1">SUM((IF(MONTH(KBCCompData!$C$2:$C$4000)=MONTH(KBCCompSamenv!$A52),1,0))*(IF(YEAR(KBCCompData!$C$2:$C$4000)=YEAR(KBCCompSamenv!$A52),1,0))*(IF(KBCCompData!$E$2:$E$4000&lt;0,1,0))*KBCCompData!$E$2:$E$4000)</f>
        <v>0</v>
      </c>
      <c r="C52" s="11">
        <f t="array" aca="1" ref="C52" ca="1">SUM(IF(MONTH(KBCCompData!$C$2:$C$4000)=MONTH(KBCCompSamenv!$A52),1,0)*IF(YEAR(KBCCompData!$C$2:$C$4000)=YEAR(KBCCompSamenv!$A52),1,0)*IF(KBCCompData!$E$2:$E$4000&lt;0,1,0)*IF(KBCCompData!$G$2:$G$4000=Categorieën!$E$1,0,1)*IF(KBCCompData!$G$2:$G$4000=Categorieën!$F$1,0,1)*IF(KBCCompData!$G$2:$G$4000=Categorieën!$L$1,0,1)*KBCCompData!$E$2:$E$4000)</f>
        <v>0</v>
      </c>
      <c r="D52" s="11">
        <f ca="1">SUM(IF(MONTH(KBCCompData!$C$2:$C$4000)=MONTH(KBCCompSamenv!$A52),1,0)*IF(YEAR(KBCCompData!$C$2:$C$4000)=YEAR(KBCCompSamenv!$A52),1,0)*IF(KBCCompData!$E$2:$E$4000&gt;0,1,0)*KBCCompData!$E$2:$E$4000)</f>
        <v>0</v>
      </c>
      <c r="E52" s="11">
        <f t="array" aca="1" ref="E52" ca="1">SUM(IF(MONTH(KBCCompData!$C$2:$C$4000)=MONTH(KBCCompSamenv!$A52),1,0)*IF(YEAR(KBCCompData!$C$2:$C$4000)=YEAR(KBCCompSamenv!$A52),1,0)*IF(KBCCompData!$G$2:$G$4000=E$1,1,0)*KBCCompData!$E$2:$E$4000)+SUM(IF(MONTH(CrelanData!$A$2:$A$4000)=MONTH(KBCCompSamenv!$A53),1,0)*IF(YEAR(CrelanData!$A$2:$A$4000)=YEAR(KBCCompSamenv!$A53),1,0)*IF(CrelanData!$H$2:$H$4000=Categorieën!$B$1,1,0)*CrelanData!$B$2:$B$4000)</f>
        <v>0</v>
      </c>
      <c r="F52" s="11">
        <f t="array" aca="1" ref="F52" ca="1">SUM(IF(MONTH(KBCCompData!$C$2:$C$4000)=MONTH(KBCCompSamenv!$A52),1,0)*IF(YEAR(KBCCompData!$C$2:$C$4000)=YEAR(KBCCompSamenv!$A52),1,0)*IF(KBCCompData!$G$2:$G$4000=F$1,1,0)*KBCCompData!$E$2:$E$4000)+SUM(IF(MONTH(CrelanData!$A$2:$A$4000)=MONTH(KBCCompSamenv!$A53),1,0)*IF(YEAR(CrelanData!$A$2:$A$4000)=YEAR(KBCCompSamenv!$A53),1,0)*IF(CrelanData!$H$2:$H$4000=Categorieën!$B$1,1,0)*CrelanData!$B$2:$B$4000)</f>
        <v>0</v>
      </c>
      <c r="G52" s="11">
        <f t="array" aca="1" ref="G52" ca="1">SUM(IF(MONTH(KBCCompData!$C$2:$C$4000)=MONTH(KBCCompSamenv!$A52),1,0)*IF(YEAR(KBCCompData!$C$2:$C$4000)=YEAR(KBCCompSamenv!$A52),1,0)*IF(KBCCompData!$G$2:$G$4000=G$1,1,0)*KBCCompData!$E$2:$E$4000)+SUM(IF(MONTH(CrelanData!$A$2:$A$4000)=MONTH(KBCCompSamenv!$A53),1,0)*IF(YEAR(CrelanData!$A$2:$A$4000)=YEAR(KBCCompSamenv!$A53),1,0)*IF(CrelanData!$H$2:$H$4000=Categorieën!$B$1,1,0)*CrelanData!$B$2:$B$4000)</f>
        <v>0</v>
      </c>
      <c r="H52" s="5">
        <f ca="1">KBCSpaarrekSamenv!D30</f>
        <v>0</v>
      </c>
    </row>
    <row r="53" spans="1:8" outlineLevel="1">
      <c r="A53" s="10">
        <v>37987</v>
      </c>
      <c r="B53" s="5">
        <f t="array" aca="1" ref="B53" ca="1">SUM((IF(MONTH(KBCCompData!$C$2:$C$4000)=MONTH(KBCCompSamenv!$A53),1,0))*(IF(YEAR(KBCCompData!$C$2:$C$4000)=YEAR(KBCCompSamenv!$A53),1,0))*(IF(KBCCompData!$E$2:$E$4000&lt;0,1,0))*KBCCompData!$E$2:$E$4000)</f>
        <v>0</v>
      </c>
      <c r="C53" s="11">
        <f t="array" aca="1" ref="C53" ca="1">SUM(IF(MONTH(KBCCompData!$C$2:$C$4000)=MONTH(KBCCompSamenv!$A53),1,0)*IF(YEAR(KBCCompData!$C$2:$C$4000)=YEAR(KBCCompSamenv!$A53),1,0)*IF(KBCCompData!$E$2:$E$4000&lt;0,1,0)*IF(KBCCompData!$G$2:$G$4000=Categorieën!$E$1,0,1)*IF(KBCCompData!$G$2:$G$4000=Categorieën!$F$1,0,1)*IF(KBCCompData!$G$2:$G$4000=Categorieën!$L$1,0,1)*KBCCompData!$E$2:$E$4000)</f>
        <v>0</v>
      </c>
      <c r="D53" s="11">
        <f ca="1">SUM(IF(MONTH(KBCCompData!$C$2:$C$4000)=MONTH(KBCCompSamenv!$A53),1,0)*IF(YEAR(KBCCompData!$C$2:$C$4000)=YEAR(KBCCompSamenv!$A53),1,0)*IF(KBCCompData!$E$2:$E$4000&gt;0,1,0)*KBCCompData!$E$2:$E$4000)</f>
        <v>0</v>
      </c>
      <c r="E53" s="11">
        <f t="array" aca="1" ref="E53" ca="1">SUM(IF(MONTH(KBCCompData!$C$2:$C$4000)=MONTH(KBCCompSamenv!$A53),1,0)*IF(YEAR(KBCCompData!$C$2:$C$4000)=YEAR(KBCCompSamenv!$A53),1,0)*IF(KBCCompData!$G$2:$G$4000=E$1,1,0)*KBCCompData!$E$2:$E$4000)+SUM(IF(MONTH(CrelanData!$A$2:$A$4000)=MONTH(KBCCompSamenv!$A54),1,0)*IF(YEAR(CrelanData!$A$2:$A$4000)=YEAR(KBCCompSamenv!$A54),1,0)*IF(CrelanData!$H$2:$H$4000=Categorieën!$B$1,1,0)*CrelanData!$B$2:$B$4000)</f>
        <v>0</v>
      </c>
      <c r="F53" s="11">
        <f t="array" aca="1" ref="F53" ca="1">SUM(IF(MONTH(KBCCompData!$C$2:$C$4000)=MONTH(KBCCompSamenv!$A53),1,0)*IF(YEAR(KBCCompData!$C$2:$C$4000)=YEAR(KBCCompSamenv!$A53),1,0)*IF(KBCCompData!$G$2:$G$4000=F$1,1,0)*KBCCompData!$E$2:$E$4000)+SUM(IF(MONTH(CrelanData!$A$2:$A$4000)=MONTH(KBCCompSamenv!$A54),1,0)*IF(YEAR(CrelanData!$A$2:$A$4000)=YEAR(KBCCompSamenv!$A54),1,0)*IF(CrelanData!$H$2:$H$4000=Categorieën!$B$1,1,0)*CrelanData!$B$2:$B$4000)</f>
        <v>0</v>
      </c>
      <c r="G53" s="11">
        <f t="array" aca="1" ref="G53" ca="1">SUM(IF(MONTH(KBCCompData!$C$2:$C$4000)=MONTH(KBCCompSamenv!$A53),1,0)*IF(YEAR(KBCCompData!$C$2:$C$4000)=YEAR(KBCCompSamenv!$A53),1,0)*IF(KBCCompData!$G$2:$G$4000=G$1,1,0)*KBCCompData!$E$2:$E$4000)+SUM(IF(MONTH(CrelanData!$A$2:$A$4000)=MONTH(KBCCompSamenv!$A54),1,0)*IF(YEAR(CrelanData!$A$2:$A$4000)=YEAR(KBCCompSamenv!$A54),1,0)*IF(CrelanData!$H$2:$H$4000=Categorieën!$B$1,1,0)*CrelanData!$B$2:$B$4000)</f>
        <v>0</v>
      </c>
      <c r="H53" s="5">
        <f ca="1">KBCSpaarrekSamenv!D31</f>
        <v>0</v>
      </c>
    </row>
    <row r="54" spans="1:8" outlineLevel="1">
      <c r="A54" s="10">
        <v>38018</v>
      </c>
      <c r="B54" s="5">
        <f t="array" aca="1" ref="B54" ca="1">SUM((IF(MONTH(KBCCompData!$C$2:$C$4000)=MONTH(KBCCompSamenv!$A54),1,0))*(IF(YEAR(KBCCompData!$C$2:$C$4000)=YEAR(KBCCompSamenv!$A54),1,0))*(IF(KBCCompData!$E$2:$E$4000&lt;0,1,0))*KBCCompData!$E$2:$E$4000)</f>
        <v>0</v>
      </c>
      <c r="C54" s="11">
        <f t="array" aca="1" ref="C54" ca="1">SUM(IF(MONTH(KBCCompData!$C$2:$C$4000)=MONTH(KBCCompSamenv!$A54),1,0)*IF(YEAR(KBCCompData!$C$2:$C$4000)=YEAR(KBCCompSamenv!$A54),1,0)*IF(KBCCompData!$E$2:$E$4000&lt;0,1,0)*IF(KBCCompData!$G$2:$G$4000=Categorieën!$E$1,0,1)*IF(KBCCompData!$G$2:$G$4000=Categorieën!$F$1,0,1)*IF(KBCCompData!$G$2:$G$4000=Categorieën!$L$1,0,1)*KBCCompData!$E$2:$E$4000)</f>
        <v>0</v>
      </c>
      <c r="D54" s="11">
        <f ca="1">SUM(IF(MONTH(KBCCompData!$C$2:$C$4000)=MONTH(KBCCompSamenv!$A54),1,0)*IF(YEAR(KBCCompData!$C$2:$C$4000)=YEAR(KBCCompSamenv!$A54),1,0)*IF(KBCCompData!$E$2:$E$4000&gt;0,1,0)*KBCCompData!$E$2:$E$4000)</f>
        <v>0</v>
      </c>
      <c r="E54" s="11">
        <f t="array" aca="1" ref="E54" ca="1">SUM(IF(MONTH(KBCCompData!$C$2:$C$4000)=MONTH(KBCCompSamenv!$A54),1,0)*IF(YEAR(KBCCompData!$C$2:$C$4000)=YEAR(KBCCompSamenv!$A54),1,0)*IF(KBCCompData!$G$2:$G$4000=E$1,1,0)*KBCCompData!$E$2:$E$4000)+SUM(IF(MONTH(CrelanData!$A$2:$A$4000)=MONTH(KBCCompSamenv!$A55),1,0)*IF(YEAR(CrelanData!$A$2:$A$4000)=YEAR(KBCCompSamenv!$A55),1,0)*IF(CrelanData!$H$2:$H$4000=Categorieën!$B$1,1,0)*CrelanData!$B$2:$B$4000)</f>
        <v>0</v>
      </c>
      <c r="F54" s="11">
        <f t="array" aca="1" ref="F54" ca="1">SUM(IF(MONTH(KBCCompData!$C$2:$C$4000)=MONTH(KBCCompSamenv!$A54),1,0)*IF(YEAR(KBCCompData!$C$2:$C$4000)=YEAR(KBCCompSamenv!$A54),1,0)*IF(KBCCompData!$G$2:$G$4000=F$1,1,0)*KBCCompData!$E$2:$E$4000)+SUM(IF(MONTH(CrelanData!$A$2:$A$4000)=MONTH(KBCCompSamenv!$A55),1,0)*IF(YEAR(CrelanData!$A$2:$A$4000)=YEAR(KBCCompSamenv!$A55),1,0)*IF(CrelanData!$H$2:$H$4000=Categorieën!$B$1,1,0)*CrelanData!$B$2:$B$4000)</f>
        <v>0</v>
      </c>
      <c r="G54" s="11">
        <f t="array" aca="1" ref="G54" ca="1">SUM(IF(MONTH(KBCCompData!$C$2:$C$4000)=MONTH(KBCCompSamenv!$A54),1,0)*IF(YEAR(KBCCompData!$C$2:$C$4000)=YEAR(KBCCompSamenv!$A54),1,0)*IF(KBCCompData!$G$2:$G$4000=G$1,1,0)*KBCCompData!$E$2:$E$4000)+SUM(IF(MONTH(CrelanData!$A$2:$A$4000)=MONTH(KBCCompSamenv!$A55),1,0)*IF(YEAR(CrelanData!$A$2:$A$4000)=YEAR(KBCCompSamenv!$A55),1,0)*IF(CrelanData!$H$2:$H$4000=Categorieën!$B$1,1,0)*CrelanData!$B$2:$B$4000)</f>
        <v>0</v>
      </c>
      <c r="H54" s="5">
        <f ca="1">KBCSpaarrekSamenv!D32</f>
        <v>0</v>
      </c>
    </row>
    <row r="55" spans="1:8" outlineLevel="1">
      <c r="A55" s="10">
        <v>38047</v>
      </c>
      <c r="B55" s="5">
        <f t="array" aca="1" ref="B55" ca="1">SUM((IF(MONTH(KBCCompData!$C$2:$C$4000)=MONTH(KBCCompSamenv!$A55),1,0))*(IF(YEAR(KBCCompData!$C$2:$C$4000)=YEAR(KBCCompSamenv!$A55),1,0))*(IF(KBCCompData!$E$2:$E$4000&lt;0,1,0))*KBCCompData!$E$2:$E$4000)</f>
        <v>0</v>
      </c>
      <c r="C55" s="11">
        <f t="array" aca="1" ref="C55" ca="1">SUM(IF(MONTH(KBCCompData!$C$2:$C$4000)=MONTH(KBCCompSamenv!$A55),1,0)*IF(YEAR(KBCCompData!$C$2:$C$4000)=YEAR(KBCCompSamenv!$A55),1,0)*IF(KBCCompData!$E$2:$E$4000&lt;0,1,0)*IF(KBCCompData!$G$2:$G$4000=Categorieën!$E$1,0,1)*IF(KBCCompData!$G$2:$G$4000=Categorieën!$F$1,0,1)*IF(KBCCompData!$G$2:$G$4000=Categorieën!$L$1,0,1)*KBCCompData!$E$2:$E$4000)</f>
        <v>0</v>
      </c>
      <c r="D55" s="11">
        <f ca="1">SUM(IF(MONTH(KBCCompData!$C$2:$C$4000)=MONTH(KBCCompSamenv!$A55),1,0)*IF(YEAR(KBCCompData!$C$2:$C$4000)=YEAR(KBCCompSamenv!$A55),1,0)*IF(KBCCompData!$E$2:$E$4000&gt;0,1,0)*KBCCompData!$E$2:$E$4000)</f>
        <v>0</v>
      </c>
      <c r="E55" s="11">
        <f t="array" aca="1" ref="E55" ca="1">SUM(IF(MONTH(KBCCompData!$C$2:$C$4000)=MONTH(KBCCompSamenv!$A55),1,0)*IF(YEAR(KBCCompData!$C$2:$C$4000)=YEAR(KBCCompSamenv!$A55),1,0)*IF(KBCCompData!$G$2:$G$4000=E$1,1,0)*KBCCompData!$E$2:$E$4000)+SUM(IF(MONTH(CrelanData!$A$2:$A$4000)=MONTH(KBCCompSamenv!$A56),1,0)*IF(YEAR(CrelanData!$A$2:$A$4000)=YEAR(KBCCompSamenv!$A56),1,0)*IF(CrelanData!$H$2:$H$4000=Categorieën!$B$1,1,0)*CrelanData!$B$2:$B$4000)</f>
        <v>0</v>
      </c>
      <c r="F55" s="11">
        <f t="array" aca="1" ref="F55" ca="1">SUM(IF(MONTH(KBCCompData!$C$2:$C$4000)=MONTH(KBCCompSamenv!$A55),1,0)*IF(YEAR(KBCCompData!$C$2:$C$4000)=YEAR(KBCCompSamenv!$A55),1,0)*IF(KBCCompData!$G$2:$G$4000=F$1,1,0)*KBCCompData!$E$2:$E$4000)+SUM(IF(MONTH(CrelanData!$A$2:$A$4000)=MONTH(KBCCompSamenv!$A56),1,0)*IF(YEAR(CrelanData!$A$2:$A$4000)=YEAR(KBCCompSamenv!$A56),1,0)*IF(CrelanData!$H$2:$H$4000=Categorieën!$B$1,1,0)*CrelanData!$B$2:$B$4000)</f>
        <v>0</v>
      </c>
      <c r="G55" s="11">
        <f t="array" aca="1" ref="G55" ca="1">SUM(IF(MONTH(KBCCompData!$C$2:$C$4000)=MONTH(KBCCompSamenv!$A55),1,0)*IF(YEAR(KBCCompData!$C$2:$C$4000)=YEAR(KBCCompSamenv!$A55),1,0)*IF(KBCCompData!$G$2:$G$4000=G$1,1,0)*KBCCompData!$E$2:$E$4000)+SUM(IF(MONTH(CrelanData!$A$2:$A$4000)=MONTH(KBCCompSamenv!$A56),1,0)*IF(YEAR(CrelanData!$A$2:$A$4000)=YEAR(KBCCompSamenv!$A56),1,0)*IF(CrelanData!$H$2:$H$4000=Categorieën!$B$1,1,0)*CrelanData!$B$2:$B$4000)</f>
        <v>0</v>
      </c>
      <c r="H55" s="5">
        <f ca="1">KBCSpaarrekSamenv!D33</f>
        <v>0</v>
      </c>
    </row>
    <row r="56" spans="1:8" outlineLevel="1">
      <c r="A56" s="10">
        <v>38078</v>
      </c>
      <c r="B56" s="5">
        <f t="array" aca="1" ref="B56" ca="1">SUM((IF(MONTH(KBCCompData!$C$2:$C$4000)=MONTH(KBCCompSamenv!$A56),1,0))*(IF(YEAR(KBCCompData!$C$2:$C$4000)=YEAR(KBCCompSamenv!$A56),1,0))*(IF(KBCCompData!$E$2:$E$4000&lt;0,1,0))*KBCCompData!$E$2:$E$4000)</f>
        <v>0</v>
      </c>
      <c r="C56" s="11">
        <f t="array" aca="1" ref="C56" ca="1">SUM(IF(MONTH(KBCCompData!$C$2:$C$4000)=MONTH(KBCCompSamenv!$A56),1,0)*IF(YEAR(KBCCompData!$C$2:$C$4000)=YEAR(KBCCompSamenv!$A56),1,0)*IF(KBCCompData!$E$2:$E$4000&lt;0,1,0)*IF(KBCCompData!$G$2:$G$4000=Categorieën!$E$1,0,1)*IF(KBCCompData!$G$2:$G$4000=Categorieën!$F$1,0,1)*IF(KBCCompData!$G$2:$G$4000=Categorieën!$L$1,0,1)*KBCCompData!$E$2:$E$4000)</f>
        <v>0</v>
      </c>
      <c r="D56" s="11">
        <f ca="1">SUM(IF(MONTH(KBCCompData!$C$2:$C$4000)=MONTH(KBCCompSamenv!$A56),1,0)*IF(YEAR(KBCCompData!$C$2:$C$4000)=YEAR(KBCCompSamenv!$A56),1,0)*IF(KBCCompData!$E$2:$E$4000&gt;0,1,0)*KBCCompData!$E$2:$E$4000)</f>
        <v>0</v>
      </c>
      <c r="E56" s="11">
        <f t="array" aca="1" ref="E56" ca="1">SUM(IF(MONTH(KBCCompData!$C$2:$C$4000)=MONTH(KBCCompSamenv!$A56),1,0)*IF(YEAR(KBCCompData!$C$2:$C$4000)=YEAR(KBCCompSamenv!$A56),1,0)*IF(KBCCompData!$G$2:$G$4000=E$1,1,0)*KBCCompData!$E$2:$E$4000)+SUM(IF(MONTH(CrelanData!$A$2:$A$4000)=MONTH(KBCCompSamenv!$A57),1,0)*IF(YEAR(CrelanData!$A$2:$A$4000)=YEAR(KBCCompSamenv!$A57),1,0)*IF(CrelanData!$H$2:$H$4000=Categorieën!$B$1,1,0)*CrelanData!$B$2:$B$4000)</f>
        <v>0</v>
      </c>
      <c r="F56" s="11">
        <f t="array" aca="1" ref="F56" ca="1">SUM(IF(MONTH(KBCCompData!$C$2:$C$4000)=MONTH(KBCCompSamenv!$A56),1,0)*IF(YEAR(KBCCompData!$C$2:$C$4000)=YEAR(KBCCompSamenv!$A56),1,0)*IF(KBCCompData!$G$2:$G$4000=F$1,1,0)*KBCCompData!$E$2:$E$4000)+SUM(IF(MONTH(CrelanData!$A$2:$A$4000)=MONTH(KBCCompSamenv!$A57),1,0)*IF(YEAR(CrelanData!$A$2:$A$4000)=YEAR(KBCCompSamenv!$A57),1,0)*IF(CrelanData!$H$2:$H$4000=Categorieën!$B$1,1,0)*CrelanData!$B$2:$B$4000)</f>
        <v>0</v>
      </c>
      <c r="G56" s="11">
        <f t="array" aca="1" ref="G56" ca="1">SUM(IF(MONTH(KBCCompData!$C$2:$C$4000)=MONTH(KBCCompSamenv!$A56),1,0)*IF(YEAR(KBCCompData!$C$2:$C$4000)=YEAR(KBCCompSamenv!$A56),1,0)*IF(KBCCompData!$G$2:$G$4000=G$1,1,0)*KBCCompData!$E$2:$E$4000)+SUM(IF(MONTH(CrelanData!$A$2:$A$4000)=MONTH(KBCCompSamenv!$A57),1,0)*IF(YEAR(CrelanData!$A$2:$A$4000)=YEAR(KBCCompSamenv!$A57),1,0)*IF(CrelanData!$H$2:$H$4000=Categorieën!$B$1,1,0)*CrelanData!$B$2:$B$4000)</f>
        <v>0</v>
      </c>
      <c r="H56" s="5">
        <f ca="1">KBCSpaarrekSamenv!D34</f>
        <v>0</v>
      </c>
    </row>
    <row r="57" spans="1:8" outlineLevel="1">
      <c r="A57" s="10">
        <v>38108</v>
      </c>
      <c r="B57" s="5">
        <f t="array" aca="1" ref="B57" ca="1">SUM((IF(MONTH(KBCCompData!$C$2:$C$4000)=MONTH(KBCCompSamenv!$A57),1,0))*(IF(YEAR(KBCCompData!$C$2:$C$4000)=YEAR(KBCCompSamenv!$A57),1,0))*(IF(KBCCompData!$E$2:$E$4000&lt;0,1,0))*KBCCompData!$E$2:$E$4000)</f>
        <v>0</v>
      </c>
      <c r="C57" s="11">
        <f t="array" aca="1" ref="C57" ca="1">SUM(IF(MONTH(KBCCompData!$C$2:$C$4000)=MONTH(KBCCompSamenv!$A57),1,0)*IF(YEAR(KBCCompData!$C$2:$C$4000)=YEAR(KBCCompSamenv!$A57),1,0)*IF(KBCCompData!$E$2:$E$4000&lt;0,1,0)*IF(KBCCompData!$G$2:$G$4000=Categorieën!$E$1,0,1)*IF(KBCCompData!$G$2:$G$4000=Categorieën!$F$1,0,1)*IF(KBCCompData!$G$2:$G$4000=Categorieën!$L$1,0,1)*KBCCompData!$E$2:$E$4000)</f>
        <v>0</v>
      </c>
      <c r="D57" s="11">
        <f ca="1">SUM(IF(MONTH(KBCCompData!$C$2:$C$4000)=MONTH(KBCCompSamenv!$A57),1,0)*IF(YEAR(KBCCompData!$C$2:$C$4000)=YEAR(KBCCompSamenv!$A57),1,0)*IF(KBCCompData!$E$2:$E$4000&gt;0,1,0)*KBCCompData!$E$2:$E$4000)</f>
        <v>0</v>
      </c>
      <c r="E57" s="11">
        <f t="array" aca="1" ref="E57" ca="1">SUM(IF(MONTH(KBCCompData!$C$2:$C$4000)=MONTH(KBCCompSamenv!$A57),1,0)*IF(YEAR(KBCCompData!$C$2:$C$4000)=YEAR(KBCCompSamenv!$A57),1,0)*IF(KBCCompData!$G$2:$G$4000=E$1,1,0)*KBCCompData!$E$2:$E$4000)+SUM(IF(MONTH(CrelanData!$A$2:$A$4000)=MONTH(KBCCompSamenv!$A58),1,0)*IF(YEAR(CrelanData!$A$2:$A$4000)=YEAR(KBCCompSamenv!$A58),1,0)*IF(CrelanData!$H$2:$H$4000=Categorieën!$B$1,1,0)*CrelanData!$B$2:$B$4000)</f>
        <v>0</v>
      </c>
      <c r="F57" s="11">
        <f t="array" aca="1" ref="F57" ca="1">SUM(IF(MONTH(KBCCompData!$C$2:$C$4000)=MONTH(KBCCompSamenv!$A57),1,0)*IF(YEAR(KBCCompData!$C$2:$C$4000)=YEAR(KBCCompSamenv!$A57),1,0)*IF(KBCCompData!$G$2:$G$4000=F$1,1,0)*KBCCompData!$E$2:$E$4000)+SUM(IF(MONTH(CrelanData!$A$2:$A$4000)=MONTH(KBCCompSamenv!$A58),1,0)*IF(YEAR(CrelanData!$A$2:$A$4000)=YEAR(KBCCompSamenv!$A58),1,0)*IF(CrelanData!$H$2:$H$4000=Categorieën!$B$1,1,0)*CrelanData!$B$2:$B$4000)</f>
        <v>0</v>
      </c>
      <c r="G57" s="11">
        <f t="array" aca="1" ref="G57" ca="1">SUM(IF(MONTH(KBCCompData!$C$2:$C$4000)=MONTH(KBCCompSamenv!$A57),1,0)*IF(YEAR(KBCCompData!$C$2:$C$4000)=YEAR(KBCCompSamenv!$A57),1,0)*IF(KBCCompData!$G$2:$G$4000=G$1,1,0)*KBCCompData!$E$2:$E$4000)+SUM(IF(MONTH(CrelanData!$A$2:$A$4000)=MONTH(KBCCompSamenv!$A58),1,0)*IF(YEAR(CrelanData!$A$2:$A$4000)=YEAR(KBCCompSamenv!$A58),1,0)*IF(CrelanData!$H$2:$H$4000=Categorieën!$B$1,1,0)*CrelanData!$B$2:$B$4000)</f>
        <v>0</v>
      </c>
      <c r="H57" s="5">
        <f ca="1">KBCSpaarrekSamenv!D35</f>
        <v>0</v>
      </c>
    </row>
    <row r="58" spans="1:8" outlineLevel="1">
      <c r="A58" s="10">
        <v>38139</v>
      </c>
      <c r="B58" s="5">
        <f t="array" aca="1" ref="B58" ca="1">SUM((IF(MONTH(KBCCompData!$C$2:$C$4000)=MONTH(KBCCompSamenv!$A58),1,0))*(IF(YEAR(KBCCompData!$C$2:$C$4000)=YEAR(KBCCompSamenv!$A58),1,0))*(IF(KBCCompData!$E$2:$E$4000&lt;0,1,0))*KBCCompData!$E$2:$E$4000)</f>
        <v>0</v>
      </c>
      <c r="C58" s="11">
        <f t="array" aca="1" ref="C58" ca="1">SUM(IF(MONTH(KBCCompData!$C$2:$C$4000)=MONTH(KBCCompSamenv!$A58),1,0)*IF(YEAR(KBCCompData!$C$2:$C$4000)=YEAR(KBCCompSamenv!$A58),1,0)*IF(KBCCompData!$E$2:$E$4000&lt;0,1,0)*IF(KBCCompData!$G$2:$G$4000=Categorieën!$E$1,0,1)*IF(KBCCompData!$G$2:$G$4000=Categorieën!$F$1,0,1)*IF(KBCCompData!$G$2:$G$4000=Categorieën!$L$1,0,1)*KBCCompData!$E$2:$E$4000)</f>
        <v>0</v>
      </c>
      <c r="D58" s="11">
        <f ca="1">SUM(IF(MONTH(KBCCompData!$C$2:$C$4000)=MONTH(KBCCompSamenv!$A58),1,0)*IF(YEAR(KBCCompData!$C$2:$C$4000)=YEAR(KBCCompSamenv!$A58),1,0)*IF(KBCCompData!$E$2:$E$4000&gt;0,1,0)*KBCCompData!$E$2:$E$4000)</f>
        <v>0</v>
      </c>
      <c r="E58" s="11">
        <f t="array" aca="1" ref="E58" ca="1">SUM(IF(MONTH(KBCCompData!$C$2:$C$4000)=MONTH(KBCCompSamenv!$A58),1,0)*IF(YEAR(KBCCompData!$C$2:$C$4000)=YEAR(KBCCompSamenv!$A58),1,0)*IF(KBCCompData!$G$2:$G$4000=E$1,1,0)*KBCCompData!$E$2:$E$4000)+SUM(IF(MONTH(CrelanData!$A$2:$A$4000)=MONTH(KBCCompSamenv!$A59),1,0)*IF(YEAR(CrelanData!$A$2:$A$4000)=YEAR(KBCCompSamenv!$A59),1,0)*IF(CrelanData!$H$2:$H$4000=Categorieën!$B$1,1,0)*CrelanData!$B$2:$B$4000)</f>
        <v>0</v>
      </c>
      <c r="F58" s="11">
        <f t="array" aca="1" ref="F58" ca="1">SUM(IF(MONTH(KBCCompData!$C$2:$C$4000)=MONTH(KBCCompSamenv!$A58),1,0)*IF(YEAR(KBCCompData!$C$2:$C$4000)=YEAR(KBCCompSamenv!$A58),1,0)*IF(KBCCompData!$G$2:$G$4000=F$1,1,0)*KBCCompData!$E$2:$E$4000)+SUM(IF(MONTH(CrelanData!$A$2:$A$4000)=MONTH(KBCCompSamenv!$A59),1,0)*IF(YEAR(CrelanData!$A$2:$A$4000)=YEAR(KBCCompSamenv!$A59),1,0)*IF(CrelanData!$H$2:$H$4000=Categorieën!$B$1,1,0)*CrelanData!$B$2:$B$4000)</f>
        <v>0</v>
      </c>
      <c r="G58" s="11">
        <f t="array" aca="1" ref="G58" ca="1">SUM(IF(MONTH(KBCCompData!$C$2:$C$4000)=MONTH(KBCCompSamenv!$A58),1,0)*IF(YEAR(KBCCompData!$C$2:$C$4000)=YEAR(KBCCompSamenv!$A58),1,0)*IF(KBCCompData!$G$2:$G$4000=G$1,1,0)*KBCCompData!$E$2:$E$4000)+SUM(IF(MONTH(CrelanData!$A$2:$A$4000)=MONTH(KBCCompSamenv!$A59),1,0)*IF(YEAR(CrelanData!$A$2:$A$4000)=YEAR(KBCCompSamenv!$A59),1,0)*IF(CrelanData!$H$2:$H$4000=Categorieën!$B$1,1,0)*CrelanData!$B$2:$B$4000)</f>
        <v>0</v>
      </c>
      <c r="H58" s="5">
        <f ca="1">KBCSpaarrekSamenv!D36</f>
        <v>0</v>
      </c>
    </row>
    <row r="59" spans="1:8" outlineLevel="1">
      <c r="A59" s="10">
        <v>38169</v>
      </c>
      <c r="B59" s="5">
        <f t="array" aca="1" ref="B59" ca="1">SUM((IF(MONTH(KBCCompData!$C$2:$C$4000)=MONTH(KBCCompSamenv!$A59),1,0))*(IF(YEAR(KBCCompData!$C$2:$C$4000)=YEAR(KBCCompSamenv!$A59),1,0))*(IF(KBCCompData!$E$2:$E$4000&lt;0,1,0))*KBCCompData!$E$2:$E$4000)</f>
        <v>0</v>
      </c>
      <c r="C59" s="11">
        <f t="array" aca="1" ref="C59" ca="1">SUM(IF(MONTH(KBCCompData!$C$2:$C$4000)=MONTH(KBCCompSamenv!$A59),1,0)*IF(YEAR(KBCCompData!$C$2:$C$4000)=YEAR(KBCCompSamenv!$A59),1,0)*IF(KBCCompData!$E$2:$E$4000&lt;0,1,0)*IF(KBCCompData!$G$2:$G$4000=Categorieën!$E$1,0,1)*IF(KBCCompData!$G$2:$G$4000=Categorieën!$F$1,0,1)*IF(KBCCompData!$G$2:$G$4000=Categorieën!$L$1,0,1)*KBCCompData!$E$2:$E$4000)</f>
        <v>0</v>
      </c>
      <c r="D59" s="11">
        <f ca="1">SUM(IF(MONTH(KBCCompData!$C$2:$C$4000)=MONTH(KBCCompSamenv!$A59),1,0)*IF(YEAR(KBCCompData!$C$2:$C$4000)=YEAR(KBCCompSamenv!$A59),1,0)*IF(KBCCompData!$E$2:$E$4000&gt;0,1,0)*KBCCompData!$E$2:$E$4000)</f>
        <v>0</v>
      </c>
      <c r="E59" s="11">
        <f t="array" aca="1" ref="E59" ca="1">SUM(IF(MONTH(KBCCompData!$C$2:$C$4000)=MONTH(KBCCompSamenv!$A59),1,0)*IF(YEAR(KBCCompData!$C$2:$C$4000)=YEAR(KBCCompSamenv!$A59),1,0)*IF(KBCCompData!$G$2:$G$4000=E$1,1,0)*KBCCompData!$E$2:$E$4000)+SUM(IF(MONTH(CrelanData!$A$2:$A$4000)=MONTH(KBCCompSamenv!$A60),1,0)*IF(YEAR(CrelanData!$A$2:$A$4000)=YEAR(KBCCompSamenv!$A60),1,0)*IF(CrelanData!$H$2:$H$4000=Categorieën!$B$1,1,0)*CrelanData!$B$2:$B$4000)</f>
        <v>0</v>
      </c>
      <c r="F59" s="11">
        <f t="array" aca="1" ref="F59" ca="1">SUM(IF(MONTH(KBCCompData!$C$2:$C$4000)=MONTH(KBCCompSamenv!$A59),1,0)*IF(YEAR(KBCCompData!$C$2:$C$4000)=YEAR(KBCCompSamenv!$A59),1,0)*IF(KBCCompData!$G$2:$G$4000=F$1,1,0)*KBCCompData!$E$2:$E$4000)+SUM(IF(MONTH(CrelanData!$A$2:$A$4000)=MONTH(KBCCompSamenv!$A60),1,0)*IF(YEAR(CrelanData!$A$2:$A$4000)=YEAR(KBCCompSamenv!$A60),1,0)*IF(CrelanData!$H$2:$H$4000=Categorieën!$B$1,1,0)*CrelanData!$B$2:$B$4000)</f>
        <v>0</v>
      </c>
      <c r="G59" s="11">
        <f t="array" aca="1" ref="G59" ca="1">SUM(IF(MONTH(KBCCompData!$C$2:$C$4000)=MONTH(KBCCompSamenv!$A59),1,0)*IF(YEAR(KBCCompData!$C$2:$C$4000)=YEAR(KBCCompSamenv!$A59),1,0)*IF(KBCCompData!$G$2:$G$4000=G$1,1,0)*KBCCompData!$E$2:$E$4000)+SUM(IF(MONTH(CrelanData!$A$2:$A$4000)=MONTH(KBCCompSamenv!$A60),1,0)*IF(YEAR(CrelanData!$A$2:$A$4000)=YEAR(KBCCompSamenv!$A60),1,0)*IF(CrelanData!$H$2:$H$4000=Categorieën!$B$1,1,0)*CrelanData!$B$2:$B$4000)</f>
        <v>0</v>
      </c>
      <c r="H59" s="5">
        <f ca="1">KBCSpaarrekSamenv!D37</f>
        <v>0</v>
      </c>
    </row>
    <row r="60" spans="1:8" outlineLevel="1">
      <c r="A60" s="10">
        <v>38200</v>
      </c>
      <c r="B60" s="5">
        <f t="array" aca="1" ref="B60" ca="1">SUM((IF(MONTH(KBCCompData!$C$2:$C$4000)=MONTH(KBCCompSamenv!$A60),1,0))*(IF(YEAR(KBCCompData!$C$2:$C$4000)=YEAR(KBCCompSamenv!$A60),1,0))*(IF(KBCCompData!$E$2:$E$4000&lt;0,1,0))*KBCCompData!$E$2:$E$4000)</f>
        <v>0</v>
      </c>
      <c r="C60" s="11">
        <f t="array" aca="1" ref="C60" ca="1">SUM(IF(MONTH(KBCCompData!$C$2:$C$4000)=MONTH(KBCCompSamenv!$A60),1,0)*IF(YEAR(KBCCompData!$C$2:$C$4000)=YEAR(KBCCompSamenv!$A60),1,0)*IF(KBCCompData!$E$2:$E$4000&lt;0,1,0)*IF(KBCCompData!$G$2:$G$4000=Categorieën!$E$1,0,1)*IF(KBCCompData!$G$2:$G$4000=Categorieën!$F$1,0,1)*IF(KBCCompData!$G$2:$G$4000=Categorieën!$L$1,0,1)*KBCCompData!$E$2:$E$4000)</f>
        <v>0</v>
      </c>
      <c r="D60" s="11">
        <f ca="1">SUM(IF(MONTH(KBCCompData!$C$2:$C$4000)=MONTH(KBCCompSamenv!$A60),1,0)*IF(YEAR(KBCCompData!$C$2:$C$4000)=YEAR(KBCCompSamenv!$A60),1,0)*IF(KBCCompData!$E$2:$E$4000&gt;0,1,0)*KBCCompData!$E$2:$E$4000)</f>
        <v>0</v>
      </c>
      <c r="E60" s="11">
        <f t="array" aca="1" ref="E60" ca="1">SUM(IF(MONTH(KBCCompData!$C$2:$C$4000)=MONTH(KBCCompSamenv!$A60),1,0)*IF(YEAR(KBCCompData!$C$2:$C$4000)=YEAR(KBCCompSamenv!$A60),1,0)*IF(KBCCompData!$G$2:$G$4000=E$1,1,0)*KBCCompData!$E$2:$E$4000)+SUM(IF(MONTH(CrelanData!$A$2:$A$4000)=MONTH(KBCCompSamenv!$A61),1,0)*IF(YEAR(CrelanData!$A$2:$A$4000)=YEAR(KBCCompSamenv!$A61),1,0)*IF(CrelanData!$H$2:$H$4000=Categorieën!$B$1,1,0)*CrelanData!$B$2:$B$4000)</f>
        <v>0</v>
      </c>
      <c r="F60" s="11">
        <f t="array" aca="1" ref="F60" ca="1">SUM(IF(MONTH(KBCCompData!$C$2:$C$4000)=MONTH(KBCCompSamenv!$A60),1,0)*IF(YEAR(KBCCompData!$C$2:$C$4000)=YEAR(KBCCompSamenv!$A60),1,0)*IF(KBCCompData!$G$2:$G$4000=F$1,1,0)*KBCCompData!$E$2:$E$4000)+SUM(IF(MONTH(CrelanData!$A$2:$A$4000)=MONTH(KBCCompSamenv!$A61),1,0)*IF(YEAR(CrelanData!$A$2:$A$4000)=YEAR(KBCCompSamenv!$A61),1,0)*IF(CrelanData!$H$2:$H$4000=Categorieën!$B$1,1,0)*CrelanData!$B$2:$B$4000)</f>
        <v>0</v>
      </c>
      <c r="G60" s="11">
        <f t="array" aca="1" ref="G60" ca="1">SUM(IF(MONTH(KBCCompData!$C$2:$C$4000)=MONTH(KBCCompSamenv!$A60),1,0)*IF(YEAR(KBCCompData!$C$2:$C$4000)=YEAR(KBCCompSamenv!$A60),1,0)*IF(KBCCompData!$G$2:$G$4000=G$1,1,0)*KBCCompData!$E$2:$E$4000)+SUM(IF(MONTH(CrelanData!$A$2:$A$4000)=MONTH(KBCCompSamenv!$A61),1,0)*IF(YEAR(CrelanData!$A$2:$A$4000)=YEAR(KBCCompSamenv!$A61),1,0)*IF(CrelanData!$H$2:$H$4000=Categorieën!$B$1,1,0)*CrelanData!$B$2:$B$4000)</f>
        <v>0</v>
      </c>
      <c r="H60" s="5">
        <f ca="1">KBCSpaarrekSamenv!D38</f>
        <v>0</v>
      </c>
    </row>
    <row r="61" spans="1:8" outlineLevel="1">
      <c r="A61" s="10">
        <v>38231</v>
      </c>
      <c r="B61" s="5">
        <f t="array" aca="1" ref="B61" ca="1">SUM((IF(MONTH(KBCCompData!$C$2:$C$4000)=MONTH(KBCCompSamenv!$A61),1,0))*(IF(YEAR(KBCCompData!$C$2:$C$4000)=YEAR(KBCCompSamenv!$A61),1,0))*(IF(KBCCompData!$E$2:$E$4000&lt;0,1,0))*KBCCompData!$E$2:$E$4000)</f>
        <v>0</v>
      </c>
      <c r="C61" s="11">
        <f t="array" aca="1" ref="C61" ca="1">SUM(IF(MONTH(KBCCompData!$C$2:$C$4000)=MONTH(KBCCompSamenv!$A61),1,0)*IF(YEAR(KBCCompData!$C$2:$C$4000)=YEAR(KBCCompSamenv!$A61),1,0)*IF(KBCCompData!$E$2:$E$4000&lt;0,1,0)*IF(KBCCompData!$G$2:$G$4000=Categorieën!$E$1,0,1)*IF(KBCCompData!$G$2:$G$4000=Categorieën!$F$1,0,1)*IF(KBCCompData!$G$2:$G$4000=Categorieën!$L$1,0,1)*KBCCompData!$E$2:$E$4000)</f>
        <v>0</v>
      </c>
      <c r="D61" s="11">
        <f ca="1">SUM(IF(MONTH(KBCCompData!$C$2:$C$4000)=MONTH(KBCCompSamenv!$A61),1,0)*IF(YEAR(KBCCompData!$C$2:$C$4000)=YEAR(KBCCompSamenv!$A61),1,0)*IF(KBCCompData!$E$2:$E$4000&gt;0,1,0)*KBCCompData!$E$2:$E$4000)</f>
        <v>0</v>
      </c>
      <c r="E61" s="11">
        <f t="array" aca="1" ref="E61" ca="1">SUM(IF(MONTH(KBCCompData!$C$2:$C$4000)=MONTH(KBCCompSamenv!$A61),1,0)*IF(YEAR(KBCCompData!$C$2:$C$4000)=YEAR(KBCCompSamenv!$A61),1,0)*IF(KBCCompData!$G$2:$G$4000=E$1,1,0)*KBCCompData!$E$2:$E$4000)+SUM(IF(MONTH(CrelanData!$A$2:$A$4000)=MONTH(KBCCompSamenv!$A62),1,0)*IF(YEAR(CrelanData!$A$2:$A$4000)=YEAR(KBCCompSamenv!$A62),1,0)*IF(CrelanData!$H$2:$H$4000=Categorieën!$B$1,1,0)*CrelanData!$B$2:$B$4000)</f>
        <v>0</v>
      </c>
      <c r="F61" s="11">
        <f t="array" aca="1" ref="F61" ca="1">SUM(IF(MONTH(KBCCompData!$C$2:$C$4000)=MONTH(KBCCompSamenv!$A61),1,0)*IF(YEAR(KBCCompData!$C$2:$C$4000)=YEAR(KBCCompSamenv!$A61),1,0)*IF(KBCCompData!$G$2:$G$4000=F$1,1,0)*KBCCompData!$E$2:$E$4000)+SUM(IF(MONTH(CrelanData!$A$2:$A$4000)=MONTH(KBCCompSamenv!$A62),1,0)*IF(YEAR(CrelanData!$A$2:$A$4000)=YEAR(KBCCompSamenv!$A62),1,0)*IF(CrelanData!$H$2:$H$4000=Categorieën!$B$1,1,0)*CrelanData!$B$2:$B$4000)</f>
        <v>0</v>
      </c>
      <c r="G61" s="11">
        <f t="array" aca="1" ref="G61" ca="1">SUM(IF(MONTH(KBCCompData!$C$2:$C$4000)=MONTH(KBCCompSamenv!$A61),1,0)*IF(YEAR(KBCCompData!$C$2:$C$4000)=YEAR(KBCCompSamenv!$A61),1,0)*IF(KBCCompData!$G$2:$G$4000=G$1,1,0)*KBCCompData!$E$2:$E$4000)+SUM(IF(MONTH(CrelanData!$A$2:$A$4000)=MONTH(KBCCompSamenv!$A62),1,0)*IF(YEAR(CrelanData!$A$2:$A$4000)=YEAR(KBCCompSamenv!$A62),1,0)*IF(CrelanData!$H$2:$H$4000=Categorieën!$B$1,1,0)*CrelanData!$B$2:$B$4000)</f>
        <v>0</v>
      </c>
      <c r="H61" s="5">
        <f ca="1">KBCSpaarrekSamenv!D39</f>
        <v>0</v>
      </c>
    </row>
    <row r="62" spans="1:8" outlineLevel="1">
      <c r="A62" s="10">
        <v>38261</v>
      </c>
      <c r="B62" s="5">
        <f t="array" aca="1" ref="B62" ca="1">SUM((IF(MONTH(KBCCompData!$C$2:$C$4000)=MONTH(KBCCompSamenv!$A62),1,0))*(IF(YEAR(KBCCompData!$C$2:$C$4000)=YEAR(KBCCompSamenv!$A62),1,0))*(IF(KBCCompData!$E$2:$E$4000&lt;0,1,0))*KBCCompData!$E$2:$E$4000)</f>
        <v>0</v>
      </c>
      <c r="C62" s="11">
        <f t="array" aca="1" ref="C62" ca="1">SUM(IF(MONTH(KBCCompData!$C$2:$C$4000)=MONTH(KBCCompSamenv!$A62),1,0)*IF(YEAR(KBCCompData!$C$2:$C$4000)=YEAR(KBCCompSamenv!$A62),1,0)*IF(KBCCompData!$E$2:$E$4000&lt;0,1,0)*IF(KBCCompData!$G$2:$G$4000=Categorieën!$E$1,0,1)*IF(KBCCompData!$G$2:$G$4000=Categorieën!$F$1,0,1)*IF(KBCCompData!$G$2:$G$4000=Categorieën!$L$1,0,1)*KBCCompData!$E$2:$E$4000)</f>
        <v>0</v>
      </c>
      <c r="D62" s="11">
        <f ca="1">SUM(IF(MONTH(KBCCompData!$C$2:$C$4000)=MONTH(KBCCompSamenv!$A62),1,0)*IF(YEAR(KBCCompData!$C$2:$C$4000)=YEAR(KBCCompSamenv!$A62),1,0)*IF(KBCCompData!$E$2:$E$4000&gt;0,1,0)*KBCCompData!$E$2:$E$4000)</f>
        <v>0</v>
      </c>
      <c r="E62" s="11">
        <f t="array" aca="1" ref="E62" ca="1">SUM(IF(MONTH(KBCCompData!$C$2:$C$4000)=MONTH(KBCCompSamenv!$A62),1,0)*IF(YEAR(KBCCompData!$C$2:$C$4000)=YEAR(KBCCompSamenv!$A62),1,0)*IF(KBCCompData!$G$2:$G$4000=E$1,1,0)*KBCCompData!$E$2:$E$4000)+SUM(IF(MONTH(CrelanData!$A$2:$A$4000)=MONTH(KBCCompSamenv!$A63),1,0)*IF(YEAR(CrelanData!$A$2:$A$4000)=YEAR(KBCCompSamenv!$A63),1,0)*IF(CrelanData!$H$2:$H$4000=Categorieën!$B$1,1,0)*CrelanData!$B$2:$B$4000)</f>
        <v>0</v>
      </c>
      <c r="F62" s="11">
        <f t="array" aca="1" ref="F62" ca="1">SUM(IF(MONTH(KBCCompData!$C$2:$C$4000)=MONTH(KBCCompSamenv!$A62),1,0)*IF(YEAR(KBCCompData!$C$2:$C$4000)=YEAR(KBCCompSamenv!$A62),1,0)*IF(KBCCompData!$G$2:$G$4000=F$1,1,0)*KBCCompData!$E$2:$E$4000)+SUM(IF(MONTH(CrelanData!$A$2:$A$4000)=MONTH(KBCCompSamenv!$A63),1,0)*IF(YEAR(CrelanData!$A$2:$A$4000)=YEAR(KBCCompSamenv!$A63),1,0)*IF(CrelanData!$H$2:$H$4000=Categorieën!$B$1,1,0)*CrelanData!$B$2:$B$4000)</f>
        <v>0</v>
      </c>
      <c r="G62" s="11">
        <f t="array" aca="1" ref="G62" ca="1">SUM(IF(MONTH(KBCCompData!$C$2:$C$4000)=MONTH(KBCCompSamenv!$A62),1,0)*IF(YEAR(KBCCompData!$C$2:$C$4000)=YEAR(KBCCompSamenv!$A62),1,0)*IF(KBCCompData!$G$2:$G$4000=G$1,1,0)*KBCCompData!$E$2:$E$4000)+SUM(IF(MONTH(CrelanData!$A$2:$A$4000)=MONTH(KBCCompSamenv!$A63),1,0)*IF(YEAR(CrelanData!$A$2:$A$4000)=YEAR(KBCCompSamenv!$A63),1,0)*IF(CrelanData!$H$2:$H$4000=Categorieën!$B$1,1,0)*CrelanData!$B$2:$B$4000)</f>
        <v>0</v>
      </c>
      <c r="H62" s="5">
        <f ca="1">KBCSpaarrekSamenv!D40</f>
        <v>0</v>
      </c>
    </row>
    <row r="63" spans="1:8" outlineLevel="1">
      <c r="A63" s="10">
        <v>38292</v>
      </c>
      <c r="B63" s="5">
        <f t="array" aca="1" ref="B63" ca="1">SUM((IF(MONTH(KBCCompData!$C$2:$C$4000)=MONTH(KBCCompSamenv!$A63),1,0))*(IF(YEAR(KBCCompData!$C$2:$C$4000)=YEAR(KBCCompSamenv!$A63),1,0))*(IF(KBCCompData!$E$2:$E$4000&lt;0,1,0))*KBCCompData!$E$2:$E$4000)</f>
        <v>0</v>
      </c>
      <c r="C63" s="11">
        <f t="array" aca="1" ref="C63" ca="1">SUM(IF(MONTH(KBCCompData!$C$2:$C$4000)=MONTH(KBCCompSamenv!$A63),1,0)*IF(YEAR(KBCCompData!$C$2:$C$4000)=YEAR(KBCCompSamenv!$A63),1,0)*IF(KBCCompData!$E$2:$E$4000&lt;0,1,0)*IF(KBCCompData!$G$2:$G$4000=Categorieën!$E$1,0,1)*IF(KBCCompData!$G$2:$G$4000=Categorieën!$F$1,0,1)*IF(KBCCompData!$G$2:$G$4000=Categorieën!$L$1,0,1)*KBCCompData!$E$2:$E$4000)</f>
        <v>0</v>
      </c>
      <c r="D63" s="11">
        <f ca="1">SUM(IF(MONTH(KBCCompData!$C$2:$C$4000)=MONTH(KBCCompSamenv!$A63),1,0)*IF(YEAR(KBCCompData!$C$2:$C$4000)=YEAR(KBCCompSamenv!$A63),1,0)*IF(KBCCompData!$E$2:$E$4000&gt;0,1,0)*KBCCompData!$E$2:$E$4000)</f>
        <v>0</v>
      </c>
      <c r="E63" s="11">
        <f t="array" aca="1" ref="E63" ca="1">SUM(IF(MONTH(KBCCompData!$C$2:$C$4000)=MONTH(KBCCompSamenv!$A63),1,0)*IF(YEAR(KBCCompData!$C$2:$C$4000)=YEAR(KBCCompSamenv!$A63),1,0)*IF(KBCCompData!$G$2:$G$4000=E$1,1,0)*KBCCompData!$E$2:$E$4000)+SUM(IF(MONTH(CrelanData!$A$2:$A$4000)=MONTH(KBCCompSamenv!$A64),1,0)*IF(YEAR(CrelanData!$A$2:$A$4000)=YEAR(KBCCompSamenv!$A64),1,0)*IF(CrelanData!$H$2:$H$4000=Categorieën!$B$1,1,0)*CrelanData!$B$2:$B$4000)</f>
        <v>0</v>
      </c>
      <c r="F63" s="11">
        <f t="array" aca="1" ref="F63" ca="1">SUM(IF(MONTH(KBCCompData!$C$2:$C$4000)=MONTH(KBCCompSamenv!$A63),1,0)*IF(YEAR(KBCCompData!$C$2:$C$4000)=YEAR(KBCCompSamenv!$A63),1,0)*IF(KBCCompData!$G$2:$G$4000=F$1,1,0)*KBCCompData!$E$2:$E$4000)+SUM(IF(MONTH(CrelanData!$A$2:$A$4000)=MONTH(KBCCompSamenv!$A64),1,0)*IF(YEAR(CrelanData!$A$2:$A$4000)=YEAR(KBCCompSamenv!$A64),1,0)*IF(CrelanData!$H$2:$H$4000=Categorieën!$B$1,1,0)*CrelanData!$B$2:$B$4000)</f>
        <v>0</v>
      </c>
      <c r="G63" s="11">
        <f t="array" aca="1" ref="G63" ca="1">SUM(IF(MONTH(KBCCompData!$C$2:$C$4000)=MONTH(KBCCompSamenv!$A63),1,0)*IF(YEAR(KBCCompData!$C$2:$C$4000)=YEAR(KBCCompSamenv!$A63),1,0)*IF(KBCCompData!$G$2:$G$4000=G$1,1,0)*KBCCompData!$E$2:$E$4000)+SUM(IF(MONTH(CrelanData!$A$2:$A$4000)=MONTH(KBCCompSamenv!$A64),1,0)*IF(YEAR(CrelanData!$A$2:$A$4000)=YEAR(KBCCompSamenv!$A64),1,0)*IF(CrelanData!$H$2:$H$4000=Categorieën!$B$1,1,0)*CrelanData!$B$2:$B$4000)</f>
        <v>0</v>
      </c>
      <c r="H63" s="5">
        <f ca="1">KBCSpaarrekSamenv!D41</f>
        <v>0</v>
      </c>
    </row>
    <row r="64" spans="1:8">
      <c r="A64" s="10">
        <v>38322</v>
      </c>
      <c r="B64" s="5">
        <f t="array" aca="1" ref="B64" ca="1">SUM((IF(MONTH(KBCCompData!$C$2:$C$4000)=MONTH(KBCCompSamenv!$A64),1,0))*(IF(YEAR(KBCCompData!$C$2:$C$4000)=YEAR(KBCCompSamenv!$A64),1,0))*(IF(KBCCompData!$E$2:$E$4000&lt;0,1,0))*KBCCompData!$E$2:$E$4000)</f>
        <v>0</v>
      </c>
      <c r="C64" s="11">
        <f t="array" aca="1" ref="C64" ca="1">SUM(IF(MONTH(KBCCompData!$C$2:$C$4000)=MONTH(KBCCompSamenv!$A64),1,0)*IF(YEAR(KBCCompData!$C$2:$C$4000)=YEAR(KBCCompSamenv!$A64),1,0)*IF(KBCCompData!$E$2:$E$4000&lt;0,1,0)*IF(KBCCompData!$G$2:$G$4000=Categorieën!$E$1,0,1)*IF(KBCCompData!$G$2:$G$4000=Categorieën!$F$1,0,1)*IF(KBCCompData!$G$2:$G$4000=Categorieën!$L$1,0,1)*KBCCompData!$E$2:$E$4000)</f>
        <v>0</v>
      </c>
      <c r="D64" s="11">
        <f ca="1">SUM(IF(MONTH(KBCCompData!$C$2:$C$4000)=MONTH(KBCCompSamenv!$A64),1,0)*IF(YEAR(KBCCompData!$C$2:$C$4000)=YEAR(KBCCompSamenv!$A64),1,0)*IF(KBCCompData!$E$2:$E$4000&gt;0,1,0)*KBCCompData!$E$2:$E$4000)</f>
        <v>0</v>
      </c>
      <c r="E64" s="11">
        <f t="array" aca="1" ref="E64" ca="1">SUM(IF(MONTH(KBCCompData!$C$2:$C$4000)=MONTH(KBCCompSamenv!$A64),1,0)*IF(YEAR(KBCCompData!$C$2:$C$4000)=YEAR(KBCCompSamenv!$A64),1,0)*IF(KBCCompData!$G$2:$G$4000=E$1,1,0)*KBCCompData!$E$2:$E$4000)+SUM(IF(MONTH(CrelanData!$A$2:$A$4000)=MONTH(KBCCompSamenv!$A65),1,0)*IF(YEAR(CrelanData!$A$2:$A$4000)=YEAR(KBCCompSamenv!$A65),1,0)*IF(CrelanData!$H$2:$H$4000=Categorieën!$B$1,1,0)*CrelanData!$B$2:$B$4000)</f>
        <v>0</v>
      </c>
      <c r="F64" s="11">
        <f t="array" aca="1" ref="F64" ca="1">SUM(IF(MONTH(KBCCompData!$C$2:$C$4000)=MONTH(KBCCompSamenv!$A64),1,0)*IF(YEAR(KBCCompData!$C$2:$C$4000)=YEAR(KBCCompSamenv!$A64),1,0)*IF(KBCCompData!$G$2:$G$4000=F$1,1,0)*KBCCompData!$E$2:$E$4000)+SUM(IF(MONTH(CrelanData!$A$2:$A$4000)=MONTH(KBCCompSamenv!$A65),1,0)*IF(YEAR(CrelanData!$A$2:$A$4000)=YEAR(KBCCompSamenv!$A65),1,0)*IF(CrelanData!$H$2:$H$4000=Categorieën!$B$1,1,0)*CrelanData!$B$2:$B$4000)</f>
        <v>0</v>
      </c>
      <c r="G64" s="11">
        <f t="array" aca="1" ref="G64" ca="1">SUM(IF(MONTH(KBCCompData!$C$2:$C$4000)=MONTH(KBCCompSamenv!$A64),1,0)*IF(YEAR(KBCCompData!$C$2:$C$4000)=YEAR(KBCCompSamenv!$A64),1,0)*IF(KBCCompData!$G$2:$G$4000=G$1,1,0)*KBCCompData!$E$2:$E$4000)+SUM(IF(MONTH(CrelanData!$A$2:$A$4000)=MONTH(KBCCompSamenv!$A65),1,0)*IF(YEAR(CrelanData!$A$2:$A$4000)=YEAR(KBCCompSamenv!$A65),1,0)*IF(CrelanData!$H$2:$H$4000=Categorieën!$B$1,1,0)*CrelanData!$B$2:$B$4000)</f>
        <v>0</v>
      </c>
      <c r="H64" s="5">
        <f ca="1">KBCSpaarrekSamenv!D42</f>
        <v>0</v>
      </c>
    </row>
    <row r="65" spans="1:8" outlineLevel="1">
      <c r="A65" s="10">
        <v>38353</v>
      </c>
      <c r="B65" s="5">
        <f t="array" aca="1" ref="B65" ca="1">SUM((IF(MONTH(KBCCompData!$C$2:$C$4000)=MONTH(KBCCompSamenv!$A65),1,0))*(IF(YEAR(KBCCompData!$C$2:$C$4000)=YEAR(KBCCompSamenv!$A65),1,0))*(IF(KBCCompData!$E$2:$E$4000&lt;0,1,0))*KBCCompData!$E$2:$E$4000)</f>
        <v>0</v>
      </c>
      <c r="C65" s="11">
        <f t="array" aca="1" ref="C65" ca="1">SUM(IF(MONTH(KBCCompData!$C$2:$C$4000)=MONTH(KBCCompSamenv!$A65),1,0)*IF(YEAR(KBCCompData!$C$2:$C$4000)=YEAR(KBCCompSamenv!$A65),1,0)*IF(KBCCompData!$E$2:$E$4000&lt;0,1,0)*IF(KBCCompData!$G$2:$G$4000=Categorieën!$E$1,0,1)*IF(KBCCompData!$G$2:$G$4000=Categorieën!$F$1,0,1)*IF(KBCCompData!$G$2:$G$4000=Categorieën!$L$1,0,1)*KBCCompData!$E$2:$E$4000)</f>
        <v>0</v>
      </c>
      <c r="D65" s="11">
        <f ca="1">SUM(IF(MONTH(KBCCompData!$C$2:$C$4000)=MONTH(KBCCompSamenv!$A65),1,0)*IF(YEAR(KBCCompData!$C$2:$C$4000)=YEAR(KBCCompSamenv!$A65),1,0)*IF(KBCCompData!$E$2:$E$4000&gt;0,1,0)*KBCCompData!$E$2:$E$4000)</f>
        <v>0</v>
      </c>
      <c r="E65" s="11">
        <f t="array" aca="1" ref="E65" ca="1">SUM(IF(MONTH(KBCCompData!$C$2:$C$4000)=MONTH(KBCCompSamenv!$A65),1,0)*IF(YEAR(KBCCompData!$C$2:$C$4000)=YEAR(KBCCompSamenv!$A65),1,0)*IF(KBCCompData!$G$2:$G$4000=E$1,1,0)*KBCCompData!$E$2:$E$4000)+SUM(IF(MONTH(CrelanData!$A$2:$A$4000)=MONTH(KBCCompSamenv!$A66),1,0)*IF(YEAR(CrelanData!$A$2:$A$4000)=YEAR(KBCCompSamenv!$A66),1,0)*IF(CrelanData!$H$2:$H$4000=Categorieën!$B$1,1,0)*CrelanData!$B$2:$B$4000)</f>
        <v>0</v>
      </c>
      <c r="F65" s="11">
        <f t="array" aca="1" ref="F65" ca="1">SUM(IF(MONTH(KBCCompData!$C$2:$C$4000)=MONTH(KBCCompSamenv!$A65),1,0)*IF(YEAR(KBCCompData!$C$2:$C$4000)=YEAR(KBCCompSamenv!$A65),1,0)*IF(KBCCompData!$G$2:$G$4000=F$1,1,0)*KBCCompData!$E$2:$E$4000)+SUM(IF(MONTH(CrelanData!$A$2:$A$4000)=MONTH(KBCCompSamenv!$A66),1,0)*IF(YEAR(CrelanData!$A$2:$A$4000)=YEAR(KBCCompSamenv!$A66),1,0)*IF(CrelanData!$H$2:$H$4000=Categorieën!$B$1,1,0)*CrelanData!$B$2:$B$4000)</f>
        <v>0</v>
      </c>
      <c r="G65" s="11">
        <f t="array" aca="1" ref="G65" ca="1">SUM(IF(MONTH(KBCCompData!$C$2:$C$4000)=MONTH(KBCCompSamenv!$A65),1,0)*IF(YEAR(KBCCompData!$C$2:$C$4000)=YEAR(KBCCompSamenv!$A65),1,0)*IF(KBCCompData!$G$2:$G$4000=G$1,1,0)*KBCCompData!$E$2:$E$4000)+SUM(IF(MONTH(CrelanData!$A$2:$A$4000)=MONTH(KBCCompSamenv!$A66),1,0)*IF(YEAR(CrelanData!$A$2:$A$4000)=YEAR(KBCCompSamenv!$A66),1,0)*IF(CrelanData!$H$2:$H$4000=Categorieën!$B$1,1,0)*CrelanData!$B$2:$B$4000)</f>
        <v>0</v>
      </c>
      <c r="H65" s="5">
        <f ca="1">KBCSpaarrekSamenv!D43</f>
        <v>0</v>
      </c>
    </row>
    <row r="66" spans="1:8" outlineLevel="1">
      <c r="A66" s="10">
        <v>38384</v>
      </c>
      <c r="B66" s="5">
        <f t="array" aca="1" ref="B66" ca="1">SUM((IF(MONTH(KBCCompData!$C$2:$C$4000)=MONTH(KBCCompSamenv!$A66),1,0))*(IF(YEAR(KBCCompData!$C$2:$C$4000)=YEAR(KBCCompSamenv!$A66),1,0))*(IF(KBCCompData!$E$2:$E$4000&lt;0,1,0))*KBCCompData!$E$2:$E$4000)</f>
        <v>0</v>
      </c>
      <c r="C66" s="11">
        <f t="array" aca="1" ref="C66" ca="1">SUM(IF(MONTH(KBCCompData!$C$2:$C$4000)=MONTH(KBCCompSamenv!$A66),1,0)*IF(YEAR(KBCCompData!$C$2:$C$4000)=YEAR(KBCCompSamenv!$A66),1,0)*IF(KBCCompData!$E$2:$E$4000&lt;0,1,0)*IF(KBCCompData!$G$2:$G$4000=Categorieën!$E$1,0,1)*IF(KBCCompData!$G$2:$G$4000=Categorieën!$F$1,0,1)*IF(KBCCompData!$G$2:$G$4000=Categorieën!$L$1,0,1)*KBCCompData!$E$2:$E$4000)</f>
        <v>0</v>
      </c>
      <c r="D66" s="11">
        <f ca="1">SUM(IF(MONTH(KBCCompData!$C$2:$C$4000)=MONTH(KBCCompSamenv!$A66),1,0)*IF(YEAR(KBCCompData!$C$2:$C$4000)=YEAR(KBCCompSamenv!$A66),1,0)*IF(KBCCompData!$E$2:$E$4000&gt;0,1,0)*KBCCompData!$E$2:$E$4000)</f>
        <v>0</v>
      </c>
      <c r="E66" s="11">
        <f t="array" aca="1" ref="E66" ca="1">SUM(IF(MONTH(KBCCompData!$C$2:$C$4000)=MONTH(KBCCompSamenv!$A66),1,0)*IF(YEAR(KBCCompData!$C$2:$C$4000)=YEAR(KBCCompSamenv!$A66),1,0)*IF(KBCCompData!$G$2:$G$4000=E$1,1,0)*KBCCompData!$E$2:$E$4000)+SUM(IF(MONTH(CrelanData!$A$2:$A$4000)=MONTH(KBCCompSamenv!$A67),1,0)*IF(YEAR(CrelanData!$A$2:$A$4000)=YEAR(KBCCompSamenv!$A67),1,0)*IF(CrelanData!$H$2:$H$4000=Categorieën!$B$1,1,0)*CrelanData!$B$2:$B$4000)</f>
        <v>0</v>
      </c>
      <c r="F66" s="11">
        <f t="array" aca="1" ref="F66" ca="1">SUM(IF(MONTH(KBCCompData!$C$2:$C$4000)=MONTH(KBCCompSamenv!$A66),1,0)*IF(YEAR(KBCCompData!$C$2:$C$4000)=YEAR(KBCCompSamenv!$A66),1,0)*IF(KBCCompData!$G$2:$G$4000=F$1,1,0)*KBCCompData!$E$2:$E$4000)+SUM(IF(MONTH(CrelanData!$A$2:$A$4000)=MONTH(KBCCompSamenv!$A67),1,0)*IF(YEAR(CrelanData!$A$2:$A$4000)=YEAR(KBCCompSamenv!$A67),1,0)*IF(CrelanData!$H$2:$H$4000=Categorieën!$B$1,1,0)*CrelanData!$B$2:$B$4000)</f>
        <v>0</v>
      </c>
      <c r="G66" s="11">
        <f t="array" aca="1" ref="G66" ca="1">SUM(IF(MONTH(KBCCompData!$C$2:$C$4000)=MONTH(KBCCompSamenv!$A66),1,0)*IF(YEAR(KBCCompData!$C$2:$C$4000)=YEAR(KBCCompSamenv!$A66),1,0)*IF(KBCCompData!$G$2:$G$4000=G$1,1,0)*KBCCompData!$E$2:$E$4000)+SUM(IF(MONTH(CrelanData!$A$2:$A$4000)=MONTH(KBCCompSamenv!$A67),1,0)*IF(YEAR(CrelanData!$A$2:$A$4000)=YEAR(KBCCompSamenv!$A67),1,0)*IF(CrelanData!$H$2:$H$4000=Categorieën!$B$1,1,0)*CrelanData!$B$2:$B$4000)</f>
        <v>0</v>
      </c>
      <c r="H66" s="5">
        <f ca="1">KBCSpaarrekSamenv!D44</f>
        <v>0</v>
      </c>
    </row>
    <row r="67" spans="1:8" outlineLevel="1">
      <c r="A67" s="10">
        <v>38412</v>
      </c>
      <c r="B67" s="5">
        <f t="array" aca="1" ref="B67" ca="1">SUM((IF(MONTH(KBCCompData!$C$2:$C$4000)=MONTH(KBCCompSamenv!$A67),1,0))*(IF(YEAR(KBCCompData!$C$2:$C$4000)=YEAR(KBCCompSamenv!$A67),1,0))*(IF(KBCCompData!$E$2:$E$4000&lt;0,1,0))*KBCCompData!$E$2:$E$4000)</f>
        <v>0</v>
      </c>
      <c r="C67" s="11">
        <f t="array" aca="1" ref="C67" ca="1">SUM(IF(MONTH(KBCCompData!$C$2:$C$4000)=MONTH(KBCCompSamenv!$A67),1,0)*IF(YEAR(KBCCompData!$C$2:$C$4000)=YEAR(KBCCompSamenv!$A67),1,0)*IF(KBCCompData!$E$2:$E$4000&lt;0,1,0)*IF(KBCCompData!$G$2:$G$4000=Categorieën!$E$1,0,1)*IF(KBCCompData!$G$2:$G$4000=Categorieën!$F$1,0,1)*IF(KBCCompData!$G$2:$G$4000=Categorieën!$L$1,0,1)*KBCCompData!$E$2:$E$4000)</f>
        <v>0</v>
      </c>
      <c r="D67" s="11">
        <f ca="1">SUM(IF(MONTH(KBCCompData!$C$2:$C$4000)=MONTH(KBCCompSamenv!$A67),1,0)*IF(YEAR(KBCCompData!$C$2:$C$4000)=YEAR(KBCCompSamenv!$A67),1,0)*IF(KBCCompData!$E$2:$E$4000&gt;0,1,0)*KBCCompData!$E$2:$E$4000)</f>
        <v>0</v>
      </c>
      <c r="E67" s="11">
        <f t="array" aca="1" ref="E67" ca="1">SUM(IF(MONTH(KBCCompData!$C$2:$C$4000)=MONTH(KBCCompSamenv!$A67),1,0)*IF(YEAR(KBCCompData!$C$2:$C$4000)=YEAR(KBCCompSamenv!$A67),1,0)*IF(KBCCompData!$G$2:$G$4000=E$1,1,0)*KBCCompData!$E$2:$E$4000)+SUM(IF(MONTH(CrelanData!$A$2:$A$4000)=MONTH(KBCCompSamenv!$A68),1,0)*IF(YEAR(CrelanData!$A$2:$A$4000)=YEAR(KBCCompSamenv!$A68),1,0)*IF(CrelanData!$H$2:$H$4000=Categorieën!$B$1,1,0)*CrelanData!$B$2:$B$4000)</f>
        <v>0</v>
      </c>
      <c r="F67" s="11">
        <f t="array" aca="1" ref="F67" ca="1">SUM(IF(MONTH(KBCCompData!$C$2:$C$4000)=MONTH(KBCCompSamenv!$A67),1,0)*IF(YEAR(KBCCompData!$C$2:$C$4000)=YEAR(KBCCompSamenv!$A67),1,0)*IF(KBCCompData!$G$2:$G$4000=F$1,1,0)*KBCCompData!$E$2:$E$4000)+SUM(IF(MONTH(CrelanData!$A$2:$A$4000)=MONTH(KBCCompSamenv!$A68),1,0)*IF(YEAR(CrelanData!$A$2:$A$4000)=YEAR(KBCCompSamenv!$A68),1,0)*IF(CrelanData!$H$2:$H$4000=Categorieën!$B$1,1,0)*CrelanData!$B$2:$B$4000)</f>
        <v>0</v>
      </c>
      <c r="G67" s="11">
        <f t="array" aca="1" ref="G67" ca="1">SUM(IF(MONTH(KBCCompData!$C$2:$C$4000)=MONTH(KBCCompSamenv!$A67),1,0)*IF(YEAR(KBCCompData!$C$2:$C$4000)=YEAR(KBCCompSamenv!$A67),1,0)*IF(KBCCompData!$G$2:$G$4000=G$1,1,0)*KBCCompData!$E$2:$E$4000)+SUM(IF(MONTH(CrelanData!$A$2:$A$4000)=MONTH(KBCCompSamenv!$A68),1,0)*IF(YEAR(CrelanData!$A$2:$A$4000)=YEAR(KBCCompSamenv!$A68),1,0)*IF(CrelanData!$H$2:$H$4000=Categorieën!$B$1,1,0)*CrelanData!$B$2:$B$4000)</f>
        <v>0</v>
      </c>
      <c r="H67" s="5">
        <f ca="1">KBCSpaarrekSamenv!D45</f>
        <v>0</v>
      </c>
    </row>
    <row r="68" spans="1:8" outlineLevel="1">
      <c r="A68" s="10">
        <v>38443</v>
      </c>
      <c r="B68" s="5">
        <f t="array" aca="1" ref="B68" ca="1">SUM((IF(MONTH(KBCCompData!$C$2:$C$4000)=MONTH(KBCCompSamenv!$A68),1,0))*(IF(YEAR(KBCCompData!$C$2:$C$4000)=YEAR(KBCCompSamenv!$A68),1,0))*(IF(KBCCompData!$E$2:$E$4000&lt;0,1,0))*KBCCompData!$E$2:$E$4000)</f>
        <v>0</v>
      </c>
      <c r="C68" s="11">
        <f t="array" aca="1" ref="C68" ca="1">SUM(IF(MONTH(KBCCompData!$C$2:$C$4000)=MONTH(KBCCompSamenv!$A68),1,0)*IF(YEAR(KBCCompData!$C$2:$C$4000)=YEAR(KBCCompSamenv!$A68),1,0)*IF(KBCCompData!$E$2:$E$4000&lt;0,1,0)*IF(KBCCompData!$G$2:$G$4000=Categorieën!$E$1,0,1)*IF(KBCCompData!$G$2:$G$4000=Categorieën!$F$1,0,1)*IF(KBCCompData!$G$2:$G$4000=Categorieën!$L$1,0,1)*KBCCompData!$E$2:$E$4000)</f>
        <v>0</v>
      </c>
      <c r="D68" s="11">
        <f ca="1">SUM(IF(MONTH(KBCCompData!$C$2:$C$4000)=MONTH(KBCCompSamenv!$A68),1,0)*IF(YEAR(KBCCompData!$C$2:$C$4000)=YEAR(KBCCompSamenv!$A68),1,0)*IF(KBCCompData!$E$2:$E$4000&gt;0,1,0)*KBCCompData!$E$2:$E$4000)</f>
        <v>0</v>
      </c>
      <c r="E68" s="11">
        <f t="array" aca="1" ref="E68" ca="1">SUM(IF(MONTH(KBCCompData!$C$2:$C$4000)=MONTH(KBCCompSamenv!$A68),1,0)*IF(YEAR(KBCCompData!$C$2:$C$4000)=YEAR(KBCCompSamenv!$A68),1,0)*IF(KBCCompData!$G$2:$G$4000=E$1,1,0)*KBCCompData!$E$2:$E$4000)+SUM(IF(MONTH(CrelanData!$A$2:$A$4000)=MONTH(KBCCompSamenv!$A69),1,0)*IF(YEAR(CrelanData!$A$2:$A$4000)=YEAR(KBCCompSamenv!$A69),1,0)*IF(CrelanData!$H$2:$H$4000=Categorieën!$B$1,1,0)*CrelanData!$B$2:$B$4000)</f>
        <v>0</v>
      </c>
      <c r="F68" s="11">
        <f t="array" aca="1" ref="F68" ca="1">SUM(IF(MONTH(KBCCompData!$C$2:$C$4000)=MONTH(KBCCompSamenv!$A68),1,0)*IF(YEAR(KBCCompData!$C$2:$C$4000)=YEAR(KBCCompSamenv!$A68),1,0)*IF(KBCCompData!$G$2:$G$4000=F$1,1,0)*KBCCompData!$E$2:$E$4000)+SUM(IF(MONTH(CrelanData!$A$2:$A$4000)=MONTH(KBCCompSamenv!$A69),1,0)*IF(YEAR(CrelanData!$A$2:$A$4000)=YEAR(KBCCompSamenv!$A69),1,0)*IF(CrelanData!$H$2:$H$4000=Categorieën!$B$1,1,0)*CrelanData!$B$2:$B$4000)</f>
        <v>0</v>
      </c>
      <c r="G68" s="11">
        <f t="array" aca="1" ref="G68" ca="1">SUM(IF(MONTH(KBCCompData!$C$2:$C$4000)=MONTH(KBCCompSamenv!$A68),1,0)*IF(YEAR(KBCCompData!$C$2:$C$4000)=YEAR(KBCCompSamenv!$A68),1,0)*IF(KBCCompData!$G$2:$G$4000=G$1,1,0)*KBCCompData!$E$2:$E$4000)+SUM(IF(MONTH(CrelanData!$A$2:$A$4000)=MONTH(KBCCompSamenv!$A69),1,0)*IF(YEAR(CrelanData!$A$2:$A$4000)=YEAR(KBCCompSamenv!$A69),1,0)*IF(CrelanData!$H$2:$H$4000=Categorieën!$B$1,1,0)*CrelanData!$B$2:$B$4000)</f>
        <v>0</v>
      </c>
      <c r="H68" s="5">
        <f ca="1">KBCSpaarrekSamenv!D46</f>
        <v>0</v>
      </c>
    </row>
    <row r="69" spans="1:8" outlineLevel="1">
      <c r="A69" s="10">
        <v>38473</v>
      </c>
      <c r="B69" s="5">
        <f t="array" aca="1" ref="B69" ca="1">SUM((IF(MONTH(KBCCompData!$C$2:$C$4000)=MONTH(KBCCompSamenv!$A69),1,0))*(IF(YEAR(KBCCompData!$C$2:$C$4000)=YEAR(KBCCompSamenv!$A69),1,0))*(IF(KBCCompData!$E$2:$E$4000&lt;0,1,0))*KBCCompData!$E$2:$E$4000)</f>
        <v>0</v>
      </c>
      <c r="C69" s="11">
        <f t="array" aca="1" ref="C69" ca="1">SUM(IF(MONTH(KBCCompData!$C$2:$C$4000)=MONTH(KBCCompSamenv!$A69),1,0)*IF(YEAR(KBCCompData!$C$2:$C$4000)=YEAR(KBCCompSamenv!$A69),1,0)*IF(KBCCompData!$E$2:$E$4000&lt;0,1,0)*IF(KBCCompData!$G$2:$G$4000=Categorieën!$E$1,0,1)*IF(KBCCompData!$G$2:$G$4000=Categorieën!$F$1,0,1)*IF(KBCCompData!$G$2:$G$4000=Categorieën!$L$1,0,1)*KBCCompData!$E$2:$E$4000)</f>
        <v>0</v>
      </c>
      <c r="D69" s="11">
        <f ca="1">SUM(IF(MONTH(KBCCompData!$C$2:$C$4000)=MONTH(KBCCompSamenv!$A69),1,0)*IF(YEAR(KBCCompData!$C$2:$C$4000)=YEAR(KBCCompSamenv!$A69),1,0)*IF(KBCCompData!$E$2:$E$4000&gt;0,1,0)*KBCCompData!$E$2:$E$4000)</f>
        <v>0</v>
      </c>
      <c r="E69" s="11">
        <f t="array" aca="1" ref="E69" ca="1">SUM(IF(MONTH(KBCCompData!$C$2:$C$4000)=MONTH(KBCCompSamenv!$A69),1,0)*IF(YEAR(KBCCompData!$C$2:$C$4000)=YEAR(KBCCompSamenv!$A69),1,0)*IF(KBCCompData!$G$2:$G$4000=E$1,1,0)*KBCCompData!$E$2:$E$4000)+SUM(IF(MONTH(CrelanData!$A$2:$A$4000)=MONTH(KBCCompSamenv!$A70),1,0)*IF(YEAR(CrelanData!$A$2:$A$4000)=YEAR(KBCCompSamenv!$A70),1,0)*IF(CrelanData!$H$2:$H$4000=Categorieën!$B$1,1,0)*CrelanData!$B$2:$B$4000)</f>
        <v>0</v>
      </c>
      <c r="F69" s="11">
        <f t="array" aca="1" ref="F69" ca="1">SUM(IF(MONTH(KBCCompData!$C$2:$C$4000)=MONTH(KBCCompSamenv!$A69),1,0)*IF(YEAR(KBCCompData!$C$2:$C$4000)=YEAR(KBCCompSamenv!$A69),1,0)*IF(KBCCompData!$G$2:$G$4000=F$1,1,0)*KBCCompData!$E$2:$E$4000)+SUM(IF(MONTH(CrelanData!$A$2:$A$4000)=MONTH(KBCCompSamenv!$A70),1,0)*IF(YEAR(CrelanData!$A$2:$A$4000)=YEAR(KBCCompSamenv!$A70),1,0)*IF(CrelanData!$H$2:$H$4000=Categorieën!$B$1,1,0)*CrelanData!$B$2:$B$4000)</f>
        <v>0</v>
      </c>
      <c r="G69" s="11">
        <f t="array" aca="1" ref="G69" ca="1">SUM(IF(MONTH(KBCCompData!$C$2:$C$4000)=MONTH(KBCCompSamenv!$A69),1,0)*IF(YEAR(KBCCompData!$C$2:$C$4000)=YEAR(KBCCompSamenv!$A69),1,0)*IF(KBCCompData!$G$2:$G$4000=G$1,1,0)*KBCCompData!$E$2:$E$4000)+SUM(IF(MONTH(CrelanData!$A$2:$A$4000)=MONTH(KBCCompSamenv!$A70),1,0)*IF(YEAR(CrelanData!$A$2:$A$4000)=YEAR(KBCCompSamenv!$A70),1,0)*IF(CrelanData!$H$2:$H$4000=Categorieën!$B$1,1,0)*CrelanData!$B$2:$B$4000)</f>
        <v>0</v>
      </c>
      <c r="H69" s="5">
        <f ca="1">KBCSpaarrekSamenv!D47</f>
        <v>0</v>
      </c>
    </row>
    <row r="70" spans="1:8" outlineLevel="1">
      <c r="A70" s="10">
        <v>38504</v>
      </c>
      <c r="B70" s="5">
        <f t="array" aca="1" ref="B70" ca="1">SUM((IF(MONTH(KBCCompData!$C$2:$C$4000)=MONTH(KBCCompSamenv!$A70),1,0))*(IF(YEAR(KBCCompData!$C$2:$C$4000)=YEAR(KBCCompSamenv!$A70),1,0))*(IF(KBCCompData!$E$2:$E$4000&lt;0,1,0))*KBCCompData!$E$2:$E$4000)</f>
        <v>0</v>
      </c>
      <c r="C70" s="11">
        <f t="array" aca="1" ref="C70" ca="1">SUM(IF(MONTH(KBCCompData!$C$2:$C$4000)=MONTH(KBCCompSamenv!$A70),1,0)*IF(YEAR(KBCCompData!$C$2:$C$4000)=YEAR(KBCCompSamenv!$A70),1,0)*IF(KBCCompData!$E$2:$E$4000&lt;0,1,0)*IF(KBCCompData!$G$2:$G$4000=Categorieën!$E$1,0,1)*IF(KBCCompData!$G$2:$G$4000=Categorieën!$F$1,0,1)*IF(KBCCompData!$G$2:$G$4000=Categorieën!$L$1,0,1)*KBCCompData!$E$2:$E$4000)</f>
        <v>0</v>
      </c>
      <c r="D70" s="11">
        <f ca="1">SUM(IF(MONTH(KBCCompData!$C$2:$C$4000)=MONTH(KBCCompSamenv!$A70),1,0)*IF(YEAR(KBCCompData!$C$2:$C$4000)=YEAR(KBCCompSamenv!$A70),1,0)*IF(KBCCompData!$E$2:$E$4000&gt;0,1,0)*KBCCompData!$E$2:$E$4000)</f>
        <v>0</v>
      </c>
      <c r="E70" s="11">
        <f t="array" aca="1" ref="E70" ca="1">SUM(IF(MONTH(KBCCompData!$C$2:$C$4000)=MONTH(KBCCompSamenv!$A70),1,0)*IF(YEAR(KBCCompData!$C$2:$C$4000)=YEAR(KBCCompSamenv!$A70),1,0)*IF(KBCCompData!$G$2:$G$4000=E$1,1,0)*KBCCompData!$E$2:$E$4000)+SUM(IF(MONTH(CrelanData!$A$2:$A$4000)=MONTH(KBCCompSamenv!$A71),1,0)*IF(YEAR(CrelanData!$A$2:$A$4000)=YEAR(KBCCompSamenv!$A71),1,0)*IF(CrelanData!$H$2:$H$4000=Categorieën!$B$1,1,0)*CrelanData!$B$2:$B$4000)</f>
        <v>0</v>
      </c>
      <c r="F70" s="11">
        <f t="array" aca="1" ref="F70" ca="1">SUM(IF(MONTH(KBCCompData!$C$2:$C$4000)=MONTH(KBCCompSamenv!$A70),1,0)*IF(YEAR(KBCCompData!$C$2:$C$4000)=YEAR(KBCCompSamenv!$A70),1,0)*IF(KBCCompData!$G$2:$G$4000=F$1,1,0)*KBCCompData!$E$2:$E$4000)+SUM(IF(MONTH(CrelanData!$A$2:$A$4000)=MONTH(KBCCompSamenv!$A71),1,0)*IF(YEAR(CrelanData!$A$2:$A$4000)=YEAR(KBCCompSamenv!$A71),1,0)*IF(CrelanData!$H$2:$H$4000=Categorieën!$B$1,1,0)*CrelanData!$B$2:$B$4000)</f>
        <v>0</v>
      </c>
      <c r="G70" s="11">
        <f t="array" aca="1" ref="G70" ca="1">SUM(IF(MONTH(KBCCompData!$C$2:$C$4000)=MONTH(KBCCompSamenv!$A70),1,0)*IF(YEAR(KBCCompData!$C$2:$C$4000)=YEAR(KBCCompSamenv!$A70),1,0)*IF(KBCCompData!$G$2:$G$4000=G$1,1,0)*KBCCompData!$E$2:$E$4000)+SUM(IF(MONTH(CrelanData!$A$2:$A$4000)=MONTH(KBCCompSamenv!$A71),1,0)*IF(YEAR(CrelanData!$A$2:$A$4000)=YEAR(KBCCompSamenv!$A71),1,0)*IF(CrelanData!$H$2:$H$4000=Categorieën!$B$1,1,0)*CrelanData!$B$2:$B$4000)</f>
        <v>0</v>
      </c>
      <c r="H70" s="5">
        <f ca="1">KBCSpaarrekSamenv!D48</f>
        <v>0</v>
      </c>
    </row>
    <row r="71" spans="1:8" outlineLevel="1">
      <c r="A71" s="10">
        <v>38534</v>
      </c>
      <c r="B71" s="5">
        <f t="array" aca="1" ref="B71" ca="1">SUM((IF(MONTH(KBCCompData!$C$2:$C$4000)=MONTH(KBCCompSamenv!$A71),1,0))*(IF(YEAR(KBCCompData!$C$2:$C$4000)=YEAR(KBCCompSamenv!$A71),1,0))*(IF(KBCCompData!$E$2:$E$4000&lt;0,1,0))*KBCCompData!$E$2:$E$4000)</f>
        <v>0</v>
      </c>
      <c r="C71" s="11">
        <f t="array" aca="1" ref="C71" ca="1">SUM(IF(MONTH(KBCCompData!$C$2:$C$4000)=MONTH(KBCCompSamenv!$A71),1,0)*IF(YEAR(KBCCompData!$C$2:$C$4000)=YEAR(KBCCompSamenv!$A71),1,0)*IF(KBCCompData!$E$2:$E$4000&lt;0,1,0)*IF(KBCCompData!$G$2:$G$4000=Categorieën!$E$1,0,1)*IF(KBCCompData!$G$2:$G$4000=Categorieën!$F$1,0,1)*IF(KBCCompData!$G$2:$G$4000=Categorieën!$L$1,0,1)*KBCCompData!$E$2:$E$4000)</f>
        <v>0</v>
      </c>
      <c r="D71" s="11">
        <f ca="1">SUM(IF(MONTH(KBCCompData!$C$2:$C$4000)=MONTH(KBCCompSamenv!$A71),1,0)*IF(YEAR(KBCCompData!$C$2:$C$4000)=YEAR(KBCCompSamenv!$A71),1,0)*IF(KBCCompData!$E$2:$E$4000&gt;0,1,0)*KBCCompData!$E$2:$E$4000)</f>
        <v>0</v>
      </c>
      <c r="E71" s="11">
        <f t="array" aca="1" ref="E71" ca="1">SUM(IF(MONTH(KBCCompData!$C$2:$C$4000)=MONTH(KBCCompSamenv!$A71),1,0)*IF(YEAR(KBCCompData!$C$2:$C$4000)=YEAR(KBCCompSamenv!$A71),1,0)*IF(KBCCompData!$G$2:$G$4000=E$1,1,0)*KBCCompData!$E$2:$E$4000)+SUM(IF(MONTH(CrelanData!$A$2:$A$4000)=MONTH(KBCCompSamenv!$A72),1,0)*IF(YEAR(CrelanData!$A$2:$A$4000)=YEAR(KBCCompSamenv!$A72),1,0)*IF(CrelanData!$H$2:$H$4000=Categorieën!$B$1,1,0)*CrelanData!$B$2:$B$4000)</f>
        <v>0</v>
      </c>
      <c r="F71" s="11">
        <f t="array" aca="1" ref="F71" ca="1">SUM(IF(MONTH(KBCCompData!$C$2:$C$4000)=MONTH(KBCCompSamenv!$A71),1,0)*IF(YEAR(KBCCompData!$C$2:$C$4000)=YEAR(KBCCompSamenv!$A71),1,0)*IF(KBCCompData!$G$2:$G$4000=F$1,1,0)*KBCCompData!$E$2:$E$4000)+SUM(IF(MONTH(CrelanData!$A$2:$A$4000)=MONTH(KBCCompSamenv!$A72),1,0)*IF(YEAR(CrelanData!$A$2:$A$4000)=YEAR(KBCCompSamenv!$A72),1,0)*IF(CrelanData!$H$2:$H$4000=Categorieën!$B$1,1,0)*CrelanData!$B$2:$B$4000)</f>
        <v>0</v>
      </c>
      <c r="G71" s="11">
        <f t="array" aca="1" ref="G71" ca="1">SUM(IF(MONTH(KBCCompData!$C$2:$C$4000)=MONTH(KBCCompSamenv!$A71),1,0)*IF(YEAR(KBCCompData!$C$2:$C$4000)=YEAR(KBCCompSamenv!$A71),1,0)*IF(KBCCompData!$G$2:$G$4000=G$1,1,0)*KBCCompData!$E$2:$E$4000)+SUM(IF(MONTH(CrelanData!$A$2:$A$4000)=MONTH(KBCCompSamenv!$A72),1,0)*IF(YEAR(CrelanData!$A$2:$A$4000)=YEAR(KBCCompSamenv!$A72),1,0)*IF(CrelanData!$H$2:$H$4000=Categorieën!$B$1,1,0)*CrelanData!$B$2:$B$4000)</f>
        <v>0</v>
      </c>
      <c r="H71" s="5">
        <f ca="1">KBCSpaarrekSamenv!D49</f>
        <v>0</v>
      </c>
    </row>
    <row r="72" spans="1:8" outlineLevel="1">
      <c r="A72" s="10">
        <v>38565</v>
      </c>
      <c r="B72" s="5">
        <f t="array" aca="1" ref="B72" ca="1">SUM((IF(MONTH(KBCCompData!$C$2:$C$4000)=MONTH(KBCCompSamenv!$A72),1,0))*(IF(YEAR(KBCCompData!$C$2:$C$4000)=YEAR(KBCCompSamenv!$A72),1,0))*(IF(KBCCompData!$E$2:$E$4000&lt;0,1,0))*KBCCompData!$E$2:$E$4000)</f>
        <v>0</v>
      </c>
      <c r="C72" s="11">
        <f t="array" aca="1" ref="C72" ca="1">SUM(IF(MONTH(KBCCompData!$C$2:$C$4000)=MONTH(KBCCompSamenv!$A72),1,0)*IF(YEAR(KBCCompData!$C$2:$C$4000)=YEAR(KBCCompSamenv!$A72),1,0)*IF(KBCCompData!$E$2:$E$4000&lt;0,1,0)*IF(KBCCompData!$G$2:$G$4000=Categorieën!$E$1,0,1)*IF(KBCCompData!$G$2:$G$4000=Categorieën!$F$1,0,1)*IF(KBCCompData!$G$2:$G$4000=Categorieën!$L$1,0,1)*KBCCompData!$E$2:$E$4000)</f>
        <v>0</v>
      </c>
      <c r="D72" s="11">
        <f ca="1">SUM(IF(MONTH(KBCCompData!$C$2:$C$4000)=MONTH(KBCCompSamenv!$A72),1,0)*IF(YEAR(KBCCompData!$C$2:$C$4000)=YEAR(KBCCompSamenv!$A72),1,0)*IF(KBCCompData!$E$2:$E$4000&gt;0,1,0)*KBCCompData!$E$2:$E$4000)</f>
        <v>0</v>
      </c>
      <c r="E72" s="11">
        <f t="array" aca="1" ref="E72" ca="1">SUM(IF(MONTH(KBCCompData!$C$2:$C$4000)=MONTH(KBCCompSamenv!$A72),1,0)*IF(YEAR(KBCCompData!$C$2:$C$4000)=YEAR(KBCCompSamenv!$A72),1,0)*IF(KBCCompData!$G$2:$G$4000=E$1,1,0)*KBCCompData!$E$2:$E$4000)+SUM(IF(MONTH(CrelanData!$A$2:$A$4000)=MONTH(KBCCompSamenv!$A73),1,0)*IF(YEAR(CrelanData!$A$2:$A$4000)=YEAR(KBCCompSamenv!$A73),1,0)*IF(CrelanData!$H$2:$H$4000=Categorieën!$B$1,1,0)*CrelanData!$B$2:$B$4000)</f>
        <v>0</v>
      </c>
      <c r="F72" s="11">
        <f t="array" aca="1" ref="F72" ca="1">SUM(IF(MONTH(KBCCompData!$C$2:$C$4000)=MONTH(KBCCompSamenv!$A72),1,0)*IF(YEAR(KBCCompData!$C$2:$C$4000)=YEAR(KBCCompSamenv!$A72),1,0)*IF(KBCCompData!$G$2:$G$4000=F$1,1,0)*KBCCompData!$E$2:$E$4000)+SUM(IF(MONTH(CrelanData!$A$2:$A$4000)=MONTH(KBCCompSamenv!$A73),1,0)*IF(YEAR(CrelanData!$A$2:$A$4000)=YEAR(KBCCompSamenv!$A73),1,0)*IF(CrelanData!$H$2:$H$4000=Categorieën!$B$1,1,0)*CrelanData!$B$2:$B$4000)</f>
        <v>0</v>
      </c>
      <c r="G72" s="11">
        <f t="array" aca="1" ref="G72" ca="1">SUM(IF(MONTH(KBCCompData!$C$2:$C$4000)=MONTH(KBCCompSamenv!$A72),1,0)*IF(YEAR(KBCCompData!$C$2:$C$4000)=YEAR(KBCCompSamenv!$A72),1,0)*IF(KBCCompData!$G$2:$G$4000=G$1,1,0)*KBCCompData!$E$2:$E$4000)+SUM(IF(MONTH(CrelanData!$A$2:$A$4000)=MONTH(KBCCompSamenv!$A73),1,0)*IF(YEAR(CrelanData!$A$2:$A$4000)=YEAR(KBCCompSamenv!$A73),1,0)*IF(CrelanData!$H$2:$H$4000=Categorieën!$B$1,1,0)*CrelanData!$B$2:$B$4000)</f>
        <v>0</v>
      </c>
      <c r="H72" s="5">
        <f ca="1">KBCSpaarrekSamenv!D50</f>
        <v>0</v>
      </c>
    </row>
    <row r="73" spans="1:8" outlineLevel="1">
      <c r="A73" s="10">
        <v>38596</v>
      </c>
      <c r="B73" s="5">
        <f t="array" aca="1" ref="B73" ca="1">SUM((IF(MONTH(KBCCompData!$C$2:$C$4000)=MONTH(KBCCompSamenv!$A73),1,0))*(IF(YEAR(KBCCompData!$C$2:$C$4000)=YEAR(KBCCompSamenv!$A73),1,0))*(IF(KBCCompData!$E$2:$E$4000&lt;0,1,0))*KBCCompData!$E$2:$E$4000)</f>
        <v>0</v>
      </c>
      <c r="C73" s="11">
        <f t="array" aca="1" ref="C73" ca="1">SUM(IF(MONTH(KBCCompData!$C$2:$C$4000)=MONTH(KBCCompSamenv!$A73),1,0)*IF(YEAR(KBCCompData!$C$2:$C$4000)=YEAR(KBCCompSamenv!$A73),1,0)*IF(KBCCompData!$E$2:$E$4000&lt;0,1,0)*IF(KBCCompData!$G$2:$G$4000=Categorieën!$E$1,0,1)*IF(KBCCompData!$G$2:$G$4000=Categorieën!$F$1,0,1)*IF(KBCCompData!$G$2:$G$4000=Categorieën!$L$1,0,1)*KBCCompData!$E$2:$E$4000)</f>
        <v>0</v>
      </c>
      <c r="D73" s="11">
        <f ca="1">SUM(IF(MONTH(KBCCompData!$C$2:$C$4000)=MONTH(KBCCompSamenv!$A73),1,0)*IF(YEAR(KBCCompData!$C$2:$C$4000)=YEAR(KBCCompSamenv!$A73),1,0)*IF(KBCCompData!$E$2:$E$4000&gt;0,1,0)*KBCCompData!$E$2:$E$4000)</f>
        <v>0</v>
      </c>
      <c r="E73" s="11">
        <f t="array" aca="1" ref="E73" ca="1">SUM(IF(MONTH(KBCCompData!$C$2:$C$4000)=MONTH(KBCCompSamenv!$A73),1,0)*IF(YEAR(KBCCompData!$C$2:$C$4000)=YEAR(KBCCompSamenv!$A73),1,0)*IF(KBCCompData!$G$2:$G$4000=E$1,1,0)*KBCCompData!$E$2:$E$4000)+SUM(IF(MONTH(CrelanData!$A$2:$A$4000)=MONTH(KBCCompSamenv!$A74),1,0)*IF(YEAR(CrelanData!$A$2:$A$4000)=YEAR(KBCCompSamenv!$A74),1,0)*IF(CrelanData!$H$2:$H$4000=Categorieën!$B$1,1,0)*CrelanData!$B$2:$B$4000)</f>
        <v>0</v>
      </c>
      <c r="F73" s="11">
        <f t="array" aca="1" ref="F73" ca="1">SUM(IF(MONTH(KBCCompData!$C$2:$C$4000)=MONTH(KBCCompSamenv!$A73),1,0)*IF(YEAR(KBCCompData!$C$2:$C$4000)=YEAR(KBCCompSamenv!$A73),1,0)*IF(KBCCompData!$G$2:$G$4000=F$1,1,0)*KBCCompData!$E$2:$E$4000)+SUM(IF(MONTH(CrelanData!$A$2:$A$4000)=MONTH(KBCCompSamenv!$A74),1,0)*IF(YEAR(CrelanData!$A$2:$A$4000)=YEAR(KBCCompSamenv!$A74),1,0)*IF(CrelanData!$H$2:$H$4000=Categorieën!$B$1,1,0)*CrelanData!$B$2:$B$4000)</f>
        <v>0</v>
      </c>
      <c r="G73" s="11">
        <f t="array" aca="1" ref="G73" ca="1">SUM(IF(MONTH(KBCCompData!$C$2:$C$4000)=MONTH(KBCCompSamenv!$A73),1,0)*IF(YEAR(KBCCompData!$C$2:$C$4000)=YEAR(KBCCompSamenv!$A73),1,0)*IF(KBCCompData!$G$2:$G$4000=G$1,1,0)*KBCCompData!$E$2:$E$4000)+SUM(IF(MONTH(CrelanData!$A$2:$A$4000)=MONTH(KBCCompSamenv!$A74),1,0)*IF(YEAR(CrelanData!$A$2:$A$4000)=YEAR(KBCCompSamenv!$A74),1,0)*IF(CrelanData!$H$2:$H$4000=Categorieën!$B$1,1,0)*CrelanData!$B$2:$B$4000)</f>
        <v>0</v>
      </c>
      <c r="H73" s="5">
        <f ca="1">KBCSpaarrekSamenv!D51</f>
        <v>0</v>
      </c>
    </row>
    <row r="74" spans="1:8" outlineLevel="1">
      <c r="A74" s="10">
        <v>38626</v>
      </c>
      <c r="B74" s="5">
        <f t="array" aca="1" ref="B74" ca="1">SUM((IF(MONTH(KBCCompData!$C$2:$C$4000)=MONTH(KBCCompSamenv!$A74),1,0))*(IF(YEAR(KBCCompData!$C$2:$C$4000)=YEAR(KBCCompSamenv!$A74),1,0))*(IF(KBCCompData!$E$2:$E$4000&lt;0,1,0))*KBCCompData!$E$2:$E$4000)</f>
        <v>0</v>
      </c>
      <c r="C74" s="11">
        <f t="array" aca="1" ref="C74" ca="1">SUM(IF(MONTH(KBCCompData!$C$2:$C$4000)=MONTH(KBCCompSamenv!$A74),1,0)*IF(YEAR(KBCCompData!$C$2:$C$4000)=YEAR(KBCCompSamenv!$A74),1,0)*IF(KBCCompData!$E$2:$E$4000&lt;0,1,0)*IF(KBCCompData!$G$2:$G$4000=Categorieën!$E$1,0,1)*IF(KBCCompData!$G$2:$G$4000=Categorieën!$F$1,0,1)*IF(KBCCompData!$G$2:$G$4000=Categorieën!$L$1,0,1)*KBCCompData!$E$2:$E$4000)</f>
        <v>0</v>
      </c>
      <c r="D74" s="11">
        <f ca="1">SUM(IF(MONTH(KBCCompData!$C$2:$C$4000)=MONTH(KBCCompSamenv!$A74),1,0)*IF(YEAR(KBCCompData!$C$2:$C$4000)=YEAR(KBCCompSamenv!$A74),1,0)*IF(KBCCompData!$E$2:$E$4000&gt;0,1,0)*KBCCompData!$E$2:$E$4000)</f>
        <v>0</v>
      </c>
      <c r="E74" s="11">
        <f t="array" aca="1" ref="E74" ca="1">SUM(IF(MONTH(KBCCompData!$C$2:$C$4000)=MONTH(KBCCompSamenv!$A74),1,0)*IF(YEAR(KBCCompData!$C$2:$C$4000)=YEAR(KBCCompSamenv!$A74),1,0)*IF(KBCCompData!$G$2:$G$4000=E$1,1,0)*KBCCompData!$E$2:$E$4000)+SUM(IF(MONTH(CrelanData!$A$2:$A$4000)=MONTH(KBCCompSamenv!$A75),1,0)*IF(YEAR(CrelanData!$A$2:$A$4000)=YEAR(KBCCompSamenv!$A75),1,0)*IF(CrelanData!$H$2:$H$4000=Categorieën!$B$1,1,0)*CrelanData!$B$2:$B$4000)</f>
        <v>0</v>
      </c>
      <c r="F74" s="11">
        <f t="array" aca="1" ref="F74" ca="1">SUM(IF(MONTH(KBCCompData!$C$2:$C$4000)=MONTH(KBCCompSamenv!$A74),1,0)*IF(YEAR(KBCCompData!$C$2:$C$4000)=YEAR(KBCCompSamenv!$A74),1,0)*IF(KBCCompData!$G$2:$G$4000=F$1,1,0)*KBCCompData!$E$2:$E$4000)+SUM(IF(MONTH(CrelanData!$A$2:$A$4000)=MONTH(KBCCompSamenv!$A75),1,0)*IF(YEAR(CrelanData!$A$2:$A$4000)=YEAR(KBCCompSamenv!$A75),1,0)*IF(CrelanData!$H$2:$H$4000=Categorieën!$B$1,1,0)*CrelanData!$B$2:$B$4000)</f>
        <v>0</v>
      </c>
      <c r="G74" s="11">
        <f t="array" aca="1" ref="G74" ca="1">SUM(IF(MONTH(KBCCompData!$C$2:$C$4000)=MONTH(KBCCompSamenv!$A74),1,0)*IF(YEAR(KBCCompData!$C$2:$C$4000)=YEAR(KBCCompSamenv!$A74),1,0)*IF(KBCCompData!$G$2:$G$4000=G$1,1,0)*KBCCompData!$E$2:$E$4000)+SUM(IF(MONTH(CrelanData!$A$2:$A$4000)=MONTH(KBCCompSamenv!$A75),1,0)*IF(YEAR(CrelanData!$A$2:$A$4000)=YEAR(KBCCompSamenv!$A75),1,0)*IF(CrelanData!$H$2:$H$4000=Categorieën!$B$1,1,0)*CrelanData!$B$2:$B$4000)</f>
        <v>0</v>
      </c>
      <c r="H74" s="5">
        <f ca="1">KBCSpaarrekSamenv!D52</f>
        <v>0</v>
      </c>
    </row>
    <row r="75" spans="1:8" outlineLevel="1">
      <c r="A75" s="10">
        <v>38657</v>
      </c>
      <c r="B75" s="5">
        <f t="array" aca="1" ref="B75" ca="1">SUM((IF(MONTH(KBCCompData!$C$2:$C$4000)=MONTH(KBCCompSamenv!$A75),1,0))*(IF(YEAR(KBCCompData!$C$2:$C$4000)=YEAR(KBCCompSamenv!$A75),1,0))*(IF(KBCCompData!$E$2:$E$4000&lt;0,1,0))*KBCCompData!$E$2:$E$4000)</f>
        <v>0</v>
      </c>
      <c r="C75" s="11">
        <f t="array" aca="1" ref="C75" ca="1">SUM(IF(MONTH(KBCCompData!$C$2:$C$4000)=MONTH(KBCCompSamenv!$A75),1,0)*IF(YEAR(KBCCompData!$C$2:$C$4000)=YEAR(KBCCompSamenv!$A75),1,0)*IF(KBCCompData!$E$2:$E$4000&lt;0,1,0)*IF(KBCCompData!$G$2:$G$4000=Categorieën!$E$1,0,1)*IF(KBCCompData!$G$2:$G$4000=Categorieën!$F$1,0,1)*IF(KBCCompData!$G$2:$G$4000=Categorieën!$L$1,0,1)*KBCCompData!$E$2:$E$4000)</f>
        <v>0</v>
      </c>
      <c r="D75" s="11">
        <f ca="1">SUM(IF(MONTH(KBCCompData!$C$2:$C$4000)=MONTH(KBCCompSamenv!$A75),1,0)*IF(YEAR(KBCCompData!$C$2:$C$4000)=YEAR(KBCCompSamenv!$A75),1,0)*IF(KBCCompData!$E$2:$E$4000&gt;0,1,0)*KBCCompData!$E$2:$E$4000)</f>
        <v>0</v>
      </c>
      <c r="E75" s="11">
        <f t="array" aca="1" ref="E75" ca="1">SUM(IF(MONTH(KBCCompData!$C$2:$C$4000)=MONTH(KBCCompSamenv!$A75),1,0)*IF(YEAR(KBCCompData!$C$2:$C$4000)=YEAR(KBCCompSamenv!$A75),1,0)*IF(KBCCompData!$G$2:$G$4000=E$1,1,0)*KBCCompData!$E$2:$E$4000)+SUM(IF(MONTH(CrelanData!$A$2:$A$4000)=MONTH(KBCCompSamenv!$A76),1,0)*IF(YEAR(CrelanData!$A$2:$A$4000)=YEAR(KBCCompSamenv!$A76),1,0)*IF(CrelanData!$H$2:$H$4000=Categorieën!$B$1,1,0)*CrelanData!$B$2:$B$4000)</f>
        <v>0</v>
      </c>
      <c r="F75" s="11">
        <f t="array" aca="1" ref="F75" ca="1">SUM(IF(MONTH(KBCCompData!$C$2:$C$4000)=MONTH(KBCCompSamenv!$A75),1,0)*IF(YEAR(KBCCompData!$C$2:$C$4000)=YEAR(KBCCompSamenv!$A75),1,0)*IF(KBCCompData!$G$2:$G$4000=F$1,1,0)*KBCCompData!$E$2:$E$4000)+SUM(IF(MONTH(CrelanData!$A$2:$A$4000)=MONTH(KBCCompSamenv!$A76),1,0)*IF(YEAR(CrelanData!$A$2:$A$4000)=YEAR(KBCCompSamenv!$A76),1,0)*IF(CrelanData!$H$2:$H$4000=Categorieën!$B$1,1,0)*CrelanData!$B$2:$B$4000)</f>
        <v>0</v>
      </c>
      <c r="G75" s="11">
        <f t="array" aca="1" ref="G75" ca="1">SUM(IF(MONTH(KBCCompData!$C$2:$C$4000)=MONTH(KBCCompSamenv!$A75),1,0)*IF(YEAR(KBCCompData!$C$2:$C$4000)=YEAR(KBCCompSamenv!$A75),1,0)*IF(KBCCompData!$G$2:$G$4000=G$1,1,0)*KBCCompData!$E$2:$E$4000)+SUM(IF(MONTH(CrelanData!$A$2:$A$4000)=MONTH(KBCCompSamenv!$A76),1,0)*IF(YEAR(CrelanData!$A$2:$A$4000)=YEAR(KBCCompSamenv!$A76),1,0)*IF(CrelanData!$H$2:$H$4000=Categorieën!$B$1,1,0)*CrelanData!$B$2:$B$4000)</f>
        <v>0</v>
      </c>
      <c r="H75" s="5">
        <f ca="1">KBCSpaarrekSamenv!D53</f>
        <v>0</v>
      </c>
    </row>
    <row r="76" spans="1:8">
      <c r="A76" s="10">
        <v>38687</v>
      </c>
      <c r="B76" s="5">
        <f t="array" aca="1" ref="B76" ca="1">SUM((IF(MONTH(KBCCompData!$C$2:$C$4000)=MONTH(KBCCompSamenv!$A76),1,0))*(IF(YEAR(KBCCompData!$C$2:$C$4000)=YEAR(KBCCompSamenv!$A76),1,0))*(IF(KBCCompData!$E$2:$E$4000&lt;0,1,0))*KBCCompData!$E$2:$E$4000)</f>
        <v>0</v>
      </c>
      <c r="C76" s="11">
        <f t="array" aca="1" ref="C76" ca="1">SUM(IF(MONTH(KBCCompData!$C$2:$C$4000)=MONTH(KBCCompSamenv!$A76),1,0)*IF(YEAR(KBCCompData!$C$2:$C$4000)=YEAR(KBCCompSamenv!$A76),1,0)*IF(KBCCompData!$E$2:$E$4000&lt;0,1,0)*IF(KBCCompData!$G$2:$G$4000=Categorieën!$E$1,0,1)*IF(KBCCompData!$G$2:$G$4000=Categorieën!$F$1,0,1)*IF(KBCCompData!$G$2:$G$4000=Categorieën!$L$1,0,1)*KBCCompData!$E$2:$E$4000)</f>
        <v>0</v>
      </c>
      <c r="D76" s="11">
        <f ca="1">SUM(IF(MONTH(KBCCompData!$C$2:$C$4000)=MONTH(KBCCompSamenv!$A76),1,0)*IF(YEAR(KBCCompData!$C$2:$C$4000)=YEAR(KBCCompSamenv!$A76),1,0)*IF(KBCCompData!$E$2:$E$4000&gt;0,1,0)*KBCCompData!$E$2:$E$4000)</f>
        <v>0</v>
      </c>
      <c r="E76" s="11">
        <f t="array" aca="1" ref="E76" ca="1">SUM(IF(MONTH(KBCCompData!$C$2:$C$4000)=MONTH(KBCCompSamenv!$A76),1,0)*IF(YEAR(KBCCompData!$C$2:$C$4000)=YEAR(KBCCompSamenv!$A76),1,0)*IF(KBCCompData!$G$2:$G$4000=E$1,1,0)*KBCCompData!$E$2:$E$4000)+SUM(IF(MONTH(CrelanData!$A$2:$A$4000)=MONTH(KBCCompSamenv!$A77),1,0)*IF(YEAR(CrelanData!$A$2:$A$4000)=YEAR(KBCCompSamenv!$A77),1,0)*IF(CrelanData!$H$2:$H$4000=Categorieën!$B$1,1,0)*CrelanData!$B$2:$B$4000)</f>
        <v>0</v>
      </c>
      <c r="F76" s="11">
        <f t="array" aca="1" ref="F76" ca="1">SUM(IF(MONTH(KBCCompData!$C$2:$C$4000)=MONTH(KBCCompSamenv!$A76),1,0)*IF(YEAR(KBCCompData!$C$2:$C$4000)=YEAR(KBCCompSamenv!$A76),1,0)*IF(KBCCompData!$G$2:$G$4000=F$1,1,0)*KBCCompData!$E$2:$E$4000)+SUM(IF(MONTH(CrelanData!$A$2:$A$4000)=MONTH(KBCCompSamenv!$A77),1,0)*IF(YEAR(CrelanData!$A$2:$A$4000)=YEAR(KBCCompSamenv!$A77),1,0)*IF(CrelanData!$H$2:$H$4000=Categorieën!$B$1,1,0)*CrelanData!$B$2:$B$4000)</f>
        <v>0</v>
      </c>
      <c r="G76" s="11">
        <f t="array" aca="1" ref="G76" ca="1">SUM(IF(MONTH(KBCCompData!$C$2:$C$4000)=MONTH(KBCCompSamenv!$A76),1,0)*IF(YEAR(KBCCompData!$C$2:$C$4000)=YEAR(KBCCompSamenv!$A76),1,0)*IF(KBCCompData!$G$2:$G$4000=G$1,1,0)*KBCCompData!$E$2:$E$4000)+SUM(IF(MONTH(CrelanData!$A$2:$A$4000)=MONTH(KBCCompSamenv!$A77),1,0)*IF(YEAR(CrelanData!$A$2:$A$4000)=YEAR(KBCCompSamenv!$A77),1,0)*IF(CrelanData!$H$2:$H$4000=Categorieën!$B$1,1,0)*CrelanData!$B$2:$B$4000)</f>
        <v>0</v>
      </c>
      <c r="H76" s="5">
        <f ca="1">KBCSpaarrekSamenv!D54</f>
        <v>0</v>
      </c>
    </row>
    <row r="77" spans="1:8" outlineLevel="1">
      <c r="A77" s="10">
        <v>38718</v>
      </c>
      <c r="B77" s="5">
        <f t="array" aca="1" ref="B77" ca="1">SUM((IF(MONTH(KBCCompData!$C$2:$C$4000)=MONTH(KBCCompSamenv!$A77),1,0))*(IF(YEAR(KBCCompData!$C$2:$C$4000)=YEAR(KBCCompSamenv!$A77),1,0))*(IF(KBCCompData!$E$2:$E$4000&lt;0,1,0))*KBCCompData!$E$2:$E$4000)</f>
        <v>0</v>
      </c>
      <c r="C77" s="11">
        <f t="array" aca="1" ref="C77" ca="1">SUM(IF(MONTH(KBCCompData!$C$2:$C$4000)=MONTH(KBCCompSamenv!$A77),1,0)*IF(YEAR(KBCCompData!$C$2:$C$4000)=YEAR(KBCCompSamenv!$A77),1,0)*IF(KBCCompData!$E$2:$E$4000&lt;0,1,0)*IF(KBCCompData!$G$2:$G$4000=Categorieën!$E$1,0,1)*IF(KBCCompData!$G$2:$G$4000=Categorieën!$F$1,0,1)*IF(KBCCompData!$G$2:$G$4000=Categorieën!$L$1,0,1)*KBCCompData!$E$2:$E$4000)</f>
        <v>0</v>
      </c>
      <c r="D77" s="11">
        <f ca="1">SUM(IF(MONTH(KBCCompData!$C$2:$C$4000)=MONTH(KBCCompSamenv!$A77),1,0)*IF(YEAR(KBCCompData!$C$2:$C$4000)=YEAR(KBCCompSamenv!$A77),1,0)*IF(KBCCompData!$E$2:$E$4000&gt;0,1,0)*KBCCompData!$E$2:$E$4000)</f>
        <v>0</v>
      </c>
      <c r="E77" s="11">
        <f t="array" aca="1" ref="E77" ca="1">SUM(IF(MONTH(KBCCompData!$C$2:$C$4000)=MONTH(KBCCompSamenv!$A77),1,0)*IF(YEAR(KBCCompData!$C$2:$C$4000)=YEAR(KBCCompSamenv!$A77),1,0)*IF(KBCCompData!$G$2:$G$4000=E$1,1,0)*KBCCompData!$E$2:$E$4000)+SUM(IF(MONTH(CrelanData!$A$2:$A$4000)=MONTH(KBCCompSamenv!$A78),1,0)*IF(YEAR(CrelanData!$A$2:$A$4000)=YEAR(KBCCompSamenv!$A78),1,0)*IF(CrelanData!$H$2:$H$4000=Categorieën!$B$1,1,0)*CrelanData!$B$2:$B$4000)</f>
        <v>0</v>
      </c>
      <c r="F77" s="11">
        <f t="array" aca="1" ref="F77" ca="1">SUM(IF(MONTH(KBCCompData!$C$2:$C$4000)=MONTH(KBCCompSamenv!$A77),1,0)*IF(YEAR(KBCCompData!$C$2:$C$4000)=YEAR(KBCCompSamenv!$A77),1,0)*IF(KBCCompData!$G$2:$G$4000=F$1,1,0)*KBCCompData!$E$2:$E$4000)+SUM(IF(MONTH(CrelanData!$A$2:$A$4000)=MONTH(KBCCompSamenv!$A78),1,0)*IF(YEAR(CrelanData!$A$2:$A$4000)=YEAR(KBCCompSamenv!$A78),1,0)*IF(CrelanData!$H$2:$H$4000=Categorieën!$B$1,1,0)*CrelanData!$B$2:$B$4000)</f>
        <v>0</v>
      </c>
      <c r="G77" s="11">
        <f t="array" aca="1" ref="G77" ca="1">SUM(IF(MONTH(KBCCompData!$C$2:$C$4000)=MONTH(KBCCompSamenv!$A77),1,0)*IF(YEAR(KBCCompData!$C$2:$C$4000)=YEAR(KBCCompSamenv!$A77),1,0)*IF(KBCCompData!$G$2:$G$4000=G$1,1,0)*KBCCompData!$E$2:$E$4000)+SUM(IF(MONTH(CrelanData!$A$2:$A$4000)=MONTH(KBCCompSamenv!$A78),1,0)*IF(YEAR(CrelanData!$A$2:$A$4000)=YEAR(KBCCompSamenv!$A78),1,0)*IF(CrelanData!$H$2:$H$4000=Categorieën!$B$1,1,0)*CrelanData!$B$2:$B$4000)</f>
        <v>0</v>
      </c>
      <c r="H77" s="5">
        <f ca="1">KBCSpaarrekSamenv!D55</f>
        <v>0</v>
      </c>
    </row>
    <row r="78" spans="1:8" outlineLevel="1">
      <c r="A78" s="10">
        <v>38749</v>
      </c>
      <c r="B78" s="5">
        <f t="array" aca="1" ref="B78" ca="1">SUM((IF(MONTH(KBCCompData!$C$2:$C$4000)=MONTH(KBCCompSamenv!$A78),1,0))*(IF(YEAR(KBCCompData!$C$2:$C$4000)=YEAR(KBCCompSamenv!$A78),1,0))*(IF(KBCCompData!$E$2:$E$4000&lt;0,1,0))*KBCCompData!$E$2:$E$4000)</f>
        <v>0</v>
      </c>
      <c r="C78" s="11">
        <f t="array" aca="1" ref="C78" ca="1">SUM(IF(MONTH(KBCCompData!$C$2:$C$4000)=MONTH(KBCCompSamenv!$A78),1,0)*IF(YEAR(KBCCompData!$C$2:$C$4000)=YEAR(KBCCompSamenv!$A78),1,0)*IF(KBCCompData!$E$2:$E$4000&lt;0,1,0)*IF(KBCCompData!$G$2:$G$4000=Categorieën!$E$1,0,1)*IF(KBCCompData!$G$2:$G$4000=Categorieën!$F$1,0,1)*IF(KBCCompData!$G$2:$G$4000=Categorieën!$L$1,0,1)*KBCCompData!$E$2:$E$4000)</f>
        <v>0</v>
      </c>
      <c r="D78" s="11">
        <f ca="1">SUM(IF(MONTH(KBCCompData!$C$2:$C$4000)=MONTH(KBCCompSamenv!$A78),1,0)*IF(YEAR(KBCCompData!$C$2:$C$4000)=YEAR(KBCCompSamenv!$A78),1,0)*IF(KBCCompData!$E$2:$E$4000&gt;0,1,0)*KBCCompData!$E$2:$E$4000)</f>
        <v>0</v>
      </c>
      <c r="E78" s="11">
        <f t="array" aca="1" ref="E78" ca="1">SUM(IF(MONTH(KBCCompData!$C$2:$C$4000)=MONTH(KBCCompSamenv!$A78),1,0)*IF(YEAR(KBCCompData!$C$2:$C$4000)=YEAR(KBCCompSamenv!$A78),1,0)*IF(KBCCompData!$G$2:$G$4000=E$1,1,0)*KBCCompData!$E$2:$E$4000)+SUM(IF(MONTH(CrelanData!$A$2:$A$4000)=MONTH(KBCCompSamenv!$A79),1,0)*IF(YEAR(CrelanData!$A$2:$A$4000)=YEAR(KBCCompSamenv!$A79),1,0)*IF(CrelanData!$H$2:$H$4000=Categorieën!$B$1,1,0)*CrelanData!$B$2:$B$4000)</f>
        <v>0</v>
      </c>
      <c r="F78" s="11">
        <f t="array" aca="1" ref="F78" ca="1">SUM(IF(MONTH(KBCCompData!$C$2:$C$4000)=MONTH(KBCCompSamenv!$A78),1,0)*IF(YEAR(KBCCompData!$C$2:$C$4000)=YEAR(KBCCompSamenv!$A78),1,0)*IF(KBCCompData!$G$2:$G$4000=F$1,1,0)*KBCCompData!$E$2:$E$4000)+SUM(IF(MONTH(CrelanData!$A$2:$A$4000)=MONTH(KBCCompSamenv!$A79),1,0)*IF(YEAR(CrelanData!$A$2:$A$4000)=YEAR(KBCCompSamenv!$A79),1,0)*IF(CrelanData!$H$2:$H$4000=Categorieën!$B$1,1,0)*CrelanData!$B$2:$B$4000)</f>
        <v>0</v>
      </c>
      <c r="G78" s="11">
        <f t="array" aca="1" ref="G78" ca="1">SUM(IF(MONTH(KBCCompData!$C$2:$C$4000)=MONTH(KBCCompSamenv!$A78),1,0)*IF(YEAR(KBCCompData!$C$2:$C$4000)=YEAR(KBCCompSamenv!$A78),1,0)*IF(KBCCompData!$G$2:$G$4000=G$1,1,0)*KBCCompData!$E$2:$E$4000)+SUM(IF(MONTH(CrelanData!$A$2:$A$4000)=MONTH(KBCCompSamenv!$A79),1,0)*IF(YEAR(CrelanData!$A$2:$A$4000)=YEAR(KBCCompSamenv!$A79),1,0)*IF(CrelanData!$H$2:$H$4000=Categorieën!$B$1,1,0)*CrelanData!$B$2:$B$4000)</f>
        <v>0</v>
      </c>
      <c r="H78" s="5">
        <f ca="1">KBCSpaarrekSamenv!D56</f>
        <v>0</v>
      </c>
    </row>
    <row r="79" spans="1:8" outlineLevel="1">
      <c r="A79" s="10">
        <v>38777</v>
      </c>
      <c r="B79" s="5">
        <f t="array" aca="1" ref="B79" ca="1">SUM((IF(MONTH(KBCCompData!$C$2:$C$4000)=MONTH(KBCCompSamenv!$A79),1,0))*(IF(YEAR(KBCCompData!$C$2:$C$4000)=YEAR(KBCCompSamenv!$A79),1,0))*(IF(KBCCompData!$E$2:$E$4000&lt;0,1,0))*KBCCompData!$E$2:$E$4000)</f>
        <v>0</v>
      </c>
      <c r="C79" s="11">
        <f t="array" aca="1" ref="C79" ca="1">SUM(IF(MONTH(KBCCompData!$C$2:$C$4000)=MONTH(KBCCompSamenv!$A79),1,0)*IF(YEAR(KBCCompData!$C$2:$C$4000)=YEAR(KBCCompSamenv!$A79),1,0)*IF(KBCCompData!$E$2:$E$4000&lt;0,1,0)*IF(KBCCompData!$G$2:$G$4000=Categorieën!$E$1,0,1)*IF(KBCCompData!$G$2:$G$4000=Categorieën!$F$1,0,1)*IF(KBCCompData!$G$2:$G$4000=Categorieën!$L$1,0,1)*KBCCompData!$E$2:$E$4000)</f>
        <v>0</v>
      </c>
      <c r="D79" s="11">
        <f ca="1">SUM(IF(MONTH(KBCCompData!$C$2:$C$4000)=MONTH(KBCCompSamenv!$A79),1,0)*IF(YEAR(KBCCompData!$C$2:$C$4000)=YEAR(KBCCompSamenv!$A79),1,0)*IF(KBCCompData!$E$2:$E$4000&gt;0,1,0)*KBCCompData!$E$2:$E$4000)</f>
        <v>0</v>
      </c>
      <c r="E79" s="11">
        <f t="array" aca="1" ref="E79" ca="1">SUM(IF(MONTH(KBCCompData!$C$2:$C$4000)=MONTH(KBCCompSamenv!$A79),1,0)*IF(YEAR(KBCCompData!$C$2:$C$4000)=YEAR(KBCCompSamenv!$A79),1,0)*IF(KBCCompData!$G$2:$G$4000=E$1,1,0)*KBCCompData!$E$2:$E$4000)+SUM(IF(MONTH(CrelanData!$A$2:$A$4000)=MONTH(KBCCompSamenv!$A80),1,0)*IF(YEAR(CrelanData!$A$2:$A$4000)=YEAR(KBCCompSamenv!$A80),1,0)*IF(CrelanData!$H$2:$H$4000=Categorieën!$B$1,1,0)*CrelanData!$B$2:$B$4000)</f>
        <v>0</v>
      </c>
      <c r="F79" s="11">
        <f t="array" aca="1" ref="F79" ca="1">SUM(IF(MONTH(KBCCompData!$C$2:$C$4000)=MONTH(KBCCompSamenv!$A79),1,0)*IF(YEAR(KBCCompData!$C$2:$C$4000)=YEAR(KBCCompSamenv!$A79),1,0)*IF(KBCCompData!$G$2:$G$4000=F$1,1,0)*KBCCompData!$E$2:$E$4000)+SUM(IF(MONTH(CrelanData!$A$2:$A$4000)=MONTH(KBCCompSamenv!$A80),1,0)*IF(YEAR(CrelanData!$A$2:$A$4000)=YEAR(KBCCompSamenv!$A80),1,0)*IF(CrelanData!$H$2:$H$4000=Categorieën!$B$1,1,0)*CrelanData!$B$2:$B$4000)</f>
        <v>0</v>
      </c>
      <c r="G79" s="11">
        <f t="array" aca="1" ref="G79" ca="1">SUM(IF(MONTH(KBCCompData!$C$2:$C$4000)=MONTH(KBCCompSamenv!$A79),1,0)*IF(YEAR(KBCCompData!$C$2:$C$4000)=YEAR(KBCCompSamenv!$A79),1,0)*IF(KBCCompData!$G$2:$G$4000=G$1,1,0)*KBCCompData!$E$2:$E$4000)+SUM(IF(MONTH(CrelanData!$A$2:$A$4000)=MONTH(KBCCompSamenv!$A80),1,0)*IF(YEAR(CrelanData!$A$2:$A$4000)=YEAR(KBCCompSamenv!$A80),1,0)*IF(CrelanData!$H$2:$H$4000=Categorieën!$B$1,1,0)*CrelanData!$B$2:$B$4000)</f>
        <v>0</v>
      </c>
      <c r="H79" s="5">
        <f ca="1">KBCSpaarrekSamenv!D57</f>
        <v>0</v>
      </c>
    </row>
    <row r="80" spans="1:8" outlineLevel="1">
      <c r="A80" s="10">
        <v>38808</v>
      </c>
      <c r="B80" s="5">
        <f t="array" aca="1" ref="B80" ca="1">SUM((IF(MONTH(KBCCompData!$C$2:$C$4000)=MONTH(KBCCompSamenv!$A80),1,0))*(IF(YEAR(KBCCompData!$C$2:$C$4000)=YEAR(KBCCompSamenv!$A80),1,0))*(IF(KBCCompData!$E$2:$E$4000&lt;0,1,0))*KBCCompData!$E$2:$E$4000)</f>
        <v>0</v>
      </c>
      <c r="C80" s="11">
        <f t="array" aca="1" ref="C80" ca="1">SUM(IF(MONTH(KBCCompData!$C$2:$C$4000)=MONTH(KBCCompSamenv!$A80),1,0)*IF(YEAR(KBCCompData!$C$2:$C$4000)=YEAR(KBCCompSamenv!$A80),1,0)*IF(KBCCompData!$E$2:$E$4000&lt;0,1,0)*IF(KBCCompData!$G$2:$G$4000=Categorieën!$E$1,0,1)*IF(KBCCompData!$G$2:$G$4000=Categorieën!$F$1,0,1)*IF(KBCCompData!$G$2:$G$4000=Categorieën!$L$1,0,1)*KBCCompData!$E$2:$E$4000)</f>
        <v>0</v>
      </c>
      <c r="D80" s="11">
        <f ca="1">SUM(IF(MONTH(KBCCompData!$C$2:$C$4000)=MONTH(KBCCompSamenv!$A80),1,0)*IF(YEAR(KBCCompData!$C$2:$C$4000)=YEAR(KBCCompSamenv!$A80),1,0)*IF(KBCCompData!$E$2:$E$4000&gt;0,1,0)*KBCCompData!$E$2:$E$4000)</f>
        <v>0</v>
      </c>
      <c r="E80" s="11">
        <f t="array" aca="1" ref="E80" ca="1">SUM(IF(MONTH(KBCCompData!$C$2:$C$4000)=MONTH(KBCCompSamenv!$A80),1,0)*IF(YEAR(KBCCompData!$C$2:$C$4000)=YEAR(KBCCompSamenv!$A80),1,0)*IF(KBCCompData!$G$2:$G$4000=E$1,1,0)*KBCCompData!$E$2:$E$4000)+SUM(IF(MONTH(CrelanData!$A$2:$A$4000)=MONTH(KBCCompSamenv!$A81),1,0)*IF(YEAR(CrelanData!$A$2:$A$4000)=YEAR(KBCCompSamenv!$A81),1,0)*IF(CrelanData!$H$2:$H$4000=Categorieën!$B$1,1,0)*CrelanData!$B$2:$B$4000)</f>
        <v>0</v>
      </c>
      <c r="F80" s="11">
        <f t="array" aca="1" ref="F80" ca="1">SUM(IF(MONTH(KBCCompData!$C$2:$C$4000)=MONTH(KBCCompSamenv!$A80),1,0)*IF(YEAR(KBCCompData!$C$2:$C$4000)=YEAR(KBCCompSamenv!$A80),1,0)*IF(KBCCompData!$G$2:$G$4000=F$1,1,0)*KBCCompData!$E$2:$E$4000)+SUM(IF(MONTH(CrelanData!$A$2:$A$4000)=MONTH(KBCCompSamenv!$A81),1,0)*IF(YEAR(CrelanData!$A$2:$A$4000)=YEAR(KBCCompSamenv!$A81),1,0)*IF(CrelanData!$H$2:$H$4000=Categorieën!$B$1,1,0)*CrelanData!$B$2:$B$4000)</f>
        <v>0</v>
      </c>
      <c r="G80" s="11">
        <f t="array" aca="1" ref="G80" ca="1">SUM(IF(MONTH(KBCCompData!$C$2:$C$4000)=MONTH(KBCCompSamenv!$A80),1,0)*IF(YEAR(KBCCompData!$C$2:$C$4000)=YEAR(KBCCompSamenv!$A80),1,0)*IF(KBCCompData!$G$2:$G$4000=G$1,1,0)*KBCCompData!$E$2:$E$4000)+SUM(IF(MONTH(CrelanData!$A$2:$A$4000)=MONTH(KBCCompSamenv!$A81),1,0)*IF(YEAR(CrelanData!$A$2:$A$4000)=YEAR(KBCCompSamenv!$A81),1,0)*IF(CrelanData!$H$2:$H$4000=Categorieën!$B$1,1,0)*CrelanData!$B$2:$B$4000)</f>
        <v>0</v>
      </c>
      <c r="H80" s="5">
        <f ca="1">KBCSpaarrekSamenv!D58</f>
        <v>0</v>
      </c>
    </row>
    <row r="81" spans="1:8" outlineLevel="1">
      <c r="A81" s="10">
        <v>38838</v>
      </c>
      <c r="B81" s="5">
        <f t="array" aca="1" ref="B81" ca="1">SUM((IF(MONTH(KBCCompData!$C$2:$C$4000)=MONTH(KBCCompSamenv!$A81),1,0))*(IF(YEAR(KBCCompData!$C$2:$C$4000)=YEAR(KBCCompSamenv!$A81),1,0))*(IF(KBCCompData!$E$2:$E$4000&lt;0,1,0))*KBCCompData!$E$2:$E$4000)</f>
        <v>0</v>
      </c>
      <c r="C81" s="11">
        <f t="array" aca="1" ref="C81" ca="1">SUM(IF(MONTH(KBCCompData!$C$2:$C$4000)=MONTH(KBCCompSamenv!$A81),1,0)*IF(YEAR(KBCCompData!$C$2:$C$4000)=YEAR(KBCCompSamenv!$A81),1,0)*IF(KBCCompData!$E$2:$E$4000&lt;0,1,0)*IF(KBCCompData!$G$2:$G$4000=Categorieën!$E$1,0,1)*IF(KBCCompData!$G$2:$G$4000=Categorieën!$F$1,0,1)*IF(KBCCompData!$G$2:$G$4000=Categorieën!$L$1,0,1)*KBCCompData!$E$2:$E$4000)</f>
        <v>0</v>
      </c>
      <c r="D81" s="11">
        <f ca="1">SUM(IF(MONTH(KBCCompData!$C$2:$C$4000)=MONTH(KBCCompSamenv!$A81),1,0)*IF(YEAR(KBCCompData!$C$2:$C$4000)=YEAR(KBCCompSamenv!$A81),1,0)*IF(KBCCompData!$E$2:$E$4000&gt;0,1,0)*KBCCompData!$E$2:$E$4000)</f>
        <v>0</v>
      </c>
      <c r="E81" s="11">
        <f t="array" aca="1" ref="E81" ca="1">SUM(IF(MONTH(KBCCompData!$C$2:$C$4000)=MONTH(KBCCompSamenv!$A81),1,0)*IF(YEAR(KBCCompData!$C$2:$C$4000)=YEAR(KBCCompSamenv!$A81),1,0)*IF(KBCCompData!$G$2:$G$4000=E$1,1,0)*KBCCompData!$E$2:$E$4000)+SUM(IF(MONTH(CrelanData!$A$2:$A$4000)=MONTH(KBCCompSamenv!$A82),1,0)*IF(YEAR(CrelanData!$A$2:$A$4000)=YEAR(KBCCompSamenv!$A82),1,0)*IF(CrelanData!$H$2:$H$4000=Categorieën!$B$1,1,0)*CrelanData!$B$2:$B$4000)</f>
        <v>0</v>
      </c>
      <c r="F81" s="11">
        <f t="array" aca="1" ref="F81" ca="1">SUM(IF(MONTH(KBCCompData!$C$2:$C$4000)=MONTH(KBCCompSamenv!$A81),1,0)*IF(YEAR(KBCCompData!$C$2:$C$4000)=YEAR(KBCCompSamenv!$A81),1,0)*IF(KBCCompData!$G$2:$G$4000=F$1,1,0)*KBCCompData!$E$2:$E$4000)+SUM(IF(MONTH(CrelanData!$A$2:$A$4000)=MONTH(KBCCompSamenv!$A82),1,0)*IF(YEAR(CrelanData!$A$2:$A$4000)=YEAR(KBCCompSamenv!$A82),1,0)*IF(CrelanData!$H$2:$H$4000=Categorieën!$B$1,1,0)*CrelanData!$B$2:$B$4000)</f>
        <v>0</v>
      </c>
      <c r="G81" s="11">
        <f t="array" aca="1" ref="G81" ca="1">SUM(IF(MONTH(KBCCompData!$C$2:$C$4000)=MONTH(KBCCompSamenv!$A81),1,0)*IF(YEAR(KBCCompData!$C$2:$C$4000)=YEAR(KBCCompSamenv!$A81),1,0)*IF(KBCCompData!$G$2:$G$4000=G$1,1,0)*KBCCompData!$E$2:$E$4000)+SUM(IF(MONTH(CrelanData!$A$2:$A$4000)=MONTH(KBCCompSamenv!$A82),1,0)*IF(YEAR(CrelanData!$A$2:$A$4000)=YEAR(KBCCompSamenv!$A82),1,0)*IF(CrelanData!$H$2:$H$4000=Categorieën!$B$1,1,0)*CrelanData!$B$2:$B$4000)</f>
        <v>0</v>
      </c>
      <c r="H81" s="5">
        <f ca="1">KBCSpaarrekSamenv!D59</f>
        <v>0</v>
      </c>
    </row>
    <row r="82" spans="1:8" outlineLevel="1">
      <c r="A82" s="10">
        <v>38869</v>
      </c>
      <c r="B82" s="5">
        <f t="array" aca="1" ref="B82" ca="1">SUM((IF(MONTH(KBCCompData!$C$2:$C$4000)=MONTH(KBCCompSamenv!$A82),1,0))*(IF(YEAR(KBCCompData!$C$2:$C$4000)=YEAR(KBCCompSamenv!$A82),1,0))*(IF(KBCCompData!$E$2:$E$4000&lt;0,1,0))*KBCCompData!$E$2:$E$4000)</f>
        <v>0</v>
      </c>
      <c r="C82" s="11">
        <f t="array" aca="1" ref="C82" ca="1">SUM(IF(MONTH(KBCCompData!$C$2:$C$4000)=MONTH(KBCCompSamenv!$A82),1,0)*IF(YEAR(KBCCompData!$C$2:$C$4000)=YEAR(KBCCompSamenv!$A82),1,0)*IF(KBCCompData!$E$2:$E$4000&lt;0,1,0)*IF(KBCCompData!$G$2:$G$4000=Categorieën!$E$1,0,1)*IF(KBCCompData!$G$2:$G$4000=Categorieën!$F$1,0,1)*IF(KBCCompData!$G$2:$G$4000=Categorieën!$L$1,0,1)*KBCCompData!$E$2:$E$4000)</f>
        <v>0</v>
      </c>
      <c r="D82" s="11">
        <f ca="1">SUM(IF(MONTH(KBCCompData!$C$2:$C$4000)=MONTH(KBCCompSamenv!$A82),1,0)*IF(YEAR(KBCCompData!$C$2:$C$4000)=YEAR(KBCCompSamenv!$A82),1,0)*IF(KBCCompData!$E$2:$E$4000&gt;0,1,0)*KBCCompData!$E$2:$E$4000)</f>
        <v>0</v>
      </c>
      <c r="E82" s="11">
        <f t="array" aca="1" ref="E82" ca="1">SUM(IF(MONTH(KBCCompData!$C$2:$C$4000)=MONTH(KBCCompSamenv!$A82),1,0)*IF(YEAR(KBCCompData!$C$2:$C$4000)=YEAR(KBCCompSamenv!$A82),1,0)*IF(KBCCompData!$G$2:$G$4000=E$1,1,0)*KBCCompData!$E$2:$E$4000)+SUM(IF(MONTH(CrelanData!$A$2:$A$4000)=MONTH(KBCCompSamenv!$A83),1,0)*IF(YEAR(CrelanData!$A$2:$A$4000)=YEAR(KBCCompSamenv!$A83),1,0)*IF(CrelanData!$H$2:$H$4000=Categorieën!$B$1,1,0)*CrelanData!$B$2:$B$4000)</f>
        <v>0</v>
      </c>
      <c r="F82" s="11">
        <f t="array" aca="1" ref="F82" ca="1">SUM(IF(MONTH(KBCCompData!$C$2:$C$4000)=MONTH(KBCCompSamenv!$A82),1,0)*IF(YEAR(KBCCompData!$C$2:$C$4000)=YEAR(KBCCompSamenv!$A82),1,0)*IF(KBCCompData!$G$2:$G$4000=F$1,1,0)*KBCCompData!$E$2:$E$4000)+SUM(IF(MONTH(CrelanData!$A$2:$A$4000)=MONTH(KBCCompSamenv!$A83),1,0)*IF(YEAR(CrelanData!$A$2:$A$4000)=YEAR(KBCCompSamenv!$A83),1,0)*IF(CrelanData!$H$2:$H$4000=Categorieën!$B$1,1,0)*CrelanData!$B$2:$B$4000)</f>
        <v>0</v>
      </c>
      <c r="G82" s="11">
        <f t="array" aca="1" ref="G82" ca="1">SUM(IF(MONTH(KBCCompData!$C$2:$C$4000)=MONTH(KBCCompSamenv!$A82),1,0)*IF(YEAR(KBCCompData!$C$2:$C$4000)=YEAR(KBCCompSamenv!$A82),1,0)*IF(KBCCompData!$G$2:$G$4000=G$1,1,0)*KBCCompData!$E$2:$E$4000)+SUM(IF(MONTH(CrelanData!$A$2:$A$4000)=MONTH(KBCCompSamenv!$A83),1,0)*IF(YEAR(CrelanData!$A$2:$A$4000)=YEAR(KBCCompSamenv!$A83),1,0)*IF(CrelanData!$H$2:$H$4000=Categorieën!$B$1,1,0)*CrelanData!$B$2:$B$4000)</f>
        <v>0</v>
      </c>
      <c r="H82" s="5">
        <f ca="1">KBCSpaarrekSamenv!D60</f>
        <v>0</v>
      </c>
    </row>
    <row r="83" spans="1:8" outlineLevel="1">
      <c r="A83" s="10">
        <v>38899</v>
      </c>
      <c r="B83" s="5">
        <f t="array" aca="1" ref="B83" ca="1">SUM((IF(MONTH(KBCCompData!$C$2:$C$4000)=MONTH(KBCCompSamenv!$A83),1,0))*(IF(YEAR(KBCCompData!$C$2:$C$4000)=YEAR(KBCCompSamenv!$A83),1,0))*(IF(KBCCompData!$E$2:$E$4000&lt;0,1,0))*KBCCompData!$E$2:$E$4000)</f>
        <v>0</v>
      </c>
      <c r="C83" s="11">
        <f t="array" aca="1" ref="C83" ca="1">SUM(IF(MONTH(KBCCompData!$C$2:$C$4000)=MONTH(KBCCompSamenv!$A83),1,0)*IF(YEAR(KBCCompData!$C$2:$C$4000)=YEAR(KBCCompSamenv!$A83),1,0)*IF(KBCCompData!$E$2:$E$4000&lt;0,1,0)*IF(KBCCompData!$G$2:$G$4000=Categorieën!$E$1,0,1)*IF(KBCCompData!$G$2:$G$4000=Categorieën!$F$1,0,1)*IF(KBCCompData!$G$2:$G$4000=Categorieën!$L$1,0,1)*KBCCompData!$E$2:$E$4000)</f>
        <v>0</v>
      </c>
      <c r="D83" s="11">
        <f ca="1">SUM(IF(MONTH(KBCCompData!$C$2:$C$4000)=MONTH(KBCCompSamenv!$A83),1,0)*IF(YEAR(KBCCompData!$C$2:$C$4000)=YEAR(KBCCompSamenv!$A83),1,0)*IF(KBCCompData!$E$2:$E$4000&gt;0,1,0)*KBCCompData!$E$2:$E$4000)</f>
        <v>0</v>
      </c>
      <c r="E83" s="11">
        <f t="array" aca="1" ref="E83" ca="1">SUM(IF(MONTH(KBCCompData!$C$2:$C$4000)=MONTH(KBCCompSamenv!$A83),1,0)*IF(YEAR(KBCCompData!$C$2:$C$4000)=YEAR(KBCCompSamenv!$A83),1,0)*IF(KBCCompData!$G$2:$G$4000=E$1,1,0)*KBCCompData!$E$2:$E$4000)+SUM(IF(MONTH(CrelanData!$A$2:$A$4000)=MONTH(KBCCompSamenv!$A84),1,0)*IF(YEAR(CrelanData!$A$2:$A$4000)=YEAR(KBCCompSamenv!$A84),1,0)*IF(CrelanData!$H$2:$H$4000=Categorieën!$B$1,1,0)*CrelanData!$B$2:$B$4000)</f>
        <v>0</v>
      </c>
      <c r="F83" s="11">
        <f t="array" aca="1" ref="F83" ca="1">SUM(IF(MONTH(KBCCompData!$C$2:$C$4000)=MONTH(KBCCompSamenv!$A83),1,0)*IF(YEAR(KBCCompData!$C$2:$C$4000)=YEAR(KBCCompSamenv!$A83),1,0)*IF(KBCCompData!$G$2:$G$4000=F$1,1,0)*KBCCompData!$E$2:$E$4000)+SUM(IF(MONTH(CrelanData!$A$2:$A$4000)=MONTH(KBCCompSamenv!$A84),1,0)*IF(YEAR(CrelanData!$A$2:$A$4000)=YEAR(KBCCompSamenv!$A84),1,0)*IF(CrelanData!$H$2:$H$4000=Categorieën!$B$1,1,0)*CrelanData!$B$2:$B$4000)</f>
        <v>0</v>
      </c>
      <c r="G83" s="11">
        <f t="array" aca="1" ref="G83" ca="1">SUM(IF(MONTH(KBCCompData!$C$2:$C$4000)=MONTH(KBCCompSamenv!$A83),1,0)*IF(YEAR(KBCCompData!$C$2:$C$4000)=YEAR(KBCCompSamenv!$A83),1,0)*IF(KBCCompData!$G$2:$G$4000=G$1,1,0)*KBCCompData!$E$2:$E$4000)+SUM(IF(MONTH(CrelanData!$A$2:$A$4000)=MONTH(KBCCompSamenv!$A84),1,0)*IF(YEAR(CrelanData!$A$2:$A$4000)=YEAR(KBCCompSamenv!$A84),1,0)*IF(CrelanData!$H$2:$H$4000=Categorieën!$B$1,1,0)*CrelanData!$B$2:$B$4000)</f>
        <v>0</v>
      </c>
      <c r="H83" s="5">
        <f ca="1">KBCSpaarrekSamenv!D61</f>
        <v>0</v>
      </c>
    </row>
    <row r="84" spans="1:8" outlineLevel="1">
      <c r="A84" s="10">
        <v>38930</v>
      </c>
      <c r="B84" s="5">
        <f t="array" aca="1" ref="B84" ca="1">SUM((IF(MONTH(KBCCompData!$C$2:$C$4000)=MONTH(KBCCompSamenv!$A84),1,0))*(IF(YEAR(KBCCompData!$C$2:$C$4000)=YEAR(KBCCompSamenv!$A84),1,0))*(IF(KBCCompData!$E$2:$E$4000&lt;0,1,0))*KBCCompData!$E$2:$E$4000)</f>
        <v>0</v>
      </c>
      <c r="C84" s="11">
        <f t="array" aca="1" ref="C84" ca="1">SUM(IF(MONTH(KBCCompData!$C$2:$C$4000)=MONTH(KBCCompSamenv!$A84),1,0)*IF(YEAR(KBCCompData!$C$2:$C$4000)=YEAR(KBCCompSamenv!$A84),1,0)*IF(KBCCompData!$E$2:$E$4000&lt;0,1,0)*IF(KBCCompData!$G$2:$G$4000=Categorieën!$E$1,0,1)*IF(KBCCompData!$G$2:$G$4000=Categorieën!$F$1,0,1)*IF(KBCCompData!$G$2:$G$4000=Categorieën!$L$1,0,1)*KBCCompData!$E$2:$E$4000)</f>
        <v>0</v>
      </c>
      <c r="D84" s="11">
        <f ca="1">SUM(IF(MONTH(KBCCompData!$C$2:$C$4000)=MONTH(KBCCompSamenv!$A84),1,0)*IF(YEAR(KBCCompData!$C$2:$C$4000)=YEAR(KBCCompSamenv!$A84),1,0)*IF(KBCCompData!$E$2:$E$4000&gt;0,1,0)*KBCCompData!$E$2:$E$4000)</f>
        <v>0</v>
      </c>
      <c r="E84" s="11">
        <f t="array" aca="1" ref="E84" ca="1">SUM(IF(MONTH(KBCCompData!$C$2:$C$4000)=MONTH(KBCCompSamenv!$A84),1,0)*IF(YEAR(KBCCompData!$C$2:$C$4000)=YEAR(KBCCompSamenv!$A84),1,0)*IF(KBCCompData!$G$2:$G$4000=E$1,1,0)*KBCCompData!$E$2:$E$4000)+SUM(IF(MONTH(CrelanData!$A$2:$A$4000)=MONTH(KBCCompSamenv!$A85),1,0)*IF(YEAR(CrelanData!$A$2:$A$4000)=YEAR(KBCCompSamenv!$A85),1,0)*IF(CrelanData!$H$2:$H$4000=Categorieën!$B$1,1,0)*CrelanData!$B$2:$B$4000)</f>
        <v>0</v>
      </c>
      <c r="F84" s="11">
        <f t="array" aca="1" ref="F84" ca="1">SUM(IF(MONTH(KBCCompData!$C$2:$C$4000)=MONTH(KBCCompSamenv!$A84),1,0)*IF(YEAR(KBCCompData!$C$2:$C$4000)=YEAR(KBCCompSamenv!$A84),1,0)*IF(KBCCompData!$G$2:$G$4000=F$1,1,0)*KBCCompData!$E$2:$E$4000)+SUM(IF(MONTH(CrelanData!$A$2:$A$4000)=MONTH(KBCCompSamenv!$A85),1,0)*IF(YEAR(CrelanData!$A$2:$A$4000)=YEAR(KBCCompSamenv!$A85),1,0)*IF(CrelanData!$H$2:$H$4000=Categorieën!$B$1,1,0)*CrelanData!$B$2:$B$4000)</f>
        <v>0</v>
      </c>
      <c r="G84" s="11">
        <f t="array" aca="1" ref="G84" ca="1">SUM(IF(MONTH(KBCCompData!$C$2:$C$4000)=MONTH(KBCCompSamenv!$A84),1,0)*IF(YEAR(KBCCompData!$C$2:$C$4000)=YEAR(KBCCompSamenv!$A84),1,0)*IF(KBCCompData!$G$2:$G$4000=G$1,1,0)*KBCCompData!$E$2:$E$4000)+SUM(IF(MONTH(CrelanData!$A$2:$A$4000)=MONTH(KBCCompSamenv!$A85),1,0)*IF(YEAR(CrelanData!$A$2:$A$4000)=YEAR(KBCCompSamenv!$A85),1,0)*IF(CrelanData!$H$2:$H$4000=Categorieën!$B$1,1,0)*CrelanData!$B$2:$B$4000)</f>
        <v>0</v>
      </c>
      <c r="H84" s="5">
        <f ca="1">KBCSpaarrekSamenv!D62</f>
        <v>0</v>
      </c>
    </row>
    <row r="85" spans="1:8" outlineLevel="1">
      <c r="A85" s="10">
        <v>38961</v>
      </c>
      <c r="B85" s="5">
        <f t="array" aca="1" ref="B85" ca="1">SUM((IF(MONTH(KBCCompData!$C$2:$C$4000)=MONTH(KBCCompSamenv!$A85),1,0))*(IF(YEAR(KBCCompData!$C$2:$C$4000)=YEAR(KBCCompSamenv!$A85),1,0))*(IF(KBCCompData!$E$2:$E$4000&lt;0,1,0))*KBCCompData!$E$2:$E$4000)</f>
        <v>0</v>
      </c>
      <c r="C85" s="11">
        <f t="array" aca="1" ref="C85" ca="1">SUM(IF(MONTH(KBCCompData!$C$2:$C$4000)=MONTH(KBCCompSamenv!$A85),1,0)*IF(YEAR(KBCCompData!$C$2:$C$4000)=YEAR(KBCCompSamenv!$A85),1,0)*IF(KBCCompData!$E$2:$E$4000&lt;0,1,0)*IF(KBCCompData!$G$2:$G$4000=Categorieën!$E$1,0,1)*IF(KBCCompData!$G$2:$G$4000=Categorieën!$F$1,0,1)*IF(KBCCompData!$G$2:$G$4000=Categorieën!$L$1,0,1)*KBCCompData!$E$2:$E$4000)</f>
        <v>0</v>
      </c>
      <c r="D85" s="11">
        <f ca="1">SUM(IF(MONTH(KBCCompData!$C$2:$C$4000)=MONTH(KBCCompSamenv!$A85),1,0)*IF(YEAR(KBCCompData!$C$2:$C$4000)=YEAR(KBCCompSamenv!$A85),1,0)*IF(KBCCompData!$E$2:$E$4000&gt;0,1,0)*KBCCompData!$E$2:$E$4000)</f>
        <v>0</v>
      </c>
      <c r="E85" s="11">
        <f t="array" aca="1" ref="E85" ca="1">SUM(IF(MONTH(KBCCompData!$C$2:$C$4000)=MONTH(KBCCompSamenv!$A85),1,0)*IF(YEAR(KBCCompData!$C$2:$C$4000)=YEAR(KBCCompSamenv!$A85),1,0)*IF(KBCCompData!$G$2:$G$4000=E$1,1,0)*KBCCompData!$E$2:$E$4000)+SUM(IF(MONTH(CrelanData!$A$2:$A$4000)=MONTH(KBCCompSamenv!$A86),1,0)*IF(YEAR(CrelanData!$A$2:$A$4000)=YEAR(KBCCompSamenv!$A86),1,0)*IF(CrelanData!$H$2:$H$4000=Categorieën!$B$1,1,0)*CrelanData!$B$2:$B$4000)</f>
        <v>0</v>
      </c>
      <c r="F85" s="11">
        <f t="array" aca="1" ref="F85" ca="1">SUM(IF(MONTH(KBCCompData!$C$2:$C$4000)=MONTH(KBCCompSamenv!$A85),1,0)*IF(YEAR(KBCCompData!$C$2:$C$4000)=YEAR(KBCCompSamenv!$A85),1,0)*IF(KBCCompData!$G$2:$G$4000=F$1,1,0)*KBCCompData!$E$2:$E$4000)+SUM(IF(MONTH(CrelanData!$A$2:$A$4000)=MONTH(KBCCompSamenv!$A86),1,0)*IF(YEAR(CrelanData!$A$2:$A$4000)=YEAR(KBCCompSamenv!$A86),1,0)*IF(CrelanData!$H$2:$H$4000=Categorieën!$B$1,1,0)*CrelanData!$B$2:$B$4000)</f>
        <v>0</v>
      </c>
      <c r="G85" s="11">
        <f t="array" aca="1" ref="G85" ca="1">SUM(IF(MONTH(KBCCompData!$C$2:$C$4000)=MONTH(KBCCompSamenv!$A85),1,0)*IF(YEAR(KBCCompData!$C$2:$C$4000)=YEAR(KBCCompSamenv!$A85),1,0)*IF(KBCCompData!$G$2:$G$4000=G$1,1,0)*KBCCompData!$E$2:$E$4000)+SUM(IF(MONTH(CrelanData!$A$2:$A$4000)=MONTH(KBCCompSamenv!$A86),1,0)*IF(YEAR(CrelanData!$A$2:$A$4000)=YEAR(KBCCompSamenv!$A86),1,0)*IF(CrelanData!$H$2:$H$4000=Categorieën!$B$1,1,0)*CrelanData!$B$2:$B$4000)</f>
        <v>0</v>
      </c>
      <c r="H85" s="5">
        <f ca="1">KBCSpaarrekSamenv!D63</f>
        <v>0</v>
      </c>
    </row>
    <row r="86" spans="1:8" outlineLevel="1">
      <c r="A86" s="10">
        <v>38991</v>
      </c>
      <c r="B86" s="5">
        <f t="array" aca="1" ref="B86" ca="1">SUM((IF(MONTH(KBCCompData!$C$2:$C$4000)=MONTH(KBCCompSamenv!$A86),1,0))*(IF(YEAR(KBCCompData!$C$2:$C$4000)=YEAR(KBCCompSamenv!$A86),1,0))*(IF(KBCCompData!$E$2:$E$4000&lt;0,1,0))*KBCCompData!$E$2:$E$4000)</f>
        <v>0</v>
      </c>
      <c r="C86" s="11">
        <f t="array" aca="1" ref="C86" ca="1">SUM(IF(MONTH(KBCCompData!$C$2:$C$4000)=MONTH(KBCCompSamenv!$A86),1,0)*IF(YEAR(KBCCompData!$C$2:$C$4000)=YEAR(KBCCompSamenv!$A86),1,0)*IF(KBCCompData!$E$2:$E$4000&lt;0,1,0)*IF(KBCCompData!$G$2:$G$4000=Categorieën!$E$1,0,1)*IF(KBCCompData!$G$2:$G$4000=Categorieën!$F$1,0,1)*IF(KBCCompData!$G$2:$G$4000=Categorieën!$L$1,0,1)*KBCCompData!$E$2:$E$4000)</f>
        <v>0</v>
      </c>
      <c r="D86" s="11">
        <f ca="1">SUM(IF(MONTH(KBCCompData!$C$2:$C$4000)=MONTH(KBCCompSamenv!$A86),1,0)*IF(YEAR(KBCCompData!$C$2:$C$4000)=YEAR(KBCCompSamenv!$A86),1,0)*IF(KBCCompData!$E$2:$E$4000&gt;0,1,0)*KBCCompData!$E$2:$E$4000)</f>
        <v>0</v>
      </c>
      <c r="E86" s="11">
        <f t="array" aca="1" ref="E86" ca="1">SUM(IF(MONTH(KBCCompData!$C$2:$C$4000)=MONTH(KBCCompSamenv!$A86),1,0)*IF(YEAR(KBCCompData!$C$2:$C$4000)=YEAR(KBCCompSamenv!$A86),1,0)*IF(KBCCompData!$G$2:$G$4000=E$1,1,0)*KBCCompData!$E$2:$E$4000)+SUM(IF(MONTH(CrelanData!$A$2:$A$4000)=MONTH(KBCCompSamenv!$A87),1,0)*IF(YEAR(CrelanData!$A$2:$A$4000)=YEAR(KBCCompSamenv!$A87),1,0)*IF(CrelanData!$H$2:$H$4000=Categorieën!$B$1,1,0)*CrelanData!$B$2:$B$4000)</f>
        <v>0</v>
      </c>
      <c r="F86" s="11">
        <f t="array" aca="1" ref="F86" ca="1">SUM(IF(MONTH(KBCCompData!$C$2:$C$4000)=MONTH(KBCCompSamenv!$A86),1,0)*IF(YEAR(KBCCompData!$C$2:$C$4000)=YEAR(KBCCompSamenv!$A86),1,0)*IF(KBCCompData!$G$2:$G$4000=F$1,1,0)*KBCCompData!$E$2:$E$4000)+SUM(IF(MONTH(CrelanData!$A$2:$A$4000)=MONTH(KBCCompSamenv!$A87),1,0)*IF(YEAR(CrelanData!$A$2:$A$4000)=YEAR(KBCCompSamenv!$A87),1,0)*IF(CrelanData!$H$2:$H$4000=Categorieën!$B$1,1,0)*CrelanData!$B$2:$B$4000)</f>
        <v>0</v>
      </c>
      <c r="G86" s="11">
        <f t="array" aca="1" ref="G86" ca="1">SUM(IF(MONTH(KBCCompData!$C$2:$C$4000)=MONTH(KBCCompSamenv!$A86),1,0)*IF(YEAR(KBCCompData!$C$2:$C$4000)=YEAR(KBCCompSamenv!$A86),1,0)*IF(KBCCompData!$G$2:$G$4000=G$1,1,0)*KBCCompData!$E$2:$E$4000)+SUM(IF(MONTH(CrelanData!$A$2:$A$4000)=MONTH(KBCCompSamenv!$A87),1,0)*IF(YEAR(CrelanData!$A$2:$A$4000)=YEAR(KBCCompSamenv!$A87),1,0)*IF(CrelanData!$H$2:$H$4000=Categorieën!$B$1,1,0)*CrelanData!$B$2:$B$4000)</f>
        <v>0</v>
      </c>
      <c r="H86" s="5">
        <f ca="1">KBCSpaarrekSamenv!D64</f>
        <v>0</v>
      </c>
    </row>
    <row r="87" spans="1:8" outlineLevel="1">
      <c r="A87" s="10">
        <v>39022</v>
      </c>
      <c r="B87" s="5">
        <f t="array" aca="1" ref="B87" ca="1">SUM((IF(MONTH(KBCCompData!$C$2:$C$4000)=MONTH(KBCCompSamenv!$A87),1,0))*(IF(YEAR(KBCCompData!$C$2:$C$4000)=YEAR(KBCCompSamenv!$A87),1,0))*(IF(KBCCompData!$E$2:$E$4000&lt;0,1,0))*KBCCompData!$E$2:$E$4000)</f>
        <v>0</v>
      </c>
      <c r="C87" s="11">
        <f t="array" aca="1" ref="C87" ca="1">SUM(IF(MONTH(KBCCompData!$C$2:$C$4000)=MONTH(KBCCompSamenv!$A87),1,0)*IF(YEAR(KBCCompData!$C$2:$C$4000)=YEAR(KBCCompSamenv!$A87),1,0)*IF(KBCCompData!$E$2:$E$4000&lt;0,1,0)*IF(KBCCompData!$G$2:$G$4000=Categorieën!$E$1,0,1)*IF(KBCCompData!$G$2:$G$4000=Categorieën!$F$1,0,1)*IF(KBCCompData!$G$2:$G$4000=Categorieën!$L$1,0,1)*KBCCompData!$E$2:$E$4000)</f>
        <v>0</v>
      </c>
      <c r="D87" s="11">
        <f ca="1">SUM(IF(MONTH(KBCCompData!$C$2:$C$4000)=MONTH(KBCCompSamenv!$A87),1,0)*IF(YEAR(KBCCompData!$C$2:$C$4000)=YEAR(KBCCompSamenv!$A87),1,0)*IF(KBCCompData!$E$2:$E$4000&gt;0,1,0)*KBCCompData!$E$2:$E$4000)</f>
        <v>0</v>
      </c>
      <c r="E87" s="11">
        <f t="array" aca="1" ref="E87" ca="1">SUM(IF(MONTH(KBCCompData!$C$2:$C$4000)=MONTH(KBCCompSamenv!$A87),1,0)*IF(YEAR(KBCCompData!$C$2:$C$4000)=YEAR(KBCCompSamenv!$A87),1,0)*IF(KBCCompData!$G$2:$G$4000=E$1,1,0)*KBCCompData!$E$2:$E$4000)+SUM(IF(MONTH(CrelanData!$A$2:$A$4000)=MONTH(KBCCompSamenv!$A88),1,0)*IF(YEAR(CrelanData!$A$2:$A$4000)=YEAR(KBCCompSamenv!$A88),1,0)*IF(CrelanData!$H$2:$H$4000=Categorieën!$B$1,1,0)*CrelanData!$B$2:$B$4000)</f>
        <v>0</v>
      </c>
      <c r="F87" s="11">
        <f t="array" aca="1" ref="F87" ca="1">SUM(IF(MONTH(KBCCompData!$C$2:$C$4000)=MONTH(KBCCompSamenv!$A87),1,0)*IF(YEAR(KBCCompData!$C$2:$C$4000)=YEAR(KBCCompSamenv!$A87),1,0)*IF(KBCCompData!$G$2:$G$4000=F$1,1,0)*KBCCompData!$E$2:$E$4000)+SUM(IF(MONTH(CrelanData!$A$2:$A$4000)=MONTH(KBCCompSamenv!$A88),1,0)*IF(YEAR(CrelanData!$A$2:$A$4000)=YEAR(KBCCompSamenv!$A88),1,0)*IF(CrelanData!$H$2:$H$4000=Categorieën!$B$1,1,0)*CrelanData!$B$2:$B$4000)</f>
        <v>0</v>
      </c>
      <c r="G87" s="11">
        <f t="array" aca="1" ref="G87" ca="1">SUM(IF(MONTH(KBCCompData!$C$2:$C$4000)=MONTH(KBCCompSamenv!$A87),1,0)*IF(YEAR(KBCCompData!$C$2:$C$4000)=YEAR(KBCCompSamenv!$A87),1,0)*IF(KBCCompData!$G$2:$G$4000=G$1,1,0)*KBCCompData!$E$2:$E$4000)+SUM(IF(MONTH(CrelanData!$A$2:$A$4000)=MONTH(KBCCompSamenv!$A88),1,0)*IF(YEAR(CrelanData!$A$2:$A$4000)=YEAR(KBCCompSamenv!$A88),1,0)*IF(CrelanData!$H$2:$H$4000=Categorieën!$B$1,1,0)*CrelanData!$B$2:$B$4000)</f>
        <v>0</v>
      </c>
      <c r="H87" s="5">
        <f ca="1">KBCSpaarrekSamenv!D65</f>
        <v>0</v>
      </c>
    </row>
    <row r="88" spans="1:8">
      <c r="A88" s="10">
        <v>39052</v>
      </c>
      <c r="B88" s="5">
        <f t="array" aca="1" ref="B88" ca="1">SUM((IF(MONTH(KBCCompData!$C$2:$C$4000)=MONTH(KBCCompSamenv!$A88),1,0))*(IF(YEAR(KBCCompData!$C$2:$C$4000)=YEAR(KBCCompSamenv!$A88),1,0))*(IF(KBCCompData!$E$2:$E$4000&lt;0,1,0))*KBCCompData!$E$2:$E$4000)</f>
        <v>0</v>
      </c>
      <c r="C88" s="11">
        <f t="array" aca="1" ref="C88" ca="1">SUM(IF(MONTH(KBCCompData!$C$2:$C$4000)=MONTH(KBCCompSamenv!$A88),1,0)*IF(YEAR(KBCCompData!$C$2:$C$4000)=YEAR(KBCCompSamenv!$A88),1,0)*IF(KBCCompData!$E$2:$E$4000&lt;0,1,0)*IF(KBCCompData!$G$2:$G$4000=Categorieën!$E$1,0,1)*IF(KBCCompData!$G$2:$G$4000=Categorieën!$F$1,0,1)*IF(KBCCompData!$G$2:$G$4000=Categorieën!$L$1,0,1)*KBCCompData!$E$2:$E$4000)</f>
        <v>0</v>
      </c>
      <c r="D88" s="11">
        <f ca="1">SUM(IF(MONTH(KBCCompData!$C$2:$C$4000)=MONTH(KBCCompSamenv!$A88),1,0)*IF(YEAR(KBCCompData!$C$2:$C$4000)=YEAR(KBCCompSamenv!$A88),1,0)*IF(KBCCompData!$E$2:$E$4000&gt;0,1,0)*KBCCompData!$E$2:$E$4000)</f>
        <v>0</v>
      </c>
      <c r="E88" s="11">
        <f t="array" aca="1" ref="E88" ca="1">SUM(IF(MONTH(KBCCompData!$C$2:$C$4000)=MONTH(KBCCompSamenv!$A88),1,0)*IF(YEAR(KBCCompData!$C$2:$C$4000)=YEAR(KBCCompSamenv!$A88),1,0)*IF(KBCCompData!$G$2:$G$4000=E$1,1,0)*KBCCompData!$E$2:$E$4000)+SUM(IF(MONTH(CrelanData!$A$2:$A$4000)=MONTH(KBCCompSamenv!$A89),1,0)*IF(YEAR(CrelanData!$A$2:$A$4000)=YEAR(KBCCompSamenv!$A89),1,0)*IF(CrelanData!$H$2:$H$4000=Categorieën!$B$1,1,0)*CrelanData!$B$2:$B$4000)</f>
        <v>0</v>
      </c>
      <c r="F88" s="11">
        <f t="array" aca="1" ref="F88" ca="1">SUM(IF(MONTH(KBCCompData!$C$2:$C$4000)=MONTH(KBCCompSamenv!$A88),1,0)*IF(YEAR(KBCCompData!$C$2:$C$4000)=YEAR(KBCCompSamenv!$A88),1,0)*IF(KBCCompData!$G$2:$G$4000=F$1,1,0)*KBCCompData!$E$2:$E$4000)+SUM(IF(MONTH(CrelanData!$A$2:$A$4000)=MONTH(KBCCompSamenv!$A89),1,0)*IF(YEAR(CrelanData!$A$2:$A$4000)=YEAR(KBCCompSamenv!$A89),1,0)*IF(CrelanData!$H$2:$H$4000=Categorieën!$B$1,1,0)*CrelanData!$B$2:$B$4000)</f>
        <v>0</v>
      </c>
      <c r="G88" s="11">
        <f t="array" aca="1" ref="G88" ca="1">SUM(IF(MONTH(KBCCompData!$C$2:$C$4000)=MONTH(KBCCompSamenv!$A88),1,0)*IF(YEAR(KBCCompData!$C$2:$C$4000)=YEAR(KBCCompSamenv!$A88),1,0)*IF(KBCCompData!$G$2:$G$4000=G$1,1,0)*KBCCompData!$E$2:$E$4000)+SUM(IF(MONTH(CrelanData!$A$2:$A$4000)=MONTH(KBCCompSamenv!$A89),1,0)*IF(YEAR(CrelanData!$A$2:$A$4000)=YEAR(KBCCompSamenv!$A89),1,0)*IF(CrelanData!$H$2:$H$4000=Categorieën!$B$1,1,0)*CrelanData!$B$2:$B$4000)</f>
        <v>0</v>
      </c>
      <c r="H88" s="5">
        <f ca="1">KBCSpaarrekSamenv!D66</f>
        <v>0</v>
      </c>
    </row>
    <row r="89" spans="1:8" outlineLevel="1">
      <c r="A89" s="10">
        <v>39083</v>
      </c>
      <c r="B89" s="5">
        <f t="array" aca="1" ref="B89" ca="1">SUM((IF(MONTH(KBCCompData!$C$2:$C$4000)=MONTH(KBCCompSamenv!$A89),1,0))*(IF(YEAR(KBCCompData!$C$2:$C$4000)=YEAR(KBCCompSamenv!$A89),1,0))*(IF(KBCCompData!$E$2:$E$4000&lt;0,1,0))*KBCCompData!$E$2:$E$4000)</f>
        <v>0</v>
      </c>
      <c r="C89" s="11">
        <f t="array" aca="1" ref="C89" ca="1">SUM(IF(MONTH(KBCCompData!$C$2:$C$4000)=MONTH(KBCCompSamenv!$A89),1,0)*IF(YEAR(KBCCompData!$C$2:$C$4000)=YEAR(KBCCompSamenv!$A89),1,0)*IF(KBCCompData!$E$2:$E$4000&lt;0,1,0)*IF(KBCCompData!$G$2:$G$4000=Categorieën!$E$1,0,1)*IF(KBCCompData!$G$2:$G$4000=Categorieën!$F$1,0,1)*IF(KBCCompData!$G$2:$G$4000=Categorieën!$L$1,0,1)*KBCCompData!$E$2:$E$4000)</f>
        <v>0</v>
      </c>
      <c r="D89" s="11">
        <f ca="1">SUM(IF(MONTH(KBCCompData!$C$2:$C$4000)=MONTH(KBCCompSamenv!$A89),1,0)*IF(YEAR(KBCCompData!$C$2:$C$4000)=YEAR(KBCCompSamenv!$A89),1,0)*IF(KBCCompData!$E$2:$E$4000&gt;0,1,0)*KBCCompData!$E$2:$E$4000)</f>
        <v>0</v>
      </c>
      <c r="E89" s="11">
        <f t="array" aca="1" ref="E89" ca="1">SUM(IF(MONTH(KBCCompData!$C$2:$C$4000)=MONTH(KBCCompSamenv!$A89),1,0)*IF(YEAR(KBCCompData!$C$2:$C$4000)=YEAR(KBCCompSamenv!$A89),1,0)*IF(KBCCompData!$G$2:$G$4000=E$1,1,0)*KBCCompData!$E$2:$E$4000)+SUM(IF(MONTH(CrelanData!$A$2:$A$4000)=MONTH(KBCCompSamenv!$A90),1,0)*IF(YEAR(CrelanData!$A$2:$A$4000)=YEAR(KBCCompSamenv!$A90),1,0)*IF(CrelanData!$H$2:$H$4000=Categorieën!$B$1,1,0)*CrelanData!$B$2:$B$4000)</f>
        <v>0</v>
      </c>
      <c r="F89" s="11">
        <f t="array" aca="1" ref="F89" ca="1">SUM(IF(MONTH(KBCCompData!$C$2:$C$4000)=MONTH(KBCCompSamenv!$A89),1,0)*IF(YEAR(KBCCompData!$C$2:$C$4000)=YEAR(KBCCompSamenv!$A89),1,0)*IF(KBCCompData!$G$2:$G$4000=F$1,1,0)*KBCCompData!$E$2:$E$4000)+SUM(IF(MONTH(CrelanData!$A$2:$A$4000)=MONTH(KBCCompSamenv!$A90),1,0)*IF(YEAR(CrelanData!$A$2:$A$4000)=YEAR(KBCCompSamenv!$A90),1,0)*IF(CrelanData!$H$2:$H$4000=Categorieën!$B$1,1,0)*CrelanData!$B$2:$B$4000)</f>
        <v>0</v>
      </c>
      <c r="G89" s="11">
        <f t="array" aca="1" ref="G89" ca="1">SUM(IF(MONTH(KBCCompData!$C$2:$C$4000)=MONTH(KBCCompSamenv!$A89),1,0)*IF(YEAR(KBCCompData!$C$2:$C$4000)=YEAR(KBCCompSamenv!$A89),1,0)*IF(KBCCompData!$G$2:$G$4000=G$1,1,0)*KBCCompData!$E$2:$E$4000)+SUM(IF(MONTH(CrelanData!$A$2:$A$4000)=MONTH(KBCCompSamenv!$A90),1,0)*IF(YEAR(CrelanData!$A$2:$A$4000)=YEAR(KBCCompSamenv!$A90),1,0)*IF(CrelanData!$H$2:$H$4000=Categorieën!$B$1,1,0)*CrelanData!$B$2:$B$4000)</f>
        <v>0</v>
      </c>
      <c r="H89" s="5">
        <f ca="1">KBCSpaarrekSamenv!D67</f>
        <v>0</v>
      </c>
    </row>
    <row r="90" spans="1:8" outlineLevel="1">
      <c r="A90" s="10">
        <v>39114</v>
      </c>
      <c r="B90" s="5">
        <f t="array" aca="1" ref="B90" ca="1">SUM((IF(MONTH(KBCCompData!$C$2:$C$4000)=MONTH(KBCCompSamenv!$A90),1,0))*(IF(YEAR(KBCCompData!$C$2:$C$4000)=YEAR(KBCCompSamenv!$A90),1,0))*(IF(KBCCompData!$E$2:$E$4000&lt;0,1,0))*KBCCompData!$E$2:$E$4000)</f>
        <v>0</v>
      </c>
      <c r="C90" s="11">
        <f t="array" aca="1" ref="C90" ca="1">SUM(IF(MONTH(KBCCompData!$C$2:$C$4000)=MONTH(KBCCompSamenv!$A90),1,0)*IF(YEAR(KBCCompData!$C$2:$C$4000)=YEAR(KBCCompSamenv!$A90),1,0)*IF(KBCCompData!$E$2:$E$4000&lt;0,1,0)*IF(KBCCompData!$G$2:$G$4000=Categorieën!$E$1,0,1)*IF(KBCCompData!$G$2:$G$4000=Categorieën!$F$1,0,1)*IF(KBCCompData!$G$2:$G$4000=Categorieën!$L$1,0,1)*KBCCompData!$E$2:$E$4000)</f>
        <v>0</v>
      </c>
      <c r="D90" s="11">
        <f ca="1">SUM(IF(MONTH(KBCCompData!$C$2:$C$4000)=MONTH(KBCCompSamenv!$A90),1,0)*IF(YEAR(KBCCompData!$C$2:$C$4000)=YEAR(KBCCompSamenv!$A90),1,0)*IF(KBCCompData!$E$2:$E$4000&gt;0,1,0)*KBCCompData!$E$2:$E$4000)</f>
        <v>0</v>
      </c>
      <c r="E90" s="11">
        <f t="array" aca="1" ref="E90" ca="1">SUM(IF(MONTH(KBCCompData!$C$2:$C$4000)=MONTH(KBCCompSamenv!$A90),1,0)*IF(YEAR(KBCCompData!$C$2:$C$4000)=YEAR(KBCCompSamenv!$A90),1,0)*IF(KBCCompData!$G$2:$G$4000=E$1,1,0)*KBCCompData!$E$2:$E$4000)+SUM(IF(MONTH(CrelanData!$A$2:$A$4000)=MONTH(KBCCompSamenv!$A91),1,0)*IF(YEAR(CrelanData!$A$2:$A$4000)=YEAR(KBCCompSamenv!$A91),1,0)*IF(CrelanData!$H$2:$H$4000=Categorieën!$B$1,1,0)*CrelanData!$B$2:$B$4000)</f>
        <v>0</v>
      </c>
      <c r="F90" s="11">
        <f t="array" aca="1" ref="F90" ca="1">SUM(IF(MONTH(KBCCompData!$C$2:$C$4000)=MONTH(KBCCompSamenv!$A90),1,0)*IF(YEAR(KBCCompData!$C$2:$C$4000)=YEAR(KBCCompSamenv!$A90),1,0)*IF(KBCCompData!$G$2:$G$4000=F$1,1,0)*KBCCompData!$E$2:$E$4000)+SUM(IF(MONTH(CrelanData!$A$2:$A$4000)=MONTH(KBCCompSamenv!$A91),1,0)*IF(YEAR(CrelanData!$A$2:$A$4000)=YEAR(KBCCompSamenv!$A91),1,0)*IF(CrelanData!$H$2:$H$4000=Categorieën!$B$1,1,0)*CrelanData!$B$2:$B$4000)</f>
        <v>0</v>
      </c>
      <c r="G90" s="11">
        <f t="array" aca="1" ref="G90" ca="1">SUM(IF(MONTH(KBCCompData!$C$2:$C$4000)=MONTH(KBCCompSamenv!$A90),1,0)*IF(YEAR(KBCCompData!$C$2:$C$4000)=YEAR(KBCCompSamenv!$A90),1,0)*IF(KBCCompData!$G$2:$G$4000=G$1,1,0)*KBCCompData!$E$2:$E$4000)+SUM(IF(MONTH(CrelanData!$A$2:$A$4000)=MONTH(KBCCompSamenv!$A91),1,0)*IF(YEAR(CrelanData!$A$2:$A$4000)=YEAR(KBCCompSamenv!$A91),1,0)*IF(CrelanData!$H$2:$H$4000=Categorieën!$B$1,1,0)*CrelanData!$B$2:$B$4000)</f>
        <v>0</v>
      </c>
      <c r="H90" s="5">
        <f ca="1">KBCSpaarrekSamenv!D68</f>
        <v>0</v>
      </c>
    </row>
    <row r="91" spans="1:8" outlineLevel="1">
      <c r="A91" s="10">
        <v>39142</v>
      </c>
      <c r="B91" s="5">
        <f t="array" aca="1" ref="B91" ca="1">SUM((IF(MONTH(KBCCompData!$C$2:$C$4000)=MONTH(KBCCompSamenv!$A91),1,0))*(IF(YEAR(KBCCompData!$C$2:$C$4000)=YEAR(KBCCompSamenv!$A91),1,0))*(IF(KBCCompData!$E$2:$E$4000&lt;0,1,0))*KBCCompData!$E$2:$E$4000)</f>
        <v>0</v>
      </c>
      <c r="C91" s="11">
        <f t="array" aca="1" ref="C91" ca="1">SUM(IF(MONTH(KBCCompData!$C$2:$C$4000)=MONTH(KBCCompSamenv!$A91),1,0)*IF(YEAR(KBCCompData!$C$2:$C$4000)=YEAR(KBCCompSamenv!$A91),1,0)*IF(KBCCompData!$E$2:$E$4000&lt;0,1,0)*IF(KBCCompData!$G$2:$G$4000=Categorieën!$E$1,0,1)*IF(KBCCompData!$G$2:$G$4000=Categorieën!$F$1,0,1)*IF(KBCCompData!$G$2:$G$4000=Categorieën!$L$1,0,1)*KBCCompData!$E$2:$E$4000)</f>
        <v>0</v>
      </c>
      <c r="D91" s="11">
        <f ca="1">SUM(IF(MONTH(KBCCompData!$C$2:$C$4000)=MONTH(KBCCompSamenv!$A91),1,0)*IF(YEAR(KBCCompData!$C$2:$C$4000)=YEAR(KBCCompSamenv!$A91),1,0)*IF(KBCCompData!$E$2:$E$4000&gt;0,1,0)*KBCCompData!$E$2:$E$4000)</f>
        <v>0</v>
      </c>
      <c r="E91" s="11">
        <f t="array" aca="1" ref="E91" ca="1">SUM(IF(MONTH(KBCCompData!$C$2:$C$4000)=MONTH(KBCCompSamenv!$A91),1,0)*IF(YEAR(KBCCompData!$C$2:$C$4000)=YEAR(KBCCompSamenv!$A91),1,0)*IF(KBCCompData!$G$2:$G$4000=E$1,1,0)*KBCCompData!$E$2:$E$4000)+SUM(IF(MONTH(CrelanData!$A$2:$A$4000)=MONTH(KBCCompSamenv!$A92),1,0)*IF(YEAR(CrelanData!$A$2:$A$4000)=YEAR(KBCCompSamenv!$A92),1,0)*IF(CrelanData!$H$2:$H$4000=Categorieën!$B$1,1,0)*CrelanData!$B$2:$B$4000)</f>
        <v>0</v>
      </c>
      <c r="F91" s="11">
        <f t="array" aca="1" ref="F91" ca="1">SUM(IF(MONTH(KBCCompData!$C$2:$C$4000)=MONTH(KBCCompSamenv!$A91),1,0)*IF(YEAR(KBCCompData!$C$2:$C$4000)=YEAR(KBCCompSamenv!$A91),1,0)*IF(KBCCompData!$G$2:$G$4000=F$1,1,0)*KBCCompData!$E$2:$E$4000)+SUM(IF(MONTH(CrelanData!$A$2:$A$4000)=MONTH(KBCCompSamenv!$A92),1,0)*IF(YEAR(CrelanData!$A$2:$A$4000)=YEAR(KBCCompSamenv!$A92),1,0)*IF(CrelanData!$H$2:$H$4000=Categorieën!$B$1,1,0)*CrelanData!$B$2:$B$4000)</f>
        <v>0</v>
      </c>
      <c r="G91" s="11">
        <f t="array" aca="1" ref="G91" ca="1">SUM(IF(MONTH(KBCCompData!$C$2:$C$4000)=MONTH(KBCCompSamenv!$A91),1,0)*IF(YEAR(KBCCompData!$C$2:$C$4000)=YEAR(KBCCompSamenv!$A91),1,0)*IF(KBCCompData!$G$2:$G$4000=G$1,1,0)*KBCCompData!$E$2:$E$4000)+SUM(IF(MONTH(CrelanData!$A$2:$A$4000)=MONTH(KBCCompSamenv!$A92),1,0)*IF(YEAR(CrelanData!$A$2:$A$4000)=YEAR(KBCCompSamenv!$A92),1,0)*IF(CrelanData!$H$2:$H$4000=Categorieën!$B$1,1,0)*CrelanData!$B$2:$B$4000)</f>
        <v>0</v>
      </c>
      <c r="H91" s="5">
        <f ca="1">KBCSpaarrekSamenv!D69</f>
        <v>0</v>
      </c>
    </row>
    <row r="92" spans="1:8" outlineLevel="1">
      <c r="A92" s="10">
        <v>39173</v>
      </c>
      <c r="B92" s="5">
        <f t="array" aca="1" ref="B92" ca="1">SUM((IF(MONTH(KBCCompData!$C$2:$C$4000)=MONTH(KBCCompSamenv!$A92),1,0))*(IF(YEAR(KBCCompData!$C$2:$C$4000)=YEAR(KBCCompSamenv!$A92),1,0))*(IF(KBCCompData!$E$2:$E$4000&lt;0,1,0))*KBCCompData!$E$2:$E$4000)</f>
        <v>0</v>
      </c>
      <c r="C92" s="11">
        <f t="array" aca="1" ref="C92" ca="1">SUM(IF(MONTH(KBCCompData!$C$2:$C$4000)=MONTH(KBCCompSamenv!$A92),1,0)*IF(YEAR(KBCCompData!$C$2:$C$4000)=YEAR(KBCCompSamenv!$A92),1,0)*IF(KBCCompData!$E$2:$E$4000&lt;0,1,0)*IF(KBCCompData!$G$2:$G$4000=Categorieën!$E$1,0,1)*IF(KBCCompData!$G$2:$G$4000=Categorieën!$F$1,0,1)*IF(KBCCompData!$G$2:$G$4000=Categorieën!$L$1,0,1)*KBCCompData!$E$2:$E$4000)</f>
        <v>0</v>
      </c>
      <c r="D92" s="11">
        <f ca="1">SUM(IF(MONTH(KBCCompData!$C$2:$C$4000)=MONTH(KBCCompSamenv!$A92),1,0)*IF(YEAR(KBCCompData!$C$2:$C$4000)=YEAR(KBCCompSamenv!$A92),1,0)*IF(KBCCompData!$E$2:$E$4000&gt;0,1,0)*KBCCompData!$E$2:$E$4000)</f>
        <v>0</v>
      </c>
      <c r="E92" s="11">
        <f t="array" aca="1" ref="E92" ca="1">SUM(IF(MONTH(KBCCompData!$C$2:$C$4000)=MONTH(KBCCompSamenv!$A92),1,0)*IF(YEAR(KBCCompData!$C$2:$C$4000)=YEAR(KBCCompSamenv!$A92),1,0)*IF(KBCCompData!$G$2:$G$4000=E$1,1,0)*KBCCompData!$E$2:$E$4000)+SUM(IF(MONTH(CrelanData!$A$2:$A$4000)=MONTH(KBCCompSamenv!$A93),1,0)*IF(YEAR(CrelanData!$A$2:$A$4000)=YEAR(KBCCompSamenv!$A93),1,0)*IF(CrelanData!$H$2:$H$4000=Categorieën!$B$1,1,0)*CrelanData!$B$2:$B$4000)</f>
        <v>0</v>
      </c>
      <c r="F92" s="11">
        <f t="array" aca="1" ref="F92" ca="1">SUM(IF(MONTH(KBCCompData!$C$2:$C$4000)=MONTH(KBCCompSamenv!$A92),1,0)*IF(YEAR(KBCCompData!$C$2:$C$4000)=YEAR(KBCCompSamenv!$A92),1,0)*IF(KBCCompData!$G$2:$G$4000=F$1,1,0)*KBCCompData!$E$2:$E$4000)+SUM(IF(MONTH(CrelanData!$A$2:$A$4000)=MONTH(KBCCompSamenv!$A93),1,0)*IF(YEAR(CrelanData!$A$2:$A$4000)=YEAR(KBCCompSamenv!$A93),1,0)*IF(CrelanData!$H$2:$H$4000=Categorieën!$B$1,1,0)*CrelanData!$B$2:$B$4000)</f>
        <v>0</v>
      </c>
      <c r="G92" s="11">
        <f t="array" aca="1" ref="G92" ca="1">SUM(IF(MONTH(KBCCompData!$C$2:$C$4000)=MONTH(KBCCompSamenv!$A92),1,0)*IF(YEAR(KBCCompData!$C$2:$C$4000)=YEAR(KBCCompSamenv!$A92),1,0)*IF(KBCCompData!$G$2:$G$4000=G$1,1,0)*KBCCompData!$E$2:$E$4000)+SUM(IF(MONTH(CrelanData!$A$2:$A$4000)=MONTH(KBCCompSamenv!$A93),1,0)*IF(YEAR(CrelanData!$A$2:$A$4000)=YEAR(KBCCompSamenv!$A93),1,0)*IF(CrelanData!$H$2:$H$4000=Categorieën!$B$1,1,0)*CrelanData!$B$2:$B$4000)</f>
        <v>0</v>
      </c>
      <c r="H92" s="5">
        <f ca="1">KBCSpaarrekSamenv!D70</f>
        <v>0</v>
      </c>
    </row>
    <row r="93" spans="1:8" outlineLevel="1">
      <c r="A93" s="10">
        <v>39203</v>
      </c>
      <c r="B93" s="5">
        <f t="array" aca="1" ref="B93" ca="1">SUM((IF(MONTH(KBCCompData!$C$2:$C$4000)=MONTH(KBCCompSamenv!$A93),1,0))*(IF(YEAR(KBCCompData!$C$2:$C$4000)=YEAR(KBCCompSamenv!$A93),1,0))*(IF(KBCCompData!$E$2:$E$4000&lt;0,1,0))*KBCCompData!$E$2:$E$4000)</f>
        <v>0</v>
      </c>
      <c r="C93" s="11">
        <f t="array" aca="1" ref="C93" ca="1">SUM(IF(MONTH(KBCCompData!$C$2:$C$4000)=MONTH(KBCCompSamenv!$A93),1,0)*IF(YEAR(KBCCompData!$C$2:$C$4000)=YEAR(KBCCompSamenv!$A93),1,0)*IF(KBCCompData!$E$2:$E$4000&lt;0,1,0)*IF(KBCCompData!$G$2:$G$4000=Categorieën!$E$1,0,1)*IF(KBCCompData!$G$2:$G$4000=Categorieën!$F$1,0,1)*IF(KBCCompData!$G$2:$G$4000=Categorieën!$L$1,0,1)*KBCCompData!$E$2:$E$4000)</f>
        <v>0</v>
      </c>
      <c r="D93" s="11">
        <f ca="1">SUM(IF(MONTH(KBCCompData!$C$2:$C$4000)=MONTH(KBCCompSamenv!$A93),1,0)*IF(YEAR(KBCCompData!$C$2:$C$4000)=YEAR(KBCCompSamenv!$A93),1,0)*IF(KBCCompData!$E$2:$E$4000&gt;0,1,0)*KBCCompData!$E$2:$E$4000)</f>
        <v>0</v>
      </c>
      <c r="E93" s="11">
        <f t="array" aca="1" ref="E93" ca="1">SUM(IF(MONTH(KBCCompData!$C$2:$C$4000)=MONTH(KBCCompSamenv!$A93),1,0)*IF(YEAR(KBCCompData!$C$2:$C$4000)=YEAR(KBCCompSamenv!$A93),1,0)*IF(KBCCompData!$G$2:$G$4000=E$1,1,0)*KBCCompData!$E$2:$E$4000)+SUM(IF(MONTH(CrelanData!$A$2:$A$4000)=MONTH(KBCCompSamenv!$A94),1,0)*IF(YEAR(CrelanData!$A$2:$A$4000)=YEAR(KBCCompSamenv!$A94),1,0)*IF(CrelanData!$H$2:$H$4000=Categorieën!$B$1,1,0)*CrelanData!$B$2:$B$4000)</f>
        <v>0</v>
      </c>
      <c r="F93" s="11">
        <f t="array" aca="1" ref="F93" ca="1">SUM(IF(MONTH(KBCCompData!$C$2:$C$4000)=MONTH(KBCCompSamenv!$A93),1,0)*IF(YEAR(KBCCompData!$C$2:$C$4000)=YEAR(KBCCompSamenv!$A93),1,0)*IF(KBCCompData!$G$2:$G$4000=F$1,1,0)*KBCCompData!$E$2:$E$4000)+SUM(IF(MONTH(CrelanData!$A$2:$A$4000)=MONTH(KBCCompSamenv!$A94),1,0)*IF(YEAR(CrelanData!$A$2:$A$4000)=YEAR(KBCCompSamenv!$A94),1,0)*IF(CrelanData!$H$2:$H$4000=Categorieën!$B$1,1,0)*CrelanData!$B$2:$B$4000)</f>
        <v>0</v>
      </c>
      <c r="G93" s="11">
        <f t="array" aca="1" ref="G93" ca="1">SUM(IF(MONTH(KBCCompData!$C$2:$C$4000)=MONTH(KBCCompSamenv!$A93),1,0)*IF(YEAR(KBCCompData!$C$2:$C$4000)=YEAR(KBCCompSamenv!$A93),1,0)*IF(KBCCompData!$G$2:$G$4000=G$1,1,0)*KBCCompData!$E$2:$E$4000)+SUM(IF(MONTH(CrelanData!$A$2:$A$4000)=MONTH(KBCCompSamenv!$A94),1,0)*IF(YEAR(CrelanData!$A$2:$A$4000)=YEAR(KBCCompSamenv!$A94),1,0)*IF(CrelanData!$H$2:$H$4000=Categorieën!$B$1,1,0)*CrelanData!$B$2:$B$4000)</f>
        <v>0</v>
      </c>
      <c r="H93" s="5">
        <f ca="1">KBCSpaarrekSamenv!D71</f>
        <v>0</v>
      </c>
    </row>
    <row r="94" spans="1:8" outlineLevel="1">
      <c r="A94" s="10">
        <v>39234</v>
      </c>
      <c r="B94" s="5">
        <f t="array" aca="1" ref="B94" ca="1">SUM((IF(MONTH(KBCCompData!$C$2:$C$4000)=MONTH(KBCCompSamenv!$A94),1,0))*(IF(YEAR(KBCCompData!$C$2:$C$4000)=YEAR(KBCCompSamenv!$A94),1,0))*(IF(KBCCompData!$E$2:$E$4000&lt;0,1,0))*KBCCompData!$E$2:$E$4000)</f>
        <v>0</v>
      </c>
      <c r="C94" s="11">
        <f t="array" aca="1" ref="C94" ca="1">SUM(IF(MONTH(KBCCompData!$C$2:$C$4000)=MONTH(KBCCompSamenv!$A94),1,0)*IF(YEAR(KBCCompData!$C$2:$C$4000)=YEAR(KBCCompSamenv!$A94),1,0)*IF(KBCCompData!$E$2:$E$4000&lt;0,1,0)*IF(KBCCompData!$G$2:$G$4000=Categorieën!$E$1,0,1)*IF(KBCCompData!$G$2:$G$4000=Categorieën!$F$1,0,1)*IF(KBCCompData!$G$2:$G$4000=Categorieën!$L$1,0,1)*KBCCompData!$E$2:$E$4000)</f>
        <v>0</v>
      </c>
      <c r="D94" s="11">
        <f ca="1">SUM(IF(MONTH(KBCCompData!$C$2:$C$4000)=MONTH(KBCCompSamenv!$A94),1,0)*IF(YEAR(KBCCompData!$C$2:$C$4000)=YEAR(KBCCompSamenv!$A94),1,0)*IF(KBCCompData!$E$2:$E$4000&gt;0,1,0)*KBCCompData!$E$2:$E$4000)</f>
        <v>0</v>
      </c>
      <c r="E94" s="11">
        <f t="array" aca="1" ref="E94" ca="1">SUM(IF(MONTH(KBCCompData!$C$2:$C$4000)=MONTH(KBCCompSamenv!$A94),1,0)*IF(YEAR(KBCCompData!$C$2:$C$4000)=YEAR(KBCCompSamenv!$A94),1,0)*IF(KBCCompData!$G$2:$G$4000=E$1,1,0)*KBCCompData!$E$2:$E$4000)+SUM(IF(MONTH(CrelanData!$A$2:$A$4000)=MONTH(KBCCompSamenv!$A95),1,0)*IF(YEAR(CrelanData!$A$2:$A$4000)=YEAR(KBCCompSamenv!$A95),1,0)*IF(CrelanData!$H$2:$H$4000=Categorieën!$B$1,1,0)*CrelanData!$B$2:$B$4000)</f>
        <v>0</v>
      </c>
      <c r="F94" s="11">
        <f t="array" aca="1" ref="F94" ca="1">SUM(IF(MONTH(KBCCompData!$C$2:$C$4000)=MONTH(KBCCompSamenv!$A94),1,0)*IF(YEAR(KBCCompData!$C$2:$C$4000)=YEAR(KBCCompSamenv!$A94),1,0)*IF(KBCCompData!$G$2:$G$4000=F$1,1,0)*KBCCompData!$E$2:$E$4000)+SUM(IF(MONTH(CrelanData!$A$2:$A$4000)=MONTH(KBCCompSamenv!$A95),1,0)*IF(YEAR(CrelanData!$A$2:$A$4000)=YEAR(KBCCompSamenv!$A95),1,0)*IF(CrelanData!$H$2:$H$4000=Categorieën!$B$1,1,0)*CrelanData!$B$2:$B$4000)</f>
        <v>0</v>
      </c>
      <c r="G94" s="11">
        <f t="array" aca="1" ref="G94" ca="1">SUM(IF(MONTH(KBCCompData!$C$2:$C$4000)=MONTH(KBCCompSamenv!$A94),1,0)*IF(YEAR(KBCCompData!$C$2:$C$4000)=YEAR(KBCCompSamenv!$A94),1,0)*IF(KBCCompData!$G$2:$G$4000=G$1,1,0)*KBCCompData!$E$2:$E$4000)+SUM(IF(MONTH(CrelanData!$A$2:$A$4000)=MONTH(KBCCompSamenv!$A95),1,0)*IF(YEAR(CrelanData!$A$2:$A$4000)=YEAR(KBCCompSamenv!$A95),1,0)*IF(CrelanData!$H$2:$H$4000=Categorieën!$B$1,1,0)*CrelanData!$B$2:$B$4000)</f>
        <v>0</v>
      </c>
      <c r="H94" s="5">
        <f ca="1">KBCSpaarrekSamenv!D72</f>
        <v>0</v>
      </c>
    </row>
    <row r="95" spans="1:8" outlineLevel="1">
      <c r="A95" s="10">
        <v>39264</v>
      </c>
      <c r="B95" s="5">
        <f t="array" aca="1" ref="B95" ca="1">SUM((IF(MONTH(KBCCompData!$C$2:$C$4000)=MONTH(KBCCompSamenv!$A95),1,0))*(IF(YEAR(KBCCompData!$C$2:$C$4000)=YEAR(KBCCompSamenv!$A95),1,0))*(IF(KBCCompData!$E$2:$E$4000&lt;0,1,0))*KBCCompData!$E$2:$E$4000)</f>
        <v>0</v>
      </c>
      <c r="C95" s="11">
        <f t="array" aca="1" ref="C95" ca="1">SUM(IF(MONTH(KBCCompData!$C$2:$C$4000)=MONTH(KBCCompSamenv!$A95),1,0)*IF(YEAR(KBCCompData!$C$2:$C$4000)=YEAR(KBCCompSamenv!$A95),1,0)*IF(KBCCompData!$E$2:$E$4000&lt;0,1,0)*IF(KBCCompData!$G$2:$G$4000=Categorieën!$E$1,0,1)*IF(KBCCompData!$G$2:$G$4000=Categorieën!$F$1,0,1)*IF(KBCCompData!$G$2:$G$4000=Categorieën!$L$1,0,1)*KBCCompData!$E$2:$E$4000)</f>
        <v>0</v>
      </c>
      <c r="D95" s="11">
        <f ca="1">SUM(IF(MONTH(KBCCompData!$C$2:$C$4000)=MONTH(KBCCompSamenv!$A95),1,0)*IF(YEAR(KBCCompData!$C$2:$C$4000)=YEAR(KBCCompSamenv!$A95),1,0)*IF(KBCCompData!$E$2:$E$4000&gt;0,1,0)*KBCCompData!$E$2:$E$4000)</f>
        <v>0</v>
      </c>
      <c r="E95" s="11">
        <f t="array" aca="1" ref="E95" ca="1">SUM(IF(MONTH(KBCCompData!$C$2:$C$4000)=MONTH(KBCCompSamenv!$A95),1,0)*IF(YEAR(KBCCompData!$C$2:$C$4000)=YEAR(KBCCompSamenv!$A95),1,0)*IF(KBCCompData!$G$2:$G$4000=E$1,1,0)*KBCCompData!$E$2:$E$4000)+SUM(IF(MONTH(CrelanData!$A$2:$A$4000)=MONTH(KBCCompSamenv!$A96),1,0)*IF(YEAR(CrelanData!$A$2:$A$4000)=YEAR(KBCCompSamenv!$A96),1,0)*IF(CrelanData!$H$2:$H$4000=Categorieën!$B$1,1,0)*CrelanData!$B$2:$B$4000)</f>
        <v>0</v>
      </c>
      <c r="F95" s="11">
        <f t="array" aca="1" ref="F95" ca="1">SUM(IF(MONTH(KBCCompData!$C$2:$C$4000)=MONTH(KBCCompSamenv!$A95),1,0)*IF(YEAR(KBCCompData!$C$2:$C$4000)=YEAR(KBCCompSamenv!$A95),1,0)*IF(KBCCompData!$G$2:$G$4000=F$1,1,0)*KBCCompData!$E$2:$E$4000)+SUM(IF(MONTH(CrelanData!$A$2:$A$4000)=MONTH(KBCCompSamenv!$A96),1,0)*IF(YEAR(CrelanData!$A$2:$A$4000)=YEAR(KBCCompSamenv!$A96),1,0)*IF(CrelanData!$H$2:$H$4000=Categorieën!$B$1,1,0)*CrelanData!$B$2:$B$4000)</f>
        <v>0</v>
      </c>
      <c r="G95" s="11">
        <f t="array" aca="1" ref="G95" ca="1">SUM(IF(MONTH(KBCCompData!$C$2:$C$4000)=MONTH(KBCCompSamenv!$A95),1,0)*IF(YEAR(KBCCompData!$C$2:$C$4000)=YEAR(KBCCompSamenv!$A95),1,0)*IF(KBCCompData!$G$2:$G$4000=G$1,1,0)*KBCCompData!$E$2:$E$4000)+SUM(IF(MONTH(CrelanData!$A$2:$A$4000)=MONTH(KBCCompSamenv!$A96),1,0)*IF(YEAR(CrelanData!$A$2:$A$4000)=YEAR(KBCCompSamenv!$A96),1,0)*IF(CrelanData!$H$2:$H$4000=Categorieën!$B$1,1,0)*CrelanData!$B$2:$B$4000)</f>
        <v>0</v>
      </c>
      <c r="H95" s="5">
        <f ca="1">KBCSpaarrekSamenv!D73</f>
        <v>0</v>
      </c>
    </row>
    <row r="96" spans="1:8" outlineLevel="1">
      <c r="A96" s="10">
        <v>39295</v>
      </c>
      <c r="B96" s="5">
        <f t="array" aca="1" ref="B96" ca="1">SUM((IF(MONTH(KBCCompData!$C$2:$C$4000)=MONTH(KBCCompSamenv!$A96),1,0))*(IF(YEAR(KBCCompData!$C$2:$C$4000)=YEAR(KBCCompSamenv!$A96),1,0))*(IF(KBCCompData!$E$2:$E$4000&lt;0,1,0))*KBCCompData!$E$2:$E$4000)</f>
        <v>0</v>
      </c>
      <c r="C96" s="11">
        <f t="array" aca="1" ref="C96" ca="1">SUM(IF(MONTH(KBCCompData!$C$2:$C$4000)=MONTH(KBCCompSamenv!$A96),1,0)*IF(YEAR(KBCCompData!$C$2:$C$4000)=YEAR(KBCCompSamenv!$A96),1,0)*IF(KBCCompData!$E$2:$E$4000&lt;0,1,0)*IF(KBCCompData!$G$2:$G$4000=Categorieën!$E$1,0,1)*IF(KBCCompData!$G$2:$G$4000=Categorieën!$F$1,0,1)*IF(KBCCompData!$G$2:$G$4000=Categorieën!$L$1,0,1)*KBCCompData!$E$2:$E$4000)</f>
        <v>0</v>
      </c>
      <c r="D96" s="11">
        <f ca="1">SUM(IF(MONTH(KBCCompData!$C$2:$C$4000)=MONTH(KBCCompSamenv!$A96),1,0)*IF(YEAR(KBCCompData!$C$2:$C$4000)=YEAR(KBCCompSamenv!$A96),1,0)*IF(KBCCompData!$E$2:$E$4000&gt;0,1,0)*KBCCompData!$E$2:$E$4000)</f>
        <v>0</v>
      </c>
      <c r="E96" s="11">
        <f t="array" aca="1" ref="E96" ca="1">SUM(IF(MONTH(KBCCompData!$C$2:$C$4000)=MONTH(KBCCompSamenv!$A96),1,0)*IF(YEAR(KBCCompData!$C$2:$C$4000)=YEAR(KBCCompSamenv!$A96),1,0)*IF(KBCCompData!$G$2:$G$4000=E$1,1,0)*KBCCompData!$E$2:$E$4000)+SUM(IF(MONTH(CrelanData!$A$2:$A$4000)=MONTH(KBCCompSamenv!$A97),1,0)*IF(YEAR(CrelanData!$A$2:$A$4000)=YEAR(KBCCompSamenv!$A97),1,0)*IF(CrelanData!$H$2:$H$4000=Categorieën!$B$1,1,0)*CrelanData!$B$2:$B$4000)</f>
        <v>0</v>
      </c>
      <c r="F96" s="11">
        <f t="array" aca="1" ref="F96" ca="1">SUM(IF(MONTH(KBCCompData!$C$2:$C$4000)=MONTH(KBCCompSamenv!$A96),1,0)*IF(YEAR(KBCCompData!$C$2:$C$4000)=YEAR(KBCCompSamenv!$A96),1,0)*IF(KBCCompData!$G$2:$G$4000=F$1,1,0)*KBCCompData!$E$2:$E$4000)+SUM(IF(MONTH(CrelanData!$A$2:$A$4000)=MONTH(KBCCompSamenv!$A97),1,0)*IF(YEAR(CrelanData!$A$2:$A$4000)=YEAR(KBCCompSamenv!$A97),1,0)*IF(CrelanData!$H$2:$H$4000=Categorieën!$B$1,1,0)*CrelanData!$B$2:$B$4000)</f>
        <v>0</v>
      </c>
      <c r="G96" s="11">
        <f t="array" aca="1" ref="G96" ca="1">SUM(IF(MONTH(KBCCompData!$C$2:$C$4000)=MONTH(KBCCompSamenv!$A96),1,0)*IF(YEAR(KBCCompData!$C$2:$C$4000)=YEAR(KBCCompSamenv!$A96),1,0)*IF(KBCCompData!$G$2:$G$4000=G$1,1,0)*KBCCompData!$E$2:$E$4000)+SUM(IF(MONTH(CrelanData!$A$2:$A$4000)=MONTH(KBCCompSamenv!$A97),1,0)*IF(YEAR(CrelanData!$A$2:$A$4000)=YEAR(KBCCompSamenv!$A97),1,0)*IF(CrelanData!$H$2:$H$4000=Categorieën!$B$1,1,0)*CrelanData!$B$2:$B$4000)</f>
        <v>0</v>
      </c>
      <c r="H96" s="5">
        <f ca="1">KBCSpaarrekSamenv!D74</f>
        <v>0</v>
      </c>
    </row>
    <row r="97" spans="1:8" outlineLevel="1">
      <c r="A97" s="10">
        <v>39326</v>
      </c>
      <c r="B97" s="5">
        <f t="array" aca="1" ref="B97" ca="1">SUM((IF(MONTH(KBCCompData!$C$2:$C$4000)=MONTH(KBCCompSamenv!$A97),1,0))*(IF(YEAR(KBCCompData!$C$2:$C$4000)=YEAR(KBCCompSamenv!$A97),1,0))*(IF(KBCCompData!$E$2:$E$4000&lt;0,1,0))*KBCCompData!$E$2:$E$4000)</f>
        <v>0</v>
      </c>
      <c r="C97" s="11">
        <f t="array" aca="1" ref="C97" ca="1">SUM(IF(MONTH(KBCCompData!$C$2:$C$4000)=MONTH(KBCCompSamenv!$A97),1,0)*IF(YEAR(KBCCompData!$C$2:$C$4000)=YEAR(KBCCompSamenv!$A97),1,0)*IF(KBCCompData!$E$2:$E$4000&lt;0,1,0)*IF(KBCCompData!$G$2:$G$4000=Categorieën!$E$1,0,1)*IF(KBCCompData!$G$2:$G$4000=Categorieën!$F$1,0,1)*IF(KBCCompData!$G$2:$G$4000=Categorieën!$L$1,0,1)*KBCCompData!$E$2:$E$4000)</f>
        <v>0</v>
      </c>
      <c r="D97" s="11">
        <f ca="1">SUM(IF(MONTH(KBCCompData!$C$2:$C$4000)=MONTH(KBCCompSamenv!$A97),1,0)*IF(YEAR(KBCCompData!$C$2:$C$4000)=YEAR(KBCCompSamenv!$A97),1,0)*IF(KBCCompData!$E$2:$E$4000&gt;0,1,0)*KBCCompData!$E$2:$E$4000)</f>
        <v>0</v>
      </c>
      <c r="E97" s="11">
        <f t="array" aca="1" ref="E97" ca="1">SUM(IF(MONTH(KBCCompData!$C$2:$C$4000)=MONTH(KBCCompSamenv!$A97),1,0)*IF(YEAR(KBCCompData!$C$2:$C$4000)=YEAR(KBCCompSamenv!$A97),1,0)*IF(KBCCompData!$G$2:$G$4000=E$1,1,0)*KBCCompData!$E$2:$E$4000)+SUM(IF(MONTH(CrelanData!$A$2:$A$4000)=MONTH(KBCCompSamenv!$A98),1,0)*IF(YEAR(CrelanData!$A$2:$A$4000)=YEAR(KBCCompSamenv!$A98),1,0)*IF(CrelanData!$H$2:$H$4000=Categorieën!$B$1,1,0)*CrelanData!$B$2:$B$4000)</f>
        <v>0</v>
      </c>
      <c r="F97" s="11">
        <f t="array" aca="1" ref="F97" ca="1">SUM(IF(MONTH(KBCCompData!$C$2:$C$4000)=MONTH(KBCCompSamenv!$A97),1,0)*IF(YEAR(KBCCompData!$C$2:$C$4000)=YEAR(KBCCompSamenv!$A97),1,0)*IF(KBCCompData!$G$2:$G$4000=F$1,1,0)*KBCCompData!$E$2:$E$4000)+SUM(IF(MONTH(CrelanData!$A$2:$A$4000)=MONTH(KBCCompSamenv!$A98),1,0)*IF(YEAR(CrelanData!$A$2:$A$4000)=YEAR(KBCCompSamenv!$A98),1,0)*IF(CrelanData!$H$2:$H$4000=Categorieën!$B$1,1,0)*CrelanData!$B$2:$B$4000)</f>
        <v>0</v>
      </c>
      <c r="G97" s="11">
        <f t="array" aca="1" ref="G97" ca="1">SUM(IF(MONTH(KBCCompData!$C$2:$C$4000)=MONTH(KBCCompSamenv!$A97),1,0)*IF(YEAR(KBCCompData!$C$2:$C$4000)=YEAR(KBCCompSamenv!$A97),1,0)*IF(KBCCompData!$G$2:$G$4000=G$1,1,0)*KBCCompData!$E$2:$E$4000)+SUM(IF(MONTH(CrelanData!$A$2:$A$4000)=MONTH(KBCCompSamenv!$A98),1,0)*IF(YEAR(CrelanData!$A$2:$A$4000)=YEAR(KBCCompSamenv!$A98),1,0)*IF(CrelanData!$H$2:$H$4000=Categorieën!$B$1,1,0)*CrelanData!$B$2:$B$4000)</f>
        <v>0</v>
      </c>
      <c r="H97" s="5">
        <f ca="1">KBCSpaarrekSamenv!D75</f>
        <v>0</v>
      </c>
    </row>
    <row r="98" spans="1:8" outlineLevel="1">
      <c r="A98" s="10">
        <v>39356</v>
      </c>
      <c r="B98" s="5">
        <f t="array" aca="1" ref="B98" ca="1">SUM((IF(MONTH(KBCCompData!$C$2:$C$4000)=MONTH(KBCCompSamenv!$A98),1,0))*(IF(YEAR(KBCCompData!$C$2:$C$4000)=YEAR(KBCCompSamenv!$A98),1,0))*(IF(KBCCompData!$E$2:$E$4000&lt;0,1,0))*KBCCompData!$E$2:$E$4000)</f>
        <v>0</v>
      </c>
      <c r="C98" s="11">
        <f t="array" aca="1" ref="C98" ca="1">SUM(IF(MONTH(KBCCompData!$C$2:$C$4000)=MONTH(KBCCompSamenv!$A98),1,0)*IF(YEAR(KBCCompData!$C$2:$C$4000)=YEAR(KBCCompSamenv!$A98),1,0)*IF(KBCCompData!$E$2:$E$4000&lt;0,1,0)*IF(KBCCompData!$G$2:$G$4000=Categorieën!$E$1,0,1)*IF(KBCCompData!$G$2:$G$4000=Categorieën!$F$1,0,1)*IF(KBCCompData!$G$2:$G$4000=Categorieën!$L$1,0,1)*KBCCompData!$E$2:$E$4000)</f>
        <v>0</v>
      </c>
      <c r="D98" s="11">
        <f ca="1">SUM(IF(MONTH(KBCCompData!$C$2:$C$4000)=MONTH(KBCCompSamenv!$A98),1,0)*IF(YEAR(KBCCompData!$C$2:$C$4000)=YEAR(KBCCompSamenv!$A98),1,0)*IF(KBCCompData!$E$2:$E$4000&gt;0,1,0)*KBCCompData!$E$2:$E$4000)</f>
        <v>0</v>
      </c>
      <c r="E98" s="11">
        <f t="array" aca="1" ref="E98" ca="1">SUM(IF(MONTH(KBCCompData!$C$2:$C$4000)=MONTH(KBCCompSamenv!$A98),1,0)*IF(YEAR(KBCCompData!$C$2:$C$4000)=YEAR(KBCCompSamenv!$A98),1,0)*IF(KBCCompData!$G$2:$G$4000=E$1,1,0)*KBCCompData!$E$2:$E$4000)+SUM(IF(MONTH(CrelanData!$A$2:$A$4000)=MONTH(KBCCompSamenv!$A99),1,0)*IF(YEAR(CrelanData!$A$2:$A$4000)=YEAR(KBCCompSamenv!$A99),1,0)*IF(CrelanData!$H$2:$H$4000=Categorieën!$B$1,1,0)*CrelanData!$B$2:$B$4000)</f>
        <v>0</v>
      </c>
      <c r="F98" s="11">
        <f t="array" aca="1" ref="F98" ca="1">SUM(IF(MONTH(KBCCompData!$C$2:$C$4000)=MONTH(KBCCompSamenv!$A98),1,0)*IF(YEAR(KBCCompData!$C$2:$C$4000)=YEAR(KBCCompSamenv!$A98),1,0)*IF(KBCCompData!$G$2:$G$4000=F$1,1,0)*KBCCompData!$E$2:$E$4000)+SUM(IF(MONTH(CrelanData!$A$2:$A$4000)=MONTH(KBCCompSamenv!$A99),1,0)*IF(YEAR(CrelanData!$A$2:$A$4000)=YEAR(KBCCompSamenv!$A99),1,0)*IF(CrelanData!$H$2:$H$4000=Categorieën!$B$1,1,0)*CrelanData!$B$2:$B$4000)</f>
        <v>0</v>
      </c>
      <c r="G98" s="11">
        <f t="array" aca="1" ref="G98" ca="1">SUM(IF(MONTH(KBCCompData!$C$2:$C$4000)=MONTH(KBCCompSamenv!$A98),1,0)*IF(YEAR(KBCCompData!$C$2:$C$4000)=YEAR(KBCCompSamenv!$A98),1,0)*IF(KBCCompData!$G$2:$G$4000=G$1,1,0)*KBCCompData!$E$2:$E$4000)+SUM(IF(MONTH(CrelanData!$A$2:$A$4000)=MONTH(KBCCompSamenv!$A99),1,0)*IF(YEAR(CrelanData!$A$2:$A$4000)=YEAR(KBCCompSamenv!$A99),1,0)*IF(CrelanData!$H$2:$H$4000=Categorieën!$B$1,1,0)*CrelanData!$B$2:$B$4000)</f>
        <v>0</v>
      </c>
      <c r="H98" s="5">
        <f ca="1">KBCSpaarrekSamenv!D76</f>
        <v>0</v>
      </c>
    </row>
    <row r="99" spans="1:8" outlineLevel="1">
      <c r="A99" s="10">
        <v>39387</v>
      </c>
      <c r="B99" s="5">
        <f t="array" aca="1" ref="B99" ca="1">SUM((IF(MONTH(KBCCompData!$C$2:$C$4000)=MONTH(KBCCompSamenv!$A99),1,0))*(IF(YEAR(KBCCompData!$C$2:$C$4000)=YEAR(KBCCompSamenv!$A99),1,0))*(IF(KBCCompData!$E$2:$E$4000&lt;0,1,0))*KBCCompData!$E$2:$E$4000)</f>
        <v>0</v>
      </c>
      <c r="C99" s="11">
        <f t="array" aca="1" ref="C99" ca="1">SUM(IF(MONTH(KBCCompData!$C$2:$C$4000)=MONTH(KBCCompSamenv!$A99),1,0)*IF(YEAR(KBCCompData!$C$2:$C$4000)=YEAR(KBCCompSamenv!$A99),1,0)*IF(KBCCompData!$E$2:$E$4000&lt;0,1,0)*IF(KBCCompData!$G$2:$G$4000=Categorieën!$E$1,0,1)*IF(KBCCompData!$G$2:$G$4000=Categorieën!$F$1,0,1)*IF(KBCCompData!$G$2:$G$4000=Categorieën!$L$1,0,1)*KBCCompData!$E$2:$E$4000)</f>
        <v>0</v>
      </c>
      <c r="D99" s="11">
        <f ca="1">SUM(IF(MONTH(KBCCompData!$C$2:$C$4000)=MONTH(KBCCompSamenv!$A99),1,0)*IF(YEAR(KBCCompData!$C$2:$C$4000)=YEAR(KBCCompSamenv!$A99),1,0)*IF(KBCCompData!$E$2:$E$4000&gt;0,1,0)*KBCCompData!$E$2:$E$4000)</f>
        <v>0</v>
      </c>
      <c r="E99" s="11">
        <f t="array" aca="1" ref="E99" ca="1">SUM(IF(MONTH(KBCCompData!$C$2:$C$4000)=MONTH(KBCCompSamenv!$A99),1,0)*IF(YEAR(KBCCompData!$C$2:$C$4000)=YEAR(KBCCompSamenv!$A99),1,0)*IF(KBCCompData!$G$2:$G$4000=E$1,1,0)*KBCCompData!$E$2:$E$4000)+SUM(IF(MONTH(CrelanData!$A$2:$A$4000)=MONTH(KBCCompSamenv!$A100),1,0)*IF(YEAR(CrelanData!$A$2:$A$4000)=YEAR(KBCCompSamenv!$A100),1,0)*IF(CrelanData!$H$2:$H$4000=Categorieën!$B$1,1,0)*CrelanData!$B$2:$B$4000)</f>
        <v>0</v>
      </c>
      <c r="F99" s="11">
        <f t="array" aca="1" ref="F99" ca="1">SUM(IF(MONTH(KBCCompData!$C$2:$C$4000)=MONTH(KBCCompSamenv!$A99),1,0)*IF(YEAR(KBCCompData!$C$2:$C$4000)=YEAR(KBCCompSamenv!$A99),1,0)*IF(KBCCompData!$G$2:$G$4000=F$1,1,0)*KBCCompData!$E$2:$E$4000)+SUM(IF(MONTH(CrelanData!$A$2:$A$4000)=MONTH(KBCCompSamenv!$A100),1,0)*IF(YEAR(CrelanData!$A$2:$A$4000)=YEAR(KBCCompSamenv!$A100),1,0)*IF(CrelanData!$H$2:$H$4000=Categorieën!$B$1,1,0)*CrelanData!$B$2:$B$4000)</f>
        <v>0</v>
      </c>
      <c r="G99" s="11">
        <f t="array" aca="1" ref="G99" ca="1">SUM(IF(MONTH(KBCCompData!$C$2:$C$4000)=MONTH(KBCCompSamenv!$A99),1,0)*IF(YEAR(KBCCompData!$C$2:$C$4000)=YEAR(KBCCompSamenv!$A99),1,0)*IF(KBCCompData!$G$2:$G$4000=G$1,1,0)*KBCCompData!$E$2:$E$4000)+SUM(IF(MONTH(CrelanData!$A$2:$A$4000)=MONTH(KBCCompSamenv!$A100),1,0)*IF(YEAR(CrelanData!$A$2:$A$4000)=YEAR(KBCCompSamenv!$A100),1,0)*IF(CrelanData!$H$2:$H$4000=Categorieën!$B$1,1,0)*CrelanData!$B$2:$B$4000)</f>
        <v>0</v>
      </c>
      <c r="H99" s="5">
        <f ca="1">KBCSpaarrekSamenv!D77</f>
        <v>0</v>
      </c>
    </row>
    <row r="100" spans="1:8">
      <c r="A100" s="10">
        <v>39417</v>
      </c>
      <c r="B100" s="5">
        <f t="array" aca="1" ref="B100" ca="1">SUM((IF(MONTH(KBCCompData!$C$2:$C$4000)=MONTH(KBCCompSamenv!$A100),1,0))*(IF(YEAR(KBCCompData!$C$2:$C$4000)=YEAR(KBCCompSamenv!$A100),1,0))*(IF(KBCCompData!$E$2:$E$4000&lt;0,1,0))*KBCCompData!$E$2:$E$4000)</f>
        <v>0</v>
      </c>
      <c r="C100" s="11">
        <f t="array" aca="1" ref="C100" ca="1">SUM(IF(MONTH(KBCCompData!$C$2:$C$4000)=MONTH(KBCCompSamenv!$A100),1,0)*IF(YEAR(KBCCompData!$C$2:$C$4000)=YEAR(KBCCompSamenv!$A100),1,0)*IF(KBCCompData!$E$2:$E$4000&lt;0,1,0)*IF(KBCCompData!$G$2:$G$4000=Categorieën!$E$1,0,1)*IF(KBCCompData!$G$2:$G$4000=Categorieën!$F$1,0,1)*IF(KBCCompData!$G$2:$G$4000=Categorieën!$L$1,0,1)*KBCCompData!$E$2:$E$4000)</f>
        <v>0</v>
      </c>
      <c r="D100" s="11">
        <f ca="1">SUM(IF(MONTH(KBCCompData!$C$2:$C$4000)=MONTH(KBCCompSamenv!$A100),1,0)*IF(YEAR(KBCCompData!$C$2:$C$4000)=YEAR(KBCCompSamenv!$A100),1,0)*IF(KBCCompData!$E$2:$E$4000&gt;0,1,0)*KBCCompData!$E$2:$E$4000)</f>
        <v>0</v>
      </c>
      <c r="E100" s="11">
        <f t="array" aca="1" ref="E100" ca="1">SUM(IF(MONTH(KBCCompData!$C$2:$C$4000)=MONTH(KBCCompSamenv!$A100),1,0)*IF(YEAR(KBCCompData!$C$2:$C$4000)=YEAR(KBCCompSamenv!$A100),1,0)*IF(KBCCompData!$G$2:$G$4000=E$1,1,0)*KBCCompData!$E$2:$E$4000)+SUM(IF(MONTH(CrelanData!$A$2:$A$4000)=MONTH(KBCCompSamenv!$A101),1,0)*IF(YEAR(CrelanData!$A$2:$A$4000)=YEAR(KBCCompSamenv!$A101),1,0)*IF(CrelanData!$H$2:$H$4000=Categorieën!$B$1,1,0)*CrelanData!$B$2:$B$4000)</f>
        <v>0</v>
      </c>
      <c r="F100" s="11">
        <f t="array" aca="1" ref="F100" ca="1">SUM(IF(MONTH(KBCCompData!$C$2:$C$4000)=MONTH(KBCCompSamenv!$A100),1,0)*IF(YEAR(KBCCompData!$C$2:$C$4000)=YEAR(KBCCompSamenv!$A100),1,0)*IF(KBCCompData!$G$2:$G$4000=F$1,1,0)*KBCCompData!$E$2:$E$4000)+SUM(IF(MONTH(CrelanData!$A$2:$A$4000)=MONTH(KBCCompSamenv!$A101),1,0)*IF(YEAR(CrelanData!$A$2:$A$4000)=YEAR(KBCCompSamenv!$A101),1,0)*IF(CrelanData!$H$2:$H$4000=Categorieën!$B$1,1,0)*CrelanData!$B$2:$B$4000)</f>
        <v>0</v>
      </c>
      <c r="G100" s="11">
        <f t="array" aca="1" ref="G100" ca="1">SUM(IF(MONTH(KBCCompData!$C$2:$C$4000)=MONTH(KBCCompSamenv!$A100),1,0)*IF(YEAR(KBCCompData!$C$2:$C$4000)=YEAR(KBCCompSamenv!$A100),1,0)*IF(KBCCompData!$G$2:$G$4000=G$1,1,0)*KBCCompData!$E$2:$E$4000)+SUM(IF(MONTH(CrelanData!$A$2:$A$4000)=MONTH(KBCCompSamenv!$A101),1,0)*IF(YEAR(CrelanData!$A$2:$A$4000)=YEAR(KBCCompSamenv!$A101),1,0)*IF(CrelanData!$H$2:$H$4000=Categorieën!$B$1,1,0)*CrelanData!$B$2:$B$4000)</f>
        <v>0</v>
      </c>
      <c r="H100" s="5">
        <f ca="1">KBCSpaarrekSamenv!D78</f>
        <v>0</v>
      </c>
    </row>
    <row r="101" spans="1:8" outlineLevel="1">
      <c r="A101" s="10">
        <v>39448</v>
      </c>
      <c r="B101" s="5">
        <f t="array" aca="1" ref="B101" ca="1">SUM((IF(MONTH(KBCCompData!$C$2:$C$4000)=MONTH(KBCCompSamenv!$A101),1,0))*(IF(YEAR(KBCCompData!$C$2:$C$4000)=YEAR(KBCCompSamenv!$A101),1,0))*(IF(KBCCompData!$E$2:$E$4000&lt;0,1,0))*KBCCompData!$E$2:$E$4000)</f>
        <v>0</v>
      </c>
      <c r="C101" s="11">
        <f t="array" aca="1" ref="C101" ca="1">SUM(IF(MONTH(KBCCompData!$C$2:$C$4000)=MONTH(KBCCompSamenv!$A101),1,0)*IF(YEAR(KBCCompData!$C$2:$C$4000)=YEAR(KBCCompSamenv!$A101),1,0)*IF(KBCCompData!$E$2:$E$4000&lt;0,1,0)*IF(KBCCompData!$G$2:$G$4000=Categorieën!$E$1,0,1)*IF(KBCCompData!$G$2:$G$4000=Categorieën!$F$1,0,1)*IF(KBCCompData!$G$2:$G$4000=Categorieën!$L$1,0,1)*KBCCompData!$E$2:$E$4000)</f>
        <v>0</v>
      </c>
      <c r="D101" s="11">
        <f ca="1">SUM(IF(MONTH(KBCCompData!$C$2:$C$4000)=MONTH(KBCCompSamenv!$A101),1,0)*IF(YEAR(KBCCompData!$C$2:$C$4000)=YEAR(KBCCompSamenv!$A101),1,0)*IF(KBCCompData!$E$2:$E$4000&gt;0,1,0)*KBCCompData!$E$2:$E$4000)</f>
        <v>0</v>
      </c>
      <c r="E101" s="11">
        <f t="array" aca="1" ref="E101" ca="1">SUM(IF(MONTH(KBCCompData!$C$2:$C$4000)=MONTH(KBCCompSamenv!$A101),1,0)*IF(YEAR(KBCCompData!$C$2:$C$4000)=YEAR(KBCCompSamenv!$A101),1,0)*IF(KBCCompData!$G$2:$G$4000=E$1,1,0)*KBCCompData!$E$2:$E$4000)+SUM(IF(MONTH(CrelanData!$A$2:$A$4000)=MONTH(KBCCompSamenv!$A102),1,0)*IF(YEAR(CrelanData!$A$2:$A$4000)=YEAR(KBCCompSamenv!$A102),1,0)*IF(CrelanData!$H$2:$H$4000=Categorieën!$B$1,1,0)*CrelanData!$B$2:$B$4000)</f>
        <v>0</v>
      </c>
      <c r="F101" s="11">
        <f t="array" aca="1" ref="F101" ca="1">SUM(IF(MONTH(KBCCompData!$C$2:$C$4000)=MONTH(KBCCompSamenv!$A101),1,0)*IF(YEAR(KBCCompData!$C$2:$C$4000)=YEAR(KBCCompSamenv!$A101),1,0)*IF(KBCCompData!$G$2:$G$4000=F$1,1,0)*KBCCompData!$E$2:$E$4000)+SUM(IF(MONTH(CrelanData!$A$2:$A$4000)=MONTH(KBCCompSamenv!$A102),1,0)*IF(YEAR(CrelanData!$A$2:$A$4000)=YEAR(KBCCompSamenv!$A102),1,0)*IF(CrelanData!$H$2:$H$4000=Categorieën!$B$1,1,0)*CrelanData!$B$2:$B$4000)</f>
        <v>0</v>
      </c>
      <c r="G101" s="11">
        <f t="array" aca="1" ref="G101" ca="1">SUM(IF(MONTH(KBCCompData!$C$2:$C$4000)=MONTH(KBCCompSamenv!$A101),1,0)*IF(YEAR(KBCCompData!$C$2:$C$4000)=YEAR(KBCCompSamenv!$A101),1,0)*IF(KBCCompData!$G$2:$G$4000=G$1,1,0)*KBCCompData!$E$2:$E$4000)+SUM(IF(MONTH(CrelanData!$A$2:$A$4000)=MONTH(KBCCompSamenv!$A102),1,0)*IF(YEAR(CrelanData!$A$2:$A$4000)=YEAR(KBCCompSamenv!$A102),1,0)*IF(CrelanData!$H$2:$H$4000=Categorieën!$B$1,1,0)*CrelanData!$B$2:$B$4000)</f>
        <v>0</v>
      </c>
      <c r="H101" s="5">
        <f ca="1">KBCSpaarrekSamenv!D79</f>
        <v>0</v>
      </c>
    </row>
    <row r="102" spans="1:8" outlineLevel="1">
      <c r="A102" s="10">
        <v>39479</v>
      </c>
      <c r="B102" s="5">
        <f t="array" aca="1" ref="B102" ca="1">SUM((IF(MONTH(KBCCompData!$C$2:$C$4000)=MONTH(KBCCompSamenv!$A102),1,0))*(IF(YEAR(KBCCompData!$C$2:$C$4000)=YEAR(KBCCompSamenv!$A102),1,0))*(IF(KBCCompData!$E$2:$E$4000&lt;0,1,0))*KBCCompData!$E$2:$E$4000)</f>
        <v>0</v>
      </c>
      <c r="C102" s="11">
        <f t="array" aca="1" ref="C102" ca="1">SUM(IF(MONTH(KBCCompData!$C$2:$C$4000)=MONTH(KBCCompSamenv!$A102),1,0)*IF(YEAR(KBCCompData!$C$2:$C$4000)=YEAR(KBCCompSamenv!$A102),1,0)*IF(KBCCompData!$E$2:$E$4000&lt;0,1,0)*IF(KBCCompData!$G$2:$G$4000=Categorieën!$E$1,0,1)*IF(KBCCompData!$G$2:$G$4000=Categorieën!$F$1,0,1)*IF(KBCCompData!$G$2:$G$4000=Categorieën!$L$1,0,1)*KBCCompData!$E$2:$E$4000)</f>
        <v>0</v>
      </c>
      <c r="D102" s="11">
        <f ca="1">SUM(IF(MONTH(KBCCompData!$C$2:$C$4000)=MONTH(KBCCompSamenv!$A102),1,0)*IF(YEAR(KBCCompData!$C$2:$C$4000)=YEAR(KBCCompSamenv!$A102),1,0)*IF(KBCCompData!$E$2:$E$4000&gt;0,1,0)*KBCCompData!$E$2:$E$4000)</f>
        <v>0</v>
      </c>
      <c r="E102" s="11">
        <f t="array" aca="1" ref="E102" ca="1">SUM(IF(MONTH(KBCCompData!$C$2:$C$4000)=MONTH(KBCCompSamenv!$A102),1,0)*IF(YEAR(KBCCompData!$C$2:$C$4000)=YEAR(KBCCompSamenv!$A102),1,0)*IF(KBCCompData!$G$2:$G$4000=E$1,1,0)*KBCCompData!$E$2:$E$4000)+SUM(IF(MONTH(CrelanData!$A$2:$A$4000)=MONTH(KBCCompSamenv!$A103),1,0)*IF(YEAR(CrelanData!$A$2:$A$4000)=YEAR(KBCCompSamenv!$A103),1,0)*IF(CrelanData!$H$2:$H$4000=Categorieën!$B$1,1,0)*CrelanData!$B$2:$B$4000)</f>
        <v>0</v>
      </c>
      <c r="F102" s="11">
        <f t="array" aca="1" ref="F102" ca="1">SUM(IF(MONTH(KBCCompData!$C$2:$C$4000)=MONTH(KBCCompSamenv!$A102),1,0)*IF(YEAR(KBCCompData!$C$2:$C$4000)=YEAR(KBCCompSamenv!$A102),1,0)*IF(KBCCompData!$G$2:$G$4000=F$1,1,0)*KBCCompData!$E$2:$E$4000)+SUM(IF(MONTH(CrelanData!$A$2:$A$4000)=MONTH(KBCCompSamenv!$A103),1,0)*IF(YEAR(CrelanData!$A$2:$A$4000)=YEAR(KBCCompSamenv!$A103),1,0)*IF(CrelanData!$H$2:$H$4000=Categorieën!$B$1,1,0)*CrelanData!$B$2:$B$4000)</f>
        <v>0</v>
      </c>
      <c r="G102" s="11">
        <f t="array" aca="1" ref="G102" ca="1">SUM(IF(MONTH(KBCCompData!$C$2:$C$4000)=MONTH(KBCCompSamenv!$A102),1,0)*IF(YEAR(KBCCompData!$C$2:$C$4000)=YEAR(KBCCompSamenv!$A102),1,0)*IF(KBCCompData!$G$2:$G$4000=G$1,1,0)*KBCCompData!$E$2:$E$4000)+SUM(IF(MONTH(CrelanData!$A$2:$A$4000)=MONTH(KBCCompSamenv!$A103),1,0)*IF(YEAR(CrelanData!$A$2:$A$4000)=YEAR(KBCCompSamenv!$A103),1,0)*IF(CrelanData!$H$2:$H$4000=Categorieën!$B$1,1,0)*CrelanData!$B$2:$B$4000)</f>
        <v>0</v>
      </c>
      <c r="H102" s="5">
        <f ca="1">KBCSpaarrekSamenv!D80</f>
        <v>0</v>
      </c>
    </row>
    <row r="103" spans="1:8" outlineLevel="1">
      <c r="A103" s="10">
        <v>39508</v>
      </c>
      <c r="B103" s="5">
        <f t="array" aca="1" ref="B103" ca="1">SUM((IF(MONTH(KBCCompData!$C$2:$C$4000)=MONTH(KBCCompSamenv!$A103),1,0))*(IF(YEAR(KBCCompData!$C$2:$C$4000)=YEAR(KBCCompSamenv!$A103),1,0))*(IF(KBCCompData!$E$2:$E$4000&lt;0,1,0))*KBCCompData!$E$2:$E$4000)</f>
        <v>0</v>
      </c>
      <c r="C103" s="11">
        <f t="array" aca="1" ref="C103" ca="1">SUM(IF(MONTH(KBCCompData!$C$2:$C$4000)=MONTH(KBCCompSamenv!$A103),1,0)*IF(YEAR(KBCCompData!$C$2:$C$4000)=YEAR(KBCCompSamenv!$A103),1,0)*IF(KBCCompData!$E$2:$E$4000&lt;0,1,0)*IF(KBCCompData!$G$2:$G$4000=Categorieën!$E$1,0,1)*IF(KBCCompData!$G$2:$G$4000=Categorieën!$F$1,0,1)*IF(KBCCompData!$G$2:$G$4000=Categorieën!$L$1,0,1)*KBCCompData!$E$2:$E$4000)</f>
        <v>0</v>
      </c>
      <c r="D103" s="11">
        <f ca="1">SUM(IF(MONTH(KBCCompData!$C$2:$C$4000)=MONTH(KBCCompSamenv!$A103),1,0)*IF(YEAR(KBCCompData!$C$2:$C$4000)=YEAR(KBCCompSamenv!$A103),1,0)*IF(KBCCompData!$E$2:$E$4000&gt;0,1,0)*KBCCompData!$E$2:$E$4000)</f>
        <v>0</v>
      </c>
      <c r="E103" s="11">
        <f t="array" aca="1" ref="E103" ca="1">SUM(IF(MONTH(KBCCompData!$C$2:$C$4000)=MONTH(KBCCompSamenv!$A103),1,0)*IF(YEAR(KBCCompData!$C$2:$C$4000)=YEAR(KBCCompSamenv!$A103),1,0)*IF(KBCCompData!$G$2:$G$4000=E$1,1,0)*KBCCompData!$E$2:$E$4000)+SUM(IF(MONTH(CrelanData!$A$2:$A$4000)=MONTH(KBCCompSamenv!$A104),1,0)*IF(YEAR(CrelanData!$A$2:$A$4000)=YEAR(KBCCompSamenv!$A104),1,0)*IF(CrelanData!$H$2:$H$4000=Categorieën!$B$1,1,0)*CrelanData!$B$2:$B$4000)</f>
        <v>0</v>
      </c>
      <c r="F103" s="11">
        <f t="array" aca="1" ref="F103" ca="1">SUM(IF(MONTH(KBCCompData!$C$2:$C$4000)=MONTH(KBCCompSamenv!$A103),1,0)*IF(YEAR(KBCCompData!$C$2:$C$4000)=YEAR(KBCCompSamenv!$A103),1,0)*IF(KBCCompData!$G$2:$G$4000=F$1,1,0)*KBCCompData!$E$2:$E$4000)+SUM(IF(MONTH(CrelanData!$A$2:$A$4000)=MONTH(KBCCompSamenv!$A104),1,0)*IF(YEAR(CrelanData!$A$2:$A$4000)=YEAR(KBCCompSamenv!$A104),1,0)*IF(CrelanData!$H$2:$H$4000=Categorieën!$B$1,1,0)*CrelanData!$B$2:$B$4000)</f>
        <v>0</v>
      </c>
      <c r="G103" s="11">
        <f t="array" aca="1" ref="G103" ca="1">SUM(IF(MONTH(KBCCompData!$C$2:$C$4000)=MONTH(KBCCompSamenv!$A103),1,0)*IF(YEAR(KBCCompData!$C$2:$C$4000)=YEAR(KBCCompSamenv!$A103),1,0)*IF(KBCCompData!$G$2:$G$4000=G$1,1,0)*KBCCompData!$E$2:$E$4000)+SUM(IF(MONTH(CrelanData!$A$2:$A$4000)=MONTH(KBCCompSamenv!$A104),1,0)*IF(YEAR(CrelanData!$A$2:$A$4000)=YEAR(KBCCompSamenv!$A104),1,0)*IF(CrelanData!$H$2:$H$4000=Categorieën!$B$1,1,0)*CrelanData!$B$2:$B$4000)</f>
        <v>0</v>
      </c>
      <c r="H103" s="5">
        <f ca="1">KBCSpaarrekSamenv!D81</f>
        <v>0</v>
      </c>
    </row>
    <row r="104" spans="1:8" outlineLevel="1">
      <c r="A104" s="10">
        <v>39539</v>
      </c>
      <c r="B104" s="5">
        <f t="array" aca="1" ref="B104" ca="1">SUM((IF(MONTH(KBCCompData!$C$2:$C$4000)=MONTH(KBCCompSamenv!$A104),1,0))*(IF(YEAR(KBCCompData!$C$2:$C$4000)=YEAR(KBCCompSamenv!$A104),1,0))*(IF(KBCCompData!$E$2:$E$4000&lt;0,1,0))*KBCCompData!$E$2:$E$4000)</f>
        <v>0</v>
      </c>
      <c r="C104" s="11">
        <f t="array" aca="1" ref="C104" ca="1">SUM(IF(MONTH(KBCCompData!$C$2:$C$4000)=MONTH(KBCCompSamenv!$A104),1,0)*IF(YEAR(KBCCompData!$C$2:$C$4000)=YEAR(KBCCompSamenv!$A104),1,0)*IF(KBCCompData!$E$2:$E$4000&lt;0,1,0)*IF(KBCCompData!$G$2:$G$4000=Categorieën!$E$1,0,1)*IF(KBCCompData!$G$2:$G$4000=Categorieën!$F$1,0,1)*IF(KBCCompData!$G$2:$G$4000=Categorieën!$L$1,0,1)*KBCCompData!$E$2:$E$4000)</f>
        <v>0</v>
      </c>
      <c r="D104" s="11">
        <f ca="1">SUM(IF(MONTH(KBCCompData!$C$2:$C$4000)=MONTH(KBCCompSamenv!$A104),1,0)*IF(YEAR(KBCCompData!$C$2:$C$4000)=YEAR(KBCCompSamenv!$A104),1,0)*IF(KBCCompData!$E$2:$E$4000&gt;0,1,0)*KBCCompData!$E$2:$E$4000)</f>
        <v>0</v>
      </c>
      <c r="E104" s="11">
        <f t="array" aca="1" ref="E104" ca="1">SUM(IF(MONTH(KBCCompData!$C$2:$C$4000)=MONTH(KBCCompSamenv!$A104),1,0)*IF(YEAR(KBCCompData!$C$2:$C$4000)=YEAR(KBCCompSamenv!$A104),1,0)*IF(KBCCompData!$G$2:$G$4000=E$1,1,0)*KBCCompData!$E$2:$E$4000)+SUM(IF(MONTH(CrelanData!$A$2:$A$4000)=MONTH(KBCCompSamenv!$A105),1,0)*IF(YEAR(CrelanData!$A$2:$A$4000)=YEAR(KBCCompSamenv!$A105),1,0)*IF(CrelanData!$H$2:$H$4000=Categorieën!$B$1,1,0)*CrelanData!$B$2:$B$4000)</f>
        <v>0</v>
      </c>
      <c r="F104" s="11">
        <f t="array" aca="1" ref="F104" ca="1">SUM(IF(MONTH(KBCCompData!$C$2:$C$4000)=MONTH(KBCCompSamenv!$A104),1,0)*IF(YEAR(KBCCompData!$C$2:$C$4000)=YEAR(KBCCompSamenv!$A104),1,0)*IF(KBCCompData!$G$2:$G$4000=F$1,1,0)*KBCCompData!$E$2:$E$4000)+SUM(IF(MONTH(CrelanData!$A$2:$A$4000)=MONTH(KBCCompSamenv!$A105),1,0)*IF(YEAR(CrelanData!$A$2:$A$4000)=YEAR(KBCCompSamenv!$A105),1,0)*IF(CrelanData!$H$2:$H$4000=Categorieën!$B$1,1,0)*CrelanData!$B$2:$B$4000)</f>
        <v>0</v>
      </c>
      <c r="G104" s="11">
        <f t="array" aca="1" ref="G104" ca="1">SUM(IF(MONTH(KBCCompData!$C$2:$C$4000)=MONTH(KBCCompSamenv!$A104),1,0)*IF(YEAR(KBCCompData!$C$2:$C$4000)=YEAR(KBCCompSamenv!$A104),1,0)*IF(KBCCompData!$G$2:$G$4000=G$1,1,0)*KBCCompData!$E$2:$E$4000)+SUM(IF(MONTH(CrelanData!$A$2:$A$4000)=MONTH(KBCCompSamenv!$A105),1,0)*IF(YEAR(CrelanData!$A$2:$A$4000)=YEAR(KBCCompSamenv!$A105),1,0)*IF(CrelanData!$H$2:$H$4000=Categorieën!$B$1,1,0)*CrelanData!$B$2:$B$4000)</f>
        <v>0</v>
      </c>
      <c r="H104" s="5">
        <f ca="1">KBCSpaarrekSamenv!D82</f>
        <v>0</v>
      </c>
    </row>
    <row r="105" spans="1:8" outlineLevel="1">
      <c r="A105" s="10">
        <v>39569</v>
      </c>
      <c r="B105" s="5">
        <f t="array" aca="1" ref="B105" ca="1">SUM((IF(MONTH(KBCCompData!$C$2:$C$4000)=MONTH(KBCCompSamenv!$A105),1,0))*(IF(YEAR(KBCCompData!$C$2:$C$4000)=YEAR(KBCCompSamenv!$A105),1,0))*(IF(KBCCompData!$E$2:$E$4000&lt;0,1,0))*KBCCompData!$E$2:$E$4000)</f>
        <v>0</v>
      </c>
      <c r="C105" s="11">
        <f t="array" aca="1" ref="C105" ca="1">SUM(IF(MONTH(KBCCompData!$C$2:$C$4000)=MONTH(KBCCompSamenv!$A105),1,0)*IF(YEAR(KBCCompData!$C$2:$C$4000)=YEAR(KBCCompSamenv!$A105),1,0)*IF(KBCCompData!$E$2:$E$4000&lt;0,1,0)*IF(KBCCompData!$G$2:$G$4000=Categorieën!$E$1,0,1)*IF(KBCCompData!$G$2:$G$4000=Categorieën!$F$1,0,1)*IF(KBCCompData!$G$2:$G$4000=Categorieën!$L$1,0,1)*KBCCompData!$E$2:$E$4000)</f>
        <v>0</v>
      </c>
      <c r="D105" s="11">
        <f ca="1">SUM(IF(MONTH(KBCCompData!$C$2:$C$4000)=MONTH(KBCCompSamenv!$A105),1,0)*IF(YEAR(KBCCompData!$C$2:$C$4000)=YEAR(KBCCompSamenv!$A105),1,0)*IF(KBCCompData!$E$2:$E$4000&gt;0,1,0)*KBCCompData!$E$2:$E$4000)</f>
        <v>0</v>
      </c>
      <c r="E105" s="11">
        <f t="array" aca="1" ref="E105" ca="1">SUM(IF(MONTH(KBCCompData!$C$2:$C$4000)=MONTH(KBCCompSamenv!$A105),1,0)*IF(YEAR(KBCCompData!$C$2:$C$4000)=YEAR(KBCCompSamenv!$A105),1,0)*IF(KBCCompData!$G$2:$G$4000=E$1,1,0)*KBCCompData!$E$2:$E$4000)+SUM(IF(MONTH(CrelanData!$A$2:$A$4000)=MONTH(KBCCompSamenv!$A106),1,0)*IF(YEAR(CrelanData!$A$2:$A$4000)=YEAR(KBCCompSamenv!$A106),1,0)*IF(CrelanData!$H$2:$H$4000=Categorieën!$B$1,1,0)*CrelanData!$B$2:$B$4000)</f>
        <v>0</v>
      </c>
      <c r="F105" s="11">
        <f t="array" aca="1" ref="F105" ca="1">SUM(IF(MONTH(KBCCompData!$C$2:$C$4000)=MONTH(KBCCompSamenv!$A105),1,0)*IF(YEAR(KBCCompData!$C$2:$C$4000)=YEAR(KBCCompSamenv!$A105),1,0)*IF(KBCCompData!$G$2:$G$4000=F$1,1,0)*KBCCompData!$E$2:$E$4000)+SUM(IF(MONTH(CrelanData!$A$2:$A$4000)=MONTH(KBCCompSamenv!$A106),1,0)*IF(YEAR(CrelanData!$A$2:$A$4000)=YEAR(KBCCompSamenv!$A106),1,0)*IF(CrelanData!$H$2:$H$4000=Categorieën!$B$1,1,0)*CrelanData!$B$2:$B$4000)</f>
        <v>0</v>
      </c>
      <c r="G105" s="11">
        <f t="array" aca="1" ref="G105" ca="1">SUM(IF(MONTH(KBCCompData!$C$2:$C$4000)=MONTH(KBCCompSamenv!$A105),1,0)*IF(YEAR(KBCCompData!$C$2:$C$4000)=YEAR(KBCCompSamenv!$A105),1,0)*IF(KBCCompData!$G$2:$G$4000=G$1,1,0)*KBCCompData!$E$2:$E$4000)+SUM(IF(MONTH(CrelanData!$A$2:$A$4000)=MONTH(KBCCompSamenv!$A106),1,0)*IF(YEAR(CrelanData!$A$2:$A$4000)=YEAR(KBCCompSamenv!$A106),1,0)*IF(CrelanData!$H$2:$H$4000=Categorieën!$B$1,1,0)*CrelanData!$B$2:$B$4000)</f>
        <v>0</v>
      </c>
      <c r="H105" s="5">
        <f ca="1">KBCSpaarrekSamenv!D83</f>
        <v>0</v>
      </c>
    </row>
    <row r="106" spans="1:8" outlineLevel="1">
      <c r="A106" s="10">
        <v>39600</v>
      </c>
      <c r="B106" s="5">
        <f t="array" aca="1" ref="B106" ca="1">SUM((IF(MONTH(KBCCompData!$C$2:$C$4000)=MONTH(KBCCompSamenv!$A106),1,0))*(IF(YEAR(KBCCompData!$C$2:$C$4000)=YEAR(KBCCompSamenv!$A106),1,0))*(IF(KBCCompData!$E$2:$E$4000&lt;0,1,0))*KBCCompData!$E$2:$E$4000)</f>
        <v>0</v>
      </c>
      <c r="C106" s="11">
        <f t="array" aca="1" ref="C106" ca="1">SUM(IF(MONTH(KBCCompData!$C$2:$C$4000)=MONTH(KBCCompSamenv!$A106),1,0)*IF(YEAR(KBCCompData!$C$2:$C$4000)=YEAR(KBCCompSamenv!$A106),1,0)*IF(KBCCompData!$E$2:$E$4000&lt;0,1,0)*IF(KBCCompData!$G$2:$G$4000=Categorieën!$E$1,0,1)*IF(KBCCompData!$G$2:$G$4000=Categorieën!$F$1,0,1)*IF(KBCCompData!$G$2:$G$4000=Categorieën!$L$1,0,1)*KBCCompData!$E$2:$E$4000)</f>
        <v>0</v>
      </c>
      <c r="D106" s="11">
        <f ca="1">SUM(IF(MONTH(KBCCompData!$C$2:$C$4000)=MONTH(KBCCompSamenv!$A106),1,0)*IF(YEAR(KBCCompData!$C$2:$C$4000)=YEAR(KBCCompSamenv!$A106),1,0)*IF(KBCCompData!$E$2:$E$4000&gt;0,1,0)*KBCCompData!$E$2:$E$4000)</f>
        <v>0</v>
      </c>
      <c r="E106" s="11">
        <f t="array" aca="1" ref="E106" ca="1">SUM(IF(MONTH(KBCCompData!$C$2:$C$4000)=MONTH(KBCCompSamenv!$A106),1,0)*IF(YEAR(KBCCompData!$C$2:$C$4000)=YEAR(KBCCompSamenv!$A106),1,0)*IF(KBCCompData!$G$2:$G$4000=E$1,1,0)*KBCCompData!$E$2:$E$4000)+SUM(IF(MONTH(CrelanData!$A$2:$A$4000)=MONTH(KBCCompSamenv!$A107),1,0)*IF(YEAR(CrelanData!$A$2:$A$4000)=YEAR(KBCCompSamenv!$A107),1,0)*IF(CrelanData!$H$2:$H$4000=Categorieën!$B$1,1,0)*CrelanData!$B$2:$B$4000)</f>
        <v>0</v>
      </c>
      <c r="F106" s="11">
        <f t="array" aca="1" ref="F106" ca="1">SUM(IF(MONTH(KBCCompData!$C$2:$C$4000)=MONTH(KBCCompSamenv!$A106),1,0)*IF(YEAR(KBCCompData!$C$2:$C$4000)=YEAR(KBCCompSamenv!$A106),1,0)*IF(KBCCompData!$G$2:$G$4000=F$1,1,0)*KBCCompData!$E$2:$E$4000)+SUM(IF(MONTH(CrelanData!$A$2:$A$4000)=MONTH(KBCCompSamenv!$A107),1,0)*IF(YEAR(CrelanData!$A$2:$A$4000)=YEAR(KBCCompSamenv!$A107),1,0)*IF(CrelanData!$H$2:$H$4000=Categorieën!$B$1,1,0)*CrelanData!$B$2:$B$4000)</f>
        <v>0</v>
      </c>
      <c r="G106" s="11">
        <f t="array" aca="1" ref="G106" ca="1">SUM(IF(MONTH(KBCCompData!$C$2:$C$4000)=MONTH(KBCCompSamenv!$A106),1,0)*IF(YEAR(KBCCompData!$C$2:$C$4000)=YEAR(KBCCompSamenv!$A106),1,0)*IF(KBCCompData!$G$2:$G$4000=G$1,1,0)*KBCCompData!$E$2:$E$4000)+SUM(IF(MONTH(CrelanData!$A$2:$A$4000)=MONTH(KBCCompSamenv!$A107),1,0)*IF(YEAR(CrelanData!$A$2:$A$4000)=YEAR(KBCCompSamenv!$A107),1,0)*IF(CrelanData!$H$2:$H$4000=Categorieën!$B$1,1,0)*CrelanData!$B$2:$B$4000)</f>
        <v>0</v>
      </c>
      <c r="H106" s="5">
        <f ca="1">KBCSpaarrekSamenv!D84</f>
        <v>0</v>
      </c>
    </row>
    <row r="107" spans="1:8" outlineLevel="1">
      <c r="A107" s="10">
        <v>39630</v>
      </c>
      <c r="B107" s="5">
        <f t="array" aca="1" ref="B107" ca="1">SUM((IF(MONTH(KBCCompData!$C$2:$C$4000)=MONTH(KBCCompSamenv!$A107),1,0))*(IF(YEAR(KBCCompData!$C$2:$C$4000)=YEAR(KBCCompSamenv!$A107),1,0))*(IF(KBCCompData!$E$2:$E$4000&lt;0,1,0))*KBCCompData!$E$2:$E$4000)</f>
        <v>0</v>
      </c>
      <c r="C107" s="11">
        <f t="array" aca="1" ref="C107" ca="1">SUM(IF(MONTH(KBCCompData!$C$2:$C$4000)=MONTH(KBCCompSamenv!$A107),1,0)*IF(YEAR(KBCCompData!$C$2:$C$4000)=YEAR(KBCCompSamenv!$A107),1,0)*IF(KBCCompData!$E$2:$E$4000&lt;0,1,0)*IF(KBCCompData!$G$2:$G$4000=Categorieën!$E$1,0,1)*IF(KBCCompData!$G$2:$G$4000=Categorieën!$F$1,0,1)*IF(KBCCompData!$G$2:$G$4000=Categorieën!$L$1,0,1)*KBCCompData!$E$2:$E$4000)</f>
        <v>0</v>
      </c>
      <c r="D107" s="11">
        <f ca="1">SUM(IF(MONTH(KBCCompData!$C$2:$C$4000)=MONTH(KBCCompSamenv!$A107),1,0)*IF(YEAR(KBCCompData!$C$2:$C$4000)=YEAR(KBCCompSamenv!$A107),1,0)*IF(KBCCompData!$E$2:$E$4000&gt;0,1,0)*KBCCompData!$E$2:$E$4000)</f>
        <v>0</v>
      </c>
      <c r="E107" s="11">
        <f t="array" aca="1" ref="E107" ca="1">SUM(IF(MONTH(KBCCompData!$C$2:$C$4000)=MONTH(KBCCompSamenv!$A107),1,0)*IF(YEAR(KBCCompData!$C$2:$C$4000)=YEAR(KBCCompSamenv!$A107),1,0)*IF(KBCCompData!$G$2:$G$4000=E$1,1,0)*KBCCompData!$E$2:$E$4000)+SUM(IF(MONTH(CrelanData!$A$2:$A$4000)=MONTH(KBCCompSamenv!$A108),1,0)*IF(YEAR(CrelanData!$A$2:$A$4000)=YEAR(KBCCompSamenv!$A108),1,0)*IF(CrelanData!$H$2:$H$4000=Categorieën!$B$1,1,0)*CrelanData!$B$2:$B$4000)</f>
        <v>0</v>
      </c>
      <c r="F107" s="11">
        <f t="array" aca="1" ref="F107" ca="1">SUM(IF(MONTH(KBCCompData!$C$2:$C$4000)=MONTH(KBCCompSamenv!$A107),1,0)*IF(YEAR(KBCCompData!$C$2:$C$4000)=YEAR(KBCCompSamenv!$A107),1,0)*IF(KBCCompData!$G$2:$G$4000=F$1,1,0)*KBCCompData!$E$2:$E$4000)+SUM(IF(MONTH(CrelanData!$A$2:$A$4000)=MONTH(KBCCompSamenv!$A108),1,0)*IF(YEAR(CrelanData!$A$2:$A$4000)=YEAR(KBCCompSamenv!$A108),1,0)*IF(CrelanData!$H$2:$H$4000=Categorieën!$B$1,1,0)*CrelanData!$B$2:$B$4000)</f>
        <v>0</v>
      </c>
      <c r="G107" s="11">
        <f t="array" aca="1" ref="G107" ca="1">SUM(IF(MONTH(KBCCompData!$C$2:$C$4000)=MONTH(KBCCompSamenv!$A107),1,0)*IF(YEAR(KBCCompData!$C$2:$C$4000)=YEAR(KBCCompSamenv!$A107),1,0)*IF(KBCCompData!$G$2:$G$4000=G$1,1,0)*KBCCompData!$E$2:$E$4000)+SUM(IF(MONTH(CrelanData!$A$2:$A$4000)=MONTH(KBCCompSamenv!$A108),1,0)*IF(YEAR(CrelanData!$A$2:$A$4000)=YEAR(KBCCompSamenv!$A108),1,0)*IF(CrelanData!$H$2:$H$4000=Categorieën!$B$1,1,0)*CrelanData!$B$2:$B$4000)</f>
        <v>0</v>
      </c>
      <c r="H107" s="5">
        <f ca="1">KBCSpaarrekSamenv!D85</f>
        <v>0</v>
      </c>
    </row>
    <row r="108" spans="1:8" outlineLevel="1">
      <c r="A108" s="10">
        <v>39661</v>
      </c>
      <c r="B108" s="5">
        <f t="array" aca="1" ref="B108" ca="1">SUM((IF(MONTH(KBCCompData!$C$2:$C$4000)=MONTH(KBCCompSamenv!$A108),1,0))*(IF(YEAR(KBCCompData!$C$2:$C$4000)=YEAR(KBCCompSamenv!$A108),1,0))*(IF(KBCCompData!$E$2:$E$4000&lt;0,1,0))*KBCCompData!$E$2:$E$4000)</f>
        <v>0</v>
      </c>
      <c r="C108" s="11">
        <f t="array" aca="1" ref="C108" ca="1">SUM(IF(MONTH(KBCCompData!$C$2:$C$4000)=MONTH(KBCCompSamenv!$A108),1,0)*IF(YEAR(KBCCompData!$C$2:$C$4000)=YEAR(KBCCompSamenv!$A108),1,0)*IF(KBCCompData!$E$2:$E$4000&lt;0,1,0)*IF(KBCCompData!$G$2:$G$4000=Categorieën!$E$1,0,1)*IF(KBCCompData!$G$2:$G$4000=Categorieën!$F$1,0,1)*IF(KBCCompData!$G$2:$G$4000=Categorieën!$L$1,0,1)*KBCCompData!$E$2:$E$4000)</f>
        <v>0</v>
      </c>
      <c r="D108" s="11">
        <f ca="1">SUM(IF(MONTH(KBCCompData!$C$2:$C$4000)=MONTH(KBCCompSamenv!$A108),1,0)*IF(YEAR(KBCCompData!$C$2:$C$4000)=YEAR(KBCCompSamenv!$A108),1,0)*IF(KBCCompData!$E$2:$E$4000&gt;0,1,0)*KBCCompData!$E$2:$E$4000)</f>
        <v>0</v>
      </c>
      <c r="E108" s="11">
        <f t="array" aca="1" ref="E108" ca="1">SUM(IF(MONTH(KBCCompData!$C$2:$C$4000)=MONTH(KBCCompSamenv!$A108),1,0)*IF(YEAR(KBCCompData!$C$2:$C$4000)=YEAR(KBCCompSamenv!$A108),1,0)*IF(KBCCompData!$G$2:$G$4000=E$1,1,0)*KBCCompData!$E$2:$E$4000)+SUM(IF(MONTH(CrelanData!$A$2:$A$4000)=MONTH(KBCCompSamenv!$A109),1,0)*IF(YEAR(CrelanData!$A$2:$A$4000)=YEAR(KBCCompSamenv!$A109),1,0)*IF(CrelanData!$H$2:$H$4000=Categorieën!$B$1,1,0)*CrelanData!$B$2:$B$4000)</f>
        <v>0</v>
      </c>
      <c r="F108" s="11">
        <f t="array" aca="1" ref="F108" ca="1">SUM(IF(MONTH(KBCCompData!$C$2:$C$4000)=MONTH(KBCCompSamenv!$A108),1,0)*IF(YEAR(KBCCompData!$C$2:$C$4000)=YEAR(KBCCompSamenv!$A108),1,0)*IF(KBCCompData!$G$2:$G$4000=F$1,1,0)*KBCCompData!$E$2:$E$4000)+SUM(IF(MONTH(CrelanData!$A$2:$A$4000)=MONTH(KBCCompSamenv!$A109),1,0)*IF(YEAR(CrelanData!$A$2:$A$4000)=YEAR(KBCCompSamenv!$A109),1,0)*IF(CrelanData!$H$2:$H$4000=Categorieën!$B$1,1,0)*CrelanData!$B$2:$B$4000)</f>
        <v>0</v>
      </c>
      <c r="G108" s="11">
        <f t="array" aca="1" ref="G108" ca="1">SUM(IF(MONTH(KBCCompData!$C$2:$C$4000)=MONTH(KBCCompSamenv!$A108),1,0)*IF(YEAR(KBCCompData!$C$2:$C$4000)=YEAR(KBCCompSamenv!$A108),1,0)*IF(KBCCompData!$G$2:$G$4000=G$1,1,0)*KBCCompData!$E$2:$E$4000)+SUM(IF(MONTH(CrelanData!$A$2:$A$4000)=MONTH(KBCCompSamenv!$A109),1,0)*IF(YEAR(CrelanData!$A$2:$A$4000)=YEAR(KBCCompSamenv!$A109),1,0)*IF(CrelanData!$H$2:$H$4000=Categorieën!$B$1,1,0)*CrelanData!$B$2:$B$4000)</f>
        <v>0</v>
      </c>
      <c r="H108" s="5">
        <f ca="1">KBCSpaarrekSamenv!D86</f>
        <v>0</v>
      </c>
    </row>
    <row r="109" spans="1:8" outlineLevel="1">
      <c r="A109" s="10">
        <v>39692</v>
      </c>
      <c r="B109" s="5">
        <f t="array" aca="1" ref="B109" ca="1">SUM((IF(MONTH(KBCCompData!$C$2:$C$4000)=MONTH(KBCCompSamenv!$A109),1,0))*(IF(YEAR(KBCCompData!$C$2:$C$4000)=YEAR(KBCCompSamenv!$A109),1,0))*(IF(KBCCompData!$E$2:$E$4000&lt;0,1,0))*KBCCompData!$E$2:$E$4000)</f>
        <v>0</v>
      </c>
      <c r="C109" s="11">
        <f t="array" aca="1" ref="C109" ca="1">SUM(IF(MONTH(KBCCompData!$C$2:$C$4000)=MONTH(KBCCompSamenv!$A109),1,0)*IF(YEAR(KBCCompData!$C$2:$C$4000)=YEAR(KBCCompSamenv!$A109),1,0)*IF(KBCCompData!$E$2:$E$4000&lt;0,1,0)*IF(KBCCompData!$G$2:$G$4000=Categorieën!$E$1,0,1)*IF(KBCCompData!$G$2:$G$4000=Categorieën!$F$1,0,1)*IF(KBCCompData!$G$2:$G$4000=Categorieën!$L$1,0,1)*KBCCompData!$E$2:$E$4000)</f>
        <v>0</v>
      </c>
      <c r="D109" s="11">
        <f ca="1">SUM(IF(MONTH(KBCCompData!$C$2:$C$4000)=MONTH(KBCCompSamenv!$A109),1,0)*IF(YEAR(KBCCompData!$C$2:$C$4000)=YEAR(KBCCompSamenv!$A109),1,0)*IF(KBCCompData!$E$2:$E$4000&gt;0,1,0)*KBCCompData!$E$2:$E$4000)</f>
        <v>0</v>
      </c>
      <c r="E109" s="11">
        <f t="array" aca="1" ref="E109" ca="1">SUM(IF(MONTH(KBCCompData!$C$2:$C$4000)=MONTH(KBCCompSamenv!$A109),1,0)*IF(YEAR(KBCCompData!$C$2:$C$4000)=YEAR(KBCCompSamenv!$A109),1,0)*IF(KBCCompData!$G$2:$G$4000=E$1,1,0)*KBCCompData!$E$2:$E$4000)+SUM(IF(MONTH(CrelanData!$A$2:$A$4000)=MONTH(KBCCompSamenv!$A110),1,0)*IF(YEAR(CrelanData!$A$2:$A$4000)=YEAR(KBCCompSamenv!$A110),1,0)*IF(CrelanData!$H$2:$H$4000=Categorieën!$B$1,1,0)*CrelanData!$B$2:$B$4000)</f>
        <v>0</v>
      </c>
      <c r="F109" s="11">
        <f t="array" aca="1" ref="F109" ca="1">SUM(IF(MONTH(KBCCompData!$C$2:$C$4000)=MONTH(KBCCompSamenv!$A109),1,0)*IF(YEAR(KBCCompData!$C$2:$C$4000)=YEAR(KBCCompSamenv!$A109),1,0)*IF(KBCCompData!$G$2:$G$4000=F$1,1,0)*KBCCompData!$E$2:$E$4000)+SUM(IF(MONTH(CrelanData!$A$2:$A$4000)=MONTH(KBCCompSamenv!$A110),1,0)*IF(YEAR(CrelanData!$A$2:$A$4000)=YEAR(KBCCompSamenv!$A110),1,0)*IF(CrelanData!$H$2:$H$4000=Categorieën!$B$1,1,0)*CrelanData!$B$2:$B$4000)</f>
        <v>0</v>
      </c>
      <c r="G109" s="11">
        <f t="array" aca="1" ref="G109" ca="1">SUM(IF(MONTH(KBCCompData!$C$2:$C$4000)=MONTH(KBCCompSamenv!$A109),1,0)*IF(YEAR(KBCCompData!$C$2:$C$4000)=YEAR(KBCCompSamenv!$A109),1,0)*IF(KBCCompData!$G$2:$G$4000=G$1,1,0)*KBCCompData!$E$2:$E$4000)+SUM(IF(MONTH(CrelanData!$A$2:$A$4000)=MONTH(KBCCompSamenv!$A110),1,0)*IF(YEAR(CrelanData!$A$2:$A$4000)=YEAR(KBCCompSamenv!$A110),1,0)*IF(CrelanData!$H$2:$H$4000=Categorieën!$B$1,1,0)*CrelanData!$B$2:$B$4000)</f>
        <v>0</v>
      </c>
      <c r="H109" s="5">
        <f ca="1">KBCSpaarrekSamenv!D87</f>
        <v>0</v>
      </c>
    </row>
    <row r="110" spans="1:8" outlineLevel="1">
      <c r="A110" s="10">
        <v>39722</v>
      </c>
      <c r="B110" s="5">
        <f t="array" aca="1" ref="B110" ca="1">SUM((IF(MONTH(KBCCompData!$C$2:$C$4000)=MONTH(KBCCompSamenv!$A110),1,0))*(IF(YEAR(KBCCompData!$C$2:$C$4000)=YEAR(KBCCompSamenv!$A110),1,0))*(IF(KBCCompData!$E$2:$E$4000&lt;0,1,0))*KBCCompData!$E$2:$E$4000)</f>
        <v>0</v>
      </c>
      <c r="C110" s="11">
        <f t="array" aca="1" ref="C110" ca="1">SUM(IF(MONTH(KBCCompData!$C$2:$C$4000)=MONTH(KBCCompSamenv!$A110),1,0)*IF(YEAR(KBCCompData!$C$2:$C$4000)=YEAR(KBCCompSamenv!$A110),1,0)*IF(KBCCompData!$E$2:$E$4000&lt;0,1,0)*IF(KBCCompData!$G$2:$G$4000=Categorieën!$E$1,0,1)*IF(KBCCompData!$G$2:$G$4000=Categorieën!$F$1,0,1)*IF(KBCCompData!$G$2:$G$4000=Categorieën!$L$1,0,1)*KBCCompData!$E$2:$E$4000)</f>
        <v>0</v>
      </c>
      <c r="D110" s="11">
        <f ca="1">SUM(IF(MONTH(KBCCompData!$C$2:$C$4000)=MONTH(KBCCompSamenv!$A110),1,0)*IF(YEAR(KBCCompData!$C$2:$C$4000)=YEAR(KBCCompSamenv!$A110),1,0)*IF(KBCCompData!$E$2:$E$4000&gt;0,1,0)*KBCCompData!$E$2:$E$4000)</f>
        <v>0</v>
      </c>
      <c r="E110" s="11">
        <f t="array" aca="1" ref="E110" ca="1">SUM(IF(MONTH(KBCCompData!$C$2:$C$4000)=MONTH(KBCCompSamenv!$A110),1,0)*IF(YEAR(KBCCompData!$C$2:$C$4000)=YEAR(KBCCompSamenv!$A110),1,0)*IF(KBCCompData!$G$2:$G$4000=E$1,1,0)*KBCCompData!$E$2:$E$4000)+SUM(IF(MONTH(CrelanData!$A$2:$A$4000)=MONTH(KBCCompSamenv!$A111),1,0)*IF(YEAR(CrelanData!$A$2:$A$4000)=YEAR(KBCCompSamenv!$A111),1,0)*IF(CrelanData!$H$2:$H$4000=Categorieën!$B$1,1,0)*CrelanData!$B$2:$B$4000)</f>
        <v>0</v>
      </c>
      <c r="F110" s="11">
        <f t="array" aca="1" ref="F110" ca="1">SUM(IF(MONTH(KBCCompData!$C$2:$C$4000)=MONTH(KBCCompSamenv!$A110),1,0)*IF(YEAR(KBCCompData!$C$2:$C$4000)=YEAR(KBCCompSamenv!$A110),1,0)*IF(KBCCompData!$G$2:$G$4000=F$1,1,0)*KBCCompData!$E$2:$E$4000)+SUM(IF(MONTH(CrelanData!$A$2:$A$4000)=MONTH(KBCCompSamenv!$A111),1,0)*IF(YEAR(CrelanData!$A$2:$A$4000)=YEAR(KBCCompSamenv!$A111),1,0)*IF(CrelanData!$H$2:$H$4000=Categorieën!$B$1,1,0)*CrelanData!$B$2:$B$4000)</f>
        <v>0</v>
      </c>
      <c r="G110" s="11">
        <f t="array" aca="1" ref="G110" ca="1">SUM(IF(MONTH(KBCCompData!$C$2:$C$4000)=MONTH(KBCCompSamenv!$A110),1,0)*IF(YEAR(KBCCompData!$C$2:$C$4000)=YEAR(KBCCompSamenv!$A110),1,0)*IF(KBCCompData!$G$2:$G$4000=G$1,1,0)*KBCCompData!$E$2:$E$4000)+SUM(IF(MONTH(CrelanData!$A$2:$A$4000)=MONTH(KBCCompSamenv!$A111),1,0)*IF(YEAR(CrelanData!$A$2:$A$4000)=YEAR(KBCCompSamenv!$A111),1,0)*IF(CrelanData!$H$2:$H$4000=Categorieën!$B$1,1,0)*CrelanData!$B$2:$B$4000)</f>
        <v>0</v>
      </c>
      <c r="H110" s="5">
        <f ca="1">KBCSpaarrekSamenv!D88</f>
        <v>0</v>
      </c>
    </row>
    <row r="111" spans="1:8" outlineLevel="1">
      <c r="A111" s="10">
        <v>39753</v>
      </c>
      <c r="B111" s="5">
        <f t="array" aca="1" ref="B111" ca="1">SUM((IF(MONTH(KBCCompData!$C$2:$C$4000)=MONTH(KBCCompSamenv!$A111),1,0))*(IF(YEAR(KBCCompData!$C$2:$C$4000)=YEAR(KBCCompSamenv!$A111),1,0))*(IF(KBCCompData!$E$2:$E$4000&lt;0,1,0))*KBCCompData!$E$2:$E$4000)</f>
        <v>0</v>
      </c>
      <c r="C111" s="11">
        <f t="array" aca="1" ref="C111" ca="1">SUM(IF(MONTH(KBCCompData!$C$2:$C$4000)=MONTH(KBCCompSamenv!$A111),1,0)*IF(YEAR(KBCCompData!$C$2:$C$4000)=YEAR(KBCCompSamenv!$A111),1,0)*IF(KBCCompData!$E$2:$E$4000&lt;0,1,0)*IF(KBCCompData!$G$2:$G$4000=Categorieën!$E$1,0,1)*IF(KBCCompData!$G$2:$G$4000=Categorieën!$F$1,0,1)*IF(KBCCompData!$G$2:$G$4000=Categorieën!$L$1,0,1)*KBCCompData!$E$2:$E$4000)</f>
        <v>0</v>
      </c>
      <c r="D111" s="11">
        <f ca="1">SUM(IF(MONTH(KBCCompData!$C$2:$C$4000)=MONTH(KBCCompSamenv!$A111),1,0)*IF(YEAR(KBCCompData!$C$2:$C$4000)=YEAR(KBCCompSamenv!$A111),1,0)*IF(KBCCompData!$E$2:$E$4000&gt;0,1,0)*KBCCompData!$E$2:$E$4000)</f>
        <v>0</v>
      </c>
      <c r="E111" s="11">
        <f t="array" aca="1" ref="E111" ca="1">SUM(IF(MONTH(KBCCompData!$C$2:$C$4000)=MONTH(KBCCompSamenv!$A111),1,0)*IF(YEAR(KBCCompData!$C$2:$C$4000)=YEAR(KBCCompSamenv!$A111),1,0)*IF(KBCCompData!$G$2:$G$4000=E$1,1,0)*KBCCompData!$E$2:$E$4000)+SUM(IF(MONTH(CrelanData!$A$2:$A$4000)=MONTH(KBCCompSamenv!$A112),1,0)*IF(YEAR(CrelanData!$A$2:$A$4000)=YEAR(KBCCompSamenv!$A112),1,0)*IF(CrelanData!$H$2:$H$4000=Categorieën!$B$1,1,0)*CrelanData!$B$2:$B$4000)</f>
        <v>0</v>
      </c>
      <c r="F111" s="11">
        <f t="array" aca="1" ref="F111" ca="1">SUM(IF(MONTH(KBCCompData!$C$2:$C$4000)=MONTH(KBCCompSamenv!$A111),1,0)*IF(YEAR(KBCCompData!$C$2:$C$4000)=YEAR(KBCCompSamenv!$A111),1,0)*IF(KBCCompData!$G$2:$G$4000=F$1,1,0)*KBCCompData!$E$2:$E$4000)+SUM(IF(MONTH(CrelanData!$A$2:$A$4000)=MONTH(KBCCompSamenv!$A112),1,0)*IF(YEAR(CrelanData!$A$2:$A$4000)=YEAR(KBCCompSamenv!$A112),1,0)*IF(CrelanData!$H$2:$H$4000=Categorieën!$B$1,1,0)*CrelanData!$B$2:$B$4000)</f>
        <v>0</v>
      </c>
      <c r="G111" s="11">
        <f t="array" aca="1" ref="G111" ca="1">SUM(IF(MONTH(KBCCompData!$C$2:$C$4000)=MONTH(KBCCompSamenv!$A111),1,0)*IF(YEAR(KBCCompData!$C$2:$C$4000)=YEAR(KBCCompSamenv!$A111),1,0)*IF(KBCCompData!$G$2:$G$4000=G$1,1,0)*KBCCompData!$E$2:$E$4000)+SUM(IF(MONTH(CrelanData!$A$2:$A$4000)=MONTH(KBCCompSamenv!$A112),1,0)*IF(YEAR(CrelanData!$A$2:$A$4000)=YEAR(KBCCompSamenv!$A112),1,0)*IF(CrelanData!$H$2:$H$4000=Categorieën!$B$1,1,0)*CrelanData!$B$2:$B$4000)</f>
        <v>0</v>
      </c>
      <c r="H111" s="5">
        <f ca="1">KBCSpaarrekSamenv!D89</f>
        <v>0</v>
      </c>
    </row>
    <row r="112" spans="1:8">
      <c r="A112" s="10">
        <v>39783</v>
      </c>
      <c r="B112" s="5">
        <f t="array" aca="1" ref="B112" ca="1">SUM((IF(MONTH(KBCCompData!$C$2:$C$4000)=MONTH(KBCCompSamenv!$A112),1,0))*(IF(YEAR(KBCCompData!$C$2:$C$4000)=YEAR(KBCCompSamenv!$A112),1,0))*(IF(KBCCompData!$E$2:$E$4000&lt;0,1,0))*KBCCompData!$E$2:$E$4000)</f>
        <v>0</v>
      </c>
      <c r="C112" s="11">
        <f t="array" aca="1" ref="C112" ca="1">SUM(IF(MONTH(KBCCompData!$C$2:$C$4000)=MONTH(KBCCompSamenv!$A112),1,0)*IF(YEAR(KBCCompData!$C$2:$C$4000)=YEAR(KBCCompSamenv!$A112),1,0)*IF(KBCCompData!$E$2:$E$4000&lt;0,1,0)*IF(KBCCompData!$G$2:$G$4000=Categorieën!$E$1,0,1)*IF(KBCCompData!$G$2:$G$4000=Categorieën!$F$1,0,1)*IF(KBCCompData!$G$2:$G$4000=Categorieën!$L$1,0,1)*KBCCompData!$E$2:$E$4000)</f>
        <v>0</v>
      </c>
      <c r="D112" s="11">
        <f ca="1">SUM(IF(MONTH(KBCCompData!$C$2:$C$4000)=MONTH(KBCCompSamenv!$A112),1,0)*IF(YEAR(KBCCompData!$C$2:$C$4000)=YEAR(KBCCompSamenv!$A112),1,0)*IF(KBCCompData!$E$2:$E$4000&gt;0,1,0)*KBCCompData!$E$2:$E$4000)</f>
        <v>0</v>
      </c>
      <c r="E112" s="11">
        <f t="array" aca="1" ref="E112" ca="1">SUM(IF(MONTH(KBCCompData!$C$2:$C$4000)=MONTH(KBCCompSamenv!$A112),1,0)*IF(YEAR(KBCCompData!$C$2:$C$4000)=YEAR(KBCCompSamenv!$A112),1,0)*IF(KBCCompData!$G$2:$G$4000=E$1,1,0)*KBCCompData!$E$2:$E$4000)+SUM(IF(MONTH(CrelanData!$A$2:$A$4000)=MONTH(KBCCompSamenv!$A113),1,0)*IF(YEAR(CrelanData!$A$2:$A$4000)=YEAR(KBCCompSamenv!$A113),1,0)*IF(CrelanData!$H$2:$H$4000=Categorieën!$B$1,1,0)*CrelanData!$B$2:$B$4000)</f>
        <v>0</v>
      </c>
      <c r="F112" s="11">
        <f t="array" aca="1" ref="F112" ca="1">SUM(IF(MONTH(KBCCompData!$C$2:$C$4000)=MONTH(KBCCompSamenv!$A112),1,0)*IF(YEAR(KBCCompData!$C$2:$C$4000)=YEAR(KBCCompSamenv!$A112),1,0)*IF(KBCCompData!$G$2:$G$4000=F$1,1,0)*KBCCompData!$E$2:$E$4000)+SUM(IF(MONTH(CrelanData!$A$2:$A$4000)=MONTH(KBCCompSamenv!$A113),1,0)*IF(YEAR(CrelanData!$A$2:$A$4000)=YEAR(KBCCompSamenv!$A113),1,0)*IF(CrelanData!$H$2:$H$4000=Categorieën!$B$1,1,0)*CrelanData!$B$2:$B$4000)</f>
        <v>0</v>
      </c>
      <c r="G112" s="11">
        <f t="array" aca="1" ref="G112" ca="1">SUM(IF(MONTH(KBCCompData!$C$2:$C$4000)=MONTH(KBCCompSamenv!$A112),1,0)*IF(YEAR(KBCCompData!$C$2:$C$4000)=YEAR(KBCCompSamenv!$A112),1,0)*IF(KBCCompData!$G$2:$G$4000=G$1,1,0)*KBCCompData!$E$2:$E$4000)+SUM(IF(MONTH(CrelanData!$A$2:$A$4000)=MONTH(KBCCompSamenv!$A113),1,0)*IF(YEAR(CrelanData!$A$2:$A$4000)=YEAR(KBCCompSamenv!$A113),1,0)*IF(CrelanData!$H$2:$H$4000=Categorieën!$B$1,1,0)*CrelanData!$B$2:$B$4000)</f>
        <v>0</v>
      </c>
      <c r="H112" s="5">
        <f ca="1">KBCSpaarrekSamenv!D90</f>
        <v>0</v>
      </c>
    </row>
    <row r="113" spans="1:8" outlineLevel="1">
      <c r="A113" s="10">
        <v>39814</v>
      </c>
      <c r="B113" s="5">
        <f t="array" aca="1" ref="B113" ca="1">SUM((IF(MONTH(KBCCompData!$C$2:$C$4000)=MONTH(KBCCompSamenv!$A113),1,0))*(IF(YEAR(KBCCompData!$C$2:$C$4000)=YEAR(KBCCompSamenv!$A113),1,0))*(IF(KBCCompData!$E$2:$E$4000&lt;0,1,0))*KBCCompData!$E$2:$E$4000)</f>
        <v>0</v>
      </c>
      <c r="C113" s="11">
        <f t="array" aca="1" ref="C113" ca="1">SUM(IF(MONTH(KBCCompData!$C$2:$C$4000)=MONTH(KBCCompSamenv!$A113),1,0)*IF(YEAR(KBCCompData!$C$2:$C$4000)=YEAR(KBCCompSamenv!$A113),1,0)*IF(KBCCompData!$E$2:$E$4000&lt;0,1,0)*IF(KBCCompData!$G$2:$G$4000=Categorieën!$E$1,0,1)*IF(KBCCompData!$G$2:$G$4000=Categorieën!$F$1,0,1)*IF(KBCCompData!$G$2:$G$4000=Categorieën!$L$1,0,1)*KBCCompData!$E$2:$E$4000)</f>
        <v>0</v>
      </c>
      <c r="D113" s="11">
        <f ca="1">SUM(IF(MONTH(KBCCompData!$C$2:$C$4000)=MONTH(KBCCompSamenv!$A113),1,0)*IF(YEAR(KBCCompData!$C$2:$C$4000)=YEAR(KBCCompSamenv!$A113),1,0)*IF(KBCCompData!$E$2:$E$4000&gt;0,1,0)*KBCCompData!$E$2:$E$4000)</f>
        <v>0</v>
      </c>
      <c r="E113" s="11">
        <f t="array" aca="1" ref="E113" ca="1">SUM(IF(MONTH(KBCCompData!$C$2:$C$4000)=MONTH(KBCCompSamenv!$A113),1,0)*IF(YEAR(KBCCompData!$C$2:$C$4000)=YEAR(KBCCompSamenv!$A113),1,0)*IF(KBCCompData!$G$2:$G$4000=E$1,1,0)*KBCCompData!$E$2:$E$4000)+SUM(IF(MONTH(CrelanData!$A$2:$A$4000)=MONTH(KBCCompSamenv!$A114),1,0)*IF(YEAR(CrelanData!$A$2:$A$4000)=YEAR(KBCCompSamenv!$A114),1,0)*IF(CrelanData!$H$2:$H$4000=Categorieën!$B$1,1,0)*CrelanData!$B$2:$B$4000)</f>
        <v>0</v>
      </c>
      <c r="F113" s="11">
        <f t="array" aca="1" ref="F113" ca="1">SUM(IF(MONTH(KBCCompData!$C$2:$C$4000)=MONTH(KBCCompSamenv!$A113),1,0)*IF(YEAR(KBCCompData!$C$2:$C$4000)=YEAR(KBCCompSamenv!$A113),1,0)*IF(KBCCompData!$G$2:$G$4000=F$1,1,0)*KBCCompData!$E$2:$E$4000)+SUM(IF(MONTH(CrelanData!$A$2:$A$4000)=MONTH(KBCCompSamenv!$A114),1,0)*IF(YEAR(CrelanData!$A$2:$A$4000)=YEAR(KBCCompSamenv!$A114),1,0)*IF(CrelanData!$H$2:$H$4000=Categorieën!$B$1,1,0)*CrelanData!$B$2:$B$4000)</f>
        <v>0</v>
      </c>
      <c r="G113" s="11">
        <f t="array" aca="1" ref="G113" ca="1">SUM(IF(MONTH(KBCCompData!$C$2:$C$4000)=MONTH(KBCCompSamenv!$A113),1,0)*IF(YEAR(KBCCompData!$C$2:$C$4000)=YEAR(KBCCompSamenv!$A113),1,0)*IF(KBCCompData!$G$2:$G$4000=G$1,1,0)*KBCCompData!$E$2:$E$4000)+SUM(IF(MONTH(CrelanData!$A$2:$A$4000)=MONTH(KBCCompSamenv!$A114),1,0)*IF(YEAR(CrelanData!$A$2:$A$4000)=YEAR(KBCCompSamenv!$A114),1,0)*IF(CrelanData!$H$2:$H$4000=Categorieën!$B$1,1,0)*CrelanData!$B$2:$B$4000)</f>
        <v>0</v>
      </c>
      <c r="H113" s="5">
        <f ca="1">KBCSpaarrekSamenv!D91</f>
        <v>0</v>
      </c>
    </row>
    <row r="114" spans="1:8" outlineLevel="1">
      <c r="A114" s="10">
        <v>39845</v>
      </c>
      <c r="B114" s="5">
        <f t="array" aca="1" ref="B114" ca="1">SUM((IF(MONTH(KBCCompData!$C$2:$C$4000)=MONTH(KBCCompSamenv!$A114),1,0))*(IF(YEAR(KBCCompData!$C$2:$C$4000)=YEAR(KBCCompSamenv!$A114),1,0))*(IF(KBCCompData!$E$2:$E$4000&lt;0,1,0))*KBCCompData!$E$2:$E$4000)</f>
        <v>0</v>
      </c>
      <c r="C114" s="11">
        <f t="array" aca="1" ref="C114" ca="1">SUM(IF(MONTH(KBCCompData!$C$2:$C$4000)=MONTH(KBCCompSamenv!$A114),1,0)*IF(YEAR(KBCCompData!$C$2:$C$4000)=YEAR(KBCCompSamenv!$A114),1,0)*IF(KBCCompData!$E$2:$E$4000&lt;0,1,0)*IF(KBCCompData!$G$2:$G$4000=Categorieën!$E$1,0,1)*IF(KBCCompData!$G$2:$G$4000=Categorieën!$F$1,0,1)*IF(KBCCompData!$G$2:$G$4000=Categorieën!$L$1,0,1)*KBCCompData!$E$2:$E$4000)</f>
        <v>0</v>
      </c>
      <c r="D114" s="11">
        <f ca="1">SUM(IF(MONTH(KBCCompData!$C$2:$C$4000)=MONTH(KBCCompSamenv!$A114),1,0)*IF(YEAR(KBCCompData!$C$2:$C$4000)=YEAR(KBCCompSamenv!$A114),1,0)*IF(KBCCompData!$E$2:$E$4000&gt;0,1,0)*KBCCompData!$E$2:$E$4000)</f>
        <v>0</v>
      </c>
      <c r="E114" s="11">
        <f t="array" aca="1" ref="E114" ca="1">SUM(IF(MONTH(KBCCompData!$C$2:$C$4000)=MONTH(KBCCompSamenv!$A114),1,0)*IF(YEAR(KBCCompData!$C$2:$C$4000)=YEAR(KBCCompSamenv!$A114),1,0)*IF(KBCCompData!$G$2:$G$4000=E$1,1,0)*KBCCompData!$E$2:$E$4000)+SUM(IF(MONTH(CrelanData!$A$2:$A$4000)=MONTH(KBCCompSamenv!$A115),1,0)*IF(YEAR(CrelanData!$A$2:$A$4000)=YEAR(KBCCompSamenv!$A115),1,0)*IF(CrelanData!$H$2:$H$4000=Categorieën!$B$1,1,0)*CrelanData!$B$2:$B$4000)</f>
        <v>0</v>
      </c>
      <c r="F114" s="11">
        <f t="array" aca="1" ref="F114" ca="1">SUM(IF(MONTH(KBCCompData!$C$2:$C$4000)=MONTH(KBCCompSamenv!$A114),1,0)*IF(YEAR(KBCCompData!$C$2:$C$4000)=YEAR(KBCCompSamenv!$A114),1,0)*IF(KBCCompData!$G$2:$G$4000=F$1,1,0)*KBCCompData!$E$2:$E$4000)+SUM(IF(MONTH(CrelanData!$A$2:$A$4000)=MONTH(KBCCompSamenv!$A115),1,0)*IF(YEAR(CrelanData!$A$2:$A$4000)=YEAR(KBCCompSamenv!$A115),1,0)*IF(CrelanData!$H$2:$H$4000=Categorieën!$B$1,1,0)*CrelanData!$B$2:$B$4000)</f>
        <v>0</v>
      </c>
      <c r="G114" s="11">
        <f t="array" aca="1" ref="G114" ca="1">SUM(IF(MONTH(KBCCompData!$C$2:$C$4000)=MONTH(KBCCompSamenv!$A114),1,0)*IF(YEAR(KBCCompData!$C$2:$C$4000)=YEAR(KBCCompSamenv!$A114),1,0)*IF(KBCCompData!$G$2:$G$4000=G$1,1,0)*KBCCompData!$E$2:$E$4000)+SUM(IF(MONTH(CrelanData!$A$2:$A$4000)=MONTH(KBCCompSamenv!$A115),1,0)*IF(YEAR(CrelanData!$A$2:$A$4000)=YEAR(KBCCompSamenv!$A115),1,0)*IF(CrelanData!$H$2:$H$4000=Categorieën!$B$1,1,0)*CrelanData!$B$2:$B$4000)</f>
        <v>0</v>
      </c>
      <c r="H114" s="5">
        <f ca="1">KBCSpaarrekSamenv!D92</f>
        <v>0</v>
      </c>
    </row>
    <row r="115" spans="1:8" outlineLevel="1">
      <c r="A115" s="10">
        <v>39873</v>
      </c>
      <c r="B115" s="5">
        <f t="array" aca="1" ref="B115" ca="1">SUM((IF(MONTH(KBCCompData!$C$2:$C$4000)=MONTH(KBCCompSamenv!$A115),1,0))*(IF(YEAR(KBCCompData!$C$2:$C$4000)=YEAR(KBCCompSamenv!$A115),1,0))*(IF(KBCCompData!$E$2:$E$4000&lt;0,1,0))*KBCCompData!$E$2:$E$4000)</f>
        <v>0</v>
      </c>
      <c r="C115" s="11">
        <f t="array" aca="1" ref="C115" ca="1">SUM(IF(MONTH(KBCCompData!$C$2:$C$4000)=MONTH(KBCCompSamenv!$A115),1,0)*IF(YEAR(KBCCompData!$C$2:$C$4000)=YEAR(KBCCompSamenv!$A115),1,0)*IF(KBCCompData!$E$2:$E$4000&lt;0,1,0)*IF(KBCCompData!$G$2:$G$4000=Categorieën!$E$1,0,1)*IF(KBCCompData!$G$2:$G$4000=Categorieën!$F$1,0,1)*IF(KBCCompData!$G$2:$G$4000=Categorieën!$L$1,0,1)*KBCCompData!$E$2:$E$4000)</f>
        <v>0</v>
      </c>
      <c r="D115" s="11">
        <f ca="1">SUM(IF(MONTH(KBCCompData!$C$2:$C$4000)=MONTH(KBCCompSamenv!$A115),1,0)*IF(YEAR(KBCCompData!$C$2:$C$4000)=YEAR(KBCCompSamenv!$A115),1,0)*IF(KBCCompData!$E$2:$E$4000&gt;0,1,0)*KBCCompData!$E$2:$E$4000)</f>
        <v>0</v>
      </c>
      <c r="E115" s="11">
        <f t="array" aca="1" ref="E115" ca="1">SUM(IF(MONTH(KBCCompData!$C$2:$C$4000)=MONTH(KBCCompSamenv!$A115),1,0)*IF(YEAR(KBCCompData!$C$2:$C$4000)=YEAR(KBCCompSamenv!$A115),1,0)*IF(KBCCompData!$G$2:$G$4000=E$1,1,0)*KBCCompData!$E$2:$E$4000)+SUM(IF(MONTH(CrelanData!$A$2:$A$4000)=MONTH(KBCCompSamenv!$A116),1,0)*IF(YEAR(CrelanData!$A$2:$A$4000)=YEAR(KBCCompSamenv!$A116),1,0)*IF(CrelanData!$H$2:$H$4000=Categorieën!$B$1,1,0)*CrelanData!$B$2:$B$4000)</f>
        <v>0</v>
      </c>
      <c r="F115" s="11">
        <f t="array" aca="1" ref="F115" ca="1">SUM(IF(MONTH(KBCCompData!$C$2:$C$4000)=MONTH(KBCCompSamenv!$A115),1,0)*IF(YEAR(KBCCompData!$C$2:$C$4000)=YEAR(KBCCompSamenv!$A115),1,0)*IF(KBCCompData!$G$2:$G$4000=F$1,1,0)*KBCCompData!$E$2:$E$4000)+SUM(IF(MONTH(CrelanData!$A$2:$A$4000)=MONTH(KBCCompSamenv!$A116),1,0)*IF(YEAR(CrelanData!$A$2:$A$4000)=YEAR(KBCCompSamenv!$A116),1,0)*IF(CrelanData!$H$2:$H$4000=Categorieën!$B$1,1,0)*CrelanData!$B$2:$B$4000)</f>
        <v>0</v>
      </c>
      <c r="G115" s="11">
        <f t="array" aca="1" ref="G115" ca="1">SUM(IF(MONTH(KBCCompData!$C$2:$C$4000)=MONTH(KBCCompSamenv!$A115),1,0)*IF(YEAR(KBCCompData!$C$2:$C$4000)=YEAR(KBCCompSamenv!$A115),1,0)*IF(KBCCompData!$G$2:$G$4000=G$1,1,0)*KBCCompData!$E$2:$E$4000)+SUM(IF(MONTH(CrelanData!$A$2:$A$4000)=MONTH(KBCCompSamenv!$A116),1,0)*IF(YEAR(CrelanData!$A$2:$A$4000)=YEAR(KBCCompSamenv!$A116),1,0)*IF(CrelanData!$H$2:$H$4000=Categorieën!$B$1,1,0)*CrelanData!$B$2:$B$4000)</f>
        <v>0</v>
      </c>
      <c r="H115" s="5">
        <f ca="1">KBCSpaarrekSamenv!D93</f>
        <v>0</v>
      </c>
    </row>
    <row r="116" spans="1:8" outlineLevel="1">
      <c r="A116" s="10">
        <v>39904</v>
      </c>
      <c r="B116" s="5">
        <f t="array" aca="1" ref="B116" ca="1">SUM((IF(MONTH(KBCCompData!$C$2:$C$4000)=MONTH(KBCCompSamenv!$A116),1,0))*(IF(YEAR(KBCCompData!$C$2:$C$4000)=YEAR(KBCCompSamenv!$A116),1,0))*(IF(KBCCompData!$E$2:$E$4000&lt;0,1,0))*KBCCompData!$E$2:$E$4000)</f>
        <v>0</v>
      </c>
      <c r="C116" s="11">
        <f t="array" aca="1" ref="C116" ca="1">SUM(IF(MONTH(KBCCompData!$C$2:$C$4000)=MONTH(KBCCompSamenv!$A116),1,0)*IF(YEAR(KBCCompData!$C$2:$C$4000)=YEAR(KBCCompSamenv!$A116),1,0)*IF(KBCCompData!$E$2:$E$4000&lt;0,1,0)*IF(KBCCompData!$G$2:$G$4000=Categorieën!$E$1,0,1)*IF(KBCCompData!$G$2:$G$4000=Categorieën!$F$1,0,1)*IF(KBCCompData!$G$2:$G$4000=Categorieën!$L$1,0,1)*KBCCompData!$E$2:$E$4000)</f>
        <v>0</v>
      </c>
      <c r="D116" s="11">
        <f ca="1">SUM(IF(MONTH(KBCCompData!$C$2:$C$4000)=MONTH(KBCCompSamenv!$A116),1,0)*IF(YEAR(KBCCompData!$C$2:$C$4000)=YEAR(KBCCompSamenv!$A116),1,0)*IF(KBCCompData!$E$2:$E$4000&gt;0,1,0)*KBCCompData!$E$2:$E$4000)</f>
        <v>0</v>
      </c>
      <c r="E116" s="11">
        <f t="array" aca="1" ref="E116" ca="1">SUM(IF(MONTH(KBCCompData!$C$2:$C$4000)=MONTH(KBCCompSamenv!$A116),1,0)*IF(YEAR(KBCCompData!$C$2:$C$4000)=YEAR(KBCCompSamenv!$A116),1,0)*IF(KBCCompData!$G$2:$G$4000=E$1,1,0)*KBCCompData!$E$2:$E$4000)+SUM(IF(MONTH(CrelanData!$A$2:$A$4000)=MONTH(KBCCompSamenv!$A117),1,0)*IF(YEAR(CrelanData!$A$2:$A$4000)=YEAR(KBCCompSamenv!$A117),1,0)*IF(CrelanData!$H$2:$H$4000=Categorieën!$B$1,1,0)*CrelanData!$B$2:$B$4000)</f>
        <v>0</v>
      </c>
      <c r="F116" s="11">
        <f t="array" aca="1" ref="F116" ca="1">SUM(IF(MONTH(KBCCompData!$C$2:$C$4000)=MONTH(KBCCompSamenv!$A116),1,0)*IF(YEAR(KBCCompData!$C$2:$C$4000)=YEAR(KBCCompSamenv!$A116),1,0)*IF(KBCCompData!$G$2:$G$4000=F$1,1,0)*KBCCompData!$E$2:$E$4000)+SUM(IF(MONTH(CrelanData!$A$2:$A$4000)=MONTH(KBCCompSamenv!$A117),1,0)*IF(YEAR(CrelanData!$A$2:$A$4000)=YEAR(KBCCompSamenv!$A117),1,0)*IF(CrelanData!$H$2:$H$4000=Categorieën!$B$1,1,0)*CrelanData!$B$2:$B$4000)</f>
        <v>0</v>
      </c>
      <c r="G116" s="11">
        <f t="array" aca="1" ref="G116" ca="1">SUM(IF(MONTH(KBCCompData!$C$2:$C$4000)=MONTH(KBCCompSamenv!$A116),1,0)*IF(YEAR(KBCCompData!$C$2:$C$4000)=YEAR(KBCCompSamenv!$A116),1,0)*IF(KBCCompData!$G$2:$G$4000=G$1,1,0)*KBCCompData!$E$2:$E$4000)+SUM(IF(MONTH(CrelanData!$A$2:$A$4000)=MONTH(KBCCompSamenv!$A117),1,0)*IF(YEAR(CrelanData!$A$2:$A$4000)=YEAR(KBCCompSamenv!$A117),1,0)*IF(CrelanData!$H$2:$H$4000=Categorieën!$B$1,1,0)*CrelanData!$B$2:$B$4000)</f>
        <v>0</v>
      </c>
      <c r="H116" s="5">
        <f ca="1">KBCSpaarrekSamenv!D94</f>
        <v>0</v>
      </c>
    </row>
    <row r="117" spans="1:8" outlineLevel="1">
      <c r="A117" s="10">
        <v>39934</v>
      </c>
      <c r="B117" s="5">
        <f t="array" aca="1" ref="B117" ca="1">SUM((IF(MONTH(KBCCompData!$C$2:$C$4000)=MONTH(KBCCompSamenv!$A117),1,0))*(IF(YEAR(KBCCompData!$C$2:$C$4000)=YEAR(KBCCompSamenv!$A117),1,0))*(IF(KBCCompData!$E$2:$E$4000&lt;0,1,0))*KBCCompData!$E$2:$E$4000)</f>
        <v>0</v>
      </c>
      <c r="C117" s="11">
        <f t="array" aca="1" ref="C117" ca="1">SUM(IF(MONTH(KBCCompData!$C$2:$C$4000)=MONTH(KBCCompSamenv!$A117),1,0)*IF(YEAR(KBCCompData!$C$2:$C$4000)=YEAR(KBCCompSamenv!$A117),1,0)*IF(KBCCompData!$E$2:$E$4000&lt;0,1,0)*IF(KBCCompData!$G$2:$G$4000=Categorieën!$E$1,0,1)*IF(KBCCompData!$G$2:$G$4000=Categorieën!$F$1,0,1)*IF(KBCCompData!$G$2:$G$4000=Categorieën!$L$1,0,1)*KBCCompData!$E$2:$E$4000)</f>
        <v>0</v>
      </c>
      <c r="D117" s="11">
        <f ca="1">SUM(IF(MONTH(KBCCompData!$C$2:$C$4000)=MONTH(KBCCompSamenv!$A117),1,0)*IF(YEAR(KBCCompData!$C$2:$C$4000)=YEAR(KBCCompSamenv!$A117),1,0)*IF(KBCCompData!$E$2:$E$4000&gt;0,1,0)*KBCCompData!$E$2:$E$4000)</f>
        <v>0</v>
      </c>
      <c r="E117" s="11">
        <f t="array" aca="1" ref="E117" ca="1">SUM(IF(MONTH(KBCCompData!$C$2:$C$4000)=MONTH(KBCCompSamenv!$A117),1,0)*IF(YEAR(KBCCompData!$C$2:$C$4000)=YEAR(KBCCompSamenv!$A117),1,0)*IF(KBCCompData!$G$2:$G$4000=E$1,1,0)*KBCCompData!$E$2:$E$4000)+SUM(IF(MONTH(CrelanData!$A$2:$A$4000)=MONTH(KBCCompSamenv!$A118),1,0)*IF(YEAR(CrelanData!$A$2:$A$4000)=YEAR(KBCCompSamenv!$A118),1,0)*IF(CrelanData!$H$2:$H$4000=Categorieën!$B$1,1,0)*CrelanData!$B$2:$B$4000)</f>
        <v>0</v>
      </c>
      <c r="F117" s="11">
        <f t="array" aca="1" ref="F117" ca="1">SUM(IF(MONTH(KBCCompData!$C$2:$C$4000)=MONTH(KBCCompSamenv!$A117),1,0)*IF(YEAR(KBCCompData!$C$2:$C$4000)=YEAR(KBCCompSamenv!$A117),1,0)*IF(KBCCompData!$G$2:$G$4000=F$1,1,0)*KBCCompData!$E$2:$E$4000)+SUM(IF(MONTH(CrelanData!$A$2:$A$4000)=MONTH(KBCCompSamenv!$A118),1,0)*IF(YEAR(CrelanData!$A$2:$A$4000)=YEAR(KBCCompSamenv!$A118),1,0)*IF(CrelanData!$H$2:$H$4000=Categorieën!$B$1,1,0)*CrelanData!$B$2:$B$4000)</f>
        <v>0</v>
      </c>
      <c r="G117" s="11">
        <f t="array" aca="1" ref="G117" ca="1">SUM(IF(MONTH(KBCCompData!$C$2:$C$4000)=MONTH(KBCCompSamenv!$A117),1,0)*IF(YEAR(KBCCompData!$C$2:$C$4000)=YEAR(KBCCompSamenv!$A117),1,0)*IF(KBCCompData!$G$2:$G$4000=G$1,1,0)*KBCCompData!$E$2:$E$4000)+SUM(IF(MONTH(CrelanData!$A$2:$A$4000)=MONTH(KBCCompSamenv!$A118),1,0)*IF(YEAR(CrelanData!$A$2:$A$4000)=YEAR(KBCCompSamenv!$A118),1,0)*IF(CrelanData!$H$2:$H$4000=Categorieën!$B$1,1,0)*CrelanData!$B$2:$B$4000)</f>
        <v>0</v>
      </c>
      <c r="H117" s="5">
        <f ca="1">KBCSpaarrekSamenv!D95</f>
        <v>0</v>
      </c>
    </row>
    <row r="118" spans="1:8" outlineLevel="1">
      <c r="A118" s="10">
        <v>39965</v>
      </c>
      <c r="B118" s="5">
        <f t="array" aca="1" ref="B118" ca="1">SUM((IF(MONTH(KBCCompData!$C$2:$C$4000)=MONTH(KBCCompSamenv!$A118),1,0))*(IF(YEAR(KBCCompData!$C$2:$C$4000)=YEAR(KBCCompSamenv!$A118),1,0))*(IF(KBCCompData!$E$2:$E$4000&lt;0,1,0))*KBCCompData!$E$2:$E$4000)</f>
        <v>0</v>
      </c>
      <c r="C118" s="11">
        <f t="array" aca="1" ref="C118" ca="1">SUM(IF(MONTH(KBCCompData!$C$2:$C$4000)=MONTH(KBCCompSamenv!$A118),1,0)*IF(YEAR(KBCCompData!$C$2:$C$4000)=YEAR(KBCCompSamenv!$A118),1,0)*IF(KBCCompData!$E$2:$E$4000&lt;0,1,0)*IF(KBCCompData!$G$2:$G$4000=Categorieën!$E$1,0,1)*IF(KBCCompData!$G$2:$G$4000=Categorieën!$F$1,0,1)*IF(KBCCompData!$G$2:$G$4000=Categorieën!$L$1,0,1)*KBCCompData!$E$2:$E$4000)</f>
        <v>0</v>
      </c>
      <c r="D118" s="11">
        <f ca="1">SUM(IF(MONTH(KBCCompData!$C$2:$C$4000)=MONTH(KBCCompSamenv!$A118),1,0)*IF(YEAR(KBCCompData!$C$2:$C$4000)=YEAR(KBCCompSamenv!$A118),1,0)*IF(KBCCompData!$E$2:$E$4000&gt;0,1,0)*KBCCompData!$E$2:$E$4000)</f>
        <v>0</v>
      </c>
      <c r="E118" s="11">
        <f t="array" aca="1" ref="E118" ca="1">SUM(IF(MONTH(KBCCompData!$C$2:$C$4000)=MONTH(KBCCompSamenv!$A118),1,0)*IF(YEAR(KBCCompData!$C$2:$C$4000)=YEAR(KBCCompSamenv!$A118),1,0)*IF(KBCCompData!$G$2:$G$4000=E$1,1,0)*KBCCompData!$E$2:$E$4000)+SUM(IF(MONTH(CrelanData!$A$2:$A$4000)=MONTH(KBCCompSamenv!$A119),1,0)*IF(YEAR(CrelanData!$A$2:$A$4000)=YEAR(KBCCompSamenv!$A119),1,0)*IF(CrelanData!$H$2:$H$4000=Categorieën!$B$1,1,0)*CrelanData!$B$2:$B$4000)</f>
        <v>0</v>
      </c>
      <c r="F118" s="11">
        <f t="array" aca="1" ref="F118" ca="1">SUM(IF(MONTH(KBCCompData!$C$2:$C$4000)=MONTH(KBCCompSamenv!$A118),1,0)*IF(YEAR(KBCCompData!$C$2:$C$4000)=YEAR(KBCCompSamenv!$A118),1,0)*IF(KBCCompData!$G$2:$G$4000=F$1,1,0)*KBCCompData!$E$2:$E$4000)+SUM(IF(MONTH(CrelanData!$A$2:$A$4000)=MONTH(KBCCompSamenv!$A119),1,0)*IF(YEAR(CrelanData!$A$2:$A$4000)=YEAR(KBCCompSamenv!$A119),1,0)*IF(CrelanData!$H$2:$H$4000=Categorieën!$B$1,1,0)*CrelanData!$B$2:$B$4000)</f>
        <v>0</v>
      </c>
      <c r="G118" s="11">
        <f t="array" aca="1" ref="G118" ca="1">SUM(IF(MONTH(KBCCompData!$C$2:$C$4000)=MONTH(KBCCompSamenv!$A118),1,0)*IF(YEAR(KBCCompData!$C$2:$C$4000)=YEAR(KBCCompSamenv!$A118),1,0)*IF(KBCCompData!$G$2:$G$4000=G$1,1,0)*KBCCompData!$E$2:$E$4000)+SUM(IF(MONTH(CrelanData!$A$2:$A$4000)=MONTH(KBCCompSamenv!$A119),1,0)*IF(YEAR(CrelanData!$A$2:$A$4000)=YEAR(KBCCompSamenv!$A119),1,0)*IF(CrelanData!$H$2:$H$4000=Categorieën!$B$1,1,0)*CrelanData!$B$2:$B$4000)</f>
        <v>0</v>
      </c>
      <c r="H118" s="5">
        <f ca="1">KBCSpaarrekSamenv!D96</f>
        <v>0</v>
      </c>
    </row>
    <row r="119" spans="1:8" outlineLevel="1">
      <c r="A119" s="10">
        <v>39995</v>
      </c>
      <c r="B119" s="5">
        <f t="array" aca="1" ref="B119" ca="1">SUM((IF(MONTH(KBCCompData!$C$2:$C$4000)=MONTH(KBCCompSamenv!$A119),1,0))*(IF(YEAR(KBCCompData!$C$2:$C$4000)=YEAR(KBCCompSamenv!$A119),1,0))*(IF(KBCCompData!$E$2:$E$4000&lt;0,1,0))*KBCCompData!$E$2:$E$4000)</f>
        <v>0</v>
      </c>
      <c r="C119" s="11">
        <f t="array" aca="1" ref="C119" ca="1">SUM(IF(MONTH(KBCCompData!$C$2:$C$4000)=MONTH(KBCCompSamenv!$A119),1,0)*IF(YEAR(KBCCompData!$C$2:$C$4000)=YEAR(KBCCompSamenv!$A119),1,0)*IF(KBCCompData!$E$2:$E$4000&lt;0,1,0)*IF(KBCCompData!$G$2:$G$4000=Categorieën!$E$1,0,1)*IF(KBCCompData!$G$2:$G$4000=Categorieën!$F$1,0,1)*IF(KBCCompData!$G$2:$G$4000=Categorieën!$L$1,0,1)*KBCCompData!$E$2:$E$4000)</f>
        <v>0</v>
      </c>
      <c r="D119" s="11">
        <f ca="1">SUM(IF(MONTH(KBCCompData!$C$2:$C$4000)=MONTH(KBCCompSamenv!$A119),1,0)*IF(YEAR(KBCCompData!$C$2:$C$4000)=YEAR(KBCCompSamenv!$A119),1,0)*IF(KBCCompData!$E$2:$E$4000&gt;0,1,0)*KBCCompData!$E$2:$E$4000)</f>
        <v>0</v>
      </c>
      <c r="E119" s="11">
        <f t="array" aca="1" ref="E119" ca="1">SUM(IF(MONTH(KBCCompData!$C$2:$C$4000)=MONTH(KBCCompSamenv!$A119),1,0)*IF(YEAR(KBCCompData!$C$2:$C$4000)=YEAR(KBCCompSamenv!$A119),1,0)*IF(KBCCompData!$G$2:$G$4000=E$1,1,0)*KBCCompData!$E$2:$E$4000)+SUM(IF(MONTH(CrelanData!$A$2:$A$4000)=MONTH(KBCCompSamenv!$A120),1,0)*IF(YEAR(CrelanData!$A$2:$A$4000)=YEAR(KBCCompSamenv!$A120),1,0)*IF(CrelanData!$H$2:$H$4000=Categorieën!$B$1,1,0)*CrelanData!$B$2:$B$4000)</f>
        <v>0</v>
      </c>
      <c r="F119" s="11">
        <f t="array" aca="1" ref="F119" ca="1">SUM(IF(MONTH(KBCCompData!$C$2:$C$4000)=MONTH(KBCCompSamenv!$A119),1,0)*IF(YEAR(KBCCompData!$C$2:$C$4000)=YEAR(KBCCompSamenv!$A119),1,0)*IF(KBCCompData!$G$2:$G$4000=F$1,1,0)*KBCCompData!$E$2:$E$4000)+SUM(IF(MONTH(CrelanData!$A$2:$A$4000)=MONTH(KBCCompSamenv!$A120),1,0)*IF(YEAR(CrelanData!$A$2:$A$4000)=YEAR(KBCCompSamenv!$A120),1,0)*IF(CrelanData!$H$2:$H$4000=Categorieën!$B$1,1,0)*CrelanData!$B$2:$B$4000)</f>
        <v>0</v>
      </c>
      <c r="G119" s="11">
        <f t="array" aca="1" ref="G119" ca="1">SUM(IF(MONTH(KBCCompData!$C$2:$C$4000)=MONTH(KBCCompSamenv!$A119),1,0)*IF(YEAR(KBCCompData!$C$2:$C$4000)=YEAR(KBCCompSamenv!$A119),1,0)*IF(KBCCompData!$G$2:$G$4000=G$1,1,0)*KBCCompData!$E$2:$E$4000)+SUM(IF(MONTH(CrelanData!$A$2:$A$4000)=MONTH(KBCCompSamenv!$A120),1,0)*IF(YEAR(CrelanData!$A$2:$A$4000)=YEAR(KBCCompSamenv!$A120),1,0)*IF(CrelanData!$H$2:$H$4000=Categorieën!$B$1,1,0)*CrelanData!$B$2:$B$4000)</f>
        <v>0</v>
      </c>
      <c r="H119" s="5">
        <f ca="1">KBCSpaarrekSamenv!D97</f>
        <v>0</v>
      </c>
    </row>
    <row r="120" spans="1:8" outlineLevel="1">
      <c r="A120" s="10">
        <v>40026</v>
      </c>
      <c r="B120" s="5">
        <f t="array" aca="1" ref="B120" ca="1">SUM((IF(MONTH(KBCCompData!$C$2:$C$4000)=MONTH(KBCCompSamenv!$A120),1,0))*(IF(YEAR(KBCCompData!$C$2:$C$4000)=YEAR(KBCCompSamenv!$A120),1,0))*(IF(KBCCompData!$E$2:$E$4000&lt;0,1,0))*KBCCompData!$E$2:$E$4000)</f>
        <v>0</v>
      </c>
      <c r="C120" s="11">
        <f t="array" aca="1" ref="C120" ca="1">SUM(IF(MONTH(KBCCompData!$C$2:$C$4000)=MONTH(KBCCompSamenv!$A120),1,0)*IF(YEAR(KBCCompData!$C$2:$C$4000)=YEAR(KBCCompSamenv!$A120),1,0)*IF(KBCCompData!$E$2:$E$4000&lt;0,1,0)*IF(KBCCompData!$G$2:$G$4000=Categorieën!$E$1,0,1)*IF(KBCCompData!$G$2:$G$4000=Categorieën!$F$1,0,1)*IF(KBCCompData!$G$2:$G$4000=Categorieën!$L$1,0,1)*KBCCompData!$E$2:$E$4000)</f>
        <v>0</v>
      </c>
      <c r="D120" s="11">
        <f ca="1">SUM(IF(MONTH(KBCCompData!$C$2:$C$4000)=MONTH(KBCCompSamenv!$A120),1,0)*IF(YEAR(KBCCompData!$C$2:$C$4000)=YEAR(KBCCompSamenv!$A120),1,0)*IF(KBCCompData!$E$2:$E$4000&gt;0,1,0)*KBCCompData!$E$2:$E$4000)</f>
        <v>0</v>
      </c>
      <c r="E120" s="11">
        <f t="array" aca="1" ref="E120" ca="1">SUM(IF(MONTH(KBCCompData!$C$2:$C$4000)=MONTH(KBCCompSamenv!$A120),1,0)*IF(YEAR(KBCCompData!$C$2:$C$4000)=YEAR(KBCCompSamenv!$A120),1,0)*IF(KBCCompData!$G$2:$G$4000=E$1,1,0)*KBCCompData!$E$2:$E$4000)+SUM(IF(MONTH(CrelanData!$A$2:$A$4000)=MONTH(KBCCompSamenv!$A121),1,0)*IF(YEAR(CrelanData!$A$2:$A$4000)=YEAR(KBCCompSamenv!$A121),1,0)*IF(CrelanData!$H$2:$H$4000=Categorieën!$B$1,1,0)*CrelanData!$B$2:$B$4000)</f>
        <v>0</v>
      </c>
      <c r="F120" s="11">
        <f t="array" aca="1" ref="F120" ca="1">SUM(IF(MONTH(KBCCompData!$C$2:$C$4000)=MONTH(KBCCompSamenv!$A120),1,0)*IF(YEAR(KBCCompData!$C$2:$C$4000)=YEAR(KBCCompSamenv!$A120),1,0)*IF(KBCCompData!$G$2:$G$4000=F$1,1,0)*KBCCompData!$E$2:$E$4000)+SUM(IF(MONTH(CrelanData!$A$2:$A$4000)=MONTH(KBCCompSamenv!$A121),1,0)*IF(YEAR(CrelanData!$A$2:$A$4000)=YEAR(KBCCompSamenv!$A121),1,0)*IF(CrelanData!$H$2:$H$4000=Categorieën!$B$1,1,0)*CrelanData!$B$2:$B$4000)</f>
        <v>0</v>
      </c>
      <c r="G120" s="11">
        <f t="array" aca="1" ref="G120" ca="1">SUM(IF(MONTH(KBCCompData!$C$2:$C$4000)=MONTH(KBCCompSamenv!$A120),1,0)*IF(YEAR(KBCCompData!$C$2:$C$4000)=YEAR(KBCCompSamenv!$A120),1,0)*IF(KBCCompData!$G$2:$G$4000=G$1,1,0)*KBCCompData!$E$2:$E$4000)+SUM(IF(MONTH(CrelanData!$A$2:$A$4000)=MONTH(KBCCompSamenv!$A121),1,0)*IF(YEAR(CrelanData!$A$2:$A$4000)=YEAR(KBCCompSamenv!$A121),1,0)*IF(CrelanData!$H$2:$H$4000=Categorieën!$B$1,1,0)*CrelanData!$B$2:$B$4000)</f>
        <v>0</v>
      </c>
      <c r="H120" s="5">
        <f ca="1">KBCSpaarrekSamenv!D98</f>
        <v>0</v>
      </c>
    </row>
    <row r="121" spans="1:8" outlineLevel="1">
      <c r="A121" s="10">
        <v>40057</v>
      </c>
      <c r="B121" s="5">
        <f t="array" aca="1" ref="B121" ca="1">SUM((IF(MONTH(KBCCompData!$C$2:$C$4000)=MONTH(KBCCompSamenv!$A121),1,0))*(IF(YEAR(KBCCompData!$C$2:$C$4000)=YEAR(KBCCompSamenv!$A121),1,0))*(IF(KBCCompData!$E$2:$E$4000&lt;0,1,0))*KBCCompData!$E$2:$E$4000)</f>
        <v>0</v>
      </c>
      <c r="C121" s="11">
        <f t="array" aca="1" ref="C121" ca="1">SUM(IF(MONTH(KBCCompData!$C$2:$C$4000)=MONTH(KBCCompSamenv!$A121),1,0)*IF(YEAR(KBCCompData!$C$2:$C$4000)=YEAR(KBCCompSamenv!$A121),1,0)*IF(KBCCompData!$E$2:$E$4000&lt;0,1,0)*IF(KBCCompData!$G$2:$G$4000=Categorieën!$E$1,0,1)*IF(KBCCompData!$G$2:$G$4000=Categorieën!$F$1,0,1)*IF(KBCCompData!$G$2:$G$4000=Categorieën!$L$1,0,1)*KBCCompData!$E$2:$E$4000)</f>
        <v>0</v>
      </c>
      <c r="D121" s="11">
        <f ca="1">SUM(IF(MONTH(KBCCompData!$C$2:$C$4000)=MONTH(KBCCompSamenv!$A121),1,0)*IF(YEAR(KBCCompData!$C$2:$C$4000)=YEAR(KBCCompSamenv!$A121),1,0)*IF(KBCCompData!$E$2:$E$4000&gt;0,1,0)*KBCCompData!$E$2:$E$4000)</f>
        <v>0</v>
      </c>
      <c r="E121" s="11">
        <f t="array" aca="1" ref="E121" ca="1">SUM(IF(MONTH(KBCCompData!$C$2:$C$4000)=MONTH(KBCCompSamenv!$A121),1,0)*IF(YEAR(KBCCompData!$C$2:$C$4000)=YEAR(KBCCompSamenv!$A121),1,0)*IF(KBCCompData!$G$2:$G$4000=E$1,1,0)*KBCCompData!$E$2:$E$4000)+SUM(IF(MONTH(CrelanData!$A$2:$A$4000)=MONTH(KBCCompSamenv!$A122),1,0)*IF(YEAR(CrelanData!$A$2:$A$4000)=YEAR(KBCCompSamenv!$A122),1,0)*IF(CrelanData!$H$2:$H$4000=Categorieën!$B$1,1,0)*CrelanData!$B$2:$B$4000)</f>
        <v>0</v>
      </c>
      <c r="F121" s="11">
        <f t="array" aca="1" ref="F121" ca="1">SUM(IF(MONTH(KBCCompData!$C$2:$C$4000)=MONTH(KBCCompSamenv!$A121),1,0)*IF(YEAR(KBCCompData!$C$2:$C$4000)=YEAR(KBCCompSamenv!$A121),1,0)*IF(KBCCompData!$G$2:$G$4000=F$1,1,0)*KBCCompData!$E$2:$E$4000)+SUM(IF(MONTH(CrelanData!$A$2:$A$4000)=MONTH(KBCCompSamenv!$A122),1,0)*IF(YEAR(CrelanData!$A$2:$A$4000)=YEAR(KBCCompSamenv!$A122),1,0)*IF(CrelanData!$H$2:$H$4000=Categorieën!$B$1,1,0)*CrelanData!$B$2:$B$4000)</f>
        <v>0</v>
      </c>
      <c r="G121" s="11">
        <f t="array" aca="1" ref="G121" ca="1">SUM(IF(MONTH(KBCCompData!$C$2:$C$4000)=MONTH(KBCCompSamenv!$A121),1,0)*IF(YEAR(KBCCompData!$C$2:$C$4000)=YEAR(KBCCompSamenv!$A121),1,0)*IF(KBCCompData!$G$2:$G$4000=G$1,1,0)*KBCCompData!$E$2:$E$4000)+SUM(IF(MONTH(CrelanData!$A$2:$A$4000)=MONTH(KBCCompSamenv!$A122),1,0)*IF(YEAR(CrelanData!$A$2:$A$4000)=YEAR(KBCCompSamenv!$A122),1,0)*IF(CrelanData!$H$2:$H$4000=Categorieën!$B$1,1,0)*CrelanData!$B$2:$B$4000)</f>
        <v>0</v>
      </c>
      <c r="H121" s="5">
        <f ca="1">KBCSpaarrekSamenv!D99</f>
        <v>0</v>
      </c>
    </row>
    <row r="122" spans="1:8" outlineLevel="1">
      <c r="A122" s="10">
        <v>40087</v>
      </c>
      <c r="B122" s="5">
        <f t="array" aca="1" ref="B122" ca="1">SUM((IF(MONTH(KBCCompData!$C$2:$C$4000)=MONTH(KBCCompSamenv!$A122),1,0))*(IF(YEAR(KBCCompData!$C$2:$C$4000)=YEAR(KBCCompSamenv!$A122),1,0))*(IF(KBCCompData!$E$2:$E$4000&lt;0,1,0))*KBCCompData!$E$2:$E$4000)</f>
        <v>0</v>
      </c>
      <c r="C122" s="11">
        <f t="array" aca="1" ref="C122" ca="1">SUM(IF(MONTH(KBCCompData!$C$2:$C$4000)=MONTH(KBCCompSamenv!$A122),1,0)*IF(YEAR(KBCCompData!$C$2:$C$4000)=YEAR(KBCCompSamenv!$A122),1,0)*IF(KBCCompData!$E$2:$E$4000&lt;0,1,0)*IF(KBCCompData!$G$2:$G$4000=Categorieën!$E$1,0,1)*IF(KBCCompData!$G$2:$G$4000=Categorieën!$F$1,0,1)*IF(KBCCompData!$G$2:$G$4000=Categorieën!$L$1,0,1)*KBCCompData!$E$2:$E$4000)</f>
        <v>0</v>
      </c>
      <c r="D122" s="11">
        <f ca="1">SUM(IF(MONTH(KBCCompData!$C$2:$C$4000)=MONTH(KBCCompSamenv!$A122),1,0)*IF(YEAR(KBCCompData!$C$2:$C$4000)=YEAR(KBCCompSamenv!$A122),1,0)*IF(KBCCompData!$E$2:$E$4000&gt;0,1,0)*KBCCompData!$E$2:$E$4000)</f>
        <v>0</v>
      </c>
      <c r="E122" s="11">
        <f t="array" aca="1" ref="E122" ca="1">SUM(IF(MONTH(KBCCompData!$C$2:$C$4000)=MONTH(KBCCompSamenv!$A122),1,0)*IF(YEAR(KBCCompData!$C$2:$C$4000)=YEAR(KBCCompSamenv!$A122),1,0)*IF(KBCCompData!$G$2:$G$4000=E$1,1,0)*KBCCompData!$E$2:$E$4000)+SUM(IF(MONTH(CrelanData!$A$2:$A$4000)=MONTH(KBCCompSamenv!$A123),1,0)*IF(YEAR(CrelanData!$A$2:$A$4000)=YEAR(KBCCompSamenv!$A123),1,0)*IF(CrelanData!$H$2:$H$4000=Categorieën!$B$1,1,0)*CrelanData!$B$2:$B$4000)</f>
        <v>0</v>
      </c>
      <c r="F122" s="11">
        <f t="array" aca="1" ref="F122" ca="1">SUM(IF(MONTH(KBCCompData!$C$2:$C$4000)=MONTH(KBCCompSamenv!$A122),1,0)*IF(YEAR(KBCCompData!$C$2:$C$4000)=YEAR(KBCCompSamenv!$A122),1,0)*IF(KBCCompData!$G$2:$G$4000=F$1,1,0)*KBCCompData!$E$2:$E$4000)+SUM(IF(MONTH(CrelanData!$A$2:$A$4000)=MONTH(KBCCompSamenv!$A123),1,0)*IF(YEAR(CrelanData!$A$2:$A$4000)=YEAR(KBCCompSamenv!$A123),1,0)*IF(CrelanData!$H$2:$H$4000=Categorieën!$B$1,1,0)*CrelanData!$B$2:$B$4000)</f>
        <v>0</v>
      </c>
      <c r="G122" s="11">
        <f t="array" aca="1" ref="G122" ca="1">SUM(IF(MONTH(KBCCompData!$C$2:$C$4000)=MONTH(KBCCompSamenv!$A122),1,0)*IF(YEAR(KBCCompData!$C$2:$C$4000)=YEAR(KBCCompSamenv!$A122),1,0)*IF(KBCCompData!$G$2:$G$4000=G$1,1,0)*KBCCompData!$E$2:$E$4000)+SUM(IF(MONTH(CrelanData!$A$2:$A$4000)=MONTH(KBCCompSamenv!$A123),1,0)*IF(YEAR(CrelanData!$A$2:$A$4000)=YEAR(KBCCompSamenv!$A123),1,0)*IF(CrelanData!$H$2:$H$4000=Categorieën!$B$1,1,0)*CrelanData!$B$2:$B$4000)</f>
        <v>0</v>
      </c>
      <c r="H122" s="5">
        <f ca="1">KBCSpaarrekSamenv!D100</f>
        <v>0</v>
      </c>
    </row>
    <row r="123" spans="1:8" outlineLevel="1">
      <c r="A123" s="10">
        <v>40118</v>
      </c>
      <c r="B123" s="5">
        <f t="array" aca="1" ref="B123" ca="1">SUM((IF(MONTH(KBCCompData!$C$2:$C$4000)=MONTH(KBCCompSamenv!$A123),1,0))*(IF(YEAR(KBCCompData!$C$2:$C$4000)=YEAR(KBCCompSamenv!$A123),1,0))*(IF(KBCCompData!$E$2:$E$4000&lt;0,1,0))*KBCCompData!$E$2:$E$4000)</f>
        <v>0</v>
      </c>
      <c r="C123" s="11">
        <f t="array" aca="1" ref="C123" ca="1">SUM(IF(MONTH(KBCCompData!$C$2:$C$4000)=MONTH(KBCCompSamenv!$A123),1,0)*IF(YEAR(KBCCompData!$C$2:$C$4000)=YEAR(KBCCompSamenv!$A123),1,0)*IF(KBCCompData!$E$2:$E$4000&lt;0,1,0)*IF(KBCCompData!$G$2:$G$4000=Categorieën!$E$1,0,1)*IF(KBCCompData!$G$2:$G$4000=Categorieën!$F$1,0,1)*IF(KBCCompData!$G$2:$G$4000=Categorieën!$L$1,0,1)*KBCCompData!$E$2:$E$4000)</f>
        <v>0</v>
      </c>
      <c r="D123" s="11">
        <f ca="1">SUM(IF(MONTH(KBCCompData!$C$2:$C$4000)=MONTH(KBCCompSamenv!$A123),1,0)*IF(YEAR(KBCCompData!$C$2:$C$4000)=YEAR(KBCCompSamenv!$A123),1,0)*IF(KBCCompData!$E$2:$E$4000&gt;0,1,0)*KBCCompData!$E$2:$E$4000)</f>
        <v>0</v>
      </c>
      <c r="E123" s="11">
        <f t="array" aca="1" ref="E123" ca="1">SUM(IF(MONTH(KBCCompData!$C$2:$C$4000)=MONTH(KBCCompSamenv!$A123),1,0)*IF(YEAR(KBCCompData!$C$2:$C$4000)=YEAR(KBCCompSamenv!$A123),1,0)*IF(KBCCompData!$G$2:$G$4000=E$1,1,0)*KBCCompData!$E$2:$E$4000)+SUM(IF(MONTH(CrelanData!$A$2:$A$4000)=MONTH(KBCCompSamenv!$A124),1,0)*IF(YEAR(CrelanData!$A$2:$A$4000)=YEAR(KBCCompSamenv!$A124),1,0)*IF(CrelanData!$H$2:$H$4000=Categorieën!$B$1,1,0)*CrelanData!$B$2:$B$4000)</f>
        <v>0</v>
      </c>
      <c r="F123" s="11">
        <f t="array" aca="1" ref="F123" ca="1">SUM(IF(MONTH(KBCCompData!$C$2:$C$4000)=MONTH(KBCCompSamenv!$A123),1,0)*IF(YEAR(KBCCompData!$C$2:$C$4000)=YEAR(KBCCompSamenv!$A123),1,0)*IF(KBCCompData!$G$2:$G$4000=F$1,1,0)*KBCCompData!$E$2:$E$4000)+SUM(IF(MONTH(CrelanData!$A$2:$A$4000)=MONTH(KBCCompSamenv!$A124),1,0)*IF(YEAR(CrelanData!$A$2:$A$4000)=YEAR(KBCCompSamenv!$A124),1,0)*IF(CrelanData!$H$2:$H$4000=Categorieën!$B$1,1,0)*CrelanData!$B$2:$B$4000)</f>
        <v>0</v>
      </c>
      <c r="G123" s="11">
        <f t="array" aca="1" ref="G123" ca="1">SUM(IF(MONTH(KBCCompData!$C$2:$C$4000)=MONTH(KBCCompSamenv!$A123),1,0)*IF(YEAR(KBCCompData!$C$2:$C$4000)=YEAR(KBCCompSamenv!$A123),1,0)*IF(KBCCompData!$G$2:$G$4000=G$1,1,0)*KBCCompData!$E$2:$E$4000)+SUM(IF(MONTH(CrelanData!$A$2:$A$4000)=MONTH(KBCCompSamenv!$A124),1,0)*IF(YEAR(CrelanData!$A$2:$A$4000)=YEAR(KBCCompSamenv!$A124),1,0)*IF(CrelanData!$H$2:$H$4000=Categorieën!$B$1,1,0)*CrelanData!$B$2:$B$4000)</f>
        <v>0</v>
      </c>
      <c r="H123" s="5">
        <f ca="1">KBCSpaarrekSamenv!D101</f>
        <v>0</v>
      </c>
    </row>
    <row r="124" spans="1:8">
      <c r="A124" s="10">
        <v>40148</v>
      </c>
      <c r="B124" s="5">
        <f t="array" aca="1" ref="B124" ca="1">SUM((IF(MONTH(KBCCompData!$C$2:$C$4000)=MONTH(KBCCompSamenv!$A124),1,0))*(IF(YEAR(KBCCompData!$C$2:$C$4000)=YEAR(KBCCompSamenv!$A124),1,0))*(IF(KBCCompData!$E$2:$E$4000&lt;0,1,0))*KBCCompData!$E$2:$E$4000)</f>
        <v>0</v>
      </c>
      <c r="C124" s="11">
        <f t="array" aca="1" ref="C124" ca="1">SUM(IF(MONTH(KBCCompData!$C$2:$C$4000)=MONTH(KBCCompSamenv!$A124),1,0)*IF(YEAR(KBCCompData!$C$2:$C$4000)=YEAR(KBCCompSamenv!$A124),1,0)*IF(KBCCompData!$E$2:$E$4000&lt;0,1,0)*IF(KBCCompData!$G$2:$G$4000=Categorieën!$E$1,0,1)*IF(KBCCompData!$G$2:$G$4000=Categorieën!$F$1,0,1)*IF(KBCCompData!$G$2:$G$4000=Categorieën!$L$1,0,1)*KBCCompData!$E$2:$E$4000)</f>
        <v>0</v>
      </c>
      <c r="D124" s="11">
        <f ca="1">SUM(IF(MONTH(KBCCompData!$C$2:$C$4000)=MONTH(KBCCompSamenv!$A124),1,0)*IF(YEAR(KBCCompData!$C$2:$C$4000)=YEAR(KBCCompSamenv!$A124),1,0)*IF(KBCCompData!$E$2:$E$4000&gt;0,1,0)*KBCCompData!$E$2:$E$4000)</f>
        <v>0</v>
      </c>
      <c r="E124" s="11">
        <f t="array" aca="1" ref="E124" ca="1">SUM(IF(MONTH(KBCCompData!$C$2:$C$4000)=MONTH(KBCCompSamenv!$A124),1,0)*IF(YEAR(KBCCompData!$C$2:$C$4000)=YEAR(KBCCompSamenv!$A124),1,0)*IF(KBCCompData!$G$2:$G$4000=E$1,1,0)*KBCCompData!$E$2:$E$4000)+SUM(IF(MONTH(CrelanData!$A$2:$A$4000)=MONTH(KBCCompSamenv!$A125),1,0)*IF(YEAR(CrelanData!$A$2:$A$4000)=YEAR(KBCCompSamenv!$A125),1,0)*IF(CrelanData!$H$2:$H$4000=Categorieën!$B$1,1,0)*CrelanData!$B$2:$B$4000)</f>
        <v>0</v>
      </c>
      <c r="F124" s="11">
        <f t="array" aca="1" ref="F124" ca="1">SUM(IF(MONTH(KBCCompData!$C$2:$C$4000)=MONTH(KBCCompSamenv!$A124),1,0)*IF(YEAR(KBCCompData!$C$2:$C$4000)=YEAR(KBCCompSamenv!$A124),1,0)*IF(KBCCompData!$G$2:$G$4000=F$1,1,0)*KBCCompData!$E$2:$E$4000)+SUM(IF(MONTH(CrelanData!$A$2:$A$4000)=MONTH(KBCCompSamenv!$A125),1,0)*IF(YEAR(CrelanData!$A$2:$A$4000)=YEAR(KBCCompSamenv!$A125),1,0)*IF(CrelanData!$H$2:$H$4000=Categorieën!$B$1,1,0)*CrelanData!$B$2:$B$4000)</f>
        <v>0</v>
      </c>
      <c r="G124" s="11">
        <f t="array" aca="1" ref="G124" ca="1">SUM(IF(MONTH(KBCCompData!$C$2:$C$4000)=MONTH(KBCCompSamenv!$A124),1,0)*IF(YEAR(KBCCompData!$C$2:$C$4000)=YEAR(KBCCompSamenv!$A124),1,0)*IF(KBCCompData!$G$2:$G$4000=G$1,1,0)*KBCCompData!$E$2:$E$4000)+SUM(IF(MONTH(CrelanData!$A$2:$A$4000)=MONTH(KBCCompSamenv!$A125),1,0)*IF(YEAR(CrelanData!$A$2:$A$4000)=YEAR(KBCCompSamenv!$A125),1,0)*IF(CrelanData!$H$2:$H$4000=Categorieën!$B$1,1,0)*CrelanData!$B$2:$B$4000)</f>
        <v>0</v>
      </c>
      <c r="H124" s="5">
        <f ca="1">KBCSpaarrekSamenv!D102</f>
        <v>0</v>
      </c>
    </row>
    <row r="125" spans="1:8">
      <c r="A125" s="10">
        <v>40179</v>
      </c>
      <c r="B125" s="5">
        <f t="array" aca="1" ref="B125" ca="1">SUM((IF(MONTH(KBCCompData!$C$2:$C$4000)=MONTH(KBCCompSamenv!$A125),1,0))*(IF(YEAR(KBCCompData!$C$2:$C$4000)=YEAR(KBCCompSamenv!$A125),1,0))*(IF(KBCCompData!$E$2:$E$4000&lt;0,1,0))*KBCCompData!$E$2:$E$4000)</f>
        <v>0</v>
      </c>
      <c r="C125" s="11">
        <f t="array" aca="1" ref="C125" ca="1">SUM(IF(MONTH(KBCCompData!$C$2:$C$4000)=MONTH(KBCCompSamenv!$A125),1,0)*IF(YEAR(KBCCompData!$C$2:$C$4000)=YEAR(KBCCompSamenv!$A125),1,0)*IF(KBCCompData!$E$2:$E$4000&lt;0,1,0)*IF(KBCCompData!$G$2:$G$4000=Categorieën!$E$1,0,1)*IF(KBCCompData!$G$2:$G$4000=Categorieën!$F$1,0,1)*IF(KBCCompData!$G$2:$G$4000=Categorieën!$L$1,0,1)*KBCCompData!$E$2:$E$4000)</f>
        <v>0</v>
      </c>
      <c r="D125" s="11">
        <f ca="1">SUM(IF(MONTH(KBCCompData!$C$2:$C$4000)=MONTH(KBCCompSamenv!$A125),1,0)*IF(YEAR(KBCCompData!$C$2:$C$4000)=YEAR(KBCCompSamenv!$A125),1,0)*IF(KBCCompData!$E$2:$E$4000&gt;0,1,0)*KBCCompData!$E$2:$E$4000)</f>
        <v>0</v>
      </c>
      <c r="E125" s="11">
        <f t="array" aca="1" ref="E125" ca="1">SUM(IF(MONTH(KBCCompData!$C$2:$C$4000)=MONTH(KBCCompSamenv!$A125),1,0)*IF(YEAR(KBCCompData!$C$2:$C$4000)=YEAR(KBCCompSamenv!$A125),1,0)*IF(KBCCompData!$G$2:$G$4000=E$1,1,0)*KBCCompData!$E$2:$E$4000)+SUM(IF(MONTH(CrelanData!$A$2:$A$4000)=MONTH(KBCCompSamenv!$A126),1,0)*IF(YEAR(CrelanData!$A$2:$A$4000)=YEAR(KBCCompSamenv!$A126),1,0)*IF(CrelanData!$H$2:$H$4000=Categorieën!$B$1,1,0)*CrelanData!$B$2:$B$4000)</f>
        <v>0</v>
      </c>
      <c r="F125" s="11">
        <f t="array" aca="1" ref="F125" ca="1">SUM(IF(MONTH(KBCCompData!$C$2:$C$4000)=MONTH(KBCCompSamenv!$A125),1,0)*IF(YEAR(KBCCompData!$C$2:$C$4000)=YEAR(KBCCompSamenv!$A125),1,0)*IF(KBCCompData!$G$2:$G$4000=F$1,1,0)*KBCCompData!$E$2:$E$4000)+SUM(IF(MONTH(CrelanData!$A$2:$A$4000)=MONTH(KBCCompSamenv!$A126),1,0)*IF(YEAR(CrelanData!$A$2:$A$4000)=YEAR(KBCCompSamenv!$A126),1,0)*IF(CrelanData!$H$2:$H$4000=Categorieën!$B$1,1,0)*CrelanData!$B$2:$B$4000)</f>
        <v>0</v>
      </c>
      <c r="G125" s="11">
        <f t="array" aca="1" ref="G125" ca="1">SUM(IF(MONTH(KBCCompData!$C$2:$C$4000)=MONTH(KBCCompSamenv!$A125),1,0)*IF(YEAR(KBCCompData!$C$2:$C$4000)=YEAR(KBCCompSamenv!$A125),1,0)*IF(KBCCompData!$G$2:$G$4000=G$1,1,0)*KBCCompData!$E$2:$E$4000)+SUM(IF(MONTH(CrelanData!$A$2:$A$4000)=MONTH(KBCCompSamenv!$A126),1,0)*IF(YEAR(CrelanData!$A$2:$A$4000)=YEAR(KBCCompSamenv!$A126),1,0)*IF(CrelanData!$H$2:$H$4000=Categorieën!$B$1,1,0)*CrelanData!$B$2:$B$4000)</f>
        <v>0</v>
      </c>
      <c r="H125" s="5">
        <f ca="1">KBCSpaarrekSamenv!D103</f>
        <v>0</v>
      </c>
    </row>
    <row r="126" spans="1:8">
      <c r="A126" s="10">
        <v>40210</v>
      </c>
      <c r="B126" s="5">
        <f t="array" aca="1" ref="B126" ca="1">SUM((IF(MONTH(KBCCompData!$C$2:$C$4000)=MONTH(KBCCompSamenv!$A126),1,0))*(IF(YEAR(KBCCompData!$C$2:$C$4000)=YEAR(KBCCompSamenv!$A126),1,0))*(IF(KBCCompData!$E$2:$E$4000&lt;0,1,0))*KBCCompData!$E$2:$E$4000)</f>
        <v>0</v>
      </c>
      <c r="C126" s="11">
        <f t="array" aca="1" ref="C126" ca="1">SUM(IF(MONTH(KBCCompData!$C$2:$C$4000)=MONTH(KBCCompSamenv!$A126),1,0)*IF(YEAR(KBCCompData!$C$2:$C$4000)=YEAR(KBCCompSamenv!$A126),1,0)*IF(KBCCompData!$E$2:$E$4000&lt;0,1,0)*IF(KBCCompData!$G$2:$G$4000=Categorieën!$E$1,0,1)*IF(KBCCompData!$G$2:$G$4000=Categorieën!$F$1,0,1)*IF(KBCCompData!$G$2:$G$4000=Categorieën!$L$1,0,1)*KBCCompData!$E$2:$E$4000)</f>
        <v>0</v>
      </c>
      <c r="D126" s="11">
        <f ca="1">SUM(IF(MONTH(KBCCompData!$C$2:$C$4000)=MONTH(KBCCompSamenv!$A126),1,0)*IF(YEAR(KBCCompData!$C$2:$C$4000)=YEAR(KBCCompSamenv!$A126),1,0)*IF(KBCCompData!$E$2:$E$4000&gt;0,1,0)*KBCCompData!$E$2:$E$4000)</f>
        <v>0</v>
      </c>
      <c r="E126" s="11">
        <f t="array" aca="1" ref="E126" ca="1">SUM(IF(MONTH(KBCCompData!$C$2:$C$4000)=MONTH(KBCCompSamenv!$A126),1,0)*IF(YEAR(KBCCompData!$C$2:$C$4000)=YEAR(KBCCompSamenv!$A126),1,0)*IF(KBCCompData!$G$2:$G$4000=E$1,1,0)*KBCCompData!$E$2:$E$4000)+SUM(IF(MONTH(CrelanData!$A$2:$A$4000)=MONTH(KBCCompSamenv!$A127),1,0)*IF(YEAR(CrelanData!$A$2:$A$4000)=YEAR(KBCCompSamenv!$A127),1,0)*IF(CrelanData!$H$2:$H$4000=Categorieën!$B$1,1,0)*CrelanData!$B$2:$B$4000)</f>
        <v>0</v>
      </c>
      <c r="F126" s="11">
        <f t="array" aca="1" ref="F126" ca="1">SUM(IF(MONTH(KBCCompData!$C$2:$C$4000)=MONTH(KBCCompSamenv!$A126),1,0)*IF(YEAR(KBCCompData!$C$2:$C$4000)=YEAR(KBCCompSamenv!$A126),1,0)*IF(KBCCompData!$G$2:$G$4000=F$1,1,0)*KBCCompData!$E$2:$E$4000)+SUM(IF(MONTH(CrelanData!$A$2:$A$4000)=MONTH(KBCCompSamenv!$A127),1,0)*IF(YEAR(CrelanData!$A$2:$A$4000)=YEAR(KBCCompSamenv!$A127),1,0)*IF(CrelanData!$H$2:$H$4000=Categorieën!$B$1,1,0)*CrelanData!$B$2:$B$4000)</f>
        <v>0</v>
      </c>
      <c r="G126" s="11">
        <f t="array" aca="1" ref="G126" ca="1">SUM(IF(MONTH(KBCCompData!$C$2:$C$4000)=MONTH(KBCCompSamenv!$A126),1,0)*IF(YEAR(KBCCompData!$C$2:$C$4000)=YEAR(KBCCompSamenv!$A126),1,0)*IF(KBCCompData!$G$2:$G$4000=G$1,1,0)*KBCCompData!$E$2:$E$4000)+SUM(IF(MONTH(CrelanData!$A$2:$A$4000)=MONTH(KBCCompSamenv!$A127),1,0)*IF(YEAR(CrelanData!$A$2:$A$4000)=YEAR(KBCCompSamenv!$A127),1,0)*IF(CrelanData!$H$2:$H$4000=Categorieën!$B$1,1,0)*CrelanData!$B$2:$B$4000)</f>
        <v>0</v>
      </c>
      <c r="H126" s="5">
        <f ca="1">KBCSpaarrekSamenv!D104</f>
        <v>0</v>
      </c>
    </row>
    <row r="127" spans="1:8">
      <c r="A127" s="10">
        <v>40238</v>
      </c>
      <c r="B127" s="5">
        <f t="array" aca="1" ref="B127" ca="1">SUM((IF(MONTH(KBCCompData!$C$2:$C$4000)=MONTH(KBCCompSamenv!$A127),1,0))*(IF(YEAR(KBCCompData!$C$2:$C$4000)=YEAR(KBCCompSamenv!$A127),1,0))*(IF(KBCCompData!$E$2:$E$4000&lt;0,1,0))*KBCCompData!$E$2:$E$4000)</f>
        <v>0</v>
      </c>
      <c r="C127" s="11">
        <f t="array" aca="1" ref="C127" ca="1">SUM(IF(MONTH(KBCCompData!$C$2:$C$4000)=MONTH(KBCCompSamenv!$A127),1,0)*IF(YEAR(KBCCompData!$C$2:$C$4000)=YEAR(KBCCompSamenv!$A127),1,0)*IF(KBCCompData!$E$2:$E$4000&lt;0,1,0)*IF(KBCCompData!$G$2:$G$4000=Categorieën!$E$1,0,1)*IF(KBCCompData!$G$2:$G$4000=Categorieën!$F$1,0,1)*IF(KBCCompData!$G$2:$G$4000=Categorieën!$L$1,0,1)*KBCCompData!$E$2:$E$4000)</f>
        <v>0</v>
      </c>
      <c r="D127" s="11">
        <f ca="1">SUM(IF(MONTH(KBCCompData!$C$2:$C$4000)=MONTH(KBCCompSamenv!$A127),1,0)*IF(YEAR(KBCCompData!$C$2:$C$4000)=YEAR(KBCCompSamenv!$A127),1,0)*IF(KBCCompData!$E$2:$E$4000&gt;0,1,0)*KBCCompData!$E$2:$E$4000)</f>
        <v>0</v>
      </c>
      <c r="E127" s="11">
        <f t="array" aca="1" ref="E127" ca="1">SUM(IF(MONTH(KBCCompData!$C$2:$C$4000)=MONTH(KBCCompSamenv!$A127),1,0)*IF(YEAR(KBCCompData!$C$2:$C$4000)=YEAR(KBCCompSamenv!$A127),1,0)*IF(KBCCompData!$G$2:$G$4000=E$1,1,0)*KBCCompData!$E$2:$E$4000)+SUM(IF(MONTH(CrelanData!$A$2:$A$4000)=MONTH(KBCCompSamenv!$A128),1,0)*IF(YEAR(CrelanData!$A$2:$A$4000)=YEAR(KBCCompSamenv!$A128),1,0)*IF(CrelanData!$H$2:$H$4000=Categorieën!$B$1,1,0)*CrelanData!$B$2:$B$4000)</f>
        <v>0</v>
      </c>
      <c r="F127" s="11">
        <f t="array" aca="1" ref="F127" ca="1">SUM(IF(MONTH(KBCCompData!$C$2:$C$4000)=MONTH(KBCCompSamenv!$A127),1,0)*IF(YEAR(KBCCompData!$C$2:$C$4000)=YEAR(KBCCompSamenv!$A127),1,0)*IF(KBCCompData!$G$2:$G$4000=F$1,1,0)*KBCCompData!$E$2:$E$4000)+SUM(IF(MONTH(CrelanData!$A$2:$A$4000)=MONTH(KBCCompSamenv!$A128),1,0)*IF(YEAR(CrelanData!$A$2:$A$4000)=YEAR(KBCCompSamenv!$A128),1,0)*IF(CrelanData!$H$2:$H$4000=Categorieën!$B$1,1,0)*CrelanData!$B$2:$B$4000)</f>
        <v>0</v>
      </c>
      <c r="G127" s="11">
        <f t="array" aca="1" ref="G127" ca="1">SUM(IF(MONTH(KBCCompData!$C$2:$C$4000)=MONTH(KBCCompSamenv!$A127),1,0)*IF(YEAR(KBCCompData!$C$2:$C$4000)=YEAR(KBCCompSamenv!$A127),1,0)*IF(KBCCompData!$G$2:$G$4000=G$1,1,0)*KBCCompData!$E$2:$E$4000)+SUM(IF(MONTH(CrelanData!$A$2:$A$4000)=MONTH(KBCCompSamenv!$A128),1,0)*IF(YEAR(CrelanData!$A$2:$A$4000)=YEAR(KBCCompSamenv!$A128),1,0)*IF(CrelanData!$H$2:$H$4000=Categorieën!$B$1,1,0)*CrelanData!$B$2:$B$4000)</f>
        <v>0</v>
      </c>
      <c r="H127" s="5">
        <f ca="1">KBCSpaarrekSamenv!D105</f>
        <v>0</v>
      </c>
    </row>
    <row r="128" spans="1:8">
      <c r="A128" s="10">
        <v>40269</v>
      </c>
      <c r="B128" s="5">
        <f t="array" aca="1" ref="B128" ca="1">SUM((IF(MONTH(KBCCompData!$C$2:$C$4000)=MONTH(KBCCompSamenv!$A128),1,0))*(IF(YEAR(KBCCompData!$C$2:$C$4000)=YEAR(KBCCompSamenv!$A128),1,0))*(IF(KBCCompData!$E$2:$E$4000&lt;0,1,0))*KBCCompData!$E$2:$E$4000)</f>
        <v>0</v>
      </c>
      <c r="C128" s="11">
        <f t="array" aca="1" ref="C128" ca="1">SUM(IF(MONTH(KBCCompData!$C$2:$C$4000)=MONTH(KBCCompSamenv!$A128),1,0)*IF(YEAR(KBCCompData!$C$2:$C$4000)=YEAR(KBCCompSamenv!$A128),1,0)*IF(KBCCompData!$E$2:$E$4000&lt;0,1,0)*IF(KBCCompData!$G$2:$G$4000=Categorieën!$E$1,0,1)*IF(KBCCompData!$G$2:$G$4000=Categorieën!$F$1,0,1)*IF(KBCCompData!$G$2:$G$4000=Categorieën!$L$1,0,1)*KBCCompData!$E$2:$E$4000)</f>
        <v>0</v>
      </c>
      <c r="D128" s="11">
        <f ca="1">SUM(IF(MONTH(KBCCompData!$C$2:$C$4000)=MONTH(KBCCompSamenv!$A128),1,0)*IF(YEAR(KBCCompData!$C$2:$C$4000)=YEAR(KBCCompSamenv!$A128),1,0)*IF(KBCCompData!$E$2:$E$4000&gt;0,1,0)*KBCCompData!$E$2:$E$4000)</f>
        <v>0</v>
      </c>
      <c r="E128" s="11">
        <f t="array" aca="1" ref="E128" ca="1">SUM(IF(MONTH(KBCCompData!$C$2:$C$4000)=MONTH(KBCCompSamenv!$A128),1,0)*IF(YEAR(KBCCompData!$C$2:$C$4000)=YEAR(KBCCompSamenv!$A128),1,0)*IF(KBCCompData!$G$2:$G$4000=E$1,1,0)*KBCCompData!$E$2:$E$4000)+SUM(IF(MONTH(CrelanData!$A$2:$A$4000)=MONTH(KBCCompSamenv!$A129),1,0)*IF(YEAR(CrelanData!$A$2:$A$4000)=YEAR(KBCCompSamenv!$A129),1,0)*IF(CrelanData!$H$2:$H$4000=Categorieën!$B$1,1,0)*CrelanData!$B$2:$B$4000)</f>
        <v>0</v>
      </c>
      <c r="F128" s="11">
        <f t="array" aca="1" ref="F128" ca="1">SUM(IF(MONTH(KBCCompData!$C$2:$C$4000)=MONTH(KBCCompSamenv!$A128),1,0)*IF(YEAR(KBCCompData!$C$2:$C$4000)=YEAR(KBCCompSamenv!$A128),1,0)*IF(KBCCompData!$G$2:$G$4000=F$1,1,0)*KBCCompData!$E$2:$E$4000)+SUM(IF(MONTH(CrelanData!$A$2:$A$4000)=MONTH(KBCCompSamenv!$A129),1,0)*IF(YEAR(CrelanData!$A$2:$A$4000)=YEAR(KBCCompSamenv!$A129),1,0)*IF(CrelanData!$H$2:$H$4000=Categorieën!$B$1,1,0)*CrelanData!$B$2:$B$4000)</f>
        <v>0</v>
      </c>
      <c r="G128" s="11">
        <f t="array" aca="1" ref="G128" ca="1">SUM(IF(MONTH(KBCCompData!$C$2:$C$4000)=MONTH(KBCCompSamenv!$A128),1,0)*IF(YEAR(KBCCompData!$C$2:$C$4000)=YEAR(KBCCompSamenv!$A128),1,0)*IF(KBCCompData!$G$2:$G$4000=G$1,1,0)*KBCCompData!$E$2:$E$4000)+SUM(IF(MONTH(CrelanData!$A$2:$A$4000)=MONTH(KBCCompSamenv!$A129),1,0)*IF(YEAR(CrelanData!$A$2:$A$4000)=YEAR(KBCCompSamenv!$A129),1,0)*IF(CrelanData!$H$2:$H$4000=Categorieën!$B$1,1,0)*CrelanData!$B$2:$B$4000)</f>
        <v>0</v>
      </c>
      <c r="H128" s="5">
        <f ca="1">KBCSpaarrekSamenv!D106</f>
        <v>0</v>
      </c>
    </row>
    <row r="129" spans="1:8">
      <c r="A129" s="10">
        <v>40299</v>
      </c>
      <c r="B129" s="5">
        <f t="array" aca="1" ref="B129" ca="1">SUM((IF(MONTH(KBCCompData!$C$2:$C$4000)=MONTH(KBCCompSamenv!$A129),1,0))*(IF(YEAR(KBCCompData!$C$2:$C$4000)=YEAR(KBCCompSamenv!$A129),1,0))*(IF(KBCCompData!$E$2:$E$4000&lt;0,1,0))*KBCCompData!$E$2:$E$4000)</f>
        <v>0</v>
      </c>
      <c r="C129" s="11">
        <f t="array" aca="1" ref="C129" ca="1">SUM(IF(MONTH(KBCCompData!$C$2:$C$4000)=MONTH(KBCCompSamenv!$A129),1,0)*IF(YEAR(KBCCompData!$C$2:$C$4000)=YEAR(KBCCompSamenv!$A129),1,0)*IF(KBCCompData!$E$2:$E$4000&lt;0,1,0)*IF(KBCCompData!$G$2:$G$4000=Categorieën!$E$1,0,1)*IF(KBCCompData!$G$2:$G$4000=Categorieën!$F$1,0,1)*IF(KBCCompData!$G$2:$G$4000=Categorieën!$L$1,0,1)*KBCCompData!$E$2:$E$4000)</f>
        <v>0</v>
      </c>
      <c r="D129" s="11">
        <f ca="1">SUM(IF(MONTH(KBCCompData!$C$2:$C$4000)=MONTH(KBCCompSamenv!$A129),1,0)*IF(YEAR(KBCCompData!$C$2:$C$4000)=YEAR(KBCCompSamenv!$A129),1,0)*IF(KBCCompData!$E$2:$E$4000&gt;0,1,0)*KBCCompData!$E$2:$E$4000)</f>
        <v>0</v>
      </c>
      <c r="E129" s="11">
        <f t="array" aca="1" ref="E129" ca="1">SUM(IF(MONTH(KBCCompData!$C$2:$C$4000)=MONTH(KBCCompSamenv!$A129),1,0)*IF(YEAR(KBCCompData!$C$2:$C$4000)=YEAR(KBCCompSamenv!$A129),1,0)*IF(KBCCompData!$G$2:$G$4000=E$1,1,0)*KBCCompData!$E$2:$E$4000)+SUM(IF(MONTH(CrelanData!$A$2:$A$4000)=MONTH(KBCCompSamenv!$A130),1,0)*IF(YEAR(CrelanData!$A$2:$A$4000)=YEAR(KBCCompSamenv!$A130),1,0)*IF(CrelanData!$H$2:$H$4000=Categorieën!$B$1,1,0)*CrelanData!$B$2:$B$4000)</f>
        <v>0</v>
      </c>
      <c r="F129" s="11">
        <f t="array" aca="1" ref="F129" ca="1">SUM(IF(MONTH(KBCCompData!$C$2:$C$4000)=MONTH(KBCCompSamenv!$A129),1,0)*IF(YEAR(KBCCompData!$C$2:$C$4000)=YEAR(KBCCompSamenv!$A129),1,0)*IF(KBCCompData!$G$2:$G$4000=F$1,1,0)*KBCCompData!$E$2:$E$4000)+SUM(IF(MONTH(CrelanData!$A$2:$A$4000)=MONTH(KBCCompSamenv!$A130),1,0)*IF(YEAR(CrelanData!$A$2:$A$4000)=YEAR(KBCCompSamenv!$A130),1,0)*IF(CrelanData!$H$2:$H$4000=Categorieën!$B$1,1,0)*CrelanData!$B$2:$B$4000)</f>
        <v>0</v>
      </c>
      <c r="G129" s="11">
        <f t="array" aca="1" ref="G129" ca="1">SUM(IF(MONTH(KBCCompData!$C$2:$C$4000)=MONTH(KBCCompSamenv!$A129),1,0)*IF(YEAR(KBCCompData!$C$2:$C$4000)=YEAR(KBCCompSamenv!$A129),1,0)*IF(KBCCompData!$G$2:$G$4000=G$1,1,0)*KBCCompData!$E$2:$E$4000)+SUM(IF(MONTH(CrelanData!$A$2:$A$4000)=MONTH(KBCCompSamenv!$A130),1,0)*IF(YEAR(CrelanData!$A$2:$A$4000)=YEAR(KBCCompSamenv!$A130),1,0)*IF(CrelanData!$H$2:$H$4000=Categorieën!$B$1,1,0)*CrelanData!$B$2:$B$4000)</f>
        <v>0</v>
      </c>
      <c r="H129" s="5">
        <f ca="1">KBCSpaarrekSamenv!D107</f>
        <v>0</v>
      </c>
    </row>
    <row r="130" spans="1:8">
      <c r="A130" s="10">
        <v>40330</v>
      </c>
      <c r="B130" s="5">
        <f t="array" aca="1" ref="B130" ca="1">SUM((IF(MONTH(KBCCompData!$C$2:$C$4000)=MONTH(KBCCompSamenv!$A130),1,0))*(IF(YEAR(KBCCompData!$C$2:$C$4000)=YEAR(KBCCompSamenv!$A130),1,0))*(IF(KBCCompData!$E$2:$E$4000&lt;0,1,0))*KBCCompData!$E$2:$E$4000)</f>
        <v>0</v>
      </c>
      <c r="C130" s="11">
        <f t="array" aca="1" ref="C130" ca="1">SUM(IF(MONTH(KBCCompData!$C$2:$C$4000)=MONTH(KBCCompSamenv!$A130),1,0)*IF(YEAR(KBCCompData!$C$2:$C$4000)=YEAR(KBCCompSamenv!$A130),1,0)*IF(KBCCompData!$E$2:$E$4000&lt;0,1,0)*IF(KBCCompData!$G$2:$G$4000=Categorieën!$E$1,0,1)*IF(KBCCompData!$G$2:$G$4000=Categorieën!$F$1,0,1)*IF(KBCCompData!$G$2:$G$4000=Categorieën!$L$1,0,1)*KBCCompData!$E$2:$E$4000)</f>
        <v>0</v>
      </c>
      <c r="D130" s="11">
        <f ca="1">SUM(IF(MONTH(KBCCompData!$C$2:$C$4000)=MONTH(KBCCompSamenv!$A130),1,0)*IF(YEAR(KBCCompData!$C$2:$C$4000)=YEAR(KBCCompSamenv!$A130),1,0)*IF(KBCCompData!$E$2:$E$4000&gt;0,1,0)*KBCCompData!$E$2:$E$4000)</f>
        <v>0</v>
      </c>
      <c r="E130" s="11">
        <f t="array" aca="1" ref="E130" ca="1">SUM(IF(MONTH(KBCCompData!$C$2:$C$4000)=MONTH(KBCCompSamenv!$A130),1,0)*IF(YEAR(KBCCompData!$C$2:$C$4000)=YEAR(KBCCompSamenv!$A130),1,0)*IF(KBCCompData!$G$2:$G$4000=E$1,1,0)*KBCCompData!$E$2:$E$4000)+SUM(IF(MONTH(CrelanData!$A$2:$A$4000)=MONTH(KBCCompSamenv!$A131),1,0)*IF(YEAR(CrelanData!$A$2:$A$4000)=YEAR(KBCCompSamenv!$A131),1,0)*IF(CrelanData!$H$2:$H$4000=Categorieën!$B$1,1,0)*CrelanData!$B$2:$B$4000)</f>
        <v>0</v>
      </c>
      <c r="F130" s="11">
        <f t="array" aca="1" ref="F130" ca="1">SUM(IF(MONTH(KBCCompData!$C$2:$C$4000)=MONTH(KBCCompSamenv!$A130),1,0)*IF(YEAR(KBCCompData!$C$2:$C$4000)=YEAR(KBCCompSamenv!$A130),1,0)*IF(KBCCompData!$G$2:$G$4000=F$1,1,0)*KBCCompData!$E$2:$E$4000)+SUM(IF(MONTH(CrelanData!$A$2:$A$4000)=MONTH(KBCCompSamenv!$A131),1,0)*IF(YEAR(CrelanData!$A$2:$A$4000)=YEAR(KBCCompSamenv!$A131),1,0)*IF(CrelanData!$H$2:$H$4000=Categorieën!$B$1,1,0)*CrelanData!$B$2:$B$4000)</f>
        <v>0</v>
      </c>
      <c r="G130" s="11">
        <f t="array" aca="1" ref="G130" ca="1">SUM(IF(MONTH(KBCCompData!$C$2:$C$4000)=MONTH(KBCCompSamenv!$A130),1,0)*IF(YEAR(KBCCompData!$C$2:$C$4000)=YEAR(KBCCompSamenv!$A130),1,0)*IF(KBCCompData!$G$2:$G$4000=G$1,1,0)*KBCCompData!$E$2:$E$4000)+SUM(IF(MONTH(CrelanData!$A$2:$A$4000)=MONTH(KBCCompSamenv!$A131),1,0)*IF(YEAR(CrelanData!$A$2:$A$4000)=YEAR(KBCCompSamenv!$A131),1,0)*IF(CrelanData!$H$2:$H$4000=Categorieën!$B$1,1,0)*CrelanData!$B$2:$B$4000)</f>
        <v>0</v>
      </c>
      <c r="H130" s="5">
        <f ca="1">KBCSpaarrekSamenv!D108</f>
        <v>0</v>
      </c>
    </row>
    <row r="131" spans="1:8">
      <c r="A131" s="10">
        <v>40360</v>
      </c>
      <c r="B131" s="5">
        <f t="array" aca="1" ref="B131" ca="1">SUM((IF(MONTH(KBCCompData!$C$2:$C$4000)=MONTH(KBCCompSamenv!$A131),1,0))*(IF(YEAR(KBCCompData!$C$2:$C$4000)=YEAR(KBCCompSamenv!$A131),1,0))*(IF(KBCCompData!$E$2:$E$4000&lt;0,1,0))*KBCCompData!$E$2:$E$4000)</f>
        <v>0</v>
      </c>
      <c r="C131" s="11">
        <f t="array" aca="1" ref="C131" ca="1">SUM(IF(MONTH(KBCCompData!$C$2:$C$4000)=MONTH(KBCCompSamenv!$A131),1,0)*IF(YEAR(KBCCompData!$C$2:$C$4000)=YEAR(KBCCompSamenv!$A131),1,0)*IF(KBCCompData!$E$2:$E$4000&lt;0,1,0)*IF(KBCCompData!$G$2:$G$4000=Categorieën!$E$1,0,1)*IF(KBCCompData!$G$2:$G$4000=Categorieën!$F$1,0,1)*IF(KBCCompData!$G$2:$G$4000=Categorieën!$L$1,0,1)*KBCCompData!$E$2:$E$4000)</f>
        <v>0</v>
      </c>
      <c r="D131" s="11">
        <f ca="1">SUM(IF(MONTH(KBCCompData!$C$2:$C$4000)=MONTH(KBCCompSamenv!$A131),1,0)*IF(YEAR(KBCCompData!$C$2:$C$4000)=YEAR(KBCCompSamenv!$A131),1,0)*IF(KBCCompData!$E$2:$E$4000&gt;0,1,0)*KBCCompData!$E$2:$E$4000)</f>
        <v>0</v>
      </c>
      <c r="E131" s="11">
        <f t="array" aca="1" ref="E131" ca="1">SUM(IF(MONTH(KBCCompData!$C$2:$C$4000)=MONTH(KBCCompSamenv!$A131),1,0)*IF(YEAR(KBCCompData!$C$2:$C$4000)=YEAR(KBCCompSamenv!$A131),1,0)*IF(KBCCompData!$G$2:$G$4000=E$1,1,0)*KBCCompData!$E$2:$E$4000)+SUM(IF(MONTH(CrelanData!$A$2:$A$4000)=MONTH(KBCCompSamenv!$A132),1,0)*IF(YEAR(CrelanData!$A$2:$A$4000)=YEAR(KBCCompSamenv!$A132),1,0)*IF(CrelanData!$H$2:$H$4000=Categorieën!$B$1,1,0)*CrelanData!$B$2:$B$4000)</f>
        <v>0</v>
      </c>
      <c r="F131" s="11">
        <f t="array" aca="1" ref="F131" ca="1">SUM(IF(MONTH(KBCCompData!$C$2:$C$4000)=MONTH(KBCCompSamenv!$A131),1,0)*IF(YEAR(KBCCompData!$C$2:$C$4000)=YEAR(KBCCompSamenv!$A131),1,0)*IF(KBCCompData!$G$2:$G$4000=F$1,1,0)*KBCCompData!$E$2:$E$4000)+SUM(IF(MONTH(CrelanData!$A$2:$A$4000)=MONTH(KBCCompSamenv!$A132),1,0)*IF(YEAR(CrelanData!$A$2:$A$4000)=YEAR(KBCCompSamenv!$A132),1,0)*IF(CrelanData!$H$2:$H$4000=Categorieën!$B$1,1,0)*CrelanData!$B$2:$B$4000)</f>
        <v>0</v>
      </c>
      <c r="G131" s="11">
        <f t="array" aca="1" ref="G131" ca="1">SUM(IF(MONTH(KBCCompData!$C$2:$C$4000)=MONTH(KBCCompSamenv!$A131),1,0)*IF(YEAR(KBCCompData!$C$2:$C$4000)=YEAR(KBCCompSamenv!$A131),1,0)*IF(KBCCompData!$G$2:$G$4000=G$1,1,0)*KBCCompData!$E$2:$E$4000)+SUM(IF(MONTH(CrelanData!$A$2:$A$4000)=MONTH(KBCCompSamenv!$A132),1,0)*IF(YEAR(CrelanData!$A$2:$A$4000)=YEAR(KBCCompSamenv!$A132),1,0)*IF(CrelanData!$H$2:$H$4000=Categorieën!$B$1,1,0)*CrelanData!$B$2:$B$4000)</f>
        <v>0</v>
      </c>
      <c r="H131" s="5">
        <f ca="1">KBCSpaarrekSamenv!D109</f>
        <v>0</v>
      </c>
    </row>
    <row r="132" spans="1:8">
      <c r="A132" s="10">
        <v>40391</v>
      </c>
      <c r="B132" s="5">
        <f t="array" aca="1" ref="B132" ca="1">SUM((IF(MONTH(KBCCompData!$C$2:$C$4000)=MONTH(KBCCompSamenv!$A132),1,0))*(IF(YEAR(KBCCompData!$C$2:$C$4000)=YEAR(KBCCompSamenv!$A132),1,0))*(IF(KBCCompData!$E$2:$E$4000&lt;0,1,0))*KBCCompData!$E$2:$E$4000)</f>
        <v>0</v>
      </c>
      <c r="C132" s="11">
        <f t="array" aca="1" ref="C132" ca="1">SUM(IF(MONTH(KBCCompData!$C$2:$C$4000)=MONTH(KBCCompSamenv!$A132),1,0)*IF(YEAR(KBCCompData!$C$2:$C$4000)=YEAR(KBCCompSamenv!$A132),1,0)*IF(KBCCompData!$E$2:$E$4000&lt;0,1,0)*IF(KBCCompData!$G$2:$G$4000=Categorieën!$E$1,0,1)*IF(KBCCompData!$G$2:$G$4000=Categorieën!$F$1,0,1)*IF(KBCCompData!$G$2:$G$4000=Categorieën!$L$1,0,1)*KBCCompData!$E$2:$E$4000)</f>
        <v>0</v>
      </c>
      <c r="D132" s="11">
        <f ca="1">SUM(IF(MONTH(KBCCompData!$C$2:$C$4000)=MONTH(KBCCompSamenv!$A132),1,0)*IF(YEAR(KBCCompData!$C$2:$C$4000)=YEAR(KBCCompSamenv!$A132),1,0)*IF(KBCCompData!$E$2:$E$4000&gt;0,1,0)*KBCCompData!$E$2:$E$4000)</f>
        <v>0</v>
      </c>
      <c r="E132" s="11">
        <f t="array" aca="1" ref="E132" ca="1">SUM(IF(MONTH(KBCCompData!$C$2:$C$4000)=MONTH(KBCCompSamenv!$A132),1,0)*IF(YEAR(KBCCompData!$C$2:$C$4000)=YEAR(KBCCompSamenv!$A132),1,0)*IF(KBCCompData!$G$2:$G$4000=E$1,1,0)*KBCCompData!$E$2:$E$4000)+SUM(IF(MONTH(CrelanData!$A$2:$A$4000)=MONTH(KBCCompSamenv!$A133),1,0)*IF(YEAR(CrelanData!$A$2:$A$4000)=YEAR(KBCCompSamenv!$A133),1,0)*IF(CrelanData!$H$2:$H$4000=Categorieën!$B$1,1,0)*CrelanData!$B$2:$B$4000)</f>
        <v>0</v>
      </c>
      <c r="F132" s="11">
        <f t="array" aca="1" ref="F132" ca="1">SUM(IF(MONTH(KBCCompData!$C$2:$C$4000)=MONTH(KBCCompSamenv!$A132),1,0)*IF(YEAR(KBCCompData!$C$2:$C$4000)=YEAR(KBCCompSamenv!$A132),1,0)*IF(KBCCompData!$G$2:$G$4000=F$1,1,0)*KBCCompData!$E$2:$E$4000)+SUM(IF(MONTH(CrelanData!$A$2:$A$4000)=MONTH(KBCCompSamenv!$A133),1,0)*IF(YEAR(CrelanData!$A$2:$A$4000)=YEAR(KBCCompSamenv!$A133),1,0)*IF(CrelanData!$H$2:$H$4000=Categorieën!$B$1,1,0)*CrelanData!$B$2:$B$4000)</f>
        <v>0</v>
      </c>
      <c r="G132" s="11">
        <f t="array" aca="1" ref="G132" ca="1">SUM(IF(MONTH(KBCCompData!$C$2:$C$4000)=MONTH(KBCCompSamenv!$A132),1,0)*IF(YEAR(KBCCompData!$C$2:$C$4000)=YEAR(KBCCompSamenv!$A132),1,0)*IF(KBCCompData!$G$2:$G$4000=G$1,1,0)*KBCCompData!$E$2:$E$4000)+SUM(IF(MONTH(CrelanData!$A$2:$A$4000)=MONTH(KBCCompSamenv!$A133),1,0)*IF(YEAR(CrelanData!$A$2:$A$4000)=YEAR(KBCCompSamenv!$A133),1,0)*IF(CrelanData!$H$2:$H$4000=Categorieën!$B$1,1,0)*CrelanData!$B$2:$B$4000)</f>
        <v>0</v>
      </c>
      <c r="H132" s="5">
        <f ca="1">KBCSpaarrekSamenv!D110</f>
        <v>0</v>
      </c>
    </row>
    <row r="133" spans="1:8">
      <c r="A133" s="10">
        <v>40422</v>
      </c>
      <c r="B133" s="5">
        <f t="array" aca="1" ref="B133" ca="1">SUM((IF(MONTH(KBCCompData!$C$2:$C$4000)=MONTH(KBCCompSamenv!$A133),1,0))*(IF(YEAR(KBCCompData!$C$2:$C$4000)=YEAR(KBCCompSamenv!$A133),1,0))*(IF(KBCCompData!$E$2:$E$4000&lt;0,1,0))*KBCCompData!$E$2:$E$4000)</f>
        <v>0</v>
      </c>
      <c r="C133" s="11">
        <f t="array" aca="1" ref="C133" ca="1">SUM(IF(MONTH(KBCCompData!$C$2:$C$4000)=MONTH(KBCCompSamenv!$A133),1,0)*IF(YEAR(KBCCompData!$C$2:$C$4000)=YEAR(KBCCompSamenv!$A133),1,0)*IF(KBCCompData!$E$2:$E$4000&lt;0,1,0)*IF(KBCCompData!$G$2:$G$4000=Categorieën!$E$1,0,1)*IF(KBCCompData!$G$2:$G$4000=Categorieën!$F$1,0,1)*IF(KBCCompData!$G$2:$G$4000=Categorieën!$L$1,0,1)*KBCCompData!$E$2:$E$4000)</f>
        <v>0</v>
      </c>
      <c r="D133" s="11">
        <f ca="1">SUM(IF(MONTH(KBCCompData!$C$2:$C$4000)=MONTH(KBCCompSamenv!$A133),1,0)*IF(YEAR(KBCCompData!$C$2:$C$4000)=YEAR(KBCCompSamenv!$A133),1,0)*IF(KBCCompData!$E$2:$E$4000&gt;0,1,0)*KBCCompData!$E$2:$E$4000)</f>
        <v>0</v>
      </c>
      <c r="E133" s="11">
        <f t="array" aca="1" ref="E133" ca="1">SUM(IF(MONTH(KBCCompData!$C$2:$C$4000)=MONTH(KBCCompSamenv!$A133),1,0)*IF(YEAR(KBCCompData!$C$2:$C$4000)=YEAR(KBCCompSamenv!$A133),1,0)*IF(KBCCompData!$G$2:$G$4000=E$1,1,0)*KBCCompData!$E$2:$E$4000)+SUM(IF(MONTH(CrelanData!$A$2:$A$4000)=MONTH(KBCCompSamenv!$A134),1,0)*IF(YEAR(CrelanData!$A$2:$A$4000)=YEAR(KBCCompSamenv!$A134),1,0)*IF(CrelanData!$H$2:$H$4000=Categorieën!$B$1,1,0)*CrelanData!$B$2:$B$4000)</f>
        <v>0</v>
      </c>
      <c r="F133" s="11">
        <f t="array" aca="1" ref="F133" ca="1">SUM(IF(MONTH(KBCCompData!$C$2:$C$4000)=MONTH(KBCCompSamenv!$A133),1,0)*IF(YEAR(KBCCompData!$C$2:$C$4000)=YEAR(KBCCompSamenv!$A133),1,0)*IF(KBCCompData!$G$2:$G$4000=F$1,1,0)*KBCCompData!$E$2:$E$4000)+SUM(IF(MONTH(CrelanData!$A$2:$A$4000)=MONTH(KBCCompSamenv!$A134),1,0)*IF(YEAR(CrelanData!$A$2:$A$4000)=YEAR(KBCCompSamenv!$A134),1,0)*IF(CrelanData!$H$2:$H$4000=Categorieën!$B$1,1,0)*CrelanData!$B$2:$B$4000)</f>
        <v>0</v>
      </c>
      <c r="G133" s="11">
        <f t="array" aca="1" ref="G133" ca="1">SUM(IF(MONTH(KBCCompData!$C$2:$C$4000)=MONTH(KBCCompSamenv!$A133),1,0)*IF(YEAR(KBCCompData!$C$2:$C$4000)=YEAR(KBCCompSamenv!$A133),1,0)*IF(KBCCompData!$G$2:$G$4000=G$1,1,0)*KBCCompData!$E$2:$E$4000)+SUM(IF(MONTH(CrelanData!$A$2:$A$4000)=MONTH(KBCCompSamenv!$A134),1,0)*IF(YEAR(CrelanData!$A$2:$A$4000)=YEAR(KBCCompSamenv!$A134),1,0)*IF(CrelanData!$H$2:$H$4000=Categorieën!$B$1,1,0)*CrelanData!$B$2:$B$4000)</f>
        <v>0</v>
      </c>
      <c r="H133" s="5">
        <f ca="1">KBCSpaarrekSamenv!D111</f>
        <v>0</v>
      </c>
    </row>
    <row r="134" spans="1:8">
      <c r="A134" s="10">
        <v>40452</v>
      </c>
      <c r="B134" s="5">
        <f t="array" aca="1" ref="B134" ca="1">SUM((IF(MONTH(KBCCompData!$C$2:$C$4000)=MONTH(KBCCompSamenv!$A134),1,0))*(IF(YEAR(KBCCompData!$C$2:$C$4000)=YEAR(KBCCompSamenv!$A134),1,0))*(IF(KBCCompData!$E$2:$E$4000&lt;0,1,0))*KBCCompData!$E$2:$E$4000)</f>
        <v>0</v>
      </c>
      <c r="C134" s="11">
        <f t="array" aca="1" ref="C134" ca="1">SUM(IF(MONTH(KBCCompData!$C$2:$C$4000)=MONTH(KBCCompSamenv!$A134),1,0)*IF(YEAR(KBCCompData!$C$2:$C$4000)=YEAR(KBCCompSamenv!$A134),1,0)*IF(KBCCompData!$E$2:$E$4000&lt;0,1,0)*IF(KBCCompData!$G$2:$G$4000=Categorieën!$E$1,0,1)*IF(KBCCompData!$G$2:$G$4000=Categorieën!$F$1,0,1)*IF(KBCCompData!$G$2:$G$4000=Categorieën!$L$1,0,1)*KBCCompData!$E$2:$E$4000)</f>
        <v>0</v>
      </c>
      <c r="D134" s="11">
        <f ca="1">SUM(IF(MONTH(KBCCompData!$C$2:$C$4000)=MONTH(KBCCompSamenv!$A134),1,0)*IF(YEAR(KBCCompData!$C$2:$C$4000)=YEAR(KBCCompSamenv!$A134),1,0)*IF(KBCCompData!$E$2:$E$4000&gt;0,1,0)*KBCCompData!$E$2:$E$4000)</f>
        <v>0</v>
      </c>
      <c r="E134" s="11">
        <f t="array" aca="1" ref="E134" ca="1">SUM(IF(MONTH(KBCCompData!$C$2:$C$4000)=MONTH(KBCCompSamenv!$A134),1,0)*IF(YEAR(KBCCompData!$C$2:$C$4000)=YEAR(KBCCompSamenv!$A134),1,0)*IF(KBCCompData!$G$2:$G$4000=E$1,1,0)*KBCCompData!$E$2:$E$4000)+SUM(IF(MONTH(CrelanData!$A$2:$A$4000)=MONTH(KBCCompSamenv!$A135),1,0)*IF(YEAR(CrelanData!$A$2:$A$4000)=YEAR(KBCCompSamenv!$A135),1,0)*IF(CrelanData!$H$2:$H$4000=Categorieën!$B$1,1,0)*CrelanData!$B$2:$B$4000)</f>
        <v>0</v>
      </c>
      <c r="F134" s="11">
        <f t="array" aca="1" ref="F134" ca="1">SUM(IF(MONTH(KBCCompData!$C$2:$C$4000)=MONTH(KBCCompSamenv!$A134),1,0)*IF(YEAR(KBCCompData!$C$2:$C$4000)=YEAR(KBCCompSamenv!$A134),1,0)*IF(KBCCompData!$G$2:$G$4000=F$1,1,0)*KBCCompData!$E$2:$E$4000)+SUM(IF(MONTH(CrelanData!$A$2:$A$4000)=MONTH(KBCCompSamenv!$A135),1,0)*IF(YEAR(CrelanData!$A$2:$A$4000)=YEAR(KBCCompSamenv!$A135),1,0)*IF(CrelanData!$H$2:$H$4000=Categorieën!$B$1,1,0)*CrelanData!$B$2:$B$4000)</f>
        <v>0</v>
      </c>
      <c r="G134" s="11">
        <f t="array" aca="1" ref="G134" ca="1">SUM(IF(MONTH(KBCCompData!$C$2:$C$4000)=MONTH(KBCCompSamenv!$A134),1,0)*IF(YEAR(KBCCompData!$C$2:$C$4000)=YEAR(KBCCompSamenv!$A134),1,0)*IF(KBCCompData!$G$2:$G$4000=G$1,1,0)*KBCCompData!$E$2:$E$4000)+SUM(IF(MONTH(CrelanData!$A$2:$A$4000)=MONTH(KBCCompSamenv!$A135),1,0)*IF(YEAR(CrelanData!$A$2:$A$4000)=YEAR(KBCCompSamenv!$A135),1,0)*IF(CrelanData!$H$2:$H$4000=Categorieën!$B$1,1,0)*CrelanData!$B$2:$B$4000)</f>
        <v>0</v>
      </c>
      <c r="H134" s="5">
        <f ca="1">KBCSpaarrekSamenv!D112</f>
        <v>0</v>
      </c>
    </row>
  </sheetData>
  <phoneticPr fontId="8" type="noConversion"/>
  <conditionalFormatting sqref="A1:H1048576">
    <cfRule type="expression" dxfId="7" priority="1">
      <formula>IFERROR(IF(YEAR($A1)=YEAR($A2),0,1),0)</formula>
    </cfRule>
    <cfRule type="cellIs" dxfId="6" priority="7" operator="lessThan">
      <formula>0</formula>
    </cfRule>
  </conditionalFormatting>
  <dataValidations count="2">
    <dataValidation type="list" allowBlank="1" showInputMessage="1" showErrorMessage="1" sqref="E1:G1">
      <formula1>ManualTypes</formula1>
    </dataValidation>
    <dataValidation type="list" allowBlank="1" showInputMessage="1" showErrorMessage="1" sqref="A1">
      <formula1>"2001,2002,2003,2004,2005,2006,2007,2008,2009,2010,2011,2012,2013,2014,2015"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tabColor indexed="8"/>
  </sheetPr>
  <dimension ref="A1:I300"/>
  <sheetViews>
    <sheetView topLeftCell="B1" zoomScale="85" zoomScaleNormal="85" workbookViewId="0">
      <pane ySplit="1" topLeftCell="A2" activePane="bottomLeft" state="frozenSplit"/>
      <selection activeCell="E1" sqref="E1:E65536"/>
      <selection pane="bottomLeft" activeCell="I2" sqref="I2"/>
    </sheetView>
  </sheetViews>
  <sheetFormatPr defaultRowHeight="15"/>
  <cols>
    <col min="1" max="1" width="9" bestFit="1" customWidth="1"/>
    <col min="2" max="2" width="11.28515625" bestFit="1" customWidth="1"/>
    <col min="3" max="3" width="10.7109375" bestFit="1" customWidth="1"/>
    <col min="4" max="4" width="90.28515625" customWidth="1"/>
    <col min="5" max="5" width="13.7109375" style="91" bestFit="1" customWidth="1"/>
    <col min="6" max="6" width="14.42578125" style="93" customWidth="1"/>
    <col min="7" max="7" width="18" style="17" customWidth="1"/>
    <col min="8" max="8" width="22.5703125" customWidth="1"/>
    <col min="9" max="9" width="22" customWidth="1"/>
  </cols>
  <sheetData>
    <row r="1" spans="1:9" s="3" customFormat="1">
      <c r="A1" s="3" t="s">
        <v>61</v>
      </c>
      <c r="B1" s="3" t="s">
        <v>62</v>
      </c>
      <c r="C1" s="3" t="s">
        <v>63</v>
      </c>
      <c r="D1" s="3" t="s">
        <v>64</v>
      </c>
      <c r="E1" s="89" t="s">
        <v>66</v>
      </c>
      <c r="F1" s="92" t="s">
        <v>57</v>
      </c>
      <c r="G1" s="94" t="s">
        <v>32</v>
      </c>
      <c r="H1" s="34" t="s">
        <v>33</v>
      </c>
      <c r="I1" s="34" t="s">
        <v>35</v>
      </c>
    </row>
    <row r="2" spans="1:9">
      <c r="B2" s="1"/>
      <c r="C2" s="1"/>
      <c r="E2" s="90"/>
      <c r="F2" s="86"/>
      <c r="G2" s="17" t="str">
        <f ca="1">IF(H2="",SearchHLookup(D2,Categorieën!$B$1:$P$30),H2)</f>
        <v/>
      </c>
      <c r="I2" t="str">
        <f>IF(D2="","",LEFT(D2,FIND(" ",D2)))</f>
        <v/>
      </c>
    </row>
    <row r="3" spans="1:9">
      <c r="B3" s="1"/>
      <c r="C3" s="1"/>
      <c r="E3" s="90"/>
      <c r="F3" s="86"/>
      <c r="G3" s="17" t="str">
        <f ca="1">IF(H3="",SearchHLookup(D3,Categorieën!$B$1:$P$30),H3)</f>
        <v/>
      </c>
      <c r="I3" t="str">
        <f t="shared" ref="I3:I66" si="0">IF(D3="","",LEFT(D3,FIND(" ",D3)))</f>
        <v/>
      </c>
    </row>
    <row r="4" spans="1:9">
      <c r="B4" s="1"/>
      <c r="C4" s="1"/>
      <c r="E4" s="90"/>
      <c r="F4" s="86"/>
      <c r="G4" s="17" t="str">
        <f ca="1">IF(H4="",SearchHLookup(D4,Categorieën!$B$1:$P$30),H4)</f>
        <v/>
      </c>
      <c r="I4" t="str">
        <f t="shared" si="0"/>
        <v/>
      </c>
    </row>
    <row r="5" spans="1:9">
      <c r="B5" s="1"/>
      <c r="C5" s="1"/>
      <c r="E5" s="90"/>
      <c r="F5" s="86"/>
      <c r="G5" s="17" t="str">
        <f ca="1">IF(H5="",SearchHLookup(D5,Categorieën!$B$1:$P$30),H5)</f>
        <v/>
      </c>
      <c r="I5" t="str">
        <f t="shared" si="0"/>
        <v/>
      </c>
    </row>
    <row r="6" spans="1:9">
      <c r="B6" s="1"/>
      <c r="C6" s="1"/>
      <c r="E6" s="90"/>
      <c r="F6" s="86"/>
      <c r="G6" s="17" t="str">
        <f ca="1">IF(H6="",SearchHLookup(D6,Categorieën!$B$1:$P$30),H6)</f>
        <v/>
      </c>
      <c r="I6" t="str">
        <f t="shared" si="0"/>
        <v/>
      </c>
    </row>
    <row r="7" spans="1:9">
      <c r="B7" s="1"/>
      <c r="C7" s="1"/>
      <c r="E7" s="90"/>
      <c r="F7" s="86"/>
      <c r="G7" s="17" t="str">
        <f ca="1">IF(H7="",SearchHLookup(D7,Categorieën!$B$1:$P$30),H7)</f>
        <v/>
      </c>
      <c r="I7" t="str">
        <f t="shared" si="0"/>
        <v/>
      </c>
    </row>
    <row r="8" spans="1:9">
      <c r="B8" s="1"/>
      <c r="C8" s="1"/>
      <c r="E8" s="90"/>
      <c r="F8" s="86"/>
      <c r="G8" s="17" t="str">
        <f ca="1">IF(H8="",SearchHLookup(D8,Categorieën!$B$1:$P$30),H8)</f>
        <v/>
      </c>
      <c r="I8" t="str">
        <f t="shared" si="0"/>
        <v/>
      </c>
    </row>
    <row r="9" spans="1:9">
      <c r="B9" s="1"/>
      <c r="C9" s="1"/>
      <c r="E9" s="90"/>
      <c r="F9" s="86"/>
      <c r="G9" s="17" t="str">
        <f ca="1">IF(H9="",SearchHLookup(D9,Categorieën!$B$1:$P$30),H9)</f>
        <v/>
      </c>
      <c r="I9" t="str">
        <f t="shared" si="0"/>
        <v/>
      </c>
    </row>
    <row r="10" spans="1:9">
      <c r="B10" s="1"/>
      <c r="C10" s="1"/>
      <c r="E10" s="90"/>
      <c r="F10" s="86"/>
      <c r="G10" s="17" t="str">
        <f ca="1">IF(H10="",SearchHLookup(D10,Categorieën!$B$1:$P$30),H10)</f>
        <v/>
      </c>
      <c r="I10" t="str">
        <f t="shared" si="0"/>
        <v/>
      </c>
    </row>
    <row r="11" spans="1:9">
      <c r="B11" s="1"/>
      <c r="C11" s="1"/>
      <c r="E11" s="90"/>
      <c r="F11" s="86"/>
      <c r="G11" s="17" t="str">
        <f ca="1">IF(H11="",SearchHLookup(D11,Categorieën!$B$1:$P$30),H11)</f>
        <v/>
      </c>
      <c r="I11" t="str">
        <f t="shared" si="0"/>
        <v/>
      </c>
    </row>
    <row r="12" spans="1:9">
      <c r="B12" s="1"/>
      <c r="C12" s="1"/>
      <c r="E12" s="90"/>
      <c r="F12" s="86"/>
      <c r="G12" s="17" t="str">
        <f ca="1">IF(H12="",SearchHLookup(D12,Categorieën!$B$1:$P$30),H12)</f>
        <v/>
      </c>
      <c r="I12" t="str">
        <f t="shared" si="0"/>
        <v/>
      </c>
    </row>
    <row r="13" spans="1:9">
      <c r="B13" s="1"/>
      <c r="C13" s="1"/>
      <c r="E13" s="90"/>
      <c r="F13" s="86"/>
      <c r="G13" s="17" t="str">
        <f ca="1">IF(H13="",SearchHLookup(D13,Categorieën!$B$1:$P$30),H13)</f>
        <v/>
      </c>
      <c r="I13" t="str">
        <f t="shared" si="0"/>
        <v/>
      </c>
    </row>
    <row r="14" spans="1:9">
      <c r="B14" s="1"/>
      <c r="C14" s="1"/>
      <c r="E14" s="90"/>
      <c r="F14" s="86"/>
      <c r="G14" s="17" t="str">
        <f ca="1">IF(H14="",SearchHLookup(D14,Categorieën!$B$1:$P$30),H14)</f>
        <v/>
      </c>
      <c r="I14" t="str">
        <f t="shared" si="0"/>
        <v/>
      </c>
    </row>
    <row r="15" spans="1:9">
      <c r="B15" s="1"/>
      <c r="C15" s="1"/>
      <c r="E15" s="90"/>
      <c r="F15" s="86"/>
      <c r="G15" s="17" t="str">
        <f ca="1">IF(H15="",SearchHLookup(D15,Categorieën!$B$1:$P$30),H15)</f>
        <v/>
      </c>
      <c r="I15" t="str">
        <f t="shared" si="0"/>
        <v/>
      </c>
    </row>
    <row r="16" spans="1:9">
      <c r="B16" s="1"/>
      <c r="C16" s="1"/>
      <c r="E16" s="90"/>
      <c r="F16" s="86"/>
      <c r="G16" s="17" t="str">
        <f ca="1">IF(H16="",SearchHLookup(D16,Categorieën!$B$1:$P$30),H16)</f>
        <v/>
      </c>
      <c r="I16" t="str">
        <f t="shared" si="0"/>
        <v/>
      </c>
    </row>
    <row r="17" spans="2:9">
      <c r="B17" s="1"/>
      <c r="C17" s="1"/>
      <c r="E17" s="90"/>
      <c r="F17" s="86"/>
      <c r="G17" s="17" t="str">
        <f ca="1">IF(H17="",SearchHLookup(D17,Categorieën!$B$1:$P$30),H17)</f>
        <v/>
      </c>
      <c r="I17" t="str">
        <f t="shared" si="0"/>
        <v/>
      </c>
    </row>
    <row r="18" spans="2:9">
      <c r="B18" s="1"/>
      <c r="C18" s="1"/>
      <c r="E18" s="90"/>
      <c r="F18" s="86"/>
      <c r="G18" s="17" t="str">
        <f ca="1">IF(H18="",SearchHLookup(D18,Categorieën!$B$1:$P$30),H18)</f>
        <v/>
      </c>
      <c r="I18" t="str">
        <f t="shared" si="0"/>
        <v/>
      </c>
    </row>
    <row r="19" spans="2:9">
      <c r="B19" s="1"/>
      <c r="C19" s="1"/>
      <c r="E19" s="90"/>
      <c r="F19" s="86"/>
      <c r="G19" s="17" t="str">
        <f ca="1">IF(H19="",SearchHLookup(D19,Categorieën!$B$1:$P$30),H19)</f>
        <v/>
      </c>
      <c r="I19" t="str">
        <f t="shared" si="0"/>
        <v/>
      </c>
    </row>
    <row r="20" spans="2:9">
      <c r="B20" s="1"/>
      <c r="C20" s="1"/>
      <c r="E20" s="90"/>
      <c r="F20" s="86"/>
      <c r="G20" s="17" t="str">
        <f ca="1">IF(H20="",SearchHLookup(D20,Categorieën!$B$1:$P$30),H20)</f>
        <v/>
      </c>
      <c r="I20" t="str">
        <f t="shared" si="0"/>
        <v/>
      </c>
    </row>
    <row r="21" spans="2:9">
      <c r="B21" s="1"/>
      <c r="C21" s="1"/>
      <c r="E21" s="90"/>
      <c r="F21" s="86"/>
      <c r="G21" s="17" t="str">
        <f ca="1">IF(H21="",SearchHLookup(D21,Categorieën!$B$1:$P$30),H21)</f>
        <v/>
      </c>
      <c r="I21" t="str">
        <f t="shared" si="0"/>
        <v/>
      </c>
    </row>
    <row r="22" spans="2:9">
      <c r="B22" s="1"/>
      <c r="C22" s="1"/>
      <c r="E22" s="90"/>
      <c r="F22" s="86"/>
      <c r="G22" s="17" t="str">
        <f ca="1">IF(H22="",SearchHLookup(D22,Categorieën!$B$1:$P$30),H22)</f>
        <v/>
      </c>
      <c r="I22" t="str">
        <f t="shared" si="0"/>
        <v/>
      </c>
    </row>
    <row r="23" spans="2:9">
      <c r="B23" s="1"/>
      <c r="C23" s="1"/>
      <c r="E23" s="90"/>
      <c r="F23" s="86"/>
      <c r="G23" s="17" t="str">
        <f ca="1">IF(H23="",SearchHLookup(D23,Categorieën!$B$1:$P$30),H23)</f>
        <v/>
      </c>
      <c r="I23" t="str">
        <f t="shared" si="0"/>
        <v/>
      </c>
    </row>
    <row r="24" spans="2:9">
      <c r="B24" s="1"/>
      <c r="C24" s="1"/>
      <c r="E24" s="90"/>
      <c r="F24" s="86"/>
      <c r="G24" s="17" t="str">
        <f ca="1">IF(H24="",SearchHLookup(D24,Categorieën!$B$1:$P$30),H24)</f>
        <v/>
      </c>
      <c r="I24" t="str">
        <f t="shared" si="0"/>
        <v/>
      </c>
    </row>
    <row r="25" spans="2:9">
      <c r="B25" s="1"/>
      <c r="C25" s="1"/>
      <c r="E25" s="90"/>
      <c r="F25" s="86"/>
      <c r="G25" s="17" t="str">
        <f ca="1">IF(H25="",SearchHLookup(D25,Categorieën!$B$1:$P$30),H25)</f>
        <v/>
      </c>
      <c r="I25" t="str">
        <f t="shared" si="0"/>
        <v/>
      </c>
    </row>
    <row r="26" spans="2:9">
      <c r="B26" s="1"/>
      <c r="C26" s="1"/>
      <c r="E26" s="90"/>
      <c r="F26" s="86"/>
      <c r="G26" s="17" t="str">
        <f ca="1">IF(H26="",SearchHLookup(D26,Categorieën!$B$1:$P$30),H26)</f>
        <v/>
      </c>
      <c r="I26" t="str">
        <f t="shared" si="0"/>
        <v/>
      </c>
    </row>
    <row r="27" spans="2:9">
      <c r="B27" s="1"/>
      <c r="C27" s="1"/>
      <c r="E27" s="90"/>
      <c r="F27" s="86"/>
      <c r="G27" s="17" t="str">
        <f ca="1">IF(H27="",SearchHLookup(D27,Categorieën!$B$1:$P$30),H27)</f>
        <v/>
      </c>
      <c r="I27" t="str">
        <f t="shared" si="0"/>
        <v/>
      </c>
    </row>
    <row r="28" spans="2:9">
      <c r="B28" s="1"/>
      <c r="C28" s="1"/>
      <c r="E28" s="90"/>
      <c r="F28" s="86"/>
      <c r="G28" s="17" t="str">
        <f ca="1">IF(H28="",SearchHLookup(D28,Categorieën!$B$1:$P$30),H28)</f>
        <v/>
      </c>
      <c r="I28" t="str">
        <f t="shared" si="0"/>
        <v/>
      </c>
    </row>
    <row r="29" spans="2:9">
      <c r="B29" s="1"/>
      <c r="C29" s="1"/>
      <c r="E29" s="90"/>
      <c r="F29" s="86"/>
      <c r="G29" s="17" t="str">
        <f ca="1">IF(H29="",SearchHLookup(D29,Categorieën!$B$1:$P$30),H29)</f>
        <v/>
      </c>
      <c r="I29" t="str">
        <f t="shared" si="0"/>
        <v/>
      </c>
    </row>
    <row r="30" spans="2:9">
      <c r="B30" s="1"/>
      <c r="C30" s="1"/>
      <c r="E30" s="90"/>
      <c r="F30" s="86"/>
      <c r="G30" s="17" t="str">
        <f ca="1">IF(H30="",SearchHLookup(D30,Categorieën!$B$1:$P$30),H30)</f>
        <v/>
      </c>
      <c r="I30" t="str">
        <f t="shared" si="0"/>
        <v/>
      </c>
    </row>
    <row r="31" spans="2:9">
      <c r="B31" s="1"/>
      <c r="C31" s="1"/>
      <c r="E31" s="90"/>
      <c r="F31" s="86"/>
      <c r="G31" s="17" t="str">
        <f ca="1">IF(H31="",SearchHLookup(D31,Categorieën!$B$1:$P$30),H31)</f>
        <v/>
      </c>
      <c r="I31" t="str">
        <f t="shared" si="0"/>
        <v/>
      </c>
    </row>
    <row r="32" spans="2:9">
      <c r="B32" s="1"/>
      <c r="C32" s="1"/>
      <c r="E32" s="90"/>
      <c r="F32" s="86"/>
      <c r="G32" s="17" t="str">
        <f ca="1">IF(H32="",SearchHLookup(D32,Categorieën!$B$1:$P$30),H32)</f>
        <v/>
      </c>
      <c r="I32" t="str">
        <f t="shared" si="0"/>
        <v/>
      </c>
    </row>
    <row r="33" spans="2:9">
      <c r="B33" s="1"/>
      <c r="C33" s="1"/>
      <c r="E33" s="90"/>
      <c r="F33" s="86"/>
      <c r="G33" s="17" t="str">
        <f ca="1">IF(H33="",SearchHLookup(D33,Categorieën!$B$1:$P$30),H33)</f>
        <v/>
      </c>
      <c r="I33" t="str">
        <f t="shared" si="0"/>
        <v/>
      </c>
    </row>
    <row r="34" spans="2:9">
      <c r="B34" s="1"/>
      <c r="C34" s="1"/>
      <c r="E34" s="90"/>
      <c r="F34" s="86"/>
      <c r="G34" s="17" t="str">
        <f ca="1">IF(H34="",SearchHLookup(D34,Categorieën!$B$1:$P$30),H34)</f>
        <v/>
      </c>
      <c r="I34" t="str">
        <f t="shared" si="0"/>
        <v/>
      </c>
    </row>
    <row r="35" spans="2:9">
      <c r="B35" s="1"/>
      <c r="C35" s="1"/>
      <c r="E35" s="90"/>
      <c r="F35" s="86"/>
      <c r="G35" s="17" t="str">
        <f ca="1">IF(H35="",SearchHLookup(D35,Categorieën!$B$1:$P$30),H35)</f>
        <v/>
      </c>
      <c r="I35" t="str">
        <f t="shared" si="0"/>
        <v/>
      </c>
    </row>
    <row r="36" spans="2:9">
      <c r="B36" s="1"/>
      <c r="C36" s="1"/>
      <c r="E36" s="90"/>
      <c r="F36" s="86"/>
      <c r="G36" s="17" t="str">
        <f ca="1">IF(H36="",SearchHLookup(D36,Categorieën!$B$1:$P$30),H36)</f>
        <v/>
      </c>
      <c r="I36" t="str">
        <f t="shared" si="0"/>
        <v/>
      </c>
    </row>
    <row r="37" spans="2:9">
      <c r="B37" s="1"/>
      <c r="C37" s="1"/>
      <c r="E37" s="90"/>
      <c r="F37" s="86"/>
      <c r="G37" s="17" t="str">
        <f ca="1">IF(H37="",SearchHLookup(D37,Categorieën!$B$1:$P$30),H37)</f>
        <v/>
      </c>
      <c r="I37" t="str">
        <f t="shared" si="0"/>
        <v/>
      </c>
    </row>
    <row r="38" spans="2:9">
      <c r="B38" s="1"/>
      <c r="C38" s="1"/>
      <c r="E38" s="90"/>
      <c r="F38" s="86"/>
      <c r="G38" s="17" t="str">
        <f ca="1">IF(H38="",SearchHLookup(D38,Categorieën!$B$1:$P$30),H38)</f>
        <v/>
      </c>
      <c r="I38" t="str">
        <f t="shared" si="0"/>
        <v/>
      </c>
    </row>
    <row r="39" spans="2:9">
      <c r="B39" s="1"/>
      <c r="C39" s="1"/>
      <c r="E39" s="90"/>
      <c r="F39" s="86"/>
      <c r="G39" s="17" t="str">
        <f ca="1">IF(H39="",SearchHLookup(D39,Categorieën!$B$1:$P$30),H39)</f>
        <v/>
      </c>
      <c r="I39" t="str">
        <f t="shared" si="0"/>
        <v/>
      </c>
    </row>
    <row r="40" spans="2:9">
      <c r="B40" s="1"/>
      <c r="C40" s="1"/>
      <c r="E40" s="90"/>
      <c r="F40" s="86"/>
      <c r="G40" s="17" t="str">
        <f ca="1">IF(H40="",SearchHLookup(D40,Categorieën!$B$1:$P$30),H40)</f>
        <v/>
      </c>
      <c r="I40" t="str">
        <f t="shared" si="0"/>
        <v/>
      </c>
    </row>
    <row r="41" spans="2:9">
      <c r="B41" s="1"/>
      <c r="C41" s="1"/>
      <c r="E41" s="90"/>
      <c r="F41" s="86"/>
      <c r="G41" s="17" t="str">
        <f ca="1">IF(H41="",SearchHLookup(D41,Categorieën!$B$1:$P$30),H41)</f>
        <v/>
      </c>
      <c r="I41" t="str">
        <f t="shared" si="0"/>
        <v/>
      </c>
    </row>
    <row r="42" spans="2:9">
      <c r="B42" s="1"/>
      <c r="C42" s="1"/>
      <c r="E42" s="90"/>
      <c r="F42" s="86"/>
      <c r="G42" s="17" t="str">
        <f ca="1">IF(H42="",SearchHLookup(D42,Categorieën!$B$1:$P$30),H42)</f>
        <v/>
      </c>
      <c r="I42" t="str">
        <f t="shared" si="0"/>
        <v/>
      </c>
    </row>
    <row r="43" spans="2:9">
      <c r="B43" s="1"/>
      <c r="C43" s="1"/>
      <c r="E43" s="90"/>
      <c r="F43" s="86"/>
      <c r="G43" s="17" t="str">
        <f ca="1">IF(H43="",SearchHLookup(D43,Categorieën!$B$1:$P$30),H43)</f>
        <v/>
      </c>
      <c r="I43" t="str">
        <f t="shared" si="0"/>
        <v/>
      </c>
    </row>
    <row r="44" spans="2:9">
      <c r="B44" s="1"/>
      <c r="C44" s="1"/>
      <c r="E44" s="90"/>
      <c r="F44" s="86"/>
      <c r="G44" s="17" t="str">
        <f ca="1">IF(H44="",SearchHLookup(D44,Categorieën!$B$1:$P$30),H44)</f>
        <v/>
      </c>
      <c r="I44" t="str">
        <f t="shared" si="0"/>
        <v/>
      </c>
    </row>
    <row r="45" spans="2:9">
      <c r="B45" s="1"/>
      <c r="C45" s="1"/>
      <c r="E45" s="90"/>
      <c r="F45" s="86"/>
      <c r="G45" s="17" t="str">
        <f ca="1">IF(H45="",SearchHLookup(D45,Categorieën!$B$1:$P$30),H45)</f>
        <v/>
      </c>
      <c r="I45" t="str">
        <f t="shared" si="0"/>
        <v/>
      </c>
    </row>
    <row r="46" spans="2:9">
      <c r="B46" s="1"/>
      <c r="C46" s="1"/>
      <c r="E46" s="90"/>
      <c r="F46" s="86"/>
      <c r="G46" s="17" t="str">
        <f ca="1">IF(H46="",SearchHLookup(D46,Categorieën!$B$1:$P$30),H46)</f>
        <v/>
      </c>
      <c r="I46" t="str">
        <f t="shared" si="0"/>
        <v/>
      </c>
    </row>
    <row r="47" spans="2:9">
      <c r="B47" s="1"/>
      <c r="C47" s="1"/>
      <c r="E47" s="90"/>
      <c r="F47" s="86"/>
      <c r="G47" s="17" t="str">
        <f ca="1">IF(H47="",SearchHLookup(D47,Categorieën!$B$1:$P$30),H47)</f>
        <v/>
      </c>
      <c r="I47" t="str">
        <f t="shared" si="0"/>
        <v/>
      </c>
    </row>
    <row r="48" spans="2:9">
      <c r="B48" s="1"/>
      <c r="C48" s="1"/>
      <c r="E48" s="90"/>
      <c r="F48" s="86"/>
      <c r="G48" s="17" t="str">
        <f ca="1">IF(H48="",SearchHLookup(D48,Categorieën!$B$1:$P$30),H48)</f>
        <v/>
      </c>
      <c r="I48" t="str">
        <f t="shared" si="0"/>
        <v/>
      </c>
    </row>
    <row r="49" spans="2:9">
      <c r="B49" s="1"/>
      <c r="C49" s="1"/>
      <c r="E49" s="90"/>
      <c r="F49" s="86"/>
      <c r="G49" s="17" t="str">
        <f ca="1">IF(H49="",SearchHLookup(D49,Categorieën!$B$1:$P$30),H49)</f>
        <v/>
      </c>
      <c r="I49" t="str">
        <f t="shared" si="0"/>
        <v/>
      </c>
    </row>
    <row r="50" spans="2:9">
      <c r="B50" s="1"/>
      <c r="C50" s="1"/>
      <c r="E50" s="90"/>
      <c r="F50" s="86"/>
      <c r="G50" s="17" t="str">
        <f ca="1">IF(H50="",SearchHLookup(D50,Categorieën!$B$1:$P$30),H50)</f>
        <v/>
      </c>
      <c r="I50" t="str">
        <f t="shared" si="0"/>
        <v/>
      </c>
    </row>
    <row r="51" spans="2:9">
      <c r="B51" s="1"/>
      <c r="C51" s="1"/>
      <c r="E51" s="90"/>
      <c r="F51" s="86"/>
      <c r="G51" s="17" t="str">
        <f ca="1">IF(H51="",SearchHLookup(D51,Categorieën!$B$1:$P$30),H51)</f>
        <v/>
      </c>
      <c r="I51" t="str">
        <f t="shared" si="0"/>
        <v/>
      </c>
    </row>
    <row r="52" spans="2:9">
      <c r="B52" s="1"/>
      <c r="C52" s="1"/>
      <c r="E52" s="90"/>
      <c r="F52" s="86"/>
      <c r="G52" s="17" t="str">
        <f ca="1">IF(H52="",SearchHLookup(D52,Categorieën!$B$1:$P$30),H52)</f>
        <v/>
      </c>
      <c r="I52" t="str">
        <f t="shared" si="0"/>
        <v/>
      </c>
    </row>
    <row r="53" spans="2:9">
      <c r="B53" s="1"/>
      <c r="C53" s="1"/>
      <c r="E53" s="90"/>
      <c r="F53" s="86"/>
      <c r="G53" s="17" t="str">
        <f ca="1">IF(H53="",SearchHLookup(D53,Categorieën!$B$1:$P$30),H53)</f>
        <v/>
      </c>
      <c r="I53" t="str">
        <f t="shared" si="0"/>
        <v/>
      </c>
    </row>
    <row r="54" spans="2:9">
      <c r="B54" s="1"/>
      <c r="C54" s="1"/>
      <c r="E54" s="90"/>
      <c r="F54" s="86"/>
      <c r="G54" s="17" t="str">
        <f ca="1">IF(H54="",SearchHLookup(D54,Categorieën!$B$1:$P$30),H54)</f>
        <v/>
      </c>
      <c r="I54" t="str">
        <f t="shared" si="0"/>
        <v/>
      </c>
    </row>
    <row r="55" spans="2:9">
      <c r="B55" s="1"/>
      <c r="C55" s="1"/>
      <c r="E55" s="90"/>
      <c r="F55" s="86"/>
      <c r="G55" s="17" t="str">
        <f ca="1">IF(H55="",SearchHLookup(D55,Categorieën!$B$1:$P$30),H55)</f>
        <v/>
      </c>
      <c r="I55" t="str">
        <f t="shared" si="0"/>
        <v/>
      </c>
    </row>
    <row r="56" spans="2:9">
      <c r="B56" s="1"/>
      <c r="C56" s="1"/>
      <c r="E56" s="90"/>
      <c r="F56" s="86"/>
      <c r="G56" s="17" t="str">
        <f ca="1">IF(H56="",SearchHLookup(D56,Categorieën!$B$1:$P$30),H56)</f>
        <v/>
      </c>
      <c r="I56" t="str">
        <f t="shared" si="0"/>
        <v/>
      </c>
    </row>
    <row r="57" spans="2:9">
      <c r="B57" s="1"/>
      <c r="C57" s="1"/>
      <c r="E57" s="90"/>
      <c r="F57" s="86"/>
      <c r="G57" s="17" t="str">
        <f ca="1">IF(H57="",SearchHLookup(D57,Categorieën!$B$1:$P$30),H57)</f>
        <v/>
      </c>
      <c r="I57" t="str">
        <f t="shared" si="0"/>
        <v/>
      </c>
    </row>
    <row r="58" spans="2:9">
      <c r="B58" s="1"/>
      <c r="C58" s="1"/>
      <c r="E58" s="90"/>
      <c r="F58" s="86"/>
      <c r="G58" s="17" t="str">
        <f ca="1">IF(H58="",SearchHLookup(D58,Categorieën!$B$1:$P$30),H58)</f>
        <v/>
      </c>
      <c r="I58" t="str">
        <f t="shared" si="0"/>
        <v/>
      </c>
    </row>
    <row r="59" spans="2:9">
      <c r="B59" s="1"/>
      <c r="C59" s="1"/>
      <c r="E59" s="90"/>
      <c r="F59" s="86"/>
      <c r="G59" s="17" t="str">
        <f ca="1">IF(H59="",SearchHLookup(D59,Categorieën!$B$1:$P$30),H59)</f>
        <v/>
      </c>
      <c r="I59" t="str">
        <f t="shared" si="0"/>
        <v/>
      </c>
    </row>
    <row r="60" spans="2:9">
      <c r="B60" s="1"/>
      <c r="C60" s="1"/>
      <c r="E60" s="90"/>
      <c r="F60" s="86"/>
      <c r="G60" s="17" t="str">
        <f ca="1">IF(H60="",SearchHLookup(D60,Categorieën!$B$1:$P$30),H60)</f>
        <v/>
      </c>
      <c r="I60" t="str">
        <f t="shared" si="0"/>
        <v/>
      </c>
    </row>
    <row r="61" spans="2:9">
      <c r="B61" s="1"/>
      <c r="C61" s="1"/>
      <c r="E61" s="90"/>
      <c r="F61" s="86"/>
      <c r="G61" s="17" t="str">
        <f ca="1">IF(H61="",SearchHLookup(D61,Categorieën!$B$1:$P$30),H61)</f>
        <v/>
      </c>
      <c r="I61" t="str">
        <f t="shared" si="0"/>
        <v/>
      </c>
    </row>
    <row r="62" spans="2:9">
      <c r="B62" s="1"/>
      <c r="C62" s="1"/>
      <c r="E62" s="90"/>
      <c r="F62" s="86"/>
      <c r="G62" s="17" t="str">
        <f ca="1">IF(H62="",SearchHLookup(D62,Categorieën!$B$1:$P$30),H62)</f>
        <v/>
      </c>
      <c r="I62" t="str">
        <f t="shared" si="0"/>
        <v/>
      </c>
    </row>
    <row r="63" spans="2:9">
      <c r="B63" s="1"/>
      <c r="C63" s="1"/>
      <c r="E63" s="90"/>
      <c r="F63" s="86"/>
      <c r="G63" s="17" t="str">
        <f ca="1">IF(H63="",SearchHLookup(D63,Categorieën!$B$1:$P$30),H63)</f>
        <v/>
      </c>
      <c r="I63" t="str">
        <f t="shared" si="0"/>
        <v/>
      </c>
    </row>
    <row r="64" spans="2:9">
      <c r="B64" s="1"/>
      <c r="C64" s="1"/>
      <c r="E64" s="90"/>
      <c r="F64" s="86"/>
      <c r="G64" s="17" t="str">
        <f ca="1">IF(H64="",SearchHLookup(D64,Categorieën!$B$1:$P$30),H64)</f>
        <v/>
      </c>
      <c r="I64" t="str">
        <f t="shared" si="0"/>
        <v/>
      </c>
    </row>
    <row r="65" spans="2:9">
      <c r="B65" s="1"/>
      <c r="C65" s="1"/>
      <c r="E65" s="90"/>
      <c r="F65" s="86"/>
      <c r="G65" s="17" t="str">
        <f ca="1">IF(H65="",SearchHLookup(D65,Categorieën!$B$1:$P$30),H65)</f>
        <v/>
      </c>
      <c r="I65" t="str">
        <f t="shared" si="0"/>
        <v/>
      </c>
    </row>
    <row r="66" spans="2:9">
      <c r="B66" s="1"/>
      <c r="C66" s="1"/>
      <c r="E66" s="90"/>
      <c r="F66" s="86"/>
      <c r="G66" s="17" t="str">
        <f ca="1">IF(H66="",SearchHLookup(D66,Categorieën!$B$1:$P$30),H66)</f>
        <v/>
      </c>
      <c r="I66" t="str">
        <f t="shared" si="0"/>
        <v/>
      </c>
    </row>
    <row r="67" spans="2:9">
      <c r="B67" s="1"/>
      <c r="C67" s="1"/>
      <c r="E67" s="90"/>
      <c r="F67" s="86"/>
      <c r="G67" s="17" t="str">
        <f ca="1">IF(H67="",SearchHLookup(D67,Categorieën!$B$1:$P$30),H67)</f>
        <v/>
      </c>
      <c r="I67" t="str">
        <f t="shared" ref="I67:I130" si="1">IF(D67="","",LEFT(D67,FIND(" ",D67)))</f>
        <v/>
      </c>
    </row>
    <row r="68" spans="2:9">
      <c r="B68" s="1"/>
      <c r="C68" s="1"/>
      <c r="E68" s="90"/>
      <c r="F68" s="86"/>
      <c r="G68" s="17" t="str">
        <f ca="1">IF(H68="",SearchHLookup(D68,Categorieën!$B$1:$P$30),H68)</f>
        <v/>
      </c>
      <c r="I68" t="str">
        <f t="shared" si="1"/>
        <v/>
      </c>
    </row>
    <row r="69" spans="2:9">
      <c r="B69" s="1"/>
      <c r="C69" s="1"/>
      <c r="E69" s="90"/>
      <c r="F69" s="86"/>
      <c r="G69" s="17" t="str">
        <f ca="1">IF(H69="",SearchHLookup(D69,Categorieën!$B$1:$P$30),H69)</f>
        <v/>
      </c>
      <c r="I69" t="str">
        <f t="shared" si="1"/>
        <v/>
      </c>
    </row>
    <row r="70" spans="2:9">
      <c r="B70" s="1"/>
      <c r="C70" s="1"/>
      <c r="E70" s="90"/>
      <c r="F70" s="86"/>
      <c r="G70" s="17" t="str">
        <f ca="1">IF(H70="",SearchHLookup(D70,Categorieën!$B$1:$P$30),H70)</f>
        <v/>
      </c>
      <c r="I70" t="str">
        <f t="shared" si="1"/>
        <v/>
      </c>
    </row>
    <row r="71" spans="2:9">
      <c r="B71" s="1"/>
      <c r="C71" s="1"/>
      <c r="E71" s="90"/>
      <c r="F71" s="86"/>
      <c r="G71" s="17" t="str">
        <f ca="1">IF(H71="",SearchHLookup(D71,Categorieën!$B$1:$P$30),H71)</f>
        <v/>
      </c>
      <c r="I71" t="str">
        <f t="shared" si="1"/>
        <v/>
      </c>
    </row>
    <row r="72" spans="2:9">
      <c r="B72" s="1"/>
      <c r="C72" s="1"/>
      <c r="E72" s="90"/>
      <c r="F72" s="86"/>
      <c r="G72" s="17" t="str">
        <f ca="1">IF(H72="",SearchHLookup(D72,Categorieën!$B$1:$P$30),H72)</f>
        <v/>
      </c>
      <c r="I72" t="str">
        <f t="shared" si="1"/>
        <v/>
      </c>
    </row>
    <row r="73" spans="2:9">
      <c r="B73" s="1"/>
      <c r="C73" s="1"/>
      <c r="E73" s="90"/>
      <c r="F73" s="86"/>
      <c r="G73" s="17" t="str">
        <f ca="1">IF(H73="",SearchHLookup(D73,Categorieën!$B$1:$P$30),H73)</f>
        <v/>
      </c>
      <c r="I73" t="str">
        <f t="shared" si="1"/>
        <v/>
      </c>
    </row>
    <row r="74" spans="2:9">
      <c r="B74" s="1"/>
      <c r="C74" s="1"/>
      <c r="E74" s="90"/>
      <c r="F74" s="86"/>
      <c r="G74" s="17" t="str">
        <f ca="1">IF(H74="",SearchHLookup(D74,Categorieën!$B$1:$P$30),H74)</f>
        <v/>
      </c>
      <c r="I74" t="str">
        <f t="shared" si="1"/>
        <v/>
      </c>
    </row>
    <row r="75" spans="2:9">
      <c r="B75" s="1"/>
      <c r="C75" s="1"/>
      <c r="E75" s="90"/>
      <c r="F75" s="86"/>
      <c r="G75" s="17" t="str">
        <f ca="1">IF(H75="",SearchHLookup(D75,Categorieën!$B$1:$P$30),H75)</f>
        <v/>
      </c>
      <c r="I75" t="str">
        <f t="shared" si="1"/>
        <v/>
      </c>
    </row>
    <row r="76" spans="2:9">
      <c r="B76" s="1"/>
      <c r="C76" s="1"/>
      <c r="E76" s="90"/>
      <c r="F76" s="86"/>
      <c r="G76" s="17" t="str">
        <f ca="1">IF(H76="",SearchHLookup(D76,Categorieën!$B$1:$P$30),H76)</f>
        <v/>
      </c>
      <c r="I76" t="str">
        <f t="shared" si="1"/>
        <v/>
      </c>
    </row>
    <row r="77" spans="2:9">
      <c r="B77" s="1"/>
      <c r="C77" s="1"/>
      <c r="E77" s="90"/>
      <c r="F77" s="86"/>
      <c r="G77" s="17" t="str">
        <f ca="1">IF(H77="",SearchHLookup(D77,Categorieën!$B$1:$P$30),H77)</f>
        <v/>
      </c>
      <c r="I77" t="str">
        <f t="shared" si="1"/>
        <v/>
      </c>
    </row>
    <row r="78" spans="2:9">
      <c r="B78" s="1"/>
      <c r="C78" s="1"/>
      <c r="E78" s="90"/>
      <c r="F78" s="86"/>
      <c r="G78" s="17" t="str">
        <f ca="1">IF(H78="",SearchHLookup(D78,Categorieën!$B$1:$P$30),H78)</f>
        <v/>
      </c>
      <c r="I78" t="str">
        <f t="shared" si="1"/>
        <v/>
      </c>
    </row>
    <row r="79" spans="2:9">
      <c r="B79" s="1"/>
      <c r="C79" s="1"/>
      <c r="E79" s="90"/>
      <c r="F79" s="86"/>
      <c r="G79" s="17" t="str">
        <f ca="1">IF(H79="",SearchHLookup(D79,Categorieën!$B$1:$P$30),H79)</f>
        <v/>
      </c>
      <c r="I79" t="str">
        <f t="shared" si="1"/>
        <v/>
      </c>
    </row>
    <row r="80" spans="2:9">
      <c r="B80" s="1"/>
      <c r="C80" s="1"/>
      <c r="E80" s="90"/>
      <c r="F80" s="86"/>
      <c r="G80" s="17" t="str">
        <f ca="1">IF(H80="",SearchHLookup(D80,Categorieën!$B$1:$P$30),H80)</f>
        <v/>
      </c>
      <c r="I80" t="str">
        <f t="shared" si="1"/>
        <v/>
      </c>
    </row>
    <row r="81" spans="2:9">
      <c r="B81" s="1"/>
      <c r="C81" s="1"/>
      <c r="E81" s="90"/>
      <c r="F81" s="86"/>
      <c r="G81" s="17" t="str">
        <f ca="1">IF(H81="",SearchHLookup(D81,Categorieën!$B$1:$P$30),H81)</f>
        <v/>
      </c>
      <c r="I81" t="str">
        <f t="shared" si="1"/>
        <v/>
      </c>
    </row>
    <row r="82" spans="2:9">
      <c r="B82" s="1"/>
      <c r="C82" s="1"/>
      <c r="E82" s="90"/>
      <c r="F82" s="86"/>
      <c r="G82" s="17" t="str">
        <f ca="1">IF(H82="",SearchHLookup(D82,Categorieën!$B$1:$P$30),H82)</f>
        <v/>
      </c>
      <c r="I82" t="str">
        <f t="shared" si="1"/>
        <v/>
      </c>
    </row>
    <row r="83" spans="2:9">
      <c r="B83" s="1"/>
      <c r="C83" s="1"/>
      <c r="E83" s="90"/>
      <c r="F83" s="86"/>
      <c r="G83" s="17" t="str">
        <f ca="1">IF(H83="",SearchHLookup(D83,Categorieën!$B$1:$P$30),H83)</f>
        <v/>
      </c>
      <c r="I83" t="str">
        <f t="shared" si="1"/>
        <v/>
      </c>
    </row>
    <row r="84" spans="2:9">
      <c r="B84" s="1"/>
      <c r="C84" s="1"/>
      <c r="E84" s="90"/>
      <c r="F84" s="86"/>
      <c r="G84" s="17" t="str">
        <f ca="1">IF(H84="",SearchHLookup(D84,Categorieën!$B$1:$P$30),H84)</f>
        <v/>
      </c>
      <c r="I84" t="str">
        <f t="shared" si="1"/>
        <v/>
      </c>
    </row>
    <row r="85" spans="2:9">
      <c r="B85" s="1"/>
      <c r="C85" s="1"/>
      <c r="E85" s="90"/>
      <c r="F85" s="86"/>
      <c r="G85" s="17" t="str">
        <f ca="1">IF(H85="",SearchHLookup(D85,Categorieën!$B$1:$P$30),H85)</f>
        <v/>
      </c>
      <c r="I85" t="str">
        <f t="shared" si="1"/>
        <v/>
      </c>
    </row>
    <row r="86" spans="2:9">
      <c r="B86" s="1"/>
      <c r="C86" s="1"/>
      <c r="E86" s="90"/>
      <c r="F86" s="86"/>
      <c r="G86" s="17" t="str">
        <f ca="1">IF(H86="",SearchHLookup(D86,Categorieën!$B$1:$P$30),H86)</f>
        <v/>
      </c>
      <c r="I86" t="str">
        <f t="shared" si="1"/>
        <v/>
      </c>
    </row>
    <row r="87" spans="2:9">
      <c r="B87" s="1"/>
      <c r="C87" s="1"/>
      <c r="E87" s="90"/>
      <c r="F87" s="86"/>
      <c r="G87" s="17" t="str">
        <f ca="1">IF(H87="",SearchHLookup(D87,Categorieën!$B$1:$P$30),H87)</f>
        <v/>
      </c>
      <c r="I87" t="str">
        <f t="shared" si="1"/>
        <v/>
      </c>
    </row>
    <row r="88" spans="2:9">
      <c r="B88" s="1"/>
      <c r="C88" s="1"/>
      <c r="E88" s="90"/>
      <c r="F88" s="86"/>
      <c r="G88" s="17" t="str">
        <f ca="1">IF(H88="",SearchHLookup(D88,Categorieën!$B$1:$P$30),H88)</f>
        <v/>
      </c>
      <c r="I88" t="str">
        <f t="shared" si="1"/>
        <v/>
      </c>
    </row>
    <row r="89" spans="2:9">
      <c r="B89" s="1"/>
      <c r="C89" s="1"/>
      <c r="E89" s="90"/>
      <c r="F89" s="86"/>
      <c r="G89" s="17" t="str">
        <f ca="1">IF(H89="",SearchHLookup(D89,Categorieën!$B$1:$P$30),H89)</f>
        <v/>
      </c>
      <c r="I89" t="str">
        <f t="shared" si="1"/>
        <v/>
      </c>
    </row>
    <row r="90" spans="2:9">
      <c r="B90" s="1"/>
      <c r="C90" s="1"/>
      <c r="E90" s="90"/>
      <c r="F90" s="86"/>
      <c r="G90" s="17" t="str">
        <f ca="1">IF(H90="",SearchHLookup(D90,Categorieën!$B$1:$P$30),H90)</f>
        <v/>
      </c>
      <c r="I90" t="str">
        <f t="shared" si="1"/>
        <v/>
      </c>
    </row>
    <row r="91" spans="2:9">
      <c r="B91" s="1"/>
      <c r="C91" s="1"/>
      <c r="E91" s="90"/>
      <c r="F91" s="86"/>
      <c r="G91" s="17" t="str">
        <f ca="1">IF(H91="",SearchHLookup(D91,Categorieën!$B$1:$P$30),H91)</f>
        <v/>
      </c>
      <c r="I91" t="str">
        <f t="shared" si="1"/>
        <v/>
      </c>
    </row>
    <row r="92" spans="2:9">
      <c r="B92" s="1"/>
      <c r="C92" s="1"/>
      <c r="E92" s="90"/>
      <c r="F92" s="86"/>
      <c r="G92" s="17" t="str">
        <f ca="1">IF(H92="",SearchHLookup(D92,Categorieën!$B$1:$P$30),H92)</f>
        <v/>
      </c>
      <c r="I92" t="str">
        <f t="shared" si="1"/>
        <v/>
      </c>
    </row>
    <row r="93" spans="2:9">
      <c r="B93" s="1"/>
      <c r="C93" s="1"/>
      <c r="E93" s="90"/>
      <c r="F93" s="86"/>
      <c r="G93" s="17" t="str">
        <f ca="1">IF(H93="",SearchHLookup(D93,Categorieën!$B$1:$P$30),H93)</f>
        <v/>
      </c>
      <c r="I93" t="str">
        <f t="shared" si="1"/>
        <v/>
      </c>
    </row>
    <row r="94" spans="2:9">
      <c r="B94" s="1"/>
      <c r="C94" s="1"/>
      <c r="E94" s="90"/>
      <c r="F94" s="86"/>
      <c r="G94" s="17" t="str">
        <f ca="1">IF(H94="",SearchHLookup(D94,Categorieën!$B$1:$P$30),H94)</f>
        <v/>
      </c>
      <c r="I94" t="str">
        <f t="shared" si="1"/>
        <v/>
      </c>
    </row>
    <row r="95" spans="2:9">
      <c r="B95" s="1"/>
      <c r="C95" s="1"/>
      <c r="E95" s="90"/>
      <c r="F95" s="86"/>
      <c r="G95" s="17" t="str">
        <f ca="1">IF(H95="",SearchHLookup(D95,Categorieën!$B$1:$P$30),H95)</f>
        <v/>
      </c>
      <c r="I95" t="str">
        <f t="shared" si="1"/>
        <v/>
      </c>
    </row>
    <row r="96" spans="2:9">
      <c r="B96" s="1"/>
      <c r="C96" s="1"/>
      <c r="E96" s="90"/>
      <c r="F96" s="86"/>
      <c r="G96" s="17" t="str">
        <f ca="1">IF(H96="",SearchHLookup(D96,Categorieën!$B$1:$P$30),H96)</f>
        <v/>
      </c>
      <c r="I96" t="str">
        <f t="shared" si="1"/>
        <v/>
      </c>
    </row>
    <row r="97" spans="2:9">
      <c r="B97" s="1"/>
      <c r="C97" s="1"/>
      <c r="E97" s="90"/>
      <c r="F97" s="86"/>
      <c r="G97" s="17" t="str">
        <f ca="1">IF(H97="",SearchHLookup(D97,Categorieën!$B$1:$P$30),H97)</f>
        <v/>
      </c>
      <c r="I97" t="str">
        <f t="shared" si="1"/>
        <v/>
      </c>
    </row>
    <row r="98" spans="2:9">
      <c r="B98" s="1"/>
      <c r="C98" s="1"/>
      <c r="E98" s="90"/>
      <c r="F98" s="86"/>
      <c r="G98" s="17" t="str">
        <f ca="1">IF(H98="",SearchHLookup(D98,Categorieën!$B$1:$P$30),H98)</f>
        <v/>
      </c>
      <c r="I98" t="str">
        <f t="shared" si="1"/>
        <v/>
      </c>
    </row>
    <row r="99" spans="2:9">
      <c r="B99" s="1"/>
      <c r="C99" s="1"/>
      <c r="E99" s="90"/>
      <c r="F99" s="86"/>
      <c r="G99" s="17" t="str">
        <f ca="1">IF(H99="",SearchHLookup(D99,Categorieën!$B$1:$P$30),H99)</f>
        <v/>
      </c>
      <c r="I99" t="str">
        <f t="shared" si="1"/>
        <v/>
      </c>
    </row>
    <row r="100" spans="2:9">
      <c r="B100" s="1"/>
      <c r="C100" s="1"/>
      <c r="E100" s="90"/>
      <c r="F100" s="86"/>
      <c r="G100" s="17" t="str">
        <f ca="1">IF(H100="",SearchHLookup(D100,Categorieën!$B$1:$P$30),H100)</f>
        <v/>
      </c>
      <c r="I100" t="str">
        <f t="shared" si="1"/>
        <v/>
      </c>
    </row>
    <row r="101" spans="2:9">
      <c r="B101" s="1"/>
      <c r="C101" s="1"/>
      <c r="E101" s="90"/>
      <c r="F101" s="86"/>
      <c r="G101" s="17" t="str">
        <f ca="1">IF(H101="",SearchHLookup(D101,Categorieën!$B$1:$P$30),H101)</f>
        <v/>
      </c>
      <c r="I101" t="str">
        <f t="shared" si="1"/>
        <v/>
      </c>
    </row>
    <row r="102" spans="2:9">
      <c r="B102" s="1"/>
      <c r="C102" s="1"/>
      <c r="E102" s="90"/>
      <c r="F102" s="86"/>
      <c r="G102" s="17" t="str">
        <f ca="1">IF(H102="",SearchHLookup(D102,Categorieën!$B$1:$P$30),H102)</f>
        <v/>
      </c>
      <c r="I102" t="str">
        <f t="shared" si="1"/>
        <v/>
      </c>
    </row>
    <row r="103" spans="2:9">
      <c r="B103" s="1"/>
      <c r="C103" s="1"/>
      <c r="E103" s="90"/>
      <c r="F103" s="86"/>
      <c r="G103" s="17" t="str">
        <f ca="1">IF(H103="",SearchHLookup(D103,Categorieën!$B$1:$P$30),H103)</f>
        <v/>
      </c>
      <c r="I103" t="str">
        <f t="shared" si="1"/>
        <v/>
      </c>
    </row>
    <row r="104" spans="2:9">
      <c r="B104" s="1"/>
      <c r="C104" s="1"/>
      <c r="E104" s="90"/>
      <c r="F104" s="86"/>
      <c r="G104" s="17" t="str">
        <f ca="1">IF(H104="",SearchHLookup(D104,Categorieën!$B$1:$P$30),H104)</f>
        <v/>
      </c>
      <c r="I104" t="str">
        <f t="shared" si="1"/>
        <v/>
      </c>
    </row>
    <row r="105" spans="2:9">
      <c r="B105" s="1"/>
      <c r="C105" s="1"/>
      <c r="E105" s="90"/>
      <c r="F105" s="86"/>
      <c r="G105" s="17" t="str">
        <f ca="1">IF(H105="",SearchHLookup(D105,Categorieën!$B$1:$P$30),H105)</f>
        <v/>
      </c>
      <c r="I105" t="str">
        <f t="shared" si="1"/>
        <v/>
      </c>
    </row>
    <row r="106" spans="2:9">
      <c r="B106" s="1"/>
      <c r="C106" s="1"/>
      <c r="E106" s="90"/>
      <c r="F106" s="86"/>
      <c r="G106" s="17" t="str">
        <f ca="1">IF(H106="",SearchHLookup(D106,Categorieën!$B$1:$P$30),H106)</f>
        <v/>
      </c>
      <c r="I106" t="str">
        <f t="shared" si="1"/>
        <v/>
      </c>
    </row>
    <row r="107" spans="2:9">
      <c r="B107" s="1"/>
      <c r="C107" s="1"/>
      <c r="E107" s="90"/>
      <c r="F107" s="86"/>
      <c r="G107" s="17" t="str">
        <f ca="1">IF(H107="",SearchHLookup(D107,Categorieën!$B$1:$P$30),H107)</f>
        <v/>
      </c>
      <c r="I107" t="str">
        <f t="shared" si="1"/>
        <v/>
      </c>
    </row>
    <row r="108" spans="2:9">
      <c r="B108" s="1"/>
      <c r="C108" s="1"/>
      <c r="E108" s="90"/>
      <c r="F108" s="86"/>
      <c r="G108" s="17" t="str">
        <f ca="1">IF(H108="",SearchHLookup(D108,Categorieën!$B$1:$P$30),H108)</f>
        <v/>
      </c>
      <c r="I108" t="str">
        <f t="shared" si="1"/>
        <v/>
      </c>
    </row>
    <row r="109" spans="2:9">
      <c r="B109" s="1"/>
      <c r="C109" s="1"/>
      <c r="E109" s="90"/>
      <c r="F109" s="86"/>
      <c r="G109" s="17" t="str">
        <f ca="1">IF(H109="",SearchHLookup(D109,Categorieën!$B$1:$P$30),H109)</f>
        <v/>
      </c>
      <c r="I109" t="str">
        <f t="shared" si="1"/>
        <v/>
      </c>
    </row>
    <row r="110" spans="2:9">
      <c r="B110" s="1"/>
      <c r="C110" s="1"/>
      <c r="E110" s="90"/>
      <c r="F110" s="86"/>
      <c r="G110" s="17" t="str">
        <f ca="1">IF(H110="",SearchHLookup(D110,Categorieën!$B$1:$P$30),H110)</f>
        <v/>
      </c>
      <c r="I110" t="str">
        <f t="shared" si="1"/>
        <v/>
      </c>
    </row>
    <row r="111" spans="2:9">
      <c r="B111" s="1"/>
      <c r="C111" s="1"/>
      <c r="E111" s="90"/>
      <c r="F111" s="86"/>
      <c r="G111" s="17" t="str">
        <f ca="1">IF(H111="",SearchHLookup(D111,Categorieën!$B$1:$P$30),H111)</f>
        <v/>
      </c>
      <c r="I111" t="str">
        <f t="shared" si="1"/>
        <v/>
      </c>
    </row>
    <row r="112" spans="2:9">
      <c r="B112" s="1"/>
      <c r="C112" s="1"/>
      <c r="E112" s="90"/>
      <c r="F112" s="86"/>
      <c r="G112" s="17" t="str">
        <f ca="1">IF(H112="",SearchHLookup(D112,Categorieën!$B$1:$P$30),H112)</f>
        <v/>
      </c>
      <c r="I112" t="str">
        <f t="shared" si="1"/>
        <v/>
      </c>
    </row>
    <row r="113" spans="2:9">
      <c r="B113" s="1"/>
      <c r="C113" s="1"/>
      <c r="E113" s="90"/>
      <c r="F113" s="86"/>
      <c r="G113" s="17" t="str">
        <f ca="1">IF(H113="",SearchHLookup(D113,Categorieën!$B$1:$P$30),H113)</f>
        <v/>
      </c>
      <c r="I113" t="str">
        <f t="shared" si="1"/>
        <v/>
      </c>
    </row>
    <row r="114" spans="2:9">
      <c r="B114" s="1"/>
      <c r="C114" s="1"/>
      <c r="E114" s="90"/>
      <c r="F114" s="86"/>
      <c r="G114" s="17" t="str">
        <f ca="1">IF(H114="",SearchHLookup(D114,Categorieën!$B$1:$P$30),H114)</f>
        <v/>
      </c>
      <c r="I114" t="str">
        <f t="shared" si="1"/>
        <v/>
      </c>
    </row>
    <row r="115" spans="2:9">
      <c r="B115" s="1"/>
      <c r="C115" s="1"/>
      <c r="E115" s="90"/>
      <c r="F115" s="86"/>
      <c r="G115" s="17" t="str">
        <f ca="1">IF(H115="",SearchHLookup(D115,Categorieën!$B$1:$P$30),H115)</f>
        <v/>
      </c>
      <c r="I115" t="str">
        <f t="shared" si="1"/>
        <v/>
      </c>
    </row>
    <row r="116" spans="2:9">
      <c r="B116" s="1"/>
      <c r="C116" s="1"/>
      <c r="E116" s="90"/>
      <c r="F116" s="86"/>
      <c r="G116" s="17" t="str">
        <f ca="1">IF(H116="",SearchHLookup(D116,Categorieën!$B$1:$P$30),H116)</f>
        <v/>
      </c>
      <c r="I116" t="str">
        <f t="shared" si="1"/>
        <v/>
      </c>
    </row>
    <row r="117" spans="2:9">
      <c r="B117" s="1"/>
      <c r="C117" s="1"/>
      <c r="E117" s="90"/>
      <c r="F117" s="86"/>
      <c r="G117" s="17" t="str">
        <f ca="1">IF(H117="",SearchHLookup(D117,Categorieën!$B$1:$P$30),H117)</f>
        <v/>
      </c>
      <c r="I117" t="str">
        <f t="shared" si="1"/>
        <v/>
      </c>
    </row>
    <row r="118" spans="2:9">
      <c r="B118" s="1"/>
      <c r="C118" s="1"/>
      <c r="E118" s="90"/>
      <c r="F118" s="86"/>
      <c r="G118" s="17" t="str">
        <f ca="1">IF(H118="",SearchHLookup(D118,Categorieën!$B$1:$P$30),H118)</f>
        <v/>
      </c>
      <c r="I118" t="str">
        <f t="shared" si="1"/>
        <v/>
      </c>
    </row>
    <row r="119" spans="2:9">
      <c r="B119" s="1"/>
      <c r="C119" s="1"/>
      <c r="E119" s="90"/>
      <c r="F119" s="86"/>
      <c r="G119" s="17" t="str">
        <f ca="1">IF(H119="",SearchHLookup(D119,Categorieën!$B$1:$P$30),H119)</f>
        <v/>
      </c>
      <c r="I119" t="str">
        <f t="shared" si="1"/>
        <v/>
      </c>
    </row>
    <row r="120" spans="2:9">
      <c r="B120" s="1"/>
      <c r="C120" s="1"/>
      <c r="E120" s="90"/>
      <c r="F120" s="86"/>
      <c r="G120" s="17" t="str">
        <f ca="1">IF(H120="",SearchHLookup(D120,Categorieën!$B$1:$P$30),H120)</f>
        <v/>
      </c>
      <c r="I120" t="str">
        <f t="shared" si="1"/>
        <v/>
      </c>
    </row>
    <row r="121" spans="2:9">
      <c r="B121" s="1"/>
      <c r="C121" s="1"/>
      <c r="E121" s="90"/>
      <c r="F121" s="86"/>
      <c r="G121" s="17" t="str">
        <f ca="1">IF(H121="",SearchHLookup(D121,Categorieën!$B$1:$P$30),H121)</f>
        <v/>
      </c>
      <c r="I121" t="str">
        <f t="shared" si="1"/>
        <v/>
      </c>
    </row>
    <row r="122" spans="2:9">
      <c r="B122" s="1"/>
      <c r="C122" s="1"/>
      <c r="E122" s="90"/>
      <c r="F122" s="86"/>
      <c r="G122" s="17" t="str">
        <f ca="1">IF(H122="",SearchHLookup(D122,Categorieën!$B$1:$P$30),H122)</f>
        <v/>
      </c>
      <c r="I122" t="str">
        <f t="shared" si="1"/>
        <v/>
      </c>
    </row>
    <row r="123" spans="2:9">
      <c r="B123" s="1"/>
      <c r="C123" s="1"/>
      <c r="E123" s="90"/>
      <c r="F123" s="86"/>
      <c r="G123" s="17" t="str">
        <f ca="1">IF(H123="",SearchHLookup(D123,Categorieën!$B$1:$P$30),H123)</f>
        <v/>
      </c>
      <c r="I123" t="str">
        <f t="shared" si="1"/>
        <v/>
      </c>
    </row>
    <row r="124" spans="2:9">
      <c r="B124" s="1"/>
      <c r="C124" s="1"/>
      <c r="E124" s="90"/>
      <c r="F124" s="86"/>
      <c r="G124" s="17" t="str">
        <f ca="1">IF(H124="",SearchHLookup(D124,Categorieën!$B$1:$P$30),H124)</f>
        <v/>
      </c>
      <c r="I124" t="str">
        <f t="shared" si="1"/>
        <v/>
      </c>
    </row>
    <row r="125" spans="2:9">
      <c r="B125" s="1"/>
      <c r="C125" s="1"/>
      <c r="E125" s="90"/>
      <c r="F125" s="86"/>
      <c r="G125" s="17" t="str">
        <f ca="1">IF(H125="",SearchHLookup(D125,Categorieën!$B$1:$P$30),H125)</f>
        <v/>
      </c>
      <c r="I125" t="str">
        <f t="shared" si="1"/>
        <v/>
      </c>
    </row>
    <row r="126" spans="2:9">
      <c r="B126" s="1"/>
      <c r="C126" s="1"/>
      <c r="E126" s="90"/>
      <c r="F126" s="86"/>
      <c r="G126" s="17" t="str">
        <f ca="1">IF(H126="",SearchHLookup(D126,Categorieën!$B$1:$P$30),H126)</f>
        <v/>
      </c>
      <c r="I126" t="str">
        <f t="shared" si="1"/>
        <v/>
      </c>
    </row>
    <row r="127" spans="2:9">
      <c r="B127" s="1"/>
      <c r="C127" s="1"/>
      <c r="E127" s="90"/>
      <c r="F127" s="86"/>
      <c r="G127" s="17" t="str">
        <f ca="1">IF(H127="",SearchHLookup(D127,Categorieën!$B$1:$P$30),H127)</f>
        <v/>
      </c>
      <c r="I127" t="str">
        <f t="shared" si="1"/>
        <v/>
      </c>
    </row>
    <row r="128" spans="2:9">
      <c r="B128" s="1"/>
      <c r="C128" s="1"/>
      <c r="E128" s="90"/>
      <c r="F128" s="86"/>
      <c r="G128" s="17" t="str">
        <f ca="1">IF(H128="",SearchHLookup(D128,Categorieën!$B$1:$P$30),H128)</f>
        <v/>
      </c>
      <c r="I128" t="str">
        <f t="shared" si="1"/>
        <v/>
      </c>
    </row>
    <row r="129" spans="2:9">
      <c r="B129" s="1"/>
      <c r="C129" s="1"/>
      <c r="E129" s="90"/>
      <c r="F129" s="86"/>
      <c r="G129" s="17" t="str">
        <f ca="1">IF(H129="",SearchHLookup(D129,Categorieën!$B$1:$P$30),H129)</f>
        <v/>
      </c>
      <c r="I129" t="str">
        <f t="shared" si="1"/>
        <v/>
      </c>
    </row>
    <row r="130" spans="2:9">
      <c r="B130" s="1"/>
      <c r="C130" s="1"/>
      <c r="E130" s="90"/>
      <c r="F130" s="86"/>
      <c r="G130" s="17" t="str">
        <f ca="1">IF(H130="",SearchHLookup(D130,Categorieën!$B$1:$P$30),H130)</f>
        <v/>
      </c>
      <c r="I130" t="str">
        <f t="shared" si="1"/>
        <v/>
      </c>
    </row>
    <row r="131" spans="2:9">
      <c r="B131" s="1"/>
      <c r="C131" s="1"/>
      <c r="E131" s="90"/>
      <c r="F131" s="86"/>
      <c r="G131" s="17" t="str">
        <f ca="1">IF(H131="",SearchHLookup(D131,Categorieën!$B$1:$P$30),H131)</f>
        <v/>
      </c>
      <c r="I131" t="str">
        <f t="shared" ref="I131:I194" si="2">IF(D131="","",LEFT(D131,FIND(" ",D131)))</f>
        <v/>
      </c>
    </row>
    <row r="132" spans="2:9">
      <c r="B132" s="1"/>
      <c r="C132" s="1"/>
      <c r="E132" s="90"/>
      <c r="F132" s="86"/>
      <c r="G132" s="17" t="str">
        <f ca="1">IF(H132="",SearchHLookup(D132,Categorieën!$B$1:$P$30),H132)</f>
        <v/>
      </c>
      <c r="I132" t="str">
        <f t="shared" si="2"/>
        <v/>
      </c>
    </row>
    <row r="133" spans="2:9">
      <c r="B133" s="1"/>
      <c r="C133" s="1"/>
      <c r="E133" s="90"/>
      <c r="F133" s="86"/>
      <c r="G133" s="17" t="str">
        <f ca="1">IF(H133="",SearchHLookup(D133,Categorieën!$B$1:$P$30),H133)</f>
        <v/>
      </c>
      <c r="I133" t="str">
        <f t="shared" si="2"/>
        <v/>
      </c>
    </row>
    <row r="134" spans="2:9">
      <c r="B134" s="1"/>
      <c r="C134" s="1"/>
      <c r="E134" s="90"/>
      <c r="F134" s="86"/>
      <c r="G134" s="17" t="str">
        <f ca="1">IF(H134="",SearchHLookup(D134,Categorieën!$B$1:$P$30),H134)</f>
        <v/>
      </c>
      <c r="I134" t="str">
        <f t="shared" si="2"/>
        <v/>
      </c>
    </row>
    <row r="135" spans="2:9">
      <c r="B135" s="1"/>
      <c r="C135" s="1"/>
      <c r="E135" s="90"/>
      <c r="F135" s="86"/>
      <c r="G135" s="17" t="str">
        <f ca="1">IF(H135="",SearchHLookup(D135,Categorieën!$B$1:$P$30),H135)</f>
        <v/>
      </c>
      <c r="I135" t="str">
        <f t="shared" si="2"/>
        <v/>
      </c>
    </row>
    <row r="136" spans="2:9">
      <c r="B136" s="1"/>
      <c r="C136" s="1"/>
      <c r="E136" s="90"/>
      <c r="F136" s="86"/>
      <c r="G136" s="17" t="str">
        <f ca="1">IF(H136="",SearchHLookup(D136,Categorieën!$B$1:$P$30),H136)</f>
        <v/>
      </c>
      <c r="I136" t="str">
        <f t="shared" si="2"/>
        <v/>
      </c>
    </row>
    <row r="137" spans="2:9">
      <c r="B137" s="1"/>
      <c r="C137" s="1"/>
      <c r="E137" s="90"/>
      <c r="F137" s="86"/>
      <c r="G137" s="17" t="str">
        <f ca="1">IF(H137="",SearchHLookup(D137,Categorieën!$B$1:$P$30),H137)</f>
        <v/>
      </c>
      <c r="I137" t="str">
        <f t="shared" si="2"/>
        <v/>
      </c>
    </row>
    <row r="138" spans="2:9">
      <c r="B138" s="1"/>
      <c r="C138" s="1"/>
      <c r="E138" s="90"/>
      <c r="F138" s="86"/>
      <c r="G138" s="17" t="str">
        <f ca="1">IF(H138="",SearchHLookup(D138,Categorieën!$B$1:$P$30),H138)</f>
        <v/>
      </c>
      <c r="I138" t="str">
        <f t="shared" si="2"/>
        <v/>
      </c>
    </row>
    <row r="139" spans="2:9">
      <c r="B139" s="1"/>
      <c r="C139" s="1"/>
      <c r="E139" s="90"/>
      <c r="F139" s="86"/>
      <c r="G139" s="17" t="str">
        <f ca="1">IF(H139="",SearchHLookup(D139,Categorieën!$B$1:$P$30),H139)</f>
        <v/>
      </c>
      <c r="I139" t="str">
        <f t="shared" si="2"/>
        <v/>
      </c>
    </row>
    <row r="140" spans="2:9">
      <c r="B140" s="1"/>
      <c r="C140" s="1"/>
      <c r="E140" s="90"/>
      <c r="F140" s="86"/>
      <c r="G140" s="17" t="str">
        <f ca="1">IF(H140="",SearchHLookup(D140,Categorieën!$B$1:$P$30),H140)</f>
        <v/>
      </c>
      <c r="I140" t="str">
        <f t="shared" si="2"/>
        <v/>
      </c>
    </row>
    <row r="141" spans="2:9">
      <c r="B141" s="1"/>
      <c r="C141" s="1"/>
      <c r="E141" s="90"/>
      <c r="F141" s="86"/>
      <c r="G141" s="17" t="str">
        <f ca="1">IF(H141="",SearchHLookup(D141,Categorieën!$B$1:$P$30),H141)</f>
        <v/>
      </c>
      <c r="I141" t="str">
        <f t="shared" si="2"/>
        <v/>
      </c>
    </row>
    <row r="142" spans="2:9">
      <c r="B142" s="1"/>
      <c r="C142" s="1"/>
      <c r="E142" s="90"/>
      <c r="F142" s="86"/>
      <c r="G142" s="17" t="str">
        <f ca="1">IF(H142="",SearchHLookup(D142,Categorieën!$B$1:$P$30),H142)</f>
        <v/>
      </c>
      <c r="I142" t="str">
        <f t="shared" si="2"/>
        <v/>
      </c>
    </row>
    <row r="143" spans="2:9">
      <c r="B143" s="1"/>
      <c r="C143" s="1"/>
      <c r="E143" s="90"/>
      <c r="F143" s="86"/>
      <c r="G143" s="17" t="str">
        <f ca="1">IF(H143="",SearchHLookup(D143,Categorieën!$B$1:$P$30),H143)</f>
        <v/>
      </c>
      <c r="I143" t="str">
        <f t="shared" si="2"/>
        <v/>
      </c>
    </row>
    <row r="144" spans="2:9">
      <c r="B144" s="1"/>
      <c r="C144" s="1"/>
      <c r="E144" s="90"/>
      <c r="F144" s="86"/>
      <c r="G144" s="17" t="str">
        <f ca="1">IF(H144="",SearchHLookup(D144,Categorieën!$B$1:$P$30),H144)</f>
        <v/>
      </c>
      <c r="I144" t="str">
        <f t="shared" si="2"/>
        <v/>
      </c>
    </row>
    <row r="145" spans="2:9">
      <c r="B145" s="1"/>
      <c r="C145" s="1"/>
      <c r="E145" s="90"/>
      <c r="F145" s="86"/>
      <c r="G145" s="17" t="str">
        <f ca="1">IF(H145="",SearchHLookup(D145,Categorieën!$B$1:$P$30),H145)</f>
        <v/>
      </c>
      <c r="I145" t="str">
        <f t="shared" si="2"/>
        <v/>
      </c>
    </row>
    <row r="146" spans="2:9">
      <c r="B146" s="1"/>
      <c r="C146" s="1"/>
      <c r="E146" s="90"/>
      <c r="F146" s="86"/>
      <c r="G146" s="17" t="str">
        <f ca="1">IF(H146="",SearchHLookup(D146,Categorieën!$B$1:$P$30),H146)</f>
        <v/>
      </c>
      <c r="I146" t="str">
        <f t="shared" si="2"/>
        <v/>
      </c>
    </row>
    <row r="147" spans="2:9">
      <c r="B147" s="1"/>
      <c r="C147" s="1"/>
      <c r="E147" s="90"/>
      <c r="F147" s="86"/>
      <c r="G147" s="17" t="str">
        <f ca="1">IF(H147="",SearchHLookup(D147,Categorieën!$B$1:$P$30),H147)</f>
        <v/>
      </c>
      <c r="I147" t="str">
        <f t="shared" si="2"/>
        <v/>
      </c>
    </row>
    <row r="148" spans="2:9">
      <c r="B148" s="1"/>
      <c r="C148" s="1"/>
      <c r="E148" s="90"/>
      <c r="F148" s="86"/>
      <c r="G148" s="17" t="str">
        <f ca="1">IF(H148="",SearchHLookup(D148,Categorieën!$B$1:$P$30),H148)</f>
        <v/>
      </c>
      <c r="I148" t="str">
        <f t="shared" si="2"/>
        <v/>
      </c>
    </row>
    <row r="149" spans="2:9">
      <c r="B149" s="1"/>
      <c r="C149" s="1"/>
      <c r="E149" s="90"/>
      <c r="F149" s="86"/>
      <c r="G149" s="17" t="str">
        <f ca="1">IF(H149="",SearchHLookup(D149,Categorieën!$B$1:$P$30),H149)</f>
        <v/>
      </c>
      <c r="I149" t="str">
        <f t="shared" si="2"/>
        <v/>
      </c>
    </row>
    <row r="150" spans="2:9">
      <c r="B150" s="1"/>
      <c r="C150" s="1"/>
      <c r="E150" s="90"/>
      <c r="F150" s="86"/>
      <c r="G150" s="17" t="str">
        <f ca="1">IF(H150="",SearchHLookup(D150,Categorieën!$B$1:$P$30),H150)</f>
        <v/>
      </c>
      <c r="I150" t="str">
        <f t="shared" si="2"/>
        <v/>
      </c>
    </row>
    <row r="151" spans="2:9">
      <c r="B151" s="1"/>
      <c r="C151" s="1"/>
      <c r="E151" s="90"/>
      <c r="F151" s="86"/>
      <c r="G151" s="17" t="str">
        <f ca="1">IF(H151="",SearchHLookup(D151,Categorieën!$B$1:$P$30),H151)</f>
        <v/>
      </c>
      <c r="I151" t="str">
        <f t="shared" si="2"/>
        <v/>
      </c>
    </row>
    <row r="152" spans="2:9">
      <c r="B152" s="1"/>
      <c r="C152" s="1"/>
      <c r="E152" s="90"/>
      <c r="F152" s="86"/>
      <c r="G152" s="17" t="str">
        <f ca="1">IF(H152="",SearchHLookup(D152,Categorieën!$B$1:$P$30),H152)</f>
        <v/>
      </c>
      <c r="I152" t="str">
        <f t="shared" si="2"/>
        <v/>
      </c>
    </row>
    <row r="153" spans="2:9">
      <c r="B153" s="1"/>
      <c r="C153" s="1"/>
      <c r="E153" s="90"/>
      <c r="F153" s="86"/>
      <c r="G153" s="17" t="str">
        <f ca="1">IF(H153="",SearchHLookup(D153,Categorieën!$B$1:$P$30),H153)</f>
        <v/>
      </c>
      <c r="I153" t="str">
        <f t="shared" si="2"/>
        <v/>
      </c>
    </row>
    <row r="154" spans="2:9">
      <c r="B154" s="1"/>
      <c r="C154" s="1"/>
      <c r="E154" s="90"/>
      <c r="F154" s="86"/>
      <c r="G154" s="17" t="str">
        <f ca="1">IF(H154="",SearchHLookup(D154,Categorieën!$B$1:$P$30),H154)</f>
        <v/>
      </c>
      <c r="I154" t="str">
        <f t="shared" si="2"/>
        <v/>
      </c>
    </row>
    <row r="155" spans="2:9">
      <c r="B155" s="1"/>
      <c r="C155" s="1"/>
      <c r="E155" s="90"/>
      <c r="F155" s="86"/>
      <c r="G155" s="17" t="str">
        <f ca="1">IF(H155="",SearchHLookup(D155,Categorieën!$B$1:$P$30),H155)</f>
        <v/>
      </c>
      <c r="I155" t="str">
        <f t="shared" si="2"/>
        <v/>
      </c>
    </row>
    <row r="156" spans="2:9">
      <c r="B156" s="1"/>
      <c r="C156" s="1"/>
      <c r="E156" s="90"/>
      <c r="F156" s="86"/>
      <c r="G156" s="17" t="str">
        <f ca="1">IF(H156="",SearchHLookup(D156,Categorieën!$B$1:$P$30),H156)</f>
        <v/>
      </c>
      <c r="I156" t="str">
        <f t="shared" si="2"/>
        <v/>
      </c>
    </row>
    <row r="157" spans="2:9">
      <c r="B157" s="1"/>
      <c r="C157" s="1"/>
      <c r="E157" s="90"/>
      <c r="F157" s="86"/>
      <c r="G157" s="17" t="str">
        <f ca="1">IF(H157="",SearchHLookup(D157,Categorieën!$B$1:$P$30),H157)</f>
        <v/>
      </c>
      <c r="I157" t="str">
        <f t="shared" si="2"/>
        <v/>
      </c>
    </row>
    <row r="158" spans="2:9">
      <c r="B158" s="1"/>
      <c r="C158" s="1"/>
      <c r="E158" s="90"/>
      <c r="F158" s="86"/>
      <c r="G158" s="17" t="str">
        <f ca="1">IF(H158="",SearchHLookup(D158,Categorieën!$B$1:$P$30),H158)</f>
        <v/>
      </c>
      <c r="I158" t="str">
        <f t="shared" si="2"/>
        <v/>
      </c>
    </row>
    <row r="159" spans="2:9">
      <c r="B159" s="1"/>
      <c r="C159" s="1"/>
      <c r="E159" s="90"/>
      <c r="F159" s="86"/>
      <c r="G159" s="17" t="str">
        <f ca="1">IF(H159="",SearchHLookup(D159,Categorieën!$B$1:$P$30),H159)</f>
        <v/>
      </c>
      <c r="I159" t="str">
        <f t="shared" si="2"/>
        <v/>
      </c>
    </row>
    <row r="160" spans="2:9">
      <c r="B160" s="1"/>
      <c r="C160" s="1"/>
      <c r="E160" s="90"/>
      <c r="F160" s="86"/>
      <c r="G160" s="17" t="str">
        <f ca="1">IF(H160="",SearchHLookup(D160,Categorieën!$B$1:$P$30),H160)</f>
        <v/>
      </c>
      <c r="I160" t="str">
        <f t="shared" si="2"/>
        <v/>
      </c>
    </row>
    <row r="161" spans="2:9">
      <c r="B161" s="1"/>
      <c r="C161" s="1"/>
      <c r="E161" s="90"/>
      <c r="F161" s="86"/>
      <c r="G161" s="17" t="str">
        <f ca="1">IF(H161="",SearchHLookup(D161,Categorieën!$B$1:$P$30),H161)</f>
        <v/>
      </c>
      <c r="I161" t="str">
        <f t="shared" si="2"/>
        <v/>
      </c>
    </row>
    <row r="162" spans="2:9">
      <c r="B162" s="1"/>
      <c r="C162" s="1"/>
      <c r="E162" s="90"/>
      <c r="F162" s="86"/>
      <c r="G162" s="17" t="str">
        <f ca="1">IF(H162="",SearchHLookup(D162,Categorieën!$B$1:$P$30),H162)</f>
        <v/>
      </c>
      <c r="I162" t="str">
        <f t="shared" si="2"/>
        <v/>
      </c>
    </row>
    <row r="163" spans="2:9">
      <c r="B163" s="1"/>
      <c r="C163" s="1"/>
      <c r="E163" s="90"/>
      <c r="F163" s="86"/>
      <c r="G163" s="17" t="str">
        <f ca="1">IF(H163="",SearchHLookup(D163,Categorieën!$B$1:$P$30),H163)</f>
        <v/>
      </c>
      <c r="I163" t="str">
        <f t="shared" si="2"/>
        <v/>
      </c>
    </row>
    <row r="164" spans="2:9">
      <c r="B164" s="1"/>
      <c r="C164" s="1"/>
      <c r="E164" s="90"/>
      <c r="F164" s="86"/>
      <c r="G164" s="17" t="str">
        <f ca="1">IF(H164="",SearchHLookup(D164,Categorieën!$B$1:$P$30),H164)</f>
        <v/>
      </c>
      <c r="I164" t="str">
        <f t="shared" si="2"/>
        <v/>
      </c>
    </row>
    <row r="165" spans="2:9">
      <c r="B165" s="1"/>
      <c r="C165" s="1"/>
      <c r="E165" s="90"/>
      <c r="F165" s="86"/>
      <c r="G165" s="17" t="str">
        <f ca="1">IF(H165="",SearchHLookup(D165,Categorieën!$B$1:$P$30),H165)</f>
        <v/>
      </c>
      <c r="I165" t="str">
        <f t="shared" si="2"/>
        <v/>
      </c>
    </row>
    <row r="166" spans="2:9">
      <c r="B166" s="1"/>
      <c r="C166" s="1"/>
      <c r="E166" s="90"/>
      <c r="F166" s="86"/>
      <c r="G166" s="17" t="str">
        <f ca="1">IF(H166="",SearchHLookup(D166,Categorieën!$B$1:$P$30),H166)</f>
        <v/>
      </c>
      <c r="I166" t="str">
        <f t="shared" si="2"/>
        <v/>
      </c>
    </row>
    <row r="167" spans="2:9">
      <c r="B167" s="1"/>
      <c r="C167" s="1"/>
      <c r="E167" s="90"/>
      <c r="F167" s="86"/>
      <c r="G167" s="17" t="str">
        <f ca="1">IF(H167="",SearchHLookup(D167,Categorieën!$B$1:$P$30),H167)</f>
        <v/>
      </c>
      <c r="I167" t="str">
        <f t="shared" si="2"/>
        <v/>
      </c>
    </row>
    <row r="168" spans="2:9">
      <c r="B168" s="1"/>
      <c r="C168" s="1"/>
      <c r="E168" s="90"/>
      <c r="F168" s="86"/>
      <c r="G168" s="17" t="str">
        <f ca="1">IF(H168="",SearchHLookup(D168,Categorieën!$B$1:$P$30),H168)</f>
        <v/>
      </c>
      <c r="I168" t="str">
        <f t="shared" si="2"/>
        <v/>
      </c>
    </row>
    <row r="169" spans="2:9">
      <c r="B169" s="1"/>
      <c r="C169" s="1"/>
      <c r="E169" s="90"/>
      <c r="F169" s="86"/>
      <c r="G169" s="17" t="str">
        <f ca="1">IF(H169="",SearchHLookup(D169,Categorieën!$B$1:$P$30),H169)</f>
        <v/>
      </c>
      <c r="I169" t="str">
        <f t="shared" si="2"/>
        <v/>
      </c>
    </row>
    <row r="170" spans="2:9">
      <c r="B170" s="1"/>
      <c r="C170" s="1"/>
      <c r="E170" s="90"/>
      <c r="F170" s="86"/>
      <c r="G170" s="17" t="str">
        <f ca="1">IF(H170="",SearchHLookup(D170,Categorieën!$B$1:$P$30),H170)</f>
        <v/>
      </c>
      <c r="I170" t="str">
        <f t="shared" si="2"/>
        <v/>
      </c>
    </row>
    <row r="171" spans="2:9">
      <c r="B171" s="1"/>
      <c r="C171" s="1"/>
      <c r="E171" s="90"/>
      <c r="F171" s="86"/>
      <c r="G171" s="17" t="str">
        <f ca="1">IF(H171="",SearchHLookup(D171,Categorieën!$B$1:$P$30),H171)</f>
        <v/>
      </c>
      <c r="I171" t="str">
        <f t="shared" si="2"/>
        <v/>
      </c>
    </row>
    <row r="172" spans="2:9">
      <c r="B172" s="1"/>
      <c r="C172" s="1"/>
      <c r="E172" s="90"/>
      <c r="F172" s="86"/>
      <c r="G172" s="17" t="str">
        <f ca="1">IF(H172="",SearchHLookup(D172,Categorieën!$B$1:$P$30),H172)</f>
        <v/>
      </c>
      <c r="I172" t="str">
        <f t="shared" si="2"/>
        <v/>
      </c>
    </row>
    <row r="173" spans="2:9">
      <c r="B173" s="1"/>
      <c r="C173" s="1"/>
      <c r="E173" s="90"/>
      <c r="F173" s="86"/>
      <c r="G173" s="17" t="str">
        <f ca="1">IF(H173="",SearchHLookup(D173,Categorieën!$B$1:$P$30),H173)</f>
        <v/>
      </c>
      <c r="I173" t="str">
        <f t="shared" si="2"/>
        <v/>
      </c>
    </row>
    <row r="174" spans="2:9">
      <c r="B174" s="1"/>
      <c r="C174" s="1"/>
      <c r="E174" s="90"/>
      <c r="F174" s="86"/>
      <c r="G174" s="17" t="str">
        <f ca="1">IF(H174="",SearchHLookup(D174,Categorieën!$B$1:$P$30),H174)</f>
        <v/>
      </c>
      <c r="I174" t="str">
        <f t="shared" si="2"/>
        <v/>
      </c>
    </row>
    <row r="175" spans="2:9">
      <c r="B175" s="1"/>
      <c r="C175" s="1"/>
      <c r="E175" s="90"/>
      <c r="F175" s="86"/>
      <c r="G175" s="17" t="str">
        <f ca="1">IF(H175="",SearchHLookup(D175,Categorieën!$B$1:$P$30),H175)</f>
        <v/>
      </c>
      <c r="I175" t="str">
        <f t="shared" si="2"/>
        <v/>
      </c>
    </row>
    <row r="176" spans="2:9">
      <c r="B176" s="1"/>
      <c r="C176" s="1"/>
      <c r="E176" s="90"/>
      <c r="F176" s="86"/>
      <c r="G176" s="17" t="str">
        <f ca="1">IF(H176="",SearchHLookup(D176,Categorieën!$B$1:$P$30),H176)</f>
        <v/>
      </c>
      <c r="I176" t="str">
        <f t="shared" si="2"/>
        <v/>
      </c>
    </row>
    <row r="177" spans="2:9">
      <c r="B177" s="1"/>
      <c r="C177" s="1"/>
      <c r="E177" s="90"/>
      <c r="F177" s="86"/>
      <c r="G177" s="17" t="str">
        <f ca="1">IF(H177="",SearchHLookup(D177,Categorieën!$B$1:$P$30),H177)</f>
        <v/>
      </c>
      <c r="I177" t="str">
        <f t="shared" si="2"/>
        <v/>
      </c>
    </row>
    <row r="178" spans="2:9">
      <c r="B178" s="1"/>
      <c r="C178" s="1"/>
      <c r="E178" s="90"/>
      <c r="F178" s="86"/>
      <c r="G178" s="17" t="str">
        <f ca="1">IF(H178="",SearchHLookup(D178,Categorieën!$B$1:$P$30),H178)</f>
        <v/>
      </c>
      <c r="I178" t="str">
        <f t="shared" si="2"/>
        <v/>
      </c>
    </row>
    <row r="179" spans="2:9">
      <c r="B179" s="1"/>
      <c r="C179" s="1"/>
      <c r="E179" s="90"/>
      <c r="F179" s="86"/>
      <c r="G179" s="17" t="str">
        <f ca="1">IF(H179="",SearchHLookup(D179,Categorieën!$B$1:$P$30),H179)</f>
        <v/>
      </c>
      <c r="I179" t="str">
        <f t="shared" si="2"/>
        <v/>
      </c>
    </row>
    <row r="180" spans="2:9">
      <c r="B180" s="1"/>
      <c r="C180" s="1"/>
      <c r="E180" s="90"/>
      <c r="F180" s="86"/>
      <c r="G180" s="17" t="str">
        <f ca="1">IF(H180="",SearchHLookup(D180,Categorieën!$B$1:$P$30),H180)</f>
        <v/>
      </c>
      <c r="I180" t="str">
        <f t="shared" si="2"/>
        <v/>
      </c>
    </row>
    <row r="181" spans="2:9">
      <c r="B181" s="1"/>
      <c r="C181" s="1"/>
      <c r="E181" s="90"/>
      <c r="F181" s="86"/>
      <c r="G181" s="17" t="str">
        <f ca="1">IF(H181="",SearchHLookup(D181,Categorieën!$B$1:$P$30),H181)</f>
        <v/>
      </c>
      <c r="I181" t="str">
        <f t="shared" si="2"/>
        <v/>
      </c>
    </row>
    <row r="182" spans="2:9">
      <c r="B182" s="1"/>
      <c r="C182" s="1"/>
      <c r="E182" s="90"/>
      <c r="F182" s="86"/>
      <c r="G182" s="17" t="str">
        <f ca="1">IF(H182="",SearchHLookup(D182,Categorieën!$B$1:$P$30),H182)</f>
        <v/>
      </c>
      <c r="I182" t="str">
        <f t="shared" si="2"/>
        <v/>
      </c>
    </row>
    <row r="183" spans="2:9">
      <c r="B183" s="1"/>
      <c r="C183" s="1"/>
      <c r="E183" s="90"/>
      <c r="F183" s="86"/>
      <c r="G183" s="17" t="str">
        <f ca="1">IF(H183="",SearchHLookup(D183,Categorieën!$B$1:$P$30),H183)</f>
        <v/>
      </c>
      <c r="I183" t="str">
        <f t="shared" si="2"/>
        <v/>
      </c>
    </row>
    <row r="184" spans="2:9">
      <c r="B184" s="1"/>
      <c r="C184" s="1"/>
      <c r="E184" s="90"/>
      <c r="F184" s="86"/>
      <c r="G184" s="17" t="str">
        <f ca="1">IF(H184="",SearchHLookup(D184,Categorieën!$B$1:$P$30),H184)</f>
        <v/>
      </c>
      <c r="I184" t="str">
        <f t="shared" si="2"/>
        <v/>
      </c>
    </row>
    <row r="185" spans="2:9">
      <c r="B185" s="1"/>
      <c r="C185" s="1"/>
      <c r="E185" s="90"/>
      <c r="F185" s="86"/>
      <c r="G185" s="17" t="str">
        <f ca="1">IF(H185="",SearchHLookup(D185,Categorieën!$B$1:$P$30),H185)</f>
        <v/>
      </c>
      <c r="I185" t="str">
        <f t="shared" si="2"/>
        <v/>
      </c>
    </row>
    <row r="186" spans="2:9">
      <c r="B186" s="1"/>
      <c r="C186" s="1"/>
      <c r="E186" s="90"/>
      <c r="F186" s="86"/>
      <c r="G186" s="17" t="str">
        <f ca="1">IF(H186="",SearchHLookup(D186,Categorieën!$B$1:$P$30),H186)</f>
        <v/>
      </c>
      <c r="I186" t="str">
        <f t="shared" si="2"/>
        <v/>
      </c>
    </row>
    <row r="187" spans="2:9">
      <c r="B187" s="1"/>
      <c r="C187" s="1"/>
      <c r="E187" s="90"/>
      <c r="F187" s="86"/>
      <c r="G187" s="17" t="str">
        <f ca="1">IF(H187="",SearchHLookup(D187,Categorieën!$B$1:$P$30),H187)</f>
        <v/>
      </c>
      <c r="I187" t="str">
        <f t="shared" si="2"/>
        <v/>
      </c>
    </row>
    <row r="188" spans="2:9">
      <c r="B188" s="1"/>
      <c r="C188" s="1"/>
      <c r="E188" s="90"/>
      <c r="F188" s="86"/>
      <c r="G188" s="17" t="str">
        <f ca="1">IF(H188="",SearchHLookup(D188,Categorieën!$B$1:$P$30),H188)</f>
        <v/>
      </c>
      <c r="I188" t="str">
        <f t="shared" si="2"/>
        <v/>
      </c>
    </row>
    <row r="189" spans="2:9">
      <c r="B189" s="1"/>
      <c r="C189" s="1"/>
      <c r="E189" s="90"/>
      <c r="F189" s="86"/>
      <c r="G189" s="17" t="str">
        <f ca="1">IF(H189="",SearchHLookup(D189,Categorieën!$B$1:$P$30),H189)</f>
        <v/>
      </c>
      <c r="I189" t="str">
        <f t="shared" si="2"/>
        <v/>
      </c>
    </row>
    <row r="190" spans="2:9">
      <c r="B190" s="1"/>
      <c r="C190" s="1"/>
      <c r="E190" s="90"/>
      <c r="F190" s="86"/>
      <c r="G190" s="17" t="str">
        <f ca="1">IF(H190="",SearchHLookup(D190,Categorieën!$B$1:$P$30),H190)</f>
        <v/>
      </c>
      <c r="I190" t="str">
        <f t="shared" si="2"/>
        <v/>
      </c>
    </row>
    <row r="191" spans="2:9">
      <c r="B191" s="1"/>
      <c r="C191" s="1"/>
      <c r="E191" s="90"/>
      <c r="F191" s="86"/>
      <c r="G191" s="17" t="str">
        <f ca="1">IF(H191="",SearchHLookup(D191,Categorieën!$B$1:$P$30),H191)</f>
        <v/>
      </c>
      <c r="I191" t="str">
        <f t="shared" si="2"/>
        <v/>
      </c>
    </row>
    <row r="192" spans="2:9">
      <c r="B192" s="1"/>
      <c r="C192" s="1"/>
      <c r="E192" s="90"/>
      <c r="F192" s="86"/>
      <c r="G192" s="17" t="str">
        <f ca="1">IF(H192="",SearchHLookup(D192,Categorieën!$B$1:$P$30),H192)</f>
        <v/>
      </c>
      <c r="I192" t="str">
        <f t="shared" si="2"/>
        <v/>
      </c>
    </row>
    <row r="193" spans="2:9">
      <c r="B193" s="1"/>
      <c r="C193" s="1"/>
      <c r="E193" s="90"/>
      <c r="F193" s="86"/>
      <c r="G193" s="17" t="str">
        <f ca="1">IF(H193="",SearchHLookup(D193,Categorieën!$B$1:$P$30),H193)</f>
        <v/>
      </c>
      <c r="I193" t="str">
        <f t="shared" si="2"/>
        <v/>
      </c>
    </row>
    <row r="194" spans="2:9">
      <c r="B194" s="1"/>
      <c r="C194" s="1"/>
      <c r="E194" s="90"/>
      <c r="F194" s="86"/>
      <c r="G194" s="17" t="str">
        <f ca="1">IF(H194="",SearchHLookup(D194,Categorieën!$B$1:$P$30),H194)</f>
        <v/>
      </c>
      <c r="I194" t="str">
        <f t="shared" si="2"/>
        <v/>
      </c>
    </row>
    <row r="195" spans="2:9">
      <c r="B195" s="1"/>
      <c r="C195" s="1"/>
      <c r="E195" s="90"/>
      <c r="F195" s="86"/>
      <c r="G195" s="17" t="str">
        <f ca="1">IF(H195="",SearchHLookup(D195,Categorieën!$B$1:$P$30),H195)</f>
        <v/>
      </c>
      <c r="I195" t="str">
        <f t="shared" ref="I195:I258" si="3">IF(D195="","",LEFT(D195,FIND(" ",D195)))</f>
        <v/>
      </c>
    </row>
    <row r="196" spans="2:9">
      <c r="B196" s="1"/>
      <c r="C196" s="1"/>
      <c r="E196" s="90"/>
      <c r="F196" s="86"/>
      <c r="G196" s="17" t="str">
        <f ca="1">IF(H196="",SearchHLookup(D196,Categorieën!$B$1:$P$30),H196)</f>
        <v/>
      </c>
      <c r="I196" t="str">
        <f t="shared" si="3"/>
        <v/>
      </c>
    </row>
    <row r="197" spans="2:9">
      <c r="B197" s="1"/>
      <c r="C197" s="1"/>
      <c r="E197" s="90"/>
      <c r="F197" s="86"/>
      <c r="G197" s="17" t="str">
        <f ca="1">IF(H197="",SearchHLookup(D197,Categorieën!$B$1:$P$30),H197)</f>
        <v/>
      </c>
      <c r="I197" t="str">
        <f t="shared" si="3"/>
        <v/>
      </c>
    </row>
    <row r="198" spans="2:9">
      <c r="B198" s="1"/>
      <c r="C198" s="1"/>
      <c r="E198" s="90"/>
      <c r="F198" s="86"/>
      <c r="G198" s="17" t="str">
        <f ca="1">IF(H198="",SearchHLookup(D198,Categorieën!$B$1:$P$30),H198)</f>
        <v/>
      </c>
      <c r="I198" t="str">
        <f t="shared" si="3"/>
        <v/>
      </c>
    </row>
    <row r="199" spans="2:9">
      <c r="B199" s="1"/>
      <c r="C199" s="1"/>
      <c r="E199" s="90"/>
      <c r="F199" s="86"/>
      <c r="G199" s="17" t="str">
        <f ca="1">IF(H199="",SearchHLookup(D199,Categorieën!$B$1:$P$30),H199)</f>
        <v/>
      </c>
      <c r="I199" t="str">
        <f t="shared" si="3"/>
        <v/>
      </c>
    </row>
    <row r="200" spans="2:9">
      <c r="B200" s="1"/>
      <c r="C200" s="1"/>
      <c r="E200" s="90"/>
      <c r="F200" s="86"/>
      <c r="G200" s="17" t="str">
        <f ca="1">IF(H200="",SearchHLookup(D200,Categorieën!$B$1:$P$30),H200)</f>
        <v/>
      </c>
      <c r="I200" t="str">
        <f t="shared" si="3"/>
        <v/>
      </c>
    </row>
    <row r="201" spans="2:9">
      <c r="B201" s="1"/>
      <c r="C201" s="1"/>
      <c r="E201" s="90"/>
      <c r="F201" s="86"/>
      <c r="G201" s="17" t="str">
        <f ca="1">IF(H201="",SearchHLookup(D201,Categorieën!$B$1:$P$30),H201)</f>
        <v/>
      </c>
      <c r="I201" t="str">
        <f t="shared" si="3"/>
        <v/>
      </c>
    </row>
    <row r="202" spans="2:9">
      <c r="B202" s="1"/>
      <c r="C202" s="1"/>
      <c r="E202" s="90"/>
      <c r="F202" s="86"/>
      <c r="G202" s="17" t="str">
        <f ca="1">IF(H202="",SearchHLookup(D202,Categorieën!$B$1:$P$30),H202)</f>
        <v/>
      </c>
      <c r="I202" t="str">
        <f t="shared" si="3"/>
        <v/>
      </c>
    </row>
    <row r="203" spans="2:9">
      <c r="B203" s="1"/>
      <c r="C203" s="1"/>
      <c r="E203" s="90"/>
      <c r="F203" s="86"/>
      <c r="G203" s="17" t="str">
        <f ca="1">IF(H203="",SearchHLookup(D203,Categorieën!$B$1:$P$30),H203)</f>
        <v/>
      </c>
      <c r="I203" t="str">
        <f t="shared" si="3"/>
        <v/>
      </c>
    </row>
    <row r="204" spans="2:9">
      <c r="B204" s="1"/>
      <c r="C204" s="1"/>
      <c r="E204" s="90"/>
      <c r="F204" s="86"/>
      <c r="G204" s="17" t="str">
        <f ca="1">IF(H204="",SearchHLookup(D204,Categorieën!$B$1:$P$30),H204)</f>
        <v/>
      </c>
      <c r="I204" t="str">
        <f t="shared" si="3"/>
        <v/>
      </c>
    </row>
    <row r="205" spans="2:9">
      <c r="B205" s="1"/>
      <c r="C205" s="1"/>
      <c r="E205" s="90"/>
      <c r="F205" s="86"/>
      <c r="G205" s="17" t="str">
        <f ca="1">IF(H205="",SearchHLookup(D205,Categorieën!$B$1:$P$30),H205)</f>
        <v/>
      </c>
      <c r="I205" t="str">
        <f t="shared" si="3"/>
        <v/>
      </c>
    </row>
    <row r="206" spans="2:9">
      <c r="B206" s="1"/>
      <c r="C206" s="1"/>
      <c r="E206" s="90"/>
      <c r="F206" s="86"/>
      <c r="G206" s="17" t="str">
        <f ca="1">IF(H206="",SearchHLookup(D206,Categorieën!$B$1:$P$30),H206)</f>
        <v/>
      </c>
      <c r="I206" t="str">
        <f t="shared" si="3"/>
        <v/>
      </c>
    </row>
    <row r="207" spans="2:9">
      <c r="B207" s="1"/>
      <c r="C207" s="1"/>
      <c r="E207" s="90"/>
      <c r="F207" s="86"/>
      <c r="G207" s="17" t="str">
        <f ca="1">IF(H207="",SearchHLookup(D207,Categorieën!$B$1:$P$30),H207)</f>
        <v/>
      </c>
      <c r="I207" t="str">
        <f t="shared" si="3"/>
        <v/>
      </c>
    </row>
    <row r="208" spans="2:9">
      <c r="B208" s="1"/>
      <c r="C208" s="1"/>
      <c r="E208" s="90"/>
      <c r="F208" s="86"/>
      <c r="G208" s="17" t="str">
        <f ca="1">IF(H208="",SearchHLookup(D208,Categorieën!$B$1:$P$30),H208)</f>
        <v/>
      </c>
      <c r="I208" t="str">
        <f t="shared" si="3"/>
        <v/>
      </c>
    </row>
    <row r="209" spans="2:9">
      <c r="B209" s="1"/>
      <c r="C209" s="1"/>
      <c r="E209" s="90"/>
      <c r="F209" s="86"/>
      <c r="G209" s="17" t="str">
        <f ca="1">IF(H209="",SearchHLookup(D209,Categorieën!$B$1:$P$30),H209)</f>
        <v/>
      </c>
      <c r="I209" t="str">
        <f t="shared" si="3"/>
        <v/>
      </c>
    </row>
    <row r="210" spans="2:9">
      <c r="B210" s="1"/>
      <c r="C210" s="1"/>
      <c r="E210" s="90"/>
      <c r="F210" s="86"/>
      <c r="G210" s="17" t="str">
        <f ca="1">IF(H210="",SearchHLookup(D210,Categorieën!$B$1:$P$30),H210)</f>
        <v/>
      </c>
      <c r="I210" t="str">
        <f t="shared" si="3"/>
        <v/>
      </c>
    </row>
    <row r="211" spans="2:9">
      <c r="B211" s="1"/>
      <c r="C211" s="1"/>
      <c r="E211" s="90"/>
      <c r="F211" s="86"/>
      <c r="G211" s="17" t="str">
        <f ca="1">IF(H211="",SearchHLookup(D211,Categorieën!$B$1:$P$30),H211)</f>
        <v/>
      </c>
      <c r="I211" t="str">
        <f t="shared" si="3"/>
        <v/>
      </c>
    </row>
    <row r="212" spans="2:9">
      <c r="B212" s="1"/>
      <c r="C212" s="1"/>
      <c r="E212" s="90"/>
      <c r="F212" s="86"/>
      <c r="G212" s="17" t="str">
        <f ca="1">IF(H212="",SearchHLookup(D212,Categorieën!$B$1:$P$30),H212)</f>
        <v/>
      </c>
      <c r="I212" t="str">
        <f t="shared" si="3"/>
        <v/>
      </c>
    </row>
    <row r="213" spans="2:9">
      <c r="B213" s="1"/>
      <c r="C213" s="1"/>
      <c r="E213" s="90"/>
      <c r="F213" s="86"/>
      <c r="G213" s="17" t="str">
        <f ca="1">IF(H213="",SearchHLookup(D213,Categorieën!$B$1:$P$30),H213)</f>
        <v/>
      </c>
      <c r="I213" t="str">
        <f t="shared" si="3"/>
        <v/>
      </c>
    </row>
    <row r="214" spans="2:9">
      <c r="B214" s="1"/>
      <c r="C214" s="1"/>
      <c r="E214" s="90"/>
      <c r="F214" s="86"/>
      <c r="G214" s="17" t="str">
        <f ca="1">IF(H214="",SearchHLookup(D214,Categorieën!$B$1:$P$30),H214)</f>
        <v/>
      </c>
      <c r="I214" t="str">
        <f t="shared" si="3"/>
        <v/>
      </c>
    </row>
    <row r="215" spans="2:9">
      <c r="B215" s="1"/>
      <c r="C215" s="1"/>
      <c r="E215" s="90"/>
      <c r="F215" s="86"/>
      <c r="G215" s="17" t="str">
        <f ca="1">IF(H215="",SearchHLookup(D215,Categorieën!$B$1:$P$30),H215)</f>
        <v/>
      </c>
      <c r="I215" t="str">
        <f t="shared" si="3"/>
        <v/>
      </c>
    </row>
    <row r="216" spans="2:9">
      <c r="B216" s="1"/>
      <c r="C216" s="1"/>
      <c r="E216" s="90"/>
      <c r="F216" s="86"/>
      <c r="G216" s="17" t="str">
        <f ca="1">IF(H216="",SearchHLookup(D216,Categorieën!$B$1:$P$30),H216)</f>
        <v/>
      </c>
      <c r="I216" t="str">
        <f t="shared" si="3"/>
        <v/>
      </c>
    </row>
    <row r="217" spans="2:9">
      <c r="B217" s="1"/>
      <c r="C217" s="1"/>
      <c r="E217" s="90"/>
      <c r="F217" s="86"/>
      <c r="G217" s="17" t="str">
        <f ca="1">IF(H217="",SearchHLookup(D217,Categorieën!$B$1:$P$30),H217)</f>
        <v/>
      </c>
      <c r="I217" t="str">
        <f t="shared" si="3"/>
        <v/>
      </c>
    </row>
    <row r="218" spans="2:9">
      <c r="B218" s="1"/>
      <c r="C218" s="1"/>
      <c r="E218" s="90"/>
      <c r="F218" s="86"/>
      <c r="G218" s="17" t="str">
        <f ca="1">IF(H218="",SearchHLookup(D218,Categorieën!$B$1:$P$30),H218)</f>
        <v/>
      </c>
      <c r="I218" t="str">
        <f t="shared" si="3"/>
        <v/>
      </c>
    </row>
    <row r="219" spans="2:9">
      <c r="B219" s="1"/>
      <c r="C219" s="1"/>
      <c r="E219" s="90"/>
      <c r="F219" s="86"/>
      <c r="G219" s="17" t="str">
        <f ca="1">IF(H219="",SearchHLookup(D219,Categorieën!$B$1:$P$30),H219)</f>
        <v/>
      </c>
      <c r="I219" t="str">
        <f t="shared" si="3"/>
        <v/>
      </c>
    </row>
    <row r="220" spans="2:9">
      <c r="B220" s="1"/>
      <c r="C220" s="1"/>
      <c r="E220" s="90"/>
      <c r="F220" s="86"/>
      <c r="G220" s="17" t="str">
        <f ca="1">IF(H220="",SearchHLookup(D220,Categorieën!$B$1:$P$30),H220)</f>
        <v/>
      </c>
      <c r="I220" t="str">
        <f t="shared" si="3"/>
        <v/>
      </c>
    </row>
    <row r="221" spans="2:9">
      <c r="B221" s="1"/>
      <c r="C221" s="1"/>
      <c r="E221" s="90"/>
      <c r="F221" s="86"/>
      <c r="G221" s="17" t="str">
        <f ca="1">IF(H221="",SearchHLookup(D221,Categorieën!$B$1:$P$30),H221)</f>
        <v/>
      </c>
      <c r="I221" t="str">
        <f t="shared" si="3"/>
        <v/>
      </c>
    </row>
    <row r="222" spans="2:9">
      <c r="B222" s="1"/>
      <c r="C222" s="1"/>
      <c r="E222" s="90"/>
      <c r="F222" s="86"/>
      <c r="G222" s="17" t="str">
        <f ca="1">IF(H222="",SearchHLookup(D222,Categorieën!$B$1:$P$30),H222)</f>
        <v/>
      </c>
      <c r="I222" t="str">
        <f t="shared" si="3"/>
        <v/>
      </c>
    </row>
    <row r="223" spans="2:9">
      <c r="B223" s="1"/>
      <c r="C223" s="1"/>
      <c r="E223" s="90"/>
      <c r="F223" s="86"/>
      <c r="G223" s="17" t="str">
        <f ca="1">IF(H223="",SearchHLookup(D223,Categorieën!$B$1:$P$30),H223)</f>
        <v/>
      </c>
      <c r="I223" t="str">
        <f t="shared" si="3"/>
        <v/>
      </c>
    </row>
    <row r="224" spans="2:9">
      <c r="B224" s="1"/>
      <c r="C224" s="1"/>
      <c r="E224" s="90"/>
      <c r="F224" s="86"/>
      <c r="G224" s="17" t="str">
        <f ca="1">IF(H224="",SearchHLookup(D224,Categorieën!$B$1:$P$30),H224)</f>
        <v/>
      </c>
      <c r="I224" t="str">
        <f t="shared" si="3"/>
        <v/>
      </c>
    </row>
    <row r="225" spans="2:9">
      <c r="B225" s="1"/>
      <c r="C225" s="1"/>
      <c r="E225" s="90"/>
      <c r="F225" s="86"/>
      <c r="G225" s="17" t="str">
        <f ca="1">IF(H225="",SearchHLookup(D225,Categorieën!$B$1:$P$30),H225)</f>
        <v/>
      </c>
      <c r="I225" t="str">
        <f t="shared" si="3"/>
        <v/>
      </c>
    </row>
    <row r="226" spans="2:9">
      <c r="B226" s="1"/>
      <c r="C226" s="1"/>
      <c r="E226" s="90"/>
      <c r="F226" s="86"/>
      <c r="G226" s="17" t="str">
        <f ca="1">IF(H226="",SearchHLookup(D226,Categorieën!$B$1:$P$30),H226)</f>
        <v/>
      </c>
      <c r="I226" t="str">
        <f t="shared" si="3"/>
        <v/>
      </c>
    </row>
    <row r="227" spans="2:9">
      <c r="B227" s="1"/>
      <c r="C227" s="1"/>
      <c r="E227" s="90"/>
      <c r="F227" s="86"/>
      <c r="G227" s="17" t="str">
        <f ca="1">IF(H227="",SearchHLookup(D227,Categorieën!$B$1:$P$30),H227)</f>
        <v/>
      </c>
      <c r="I227" t="str">
        <f t="shared" si="3"/>
        <v/>
      </c>
    </row>
    <row r="228" spans="2:9">
      <c r="B228" s="1"/>
      <c r="C228" s="1"/>
      <c r="E228" s="90"/>
      <c r="F228" s="86"/>
      <c r="G228" s="17" t="str">
        <f ca="1">IF(H228="",SearchHLookup(D228,Categorieën!$B$1:$P$30),H228)</f>
        <v/>
      </c>
      <c r="I228" t="str">
        <f t="shared" si="3"/>
        <v/>
      </c>
    </row>
    <row r="229" spans="2:9">
      <c r="B229" s="1"/>
      <c r="C229" s="1"/>
      <c r="E229" s="90"/>
      <c r="F229" s="86"/>
      <c r="G229" s="17" t="str">
        <f ca="1">IF(H229="",SearchHLookup(D229,Categorieën!$B$1:$P$30),H229)</f>
        <v/>
      </c>
      <c r="I229" t="str">
        <f t="shared" si="3"/>
        <v/>
      </c>
    </row>
    <row r="230" spans="2:9">
      <c r="B230" s="1"/>
      <c r="C230" s="1"/>
      <c r="E230" s="90"/>
      <c r="F230" s="86"/>
      <c r="G230" s="17" t="str">
        <f ca="1">IF(H230="",SearchHLookup(D230,Categorieën!$B$1:$P$30),H230)</f>
        <v/>
      </c>
      <c r="I230" t="str">
        <f t="shared" si="3"/>
        <v/>
      </c>
    </row>
    <row r="231" spans="2:9">
      <c r="B231" s="1"/>
      <c r="C231" s="1"/>
      <c r="E231" s="90"/>
      <c r="F231" s="86"/>
      <c r="G231" s="17" t="str">
        <f ca="1">IF(H231="",SearchHLookup(D231,Categorieën!$B$1:$P$30),H231)</f>
        <v/>
      </c>
      <c r="I231" t="str">
        <f t="shared" si="3"/>
        <v/>
      </c>
    </row>
    <row r="232" spans="2:9">
      <c r="B232" s="1"/>
      <c r="C232" s="1"/>
      <c r="E232" s="90"/>
      <c r="F232" s="86"/>
      <c r="G232" s="17" t="str">
        <f ca="1">IF(H232="",SearchHLookup(D232,Categorieën!$B$1:$P$30),H232)</f>
        <v/>
      </c>
      <c r="I232" t="str">
        <f t="shared" si="3"/>
        <v/>
      </c>
    </row>
    <row r="233" spans="2:9">
      <c r="B233" s="1"/>
      <c r="C233" s="1"/>
      <c r="E233" s="90"/>
      <c r="F233" s="86"/>
      <c r="G233" s="17" t="str">
        <f ca="1">IF(H233="",SearchHLookup(D233,Categorieën!$B$1:$P$30),H233)</f>
        <v/>
      </c>
      <c r="I233" t="str">
        <f t="shared" si="3"/>
        <v/>
      </c>
    </row>
    <row r="234" spans="2:9">
      <c r="B234" s="1"/>
      <c r="C234" s="1"/>
      <c r="E234" s="90"/>
      <c r="F234" s="86"/>
      <c r="G234" s="17" t="str">
        <f ca="1">IF(H234="",SearchHLookup(D234,Categorieën!$B$1:$P$30),H234)</f>
        <v/>
      </c>
      <c r="I234" t="str">
        <f t="shared" si="3"/>
        <v/>
      </c>
    </row>
    <row r="235" spans="2:9">
      <c r="B235" s="1"/>
      <c r="C235" s="1"/>
      <c r="E235" s="90"/>
      <c r="F235" s="86"/>
      <c r="G235" s="17" t="str">
        <f ca="1">IF(H235="",SearchHLookup(D235,Categorieën!$B$1:$P$30),H235)</f>
        <v/>
      </c>
      <c r="I235" t="str">
        <f t="shared" si="3"/>
        <v/>
      </c>
    </row>
    <row r="236" spans="2:9">
      <c r="B236" s="1"/>
      <c r="C236" s="1"/>
      <c r="E236" s="90"/>
      <c r="F236" s="86"/>
      <c r="G236" s="17" t="str">
        <f ca="1">IF(H236="",SearchHLookup(D236,Categorieën!$B$1:$P$30),H236)</f>
        <v/>
      </c>
      <c r="I236" t="str">
        <f t="shared" si="3"/>
        <v/>
      </c>
    </row>
    <row r="237" spans="2:9">
      <c r="B237" s="1"/>
      <c r="C237" s="1"/>
      <c r="E237" s="90"/>
      <c r="F237" s="86"/>
      <c r="G237" s="17" t="str">
        <f ca="1">IF(H237="",SearchHLookup(D237,Categorieën!$B$1:$P$30),H237)</f>
        <v/>
      </c>
      <c r="I237" t="str">
        <f t="shared" si="3"/>
        <v/>
      </c>
    </row>
    <row r="238" spans="2:9">
      <c r="B238" s="1"/>
      <c r="C238" s="1"/>
      <c r="E238" s="90"/>
      <c r="F238" s="86"/>
      <c r="G238" s="17" t="str">
        <f ca="1">IF(H238="",SearchHLookup(D238,Categorieën!$B$1:$P$30),H238)</f>
        <v/>
      </c>
      <c r="I238" t="str">
        <f t="shared" si="3"/>
        <v/>
      </c>
    </row>
    <row r="239" spans="2:9">
      <c r="B239" s="1"/>
      <c r="C239" s="1"/>
      <c r="E239" s="90"/>
      <c r="F239" s="86"/>
      <c r="G239" s="17" t="str">
        <f ca="1">IF(H239="",SearchHLookup(D239,Categorieën!$B$1:$P$30),H239)</f>
        <v/>
      </c>
      <c r="I239" t="str">
        <f t="shared" si="3"/>
        <v/>
      </c>
    </row>
    <row r="240" spans="2:9">
      <c r="B240" s="1"/>
      <c r="C240" s="1"/>
      <c r="E240" s="90"/>
      <c r="F240" s="86"/>
      <c r="G240" s="17" t="str">
        <f ca="1">IF(H240="",SearchHLookup(D240,Categorieën!$B$1:$P$30),H240)</f>
        <v/>
      </c>
      <c r="I240" t="str">
        <f t="shared" si="3"/>
        <v/>
      </c>
    </row>
    <row r="241" spans="2:9">
      <c r="B241" s="1"/>
      <c r="C241" s="1"/>
      <c r="E241" s="90"/>
      <c r="F241" s="86"/>
      <c r="G241" s="17" t="str">
        <f ca="1">IF(H241="",SearchHLookup(D241,Categorieën!$B$1:$P$30),H241)</f>
        <v/>
      </c>
      <c r="I241" t="str">
        <f t="shared" si="3"/>
        <v/>
      </c>
    </row>
    <row r="242" spans="2:9">
      <c r="B242" s="1"/>
      <c r="C242" s="1"/>
      <c r="E242" s="90"/>
      <c r="F242" s="86"/>
      <c r="G242" s="17" t="str">
        <f ca="1">IF(H242="",SearchHLookup(D242,Categorieën!$B$1:$P$30),H242)</f>
        <v/>
      </c>
      <c r="I242" t="str">
        <f t="shared" si="3"/>
        <v/>
      </c>
    </row>
    <row r="243" spans="2:9">
      <c r="G243" s="17" t="str">
        <f ca="1">IF(H243="",SearchHLookup(D243,Categorieën!$B$1:$P$30),H243)</f>
        <v/>
      </c>
      <c r="I243" t="str">
        <f t="shared" si="3"/>
        <v/>
      </c>
    </row>
    <row r="244" spans="2:9">
      <c r="G244" s="17" t="str">
        <f ca="1">IF(H244="",SearchHLookup(D244,Categorieën!$B$1:$P$30),H244)</f>
        <v/>
      </c>
      <c r="I244" t="str">
        <f t="shared" si="3"/>
        <v/>
      </c>
    </row>
    <row r="245" spans="2:9">
      <c r="G245" s="17" t="str">
        <f ca="1">IF(H245="",SearchHLookup(D245,Categorieën!$B$1:$P$30),H245)</f>
        <v/>
      </c>
      <c r="I245" t="str">
        <f t="shared" si="3"/>
        <v/>
      </c>
    </row>
    <row r="246" spans="2:9">
      <c r="G246" s="17" t="str">
        <f ca="1">IF(H246="",SearchHLookup(D246,Categorieën!$B$1:$P$30),H246)</f>
        <v/>
      </c>
      <c r="I246" t="str">
        <f t="shared" si="3"/>
        <v/>
      </c>
    </row>
    <row r="247" spans="2:9">
      <c r="G247" s="17" t="str">
        <f ca="1">IF(H247="",SearchHLookup(D247,Categorieën!$B$1:$P$30),H247)</f>
        <v/>
      </c>
      <c r="I247" t="str">
        <f t="shared" si="3"/>
        <v/>
      </c>
    </row>
    <row r="248" spans="2:9">
      <c r="G248" s="17" t="str">
        <f ca="1">IF(H248="",SearchHLookup(D248,Categorieën!$B$1:$P$30),H248)</f>
        <v/>
      </c>
      <c r="I248" t="str">
        <f t="shared" si="3"/>
        <v/>
      </c>
    </row>
    <row r="249" spans="2:9">
      <c r="G249" s="17" t="str">
        <f ca="1">IF(H249="",SearchHLookup(D249,Categorieën!$B$1:$P$30),H249)</f>
        <v/>
      </c>
      <c r="I249" t="str">
        <f t="shared" si="3"/>
        <v/>
      </c>
    </row>
    <row r="250" spans="2:9">
      <c r="G250" s="17" t="str">
        <f ca="1">IF(H250="",SearchHLookup(D250,Categorieën!$B$1:$P$30),H250)</f>
        <v/>
      </c>
      <c r="I250" t="str">
        <f t="shared" si="3"/>
        <v/>
      </c>
    </row>
    <row r="251" spans="2:9">
      <c r="G251" s="17" t="str">
        <f ca="1">IF(H251="",SearchHLookup(D251,Categorieën!$B$1:$P$30),H251)</f>
        <v/>
      </c>
      <c r="I251" t="str">
        <f t="shared" si="3"/>
        <v/>
      </c>
    </row>
    <row r="252" spans="2:9">
      <c r="G252" s="17" t="str">
        <f ca="1">IF(H252="",SearchHLookup(D252,Categorieën!$B$1:$P$30),H252)</f>
        <v/>
      </c>
      <c r="I252" t="str">
        <f t="shared" si="3"/>
        <v/>
      </c>
    </row>
    <row r="253" spans="2:9">
      <c r="G253" s="17" t="str">
        <f ca="1">IF(H253="",SearchHLookup(D253,Categorieën!$B$1:$P$30),H253)</f>
        <v/>
      </c>
      <c r="I253" t="str">
        <f t="shared" si="3"/>
        <v/>
      </c>
    </row>
    <row r="254" spans="2:9">
      <c r="G254" s="17" t="str">
        <f ca="1">IF(H254="",SearchHLookup(D254,Categorieën!$B$1:$P$30),H254)</f>
        <v/>
      </c>
      <c r="I254" t="str">
        <f t="shared" si="3"/>
        <v/>
      </c>
    </row>
    <row r="255" spans="2:9">
      <c r="G255" s="17" t="str">
        <f ca="1">IF(H255="",SearchHLookup(D255,Categorieën!$B$1:$P$30),H255)</f>
        <v/>
      </c>
      <c r="I255" t="str">
        <f t="shared" si="3"/>
        <v/>
      </c>
    </row>
    <row r="256" spans="2:9">
      <c r="G256" s="17" t="str">
        <f ca="1">IF(H256="",SearchHLookup(D256,Categorieën!$B$1:$P$30),H256)</f>
        <v/>
      </c>
      <c r="I256" t="str">
        <f t="shared" si="3"/>
        <v/>
      </c>
    </row>
    <row r="257" spans="7:9">
      <c r="G257" s="17" t="str">
        <f ca="1">IF(H257="",SearchHLookup(D257,Categorieën!$B$1:$P$30),H257)</f>
        <v/>
      </c>
      <c r="I257" t="str">
        <f t="shared" si="3"/>
        <v/>
      </c>
    </row>
    <row r="258" spans="7:9">
      <c r="G258" s="17" t="str">
        <f ca="1">IF(H258="",SearchHLookup(D258,Categorieën!$B$1:$P$30),H258)</f>
        <v/>
      </c>
      <c r="I258" t="str">
        <f t="shared" si="3"/>
        <v/>
      </c>
    </row>
    <row r="259" spans="7:9">
      <c r="G259" s="17" t="str">
        <f ca="1">IF(H259="",SearchHLookup(D259,Categorieën!$B$1:$P$30),H259)</f>
        <v/>
      </c>
      <c r="I259" t="str">
        <f t="shared" ref="I259:I300" si="4">IF(D259="","",LEFT(D259,FIND(" ",D259)))</f>
        <v/>
      </c>
    </row>
    <row r="260" spans="7:9">
      <c r="G260" s="17" t="str">
        <f ca="1">IF(H260="",SearchHLookup(D260,Categorieën!$B$1:$P$30),H260)</f>
        <v/>
      </c>
      <c r="I260" t="str">
        <f t="shared" si="4"/>
        <v/>
      </c>
    </row>
    <row r="261" spans="7:9">
      <c r="G261" s="17" t="str">
        <f ca="1">IF(H261="",SearchHLookup(D261,Categorieën!$B$1:$P$30),H261)</f>
        <v/>
      </c>
      <c r="I261" t="str">
        <f t="shared" si="4"/>
        <v/>
      </c>
    </row>
    <row r="262" spans="7:9">
      <c r="G262" s="17" t="str">
        <f ca="1">IF(H262="",SearchHLookup(D262,Categorieën!$B$1:$P$30),H262)</f>
        <v/>
      </c>
      <c r="I262" t="str">
        <f t="shared" si="4"/>
        <v/>
      </c>
    </row>
    <row r="263" spans="7:9">
      <c r="G263" s="17" t="str">
        <f ca="1">IF(H263="",SearchHLookup(D263,Categorieën!$B$1:$P$30),H263)</f>
        <v/>
      </c>
      <c r="I263" t="str">
        <f t="shared" si="4"/>
        <v/>
      </c>
    </row>
    <row r="264" spans="7:9">
      <c r="G264" s="17" t="str">
        <f ca="1">IF(H264="",SearchHLookup(D264,Categorieën!$B$1:$P$30),H264)</f>
        <v/>
      </c>
      <c r="I264" t="str">
        <f t="shared" si="4"/>
        <v/>
      </c>
    </row>
    <row r="265" spans="7:9">
      <c r="G265" s="17" t="str">
        <f ca="1">IF(H265="",SearchHLookup(D265,Categorieën!$B$1:$P$30),H265)</f>
        <v/>
      </c>
      <c r="I265" t="str">
        <f t="shared" si="4"/>
        <v/>
      </c>
    </row>
    <row r="266" spans="7:9">
      <c r="G266" s="17" t="str">
        <f ca="1">IF(H266="",SearchHLookup(D266,Categorieën!$B$1:$P$30),H266)</f>
        <v/>
      </c>
      <c r="I266" t="str">
        <f t="shared" si="4"/>
        <v/>
      </c>
    </row>
    <row r="267" spans="7:9">
      <c r="G267" s="17" t="str">
        <f ca="1">IF(H267="",SearchHLookup(D267,Categorieën!$B$1:$P$30),H267)</f>
        <v/>
      </c>
      <c r="I267" t="str">
        <f t="shared" si="4"/>
        <v/>
      </c>
    </row>
    <row r="268" spans="7:9">
      <c r="G268" s="17" t="str">
        <f ca="1">IF(H268="",SearchHLookup(D268,Categorieën!$B$1:$P$30),H268)</f>
        <v/>
      </c>
      <c r="I268" t="str">
        <f t="shared" si="4"/>
        <v/>
      </c>
    </row>
    <row r="269" spans="7:9">
      <c r="G269" s="17" t="str">
        <f ca="1">IF(H269="",SearchHLookup(D269,Categorieën!$B$1:$P$30),H269)</f>
        <v/>
      </c>
      <c r="I269" t="str">
        <f t="shared" si="4"/>
        <v/>
      </c>
    </row>
    <row r="270" spans="7:9">
      <c r="G270" s="17" t="str">
        <f ca="1">IF(H270="",SearchHLookup(D270,Categorieën!$B$1:$P$30),H270)</f>
        <v/>
      </c>
      <c r="I270" t="str">
        <f t="shared" si="4"/>
        <v/>
      </c>
    </row>
    <row r="271" spans="7:9">
      <c r="G271" s="17" t="str">
        <f ca="1">IF(H271="",SearchHLookup(D271,Categorieën!$B$1:$P$30),H271)</f>
        <v/>
      </c>
      <c r="I271" t="str">
        <f t="shared" si="4"/>
        <v/>
      </c>
    </row>
    <row r="272" spans="7:9">
      <c r="G272" s="17" t="str">
        <f ca="1">IF(H272="",SearchHLookup(D272,Categorieën!$B$1:$P$30),H272)</f>
        <v/>
      </c>
      <c r="I272" t="str">
        <f t="shared" si="4"/>
        <v/>
      </c>
    </row>
    <row r="273" spans="7:9">
      <c r="G273" s="17" t="str">
        <f ca="1">IF(H273="",SearchHLookup(D273,Categorieën!$B$1:$P$30),H273)</f>
        <v/>
      </c>
      <c r="I273" t="str">
        <f t="shared" si="4"/>
        <v/>
      </c>
    </row>
    <row r="274" spans="7:9">
      <c r="G274" s="17" t="str">
        <f ca="1">IF(H274="",SearchHLookup(D274,Categorieën!$B$1:$P$30),H274)</f>
        <v/>
      </c>
      <c r="I274" t="str">
        <f t="shared" si="4"/>
        <v/>
      </c>
    </row>
    <row r="275" spans="7:9">
      <c r="G275" s="17" t="str">
        <f ca="1">IF(H275="",SearchHLookup(D275,Categorieën!$B$1:$P$30),H275)</f>
        <v/>
      </c>
      <c r="I275" t="str">
        <f t="shared" si="4"/>
        <v/>
      </c>
    </row>
    <row r="276" spans="7:9">
      <c r="G276" s="17" t="str">
        <f ca="1">IF(H276="",SearchHLookup(D276,Categorieën!$B$1:$P$30),H276)</f>
        <v/>
      </c>
      <c r="I276" t="str">
        <f t="shared" si="4"/>
        <v/>
      </c>
    </row>
    <row r="277" spans="7:9">
      <c r="G277" s="17" t="str">
        <f ca="1">IF(H277="",SearchHLookup(D277,Categorieën!$B$1:$P$30),H277)</f>
        <v/>
      </c>
      <c r="I277" t="str">
        <f t="shared" si="4"/>
        <v/>
      </c>
    </row>
    <row r="278" spans="7:9">
      <c r="G278" s="17" t="str">
        <f ca="1">IF(H278="",SearchHLookup(D278,Categorieën!$B$1:$P$30),H278)</f>
        <v/>
      </c>
      <c r="I278" t="str">
        <f t="shared" si="4"/>
        <v/>
      </c>
    </row>
    <row r="279" spans="7:9">
      <c r="G279" s="17" t="str">
        <f ca="1">IF(H279="",SearchHLookup(D279,Categorieën!$B$1:$P$30),H279)</f>
        <v/>
      </c>
      <c r="I279" t="str">
        <f t="shared" si="4"/>
        <v/>
      </c>
    </row>
    <row r="280" spans="7:9">
      <c r="G280" s="17" t="str">
        <f ca="1">IF(H280="",SearchHLookup(D280,Categorieën!$B$1:$P$30),H280)</f>
        <v/>
      </c>
      <c r="I280" t="str">
        <f t="shared" si="4"/>
        <v/>
      </c>
    </row>
    <row r="281" spans="7:9">
      <c r="G281" s="17" t="str">
        <f ca="1">IF(H281="",SearchHLookup(D281,Categorieën!$B$1:$P$30),H281)</f>
        <v/>
      </c>
      <c r="I281" t="str">
        <f t="shared" si="4"/>
        <v/>
      </c>
    </row>
    <row r="282" spans="7:9">
      <c r="G282" s="17" t="str">
        <f ca="1">IF(H282="",SearchHLookup(D282,Categorieën!$B$1:$P$30),H282)</f>
        <v/>
      </c>
      <c r="I282" t="str">
        <f t="shared" si="4"/>
        <v/>
      </c>
    </row>
    <row r="283" spans="7:9">
      <c r="G283" s="17" t="str">
        <f ca="1">IF(H283="",SearchHLookup(D283,Categorieën!$B$1:$P$30),H283)</f>
        <v/>
      </c>
      <c r="I283" t="str">
        <f t="shared" si="4"/>
        <v/>
      </c>
    </row>
    <row r="284" spans="7:9">
      <c r="G284" s="17" t="str">
        <f ca="1">IF(H284="",SearchHLookup(D284,Categorieën!$B$1:$P$30),H284)</f>
        <v/>
      </c>
      <c r="I284" t="str">
        <f t="shared" si="4"/>
        <v/>
      </c>
    </row>
    <row r="285" spans="7:9">
      <c r="G285" s="17" t="str">
        <f ca="1">IF(H285="",SearchHLookup(D285,Categorieën!$B$1:$P$30),H285)</f>
        <v/>
      </c>
      <c r="I285" t="str">
        <f t="shared" si="4"/>
        <v/>
      </c>
    </row>
    <row r="286" spans="7:9">
      <c r="G286" s="17" t="str">
        <f ca="1">IF(H286="",SearchHLookup(D286,Categorieën!$B$1:$P$30),H286)</f>
        <v/>
      </c>
      <c r="I286" t="str">
        <f t="shared" si="4"/>
        <v/>
      </c>
    </row>
    <row r="287" spans="7:9">
      <c r="G287" s="17" t="str">
        <f ca="1">IF(H287="",SearchHLookup(D287,Categorieën!$B$1:$P$30),H287)</f>
        <v/>
      </c>
      <c r="I287" t="str">
        <f t="shared" si="4"/>
        <v/>
      </c>
    </row>
    <row r="288" spans="7:9">
      <c r="G288" s="17" t="str">
        <f ca="1">IF(H288="",SearchHLookup(D288,Categorieën!$B$1:$P$30),H288)</f>
        <v/>
      </c>
      <c r="I288" t="str">
        <f t="shared" si="4"/>
        <v/>
      </c>
    </row>
    <row r="289" spans="7:9">
      <c r="G289" s="17" t="str">
        <f ca="1">IF(H289="",SearchHLookup(D289,Categorieën!$B$1:$P$30),H289)</f>
        <v/>
      </c>
      <c r="I289" t="str">
        <f t="shared" si="4"/>
        <v/>
      </c>
    </row>
    <row r="290" spans="7:9">
      <c r="G290" s="17" t="str">
        <f ca="1">IF(H290="",SearchHLookup(D290,Categorieën!$B$1:$P$30),H290)</f>
        <v/>
      </c>
      <c r="I290" t="str">
        <f t="shared" si="4"/>
        <v/>
      </c>
    </row>
    <row r="291" spans="7:9">
      <c r="G291" s="17" t="str">
        <f ca="1">IF(H291="",SearchHLookup(D291,Categorieën!$B$1:$P$30),H291)</f>
        <v/>
      </c>
      <c r="I291" t="str">
        <f t="shared" si="4"/>
        <v/>
      </c>
    </row>
    <row r="292" spans="7:9">
      <c r="G292" s="17" t="str">
        <f ca="1">IF(H292="",SearchHLookup(D292,Categorieën!$B$1:$P$30),H292)</f>
        <v/>
      </c>
      <c r="I292" t="str">
        <f t="shared" si="4"/>
        <v/>
      </c>
    </row>
    <row r="293" spans="7:9">
      <c r="G293" s="17" t="str">
        <f ca="1">IF(H293="",SearchHLookup(D293,Categorieën!$B$1:$P$30),H293)</f>
        <v/>
      </c>
      <c r="I293" t="str">
        <f t="shared" si="4"/>
        <v/>
      </c>
    </row>
    <row r="294" spans="7:9">
      <c r="G294" s="17" t="str">
        <f ca="1">IF(H294="",SearchHLookup(D294,Categorieën!$B$1:$P$30),H294)</f>
        <v/>
      </c>
      <c r="I294" t="str">
        <f t="shared" si="4"/>
        <v/>
      </c>
    </row>
    <row r="295" spans="7:9">
      <c r="G295" s="17" t="str">
        <f ca="1">IF(H295="",SearchHLookup(D295,Categorieën!$B$1:$P$30),H295)</f>
        <v/>
      </c>
      <c r="I295" t="str">
        <f t="shared" si="4"/>
        <v/>
      </c>
    </row>
    <row r="296" spans="7:9">
      <c r="G296" s="17" t="str">
        <f ca="1">IF(H296="",SearchHLookup(D296,Categorieën!$B$1:$P$30),H296)</f>
        <v/>
      </c>
      <c r="I296" t="str">
        <f t="shared" si="4"/>
        <v/>
      </c>
    </row>
    <row r="297" spans="7:9">
      <c r="G297" s="17" t="str">
        <f ca="1">IF(H297="",SearchHLookup(D297,Categorieën!$B$1:$P$30),H297)</f>
        <v/>
      </c>
      <c r="I297" t="str">
        <f t="shared" si="4"/>
        <v/>
      </c>
    </row>
    <row r="298" spans="7:9">
      <c r="G298" s="17" t="str">
        <f ca="1">IF(H298="",SearchHLookup(D298,Categorieën!$B$1:$P$30),H298)</f>
        <v/>
      </c>
      <c r="I298" t="str">
        <f t="shared" si="4"/>
        <v/>
      </c>
    </row>
    <row r="299" spans="7:9">
      <c r="G299" s="17" t="str">
        <f ca="1">IF(H299="",SearchHLookup(D299,Categorieën!$B$1:$P$30),H299)</f>
        <v/>
      </c>
      <c r="I299" t="str">
        <f t="shared" si="4"/>
        <v/>
      </c>
    </row>
    <row r="300" spans="7:9">
      <c r="G300" s="17" t="str">
        <f ca="1">IF(H300="",SearchHLookup(D300,Categorieën!$B$1:$P$30),H300)</f>
        <v/>
      </c>
      <c r="I300" t="str">
        <f t="shared" si="4"/>
        <v/>
      </c>
    </row>
  </sheetData>
  <autoFilter ref="A1:I242"/>
  <phoneticPr fontId="8" type="noConversion"/>
  <conditionalFormatting sqref="E1:F1048576">
    <cfRule type="cellIs" dxfId="5" priority="5" operator="lessThan">
      <formula>0</formula>
    </cfRule>
  </conditionalFormatting>
  <conditionalFormatting sqref="A1:F1048576">
    <cfRule type="expression" dxfId="4" priority="8">
      <formula>IF(OR($E1&gt;2000,$E1&lt;-500),1,0)</formula>
    </cfRule>
  </conditionalFormatting>
  <conditionalFormatting sqref="A1:I1048576">
    <cfRule type="expression" dxfId="3" priority="1">
      <formula>IFERROR(IF(YEAR($C1)=YEAR($C2),0,1),0)</formula>
    </cfRule>
  </conditionalFormatting>
  <dataValidations count="1">
    <dataValidation type="list" allowBlank="1" showInputMessage="1" sqref="H1:H1048576">
      <formula1>"Manueel Type,Loon,Kleding,Auto,GSM,SpaarRek,Belastingen,GemRek,Andere"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>
    <tabColor theme="8" tint="-0.249977111117893"/>
  </sheetPr>
  <dimension ref="A1:E112"/>
  <sheetViews>
    <sheetView workbookViewId="0">
      <pane xSplit="1" ySplit="4" topLeftCell="B5" activePane="bottomRight" state="frozenSplit"/>
      <selection pane="topRight" activeCell="B1" sqref="B1"/>
      <selection pane="bottomLeft" activeCell="A2" sqref="A2"/>
      <selection pane="bottomRight" activeCell="F6" sqref="F6"/>
    </sheetView>
  </sheetViews>
  <sheetFormatPr defaultRowHeight="15" outlineLevelRow="1"/>
  <cols>
    <col min="1" max="1" width="20.140625" customWidth="1"/>
    <col min="2" max="2" width="13.140625" customWidth="1"/>
    <col min="3" max="3" width="15.28515625" customWidth="1"/>
    <col min="4" max="4" width="14.42578125" customWidth="1"/>
    <col min="5" max="5" width="17.140625" style="16" customWidth="1"/>
    <col min="6" max="6" width="18.140625" customWidth="1"/>
  </cols>
  <sheetData>
    <row r="1" spans="1:5" s="9" customFormat="1">
      <c r="A1" s="84">
        <v>2001</v>
      </c>
      <c r="B1" s="23" t="s">
        <v>17</v>
      </c>
      <c r="C1" s="24" t="s">
        <v>18</v>
      </c>
      <c r="D1" s="24" t="s">
        <v>23</v>
      </c>
      <c r="E1" s="32" t="s">
        <v>60</v>
      </c>
    </row>
    <row r="2" spans="1:5" s="9" customFormat="1">
      <c r="A2" s="71" t="s">
        <v>31</v>
      </c>
      <c r="B2" s="25">
        <f t="array" ref="B2">IF(SUM((IF(YEAR($A$27:$A$300)&gt;=$A$1,1,0))*B$27:B$300)=0,0,SUM((IF(YEAR($A$27:$A$300)&gt;=$A$1,1,0))*B$27:B$300)/SUM((IF(YEAR($A$27:$A$300)&gt;=$A$1,1,0))*1))</f>
        <v>0</v>
      </c>
      <c r="C2" s="25">
        <f t="array" ref="C2">IF(SUM((IF(YEAR($A$27:$A$300)&gt;=$A$1,1,0))*C$27:C$300)=0,0,SUM((IF(YEAR($A$27:$A$300)&gt;=$A$1,1,0))*C$27:C$300)/SUM((IF(YEAR($A$27:$A$300)&gt;=$A$1,1,0))*1))</f>
        <v>0</v>
      </c>
      <c r="D2" s="25">
        <f t="array" ref="D2">IF(SUM((IF(YEAR($A$27:$A$300)&gt;=$A$1,1,0))*D$27:D$300)=0,0,SUM((IF(YEAR($A$27:$A$300)&gt;=$A$1,1,0))*D$27:D$300)/SUM((IF(YEAR($A$27:$A$300)&gt;=$A$1,1,0))*1))</f>
        <v>0</v>
      </c>
      <c r="E2" s="25">
        <f>VLOOKUP(MAX(A$5:A$300),$A$5:$E$300,5,FALSE)</f>
        <v>0</v>
      </c>
    </row>
    <row r="3" spans="1:5" s="9" customFormat="1">
      <c r="A3" s="71" t="s">
        <v>46</v>
      </c>
      <c r="B3" s="25">
        <f t="array" aca="1" ref="B3" ca="1">SUM((IF(YEAR($A$27:$A$300)&gt;=$A$1,1,0))*B$27:B$300)/(YEAR(TODAY())-$A$1+1)</f>
        <v>0</v>
      </c>
      <c r="C3" s="25">
        <f t="array" aca="1" ref="C3" ca="1">SUM((IF(YEAR($A$27:$A$300)&gt;=$A$1,1,0))*C$27:C$300)/(YEAR(TODAY())-$A$1+1)</f>
        <v>0</v>
      </c>
      <c r="D3" s="25">
        <f t="array" aca="1" ref="D3" ca="1">SUM((IF(YEAR($A$27:$A$300)&gt;=$A$1,1,0))*D$27:D$300)/(YEAR(TODAY())-$A$1+1)</f>
        <v>0</v>
      </c>
      <c r="E3" s="25"/>
    </row>
    <row r="4" spans="1:5" s="30" customFormat="1" ht="15.75" thickBot="1">
      <c r="A4" s="103" t="s">
        <v>29</v>
      </c>
      <c r="B4" s="29">
        <f t="array" ref="B4">IF(SUM((IF(YEAR($A$27:$A$300)&gt;=$A$1,1,0))*B$27:B$300)=0,0,SUM((IF(YEAR($A$27:$A$300)&gt;=$A$1,1,0))*B$27:B$300))</f>
        <v>0</v>
      </c>
      <c r="C4" s="29">
        <f t="array" ref="C4">IF(SUM((IF(YEAR($A$27:$A$300)&gt;=$A$1,1,0))*C$27:C$300)=0,0,SUM((IF(YEAR($A$27:$A$300)&gt;=$A$1,1,0))*C$27:C$300))</f>
        <v>0</v>
      </c>
      <c r="D4" s="29">
        <f t="array" ref="D4">IF(SUM((IF(YEAR($A$27:$A$300)&gt;=$A$1,1,0))*D$27:D$300)=0,0,SUM((IF(YEAR($A$27:$A$300)&gt;=$A$1,1,0))*D$27:D$300))</f>
        <v>0</v>
      </c>
      <c r="E4" s="29"/>
    </row>
    <row r="5" spans="1:5" outlineLevel="1">
      <c r="A5" s="10">
        <v>37196</v>
      </c>
      <c r="B5" s="5">
        <f t="array" aca="1" ref="B5" ca="1">SUM(IF(MONTH(KBCSpaarrekData!$C$2:$C$400)=MONTH(KBCSpaarrekSamenv!$A5),1,0)*IF(YEAR(KBCSpaarrekData!$C$2:$C$400)=YEAR(KBCSpaarrekSamenv!$A5),1,0)*IF(KBCSpaarrekData!$E$2:$E$400&lt;0,1,0)*KBCSpaarrekData!$E$2:$E$400)</f>
        <v>0</v>
      </c>
      <c r="C5" s="5">
        <f t="array" aca="1" ref="C5" ca="1">SUM(IF(MONTH(KBCSpaarrekData!$C$2:$C$400)=MONTH(KBCSpaarrekSamenv!$A5),1,0)*IF(YEAR(KBCSpaarrekData!$C$2:$C$400)=YEAR(KBCSpaarrekSamenv!$A5),1,0)*IF(KBCSpaarrekData!$E$2:$E$400&gt;0,1,0)*KBCSpaarrekData!$E$2:$E$400)</f>
        <v>0</v>
      </c>
      <c r="D5" s="5">
        <f>C5+B5</f>
        <v>0</v>
      </c>
      <c r="E5" s="36">
        <f t="array" aca="1" ref="E5" ca="1">SUM((IF(MONTH(KBCSpaarrekData!$C$2:$C$400)=MONTH(KBCSpaarrekSamenv!$A5),1,0))*(IF(YEAR(KBCSpaarrekData!$C$2:$C$400)=YEAR(KBCSpaarrekSamenv!$A5),1,0))*KBCSpaarrekData!$E$2:$E$400)+$E4</f>
        <v>0</v>
      </c>
    </row>
    <row r="6" spans="1:5" outlineLevel="1">
      <c r="A6" s="10">
        <v>37226</v>
      </c>
      <c r="B6" s="5">
        <f t="array" aca="1" ref="B6" ca="1">SUM(IF(MONTH(KBCSpaarrekData!$C$2:$C$400)=MONTH(KBCSpaarrekSamenv!$A6),1,0)*IF(YEAR(KBCSpaarrekData!$C$2:$C$400)=YEAR(KBCSpaarrekSamenv!$A6),1,0)*IF(KBCSpaarrekData!$E$2:$E$400&lt;0,1,0)*KBCSpaarrekData!$E$2:$E$400)</f>
        <v>0</v>
      </c>
      <c r="C6" s="5">
        <f t="array" aca="1" ref="C6" ca="1">SUM(IF(MONTH(KBCSpaarrekData!$C$2:$C$400)=MONTH(KBCSpaarrekSamenv!$A6),1,0)*IF(YEAR(KBCSpaarrekData!$C$2:$C$400)=YEAR(KBCSpaarrekSamenv!$A6),1,0)*IF(KBCSpaarrekData!$E$2:$E$400&gt;0,1,0)*KBCSpaarrekData!$E$2:$E$400)</f>
        <v>0</v>
      </c>
      <c r="D6" s="5">
        <f t="shared" ref="D6:D69" si="0">C6+B6</f>
        <v>0</v>
      </c>
      <c r="E6" s="36">
        <f t="array" aca="1" ref="E6" ca="1">SUM((IF(MONTH(KBCSpaarrekData!$C$2:$C$400)=MONTH(KBCSpaarrekSamenv!$A6),1,0))*(IF(YEAR(KBCSpaarrekData!$C$2:$C$400)=YEAR(KBCSpaarrekSamenv!$A6),1,0))*KBCSpaarrekData!$E$2:$E$400)+$E5</f>
        <v>0</v>
      </c>
    </row>
    <row r="7" spans="1:5" outlineLevel="1">
      <c r="A7" s="10">
        <v>37257</v>
      </c>
      <c r="B7" s="5">
        <f t="array" aca="1" ref="B7" ca="1">SUM(IF(MONTH(KBCSpaarrekData!$C$2:$C$400)=MONTH(KBCSpaarrekSamenv!$A7),1,0)*IF(YEAR(KBCSpaarrekData!$C$2:$C$400)=YEAR(KBCSpaarrekSamenv!$A7),1,0)*IF(KBCSpaarrekData!$E$2:$E$400&lt;0,1,0)*KBCSpaarrekData!$E$2:$E$400)</f>
        <v>0</v>
      </c>
      <c r="C7" s="5">
        <f t="array" aca="1" ref="C7" ca="1">SUM(IF(MONTH(KBCSpaarrekData!$C$2:$C$400)=MONTH(KBCSpaarrekSamenv!$A7),1,0)*IF(YEAR(KBCSpaarrekData!$C$2:$C$400)=YEAR(KBCSpaarrekSamenv!$A7),1,0)*IF(KBCSpaarrekData!$E$2:$E$400&gt;0,1,0)*KBCSpaarrekData!$E$2:$E$400)</f>
        <v>0</v>
      </c>
      <c r="D7" s="5">
        <f t="shared" si="0"/>
        <v>0</v>
      </c>
      <c r="E7" s="36">
        <f t="array" aca="1" ref="E7" ca="1">SUM((IF(MONTH(KBCSpaarrekData!$C$2:$C$400)=MONTH(KBCSpaarrekSamenv!$A7),1,0))*(IF(YEAR(KBCSpaarrekData!$C$2:$C$400)=YEAR(KBCSpaarrekSamenv!$A7),1,0))*KBCSpaarrekData!$E$2:$E$400)+$E6</f>
        <v>0</v>
      </c>
    </row>
    <row r="8" spans="1:5" outlineLevel="1">
      <c r="A8" s="10">
        <v>37288</v>
      </c>
      <c r="B8" s="5">
        <f t="array" aca="1" ref="B8" ca="1">SUM(IF(MONTH(KBCSpaarrekData!$C$2:$C$400)=MONTH(KBCSpaarrekSamenv!$A8),1,0)*IF(YEAR(KBCSpaarrekData!$C$2:$C$400)=YEAR(KBCSpaarrekSamenv!$A8),1,0)*IF(KBCSpaarrekData!$E$2:$E$400&lt;0,1,0)*KBCSpaarrekData!$E$2:$E$400)</f>
        <v>0</v>
      </c>
      <c r="C8" s="5">
        <f t="array" aca="1" ref="C8" ca="1">SUM(IF(MONTH(KBCSpaarrekData!$C$2:$C$400)=MONTH(KBCSpaarrekSamenv!$A8),1,0)*IF(YEAR(KBCSpaarrekData!$C$2:$C$400)=YEAR(KBCSpaarrekSamenv!$A8),1,0)*IF(KBCSpaarrekData!$E$2:$E$400&gt;0,1,0)*KBCSpaarrekData!$E$2:$E$400)</f>
        <v>0</v>
      </c>
      <c r="D8" s="5">
        <f t="shared" si="0"/>
        <v>0</v>
      </c>
      <c r="E8" s="36">
        <f t="array" aca="1" ref="E8" ca="1">SUM((IF(MONTH(KBCSpaarrekData!$C$2:$C$400)=MONTH(KBCSpaarrekSamenv!$A8),1,0))*(IF(YEAR(KBCSpaarrekData!$C$2:$C$400)=YEAR(KBCSpaarrekSamenv!$A8),1,0))*KBCSpaarrekData!$E$2:$E$400)+$E7</f>
        <v>0</v>
      </c>
    </row>
    <row r="9" spans="1:5" outlineLevel="1">
      <c r="A9" s="10">
        <v>37316</v>
      </c>
      <c r="B9" s="5">
        <f t="array" aca="1" ref="B9" ca="1">SUM(IF(MONTH(KBCSpaarrekData!$C$2:$C$400)=MONTH(KBCSpaarrekSamenv!$A9),1,0)*IF(YEAR(KBCSpaarrekData!$C$2:$C$400)=YEAR(KBCSpaarrekSamenv!$A9),1,0)*IF(KBCSpaarrekData!$E$2:$E$400&lt;0,1,0)*KBCSpaarrekData!$E$2:$E$400)</f>
        <v>0</v>
      </c>
      <c r="C9" s="5">
        <f t="array" aca="1" ref="C9" ca="1">SUM(IF(MONTH(KBCSpaarrekData!$C$2:$C$400)=MONTH(KBCSpaarrekSamenv!$A9),1,0)*IF(YEAR(KBCSpaarrekData!$C$2:$C$400)=YEAR(KBCSpaarrekSamenv!$A9),1,0)*IF(KBCSpaarrekData!$E$2:$E$400&gt;0,1,0)*KBCSpaarrekData!$E$2:$E$400)</f>
        <v>0</v>
      </c>
      <c r="D9" s="5">
        <f t="shared" si="0"/>
        <v>0</v>
      </c>
      <c r="E9" s="36">
        <f t="array" aca="1" ref="E9" ca="1">SUM((IF(MONTH(KBCSpaarrekData!$C$2:$C$400)=MONTH(KBCSpaarrekSamenv!$A9),1,0))*(IF(YEAR(KBCSpaarrekData!$C$2:$C$400)=YEAR(KBCSpaarrekSamenv!$A9),1,0))*KBCSpaarrekData!$E$2:$E$400)+$E8</f>
        <v>0</v>
      </c>
    </row>
    <row r="10" spans="1:5" outlineLevel="1">
      <c r="A10" s="10">
        <v>37347</v>
      </c>
      <c r="B10" s="5">
        <f t="array" aca="1" ref="B10" ca="1">SUM(IF(MONTH(KBCSpaarrekData!$C$2:$C$400)=MONTH(KBCSpaarrekSamenv!$A10),1,0)*IF(YEAR(KBCSpaarrekData!$C$2:$C$400)=YEAR(KBCSpaarrekSamenv!$A10),1,0)*IF(KBCSpaarrekData!$E$2:$E$400&lt;0,1,0)*KBCSpaarrekData!$E$2:$E$400)</f>
        <v>0</v>
      </c>
      <c r="C10" s="5">
        <f t="array" aca="1" ref="C10" ca="1">SUM(IF(MONTH(KBCSpaarrekData!$C$2:$C$400)=MONTH(KBCSpaarrekSamenv!$A10),1,0)*IF(YEAR(KBCSpaarrekData!$C$2:$C$400)=YEAR(KBCSpaarrekSamenv!$A10),1,0)*IF(KBCSpaarrekData!$E$2:$E$400&gt;0,1,0)*KBCSpaarrekData!$E$2:$E$400)</f>
        <v>0</v>
      </c>
      <c r="D10" s="5">
        <f t="shared" si="0"/>
        <v>0</v>
      </c>
      <c r="E10" s="36">
        <f t="array" aca="1" ref="E10" ca="1">SUM((IF(MONTH(KBCSpaarrekData!$C$2:$C$400)=MONTH(KBCSpaarrekSamenv!$A10),1,0))*(IF(YEAR(KBCSpaarrekData!$C$2:$C$400)=YEAR(KBCSpaarrekSamenv!$A10),1,0))*KBCSpaarrekData!$E$2:$E$400)+$E9</f>
        <v>0</v>
      </c>
    </row>
    <row r="11" spans="1:5" outlineLevel="1">
      <c r="A11" s="10">
        <v>37377</v>
      </c>
      <c r="B11" s="5">
        <f t="array" aca="1" ref="B11" ca="1">SUM(IF(MONTH(KBCSpaarrekData!$C$2:$C$400)=MONTH(KBCSpaarrekSamenv!$A11),1,0)*IF(YEAR(KBCSpaarrekData!$C$2:$C$400)=YEAR(KBCSpaarrekSamenv!$A11),1,0)*IF(KBCSpaarrekData!$E$2:$E$400&lt;0,1,0)*KBCSpaarrekData!$E$2:$E$400)</f>
        <v>0</v>
      </c>
      <c r="C11" s="5">
        <f t="array" aca="1" ref="C11" ca="1">SUM(IF(MONTH(KBCSpaarrekData!$C$2:$C$400)=MONTH(KBCSpaarrekSamenv!$A11),1,0)*IF(YEAR(KBCSpaarrekData!$C$2:$C$400)=YEAR(KBCSpaarrekSamenv!$A11),1,0)*IF(KBCSpaarrekData!$E$2:$E$400&gt;0,1,0)*KBCSpaarrekData!$E$2:$E$400)</f>
        <v>0</v>
      </c>
      <c r="D11" s="5">
        <f t="shared" si="0"/>
        <v>0</v>
      </c>
      <c r="E11" s="36">
        <f t="array" aca="1" ref="E11" ca="1">SUM((IF(MONTH(KBCSpaarrekData!$C$2:$C$400)=MONTH(KBCSpaarrekSamenv!$A11),1,0))*(IF(YEAR(KBCSpaarrekData!$C$2:$C$400)=YEAR(KBCSpaarrekSamenv!$A11),1,0))*KBCSpaarrekData!$E$2:$E$400)+$E10</f>
        <v>0</v>
      </c>
    </row>
    <row r="12" spans="1:5" outlineLevel="1">
      <c r="A12" s="10">
        <v>37408</v>
      </c>
      <c r="B12" s="5">
        <f t="array" aca="1" ref="B12" ca="1">SUM(IF(MONTH(KBCSpaarrekData!$C$2:$C$400)=MONTH(KBCSpaarrekSamenv!$A12),1,0)*IF(YEAR(KBCSpaarrekData!$C$2:$C$400)=YEAR(KBCSpaarrekSamenv!$A12),1,0)*IF(KBCSpaarrekData!$E$2:$E$400&lt;0,1,0)*KBCSpaarrekData!$E$2:$E$400)</f>
        <v>0</v>
      </c>
      <c r="C12" s="5">
        <f t="array" aca="1" ref="C12" ca="1">SUM(IF(MONTH(KBCSpaarrekData!$C$2:$C$400)=MONTH(KBCSpaarrekSamenv!$A12),1,0)*IF(YEAR(KBCSpaarrekData!$C$2:$C$400)=YEAR(KBCSpaarrekSamenv!$A12),1,0)*IF(KBCSpaarrekData!$E$2:$E$400&gt;0,1,0)*KBCSpaarrekData!$E$2:$E$400)</f>
        <v>0</v>
      </c>
      <c r="D12" s="5">
        <f t="shared" si="0"/>
        <v>0</v>
      </c>
      <c r="E12" s="36">
        <f t="array" aca="1" ref="E12" ca="1">SUM((IF(MONTH(KBCSpaarrekData!$C$2:$C$400)=MONTH(KBCSpaarrekSamenv!$A12),1,0))*(IF(YEAR(KBCSpaarrekData!$C$2:$C$400)=YEAR(KBCSpaarrekSamenv!$A12),1,0))*KBCSpaarrekData!$E$2:$E$400)+$E11</f>
        <v>0</v>
      </c>
    </row>
    <row r="13" spans="1:5" outlineLevel="1">
      <c r="A13" s="10">
        <v>37438</v>
      </c>
      <c r="B13" s="5">
        <f t="array" aca="1" ref="B13" ca="1">SUM(IF(MONTH(KBCSpaarrekData!$C$2:$C$400)=MONTH(KBCSpaarrekSamenv!$A13),1,0)*IF(YEAR(KBCSpaarrekData!$C$2:$C$400)=YEAR(KBCSpaarrekSamenv!$A13),1,0)*IF(KBCSpaarrekData!$E$2:$E$400&lt;0,1,0)*KBCSpaarrekData!$E$2:$E$400)</f>
        <v>0</v>
      </c>
      <c r="C13" s="5">
        <f t="array" aca="1" ref="C13" ca="1">SUM(IF(MONTH(KBCSpaarrekData!$C$2:$C$400)=MONTH(KBCSpaarrekSamenv!$A13),1,0)*IF(YEAR(KBCSpaarrekData!$C$2:$C$400)=YEAR(KBCSpaarrekSamenv!$A13),1,0)*IF(KBCSpaarrekData!$E$2:$E$400&gt;0,1,0)*KBCSpaarrekData!$E$2:$E$400)</f>
        <v>0</v>
      </c>
      <c r="D13" s="5">
        <f t="shared" si="0"/>
        <v>0</v>
      </c>
      <c r="E13" s="36">
        <f t="array" aca="1" ref="E13" ca="1">SUM((IF(MONTH(KBCSpaarrekData!$C$2:$C$400)=MONTH(KBCSpaarrekSamenv!$A13),1,0))*(IF(YEAR(KBCSpaarrekData!$C$2:$C$400)=YEAR(KBCSpaarrekSamenv!$A13),1,0))*KBCSpaarrekData!$E$2:$E$400)+$E12</f>
        <v>0</v>
      </c>
    </row>
    <row r="14" spans="1:5" outlineLevel="1">
      <c r="A14" s="10">
        <v>37469</v>
      </c>
      <c r="B14" s="5">
        <f t="array" aca="1" ref="B14" ca="1">SUM(IF(MONTH(KBCSpaarrekData!$C$2:$C$400)=MONTH(KBCSpaarrekSamenv!$A14),1,0)*IF(YEAR(KBCSpaarrekData!$C$2:$C$400)=YEAR(KBCSpaarrekSamenv!$A14),1,0)*IF(KBCSpaarrekData!$E$2:$E$400&lt;0,1,0)*KBCSpaarrekData!$E$2:$E$400)</f>
        <v>0</v>
      </c>
      <c r="C14" s="5">
        <f t="array" aca="1" ref="C14" ca="1">SUM(IF(MONTH(KBCSpaarrekData!$C$2:$C$400)=MONTH(KBCSpaarrekSamenv!$A14),1,0)*IF(YEAR(KBCSpaarrekData!$C$2:$C$400)=YEAR(KBCSpaarrekSamenv!$A14),1,0)*IF(KBCSpaarrekData!$E$2:$E$400&gt;0,1,0)*KBCSpaarrekData!$E$2:$E$400)</f>
        <v>0</v>
      </c>
      <c r="D14" s="5">
        <f t="shared" si="0"/>
        <v>0</v>
      </c>
      <c r="E14" s="36">
        <f t="array" aca="1" ref="E14" ca="1">SUM((IF(MONTH(KBCSpaarrekData!$C$2:$C$400)=MONTH(KBCSpaarrekSamenv!$A14),1,0))*(IF(YEAR(KBCSpaarrekData!$C$2:$C$400)=YEAR(KBCSpaarrekSamenv!$A14),1,0))*KBCSpaarrekData!$E$2:$E$400)+$E13</f>
        <v>0</v>
      </c>
    </row>
    <row r="15" spans="1:5" outlineLevel="1">
      <c r="A15" s="10">
        <v>37500</v>
      </c>
      <c r="B15" s="5">
        <f t="array" aca="1" ref="B15" ca="1">SUM(IF(MONTH(KBCSpaarrekData!$C$2:$C$400)=MONTH(KBCSpaarrekSamenv!$A15),1,0)*IF(YEAR(KBCSpaarrekData!$C$2:$C$400)=YEAR(KBCSpaarrekSamenv!$A15),1,0)*IF(KBCSpaarrekData!$E$2:$E$400&lt;0,1,0)*KBCSpaarrekData!$E$2:$E$400)</f>
        <v>0</v>
      </c>
      <c r="C15" s="5">
        <f t="array" aca="1" ref="C15" ca="1">SUM(IF(MONTH(KBCSpaarrekData!$C$2:$C$400)=MONTH(KBCSpaarrekSamenv!$A15),1,0)*IF(YEAR(KBCSpaarrekData!$C$2:$C$400)=YEAR(KBCSpaarrekSamenv!$A15),1,0)*IF(KBCSpaarrekData!$E$2:$E$400&gt;0,1,0)*KBCSpaarrekData!$E$2:$E$400)</f>
        <v>0</v>
      </c>
      <c r="D15" s="5">
        <f t="shared" si="0"/>
        <v>0</v>
      </c>
      <c r="E15" s="36">
        <f t="array" aca="1" ref="E15" ca="1">SUM((IF(MONTH(KBCSpaarrekData!$C$2:$C$400)=MONTH(KBCSpaarrekSamenv!$A15),1,0))*(IF(YEAR(KBCSpaarrekData!$C$2:$C$400)=YEAR(KBCSpaarrekSamenv!$A15),1,0))*KBCSpaarrekData!$E$2:$E$400)+$E14</f>
        <v>0</v>
      </c>
    </row>
    <row r="16" spans="1:5" outlineLevel="1">
      <c r="A16" s="10">
        <v>37530</v>
      </c>
      <c r="B16" s="5">
        <f t="array" aca="1" ref="B16" ca="1">SUM(IF(MONTH(KBCSpaarrekData!$C$2:$C$400)=MONTH(KBCSpaarrekSamenv!$A16),1,0)*IF(YEAR(KBCSpaarrekData!$C$2:$C$400)=YEAR(KBCSpaarrekSamenv!$A16),1,0)*IF(KBCSpaarrekData!$E$2:$E$400&lt;0,1,0)*KBCSpaarrekData!$E$2:$E$400)</f>
        <v>0</v>
      </c>
      <c r="C16" s="5">
        <f t="array" aca="1" ref="C16" ca="1">SUM(IF(MONTH(KBCSpaarrekData!$C$2:$C$400)=MONTH(KBCSpaarrekSamenv!$A16),1,0)*IF(YEAR(KBCSpaarrekData!$C$2:$C$400)=YEAR(KBCSpaarrekSamenv!$A16),1,0)*IF(KBCSpaarrekData!$E$2:$E$400&gt;0,1,0)*KBCSpaarrekData!$E$2:$E$400)</f>
        <v>0</v>
      </c>
      <c r="D16" s="5">
        <f t="shared" si="0"/>
        <v>0</v>
      </c>
      <c r="E16" s="36">
        <f t="array" aca="1" ref="E16" ca="1">SUM((IF(MONTH(KBCSpaarrekData!$C$2:$C$400)=MONTH(KBCSpaarrekSamenv!$A16),1,0))*(IF(YEAR(KBCSpaarrekData!$C$2:$C$400)=YEAR(KBCSpaarrekSamenv!$A16),1,0))*KBCSpaarrekData!$E$2:$E$400)+$E15</f>
        <v>0</v>
      </c>
    </row>
    <row r="17" spans="1:5" outlineLevel="1">
      <c r="A17" s="10">
        <v>37561</v>
      </c>
      <c r="B17" s="5">
        <f t="array" aca="1" ref="B17" ca="1">SUM(IF(MONTH(KBCSpaarrekData!$C$2:$C$400)=MONTH(KBCSpaarrekSamenv!$A17),1,0)*IF(YEAR(KBCSpaarrekData!$C$2:$C$400)=YEAR(KBCSpaarrekSamenv!$A17),1,0)*IF(KBCSpaarrekData!$E$2:$E$400&lt;0,1,0)*KBCSpaarrekData!$E$2:$E$400)</f>
        <v>0</v>
      </c>
      <c r="C17" s="5">
        <f t="array" aca="1" ref="C17" ca="1">SUM(IF(MONTH(KBCSpaarrekData!$C$2:$C$400)=MONTH(KBCSpaarrekSamenv!$A17),1,0)*IF(YEAR(KBCSpaarrekData!$C$2:$C$400)=YEAR(KBCSpaarrekSamenv!$A17),1,0)*IF(KBCSpaarrekData!$E$2:$E$400&gt;0,1,0)*KBCSpaarrekData!$E$2:$E$400)</f>
        <v>0</v>
      </c>
      <c r="D17" s="5">
        <f t="shared" si="0"/>
        <v>0</v>
      </c>
      <c r="E17" s="36">
        <f t="array" aca="1" ref="E17" ca="1">SUM((IF(MONTH(KBCSpaarrekData!$C$2:$C$400)=MONTH(KBCSpaarrekSamenv!$A17),1,0))*(IF(YEAR(KBCSpaarrekData!$C$2:$C$400)=YEAR(KBCSpaarrekSamenv!$A17),1,0))*KBCSpaarrekData!$E$2:$E$400)+$E16</f>
        <v>0</v>
      </c>
    </row>
    <row r="18" spans="1:5" outlineLevel="1">
      <c r="A18" s="10">
        <v>37591</v>
      </c>
      <c r="B18" s="5">
        <f t="array" aca="1" ref="B18" ca="1">SUM(IF(MONTH(KBCSpaarrekData!$C$2:$C$400)=MONTH(KBCSpaarrekSamenv!$A18),1,0)*IF(YEAR(KBCSpaarrekData!$C$2:$C$400)=YEAR(KBCSpaarrekSamenv!$A18),1,0)*IF(KBCSpaarrekData!$E$2:$E$400&lt;0,1,0)*KBCSpaarrekData!$E$2:$E$400)</f>
        <v>0</v>
      </c>
      <c r="C18" s="5">
        <f t="array" aca="1" ref="C18" ca="1">SUM(IF(MONTH(KBCSpaarrekData!$C$2:$C$400)=MONTH(KBCSpaarrekSamenv!$A18),1,0)*IF(YEAR(KBCSpaarrekData!$C$2:$C$400)=YEAR(KBCSpaarrekSamenv!$A18),1,0)*IF(KBCSpaarrekData!$E$2:$E$400&gt;0,1,0)*KBCSpaarrekData!$E$2:$E$400)</f>
        <v>0</v>
      </c>
      <c r="D18" s="5">
        <f t="shared" si="0"/>
        <v>0</v>
      </c>
      <c r="E18" s="36">
        <f t="array" aca="1" ref="E18" ca="1">SUM((IF(MONTH(KBCSpaarrekData!$C$2:$C$400)=MONTH(KBCSpaarrekSamenv!$A18),1,0))*(IF(YEAR(KBCSpaarrekData!$C$2:$C$400)=YEAR(KBCSpaarrekSamenv!$A18),1,0))*KBCSpaarrekData!$E$2:$E$400)+$E17</f>
        <v>0</v>
      </c>
    </row>
    <row r="19" spans="1:5" outlineLevel="1">
      <c r="A19" s="10">
        <v>37622</v>
      </c>
      <c r="B19" s="5">
        <f t="array" aca="1" ref="B19" ca="1">SUM(IF(MONTH(KBCSpaarrekData!$C$2:$C$400)=MONTH(KBCSpaarrekSamenv!$A19),1,0)*IF(YEAR(KBCSpaarrekData!$C$2:$C$400)=YEAR(KBCSpaarrekSamenv!$A19),1,0)*IF(KBCSpaarrekData!$E$2:$E$400&lt;0,1,0)*KBCSpaarrekData!$E$2:$E$400)</f>
        <v>0</v>
      </c>
      <c r="C19" s="5">
        <f t="array" aca="1" ref="C19" ca="1">SUM(IF(MONTH(KBCSpaarrekData!$C$2:$C$400)=MONTH(KBCSpaarrekSamenv!$A19),1,0)*IF(YEAR(KBCSpaarrekData!$C$2:$C$400)=YEAR(KBCSpaarrekSamenv!$A19),1,0)*IF(KBCSpaarrekData!$E$2:$E$400&gt;0,1,0)*KBCSpaarrekData!$E$2:$E$400)</f>
        <v>0</v>
      </c>
      <c r="D19" s="5">
        <f t="shared" si="0"/>
        <v>0</v>
      </c>
      <c r="E19" s="36">
        <f t="array" aca="1" ref="E19" ca="1">SUM((IF(MONTH(KBCSpaarrekData!$C$2:$C$400)=MONTH(KBCSpaarrekSamenv!$A19),1,0))*(IF(YEAR(KBCSpaarrekData!$C$2:$C$400)=YEAR(KBCSpaarrekSamenv!$A19),1,0))*KBCSpaarrekData!$E$2:$E$400)+$E18</f>
        <v>0</v>
      </c>
    </row>
    <row r="20" spans="1:5" outlineLevel="1">
      <c r="A20" s="10">
        <v>37653</v>
      </c>
      <c r="B20" s="5">
        <f t="array" aca="1" ref="B20" ca="1">SUM(IF(MONTH(KBCSpaarrekData!$C$2:$C$400)=MONTH(KBCSpaarrekSamenv!$A20),1,0)*IF(YEAR(KBCSpaarrekData!$C$2:$C$400)=YEAR(KBCSpaarrekSamenv!$A20),1,0)*IF(KBCSpaarrekData!$E$2:$E$400&lt;0,1,0)*KBCSpaarrekData!$E$2:$E$400)</f>
        <v>0</v>
      </c>
      <c r="C20" s="5">
        <f t="array" aca="1" ref="C20" ca="1">SUM(IF(MONTH(KBCSpaarrekData!$C$2:$C$400)=MONTH(KBCSpaarrekSamenv!$A20),1,0)*IF(YEAR(KBCSpaarrekData!$C$2:$C$400)=YEAR(KBCSpaarrekSamenv!$A20),1,0)*IF(KBCSpaarrekData!$E$2:$E$400&gt;0,1,0)*KBCSpaarrekData!$E$2:$E$400)</f>
        <v>0</v>
      </c>
      <c r="D20" s="5">
        <f t="shared" si="0"/>
        <v>0</v>
      </c>
      <c r="E20" s="36">
        <f t="array" aca="1" ref="E20" ca="1">SUM((IF(MONTH(KBCSpaarrekData!$C$2:$C$400)=MONTH(KBCSpaarrekSamenv!$A20),1,0))*(IF(YEAR(KBCSpaarrekData!$C$2:$C$400)=YEAR(KBCSpaarrekSamenv!$A20),1,0))*KBCSpaarrekData!$E$2:$E$400)+$E19</f>
        <v>0</v>
      </c>
    </row>
    <row r="21" spans="1:5" outlineLevel="1">
      <c r="A21" s="10">
        <v>37681</v>
      </c>
      <c r="B21" s="5">
        <f t="array" aca="1" ref="B21" ca="1">SUM(IF(MONTH(KBCSpaarrekData!$C$2:$C$400)=MONTH(KBCSpaarrekSamenv!$A21),1,0)*IF(YEAR(KBCSpaarrekData!$C$2:$C$400)=YEAR(KBCSpaarrekSamenv!$A21),1,0)*IF(KBCSpaarrekData!$E$2:$E$400&lt;0,1,0)*KBCSpaarrekData!$E$2:$E$400)</f>
        <v>0</v>
      </c>
      <c r="C21" s="5">
        <f t="array" aca="1" ref="C21" ca="1">SUM(IF(MONTH(KBCSpaarrekData!$C$2:$C$400)=MONTH(KBCSpaarrekSamenv!$A21),1,0)*IF(YEAR(KBCSpaarrekData!$C$2:$C$400)=YEAR(KBCSpaarrekSamenv!$A21),1,0)*IF(KBCSpaarrekData!$E$2:$E$400&gt;0,1,0)*KBCSpaarrekData!$E$2:$E$400)</f>
        <v>0</v>
      </c>
      <c r="D21" s="5">
        <f t="shared" si="0"/>
        <v>0</v>
      </c>
      <c r="E21" s="36">
        <f t="array" aca="1" ref="E21" ca="1">SUM((IF(MONTH(KBCSpaarrekData!$C$2:$C$400)=MONTH(KBCSpaarrekSamenv!$A21),1,0))*(IF(YEAR(KBCSpaarrekData!$C$2:$C$400)=YEAR(KBCSpaarrekSamenv!$A21),1,0))*KBCSpaarrekData!$E$2:$E$400)+$E20</f>
        <v>0</v>
      </c>
    </row>
    <row r="22" spans="1:5" outlineLevel="1">
      <c r="A22" s="10">
        <v>37712</v>
      </c>
      <c r="B22" s="5">
        <f t="array" aca="1" ref="B22" ca="1">SUM(IF(MONTH(KBCSpaarrekData!$C$2:$C$400)=MONTH(KBCSpaarrekSamenv!$A22),1,0)*IF(YEAR(KBCSpaarrekData!$C$2:$C$400)=YEAR(KBCSpaarrekSamenv!$A22),1,0)*IF(KBCSpaarrekData!$E$2:$E$400&lt;0,1,0)*KBCSpaarrekData!$E$2:$E$400)</f>
        <v>0</v>
      </c>
      <c r="C22" s="5">
        <f t="array" aca="1" ref="C22" ca="1">SUM(IF(MONTH(KBCSpaarrekData!$C$2:$C$400)=MONTH(KBCSpaarrekSamenv!$A22),1,0)*IF(YEAR(KBCSpaarrekData!$C$2:$C$400)=YEAR(KBCSpaarrekSamenv!$A22),1,0)*IF(KBCSpaarrekData!$E$2:$E$400&gt;0,1,0)*KBCSpaarrekData!$E$2:$E$400)</f>
        <v>0</v>
      </c>
      <c r="D22" s="5">
        <f t="shared" si="0"/>
        <v>0</v>
      </c>
      <c r="E22" s="36">
        <f t="array" aca="1" ref="E22" ca="1">SUM((IF(MONTH(KBCSpaarrekData!$C$2:$C$400)=MONTH(KBCSpaarrekSamenv!$A22),1,0))*(IF(YEAR(KBCSpaarrekData!$C$2:$C$400)=YEAR(KBCSpaarrekSamenv!$A22),1,0))*KBCSpaarrekData!$E$2:$E$400)+$E21</f>
        <v>0</v>
      </c>
    </row>
    <row r="23" spans="1:5" outlineLevel="1">
      <c r="A23" s="10">
        <v>37742</v>
      </c>
      <c r="B23" s="5">
        <f t="array" aca="1" ref="B23" ca="1">SUM(IF(MONTH(KBCSpaarrekData!$C$2:$C$400)=MONTH(KBCSpaarrekSamenv!$A23),1,0)*IF(YEAR(KBCSpaarrekData!$C$2:$C$400)=YEAR(KBCSpaarrekSamenv!$A23),1,0)*IF(KBCSpaarrekData!$E$2:$E$400&lt;0,1,0)*KBCSpaarrekData!$E$2:$E$400)</f>
        <v>0</v>
      </c>
      <c r="C23" s="5">
        <f t="array" aca="1" ref="C23" ca="1">SUM(IF(MONTH(KBCSpaarrekData!$C$2:$C$400)=MONTH(KBCSpaarrekSamenv!$A23),1,0)*IF(YEAR(KBCSpaarrekData!$C$2:$C$400)=YEAR(KBCSpaarrekSamenv!$A23),1,0)*IF(KBCSpaarrekData!$E$2:$E$400&gt;0,1,0)*KBCSpaarrekData!$E$2:$E$400)</f>
        <v>0</v>
      </c>
      <c r="D23" s="5">
        <f t="shared" si="0"/>
        <v>0</v>
      </c>
      <c r="E23" s="36">
        <f t="array" aca="1" ref="E23" ca="1">SUM((IF(MONTH(KBCSpaarrekData!$C$2:$C$400)=MONTH(KBCSpaarrekSamenv!$A23),1,0))*(IF(YEAR(KBCSpaarrekData!$C$2:$C$400)=YEAR(KBCSpaarrekSamenv!$A23),1,0))*KBCSpaarrekData!$E$2:$E$400)+$E22</f>
        <v>0</v>
      </c>
    </row>
    <row r="24" spans="1:5" outlineLevel="1">
      <c r="A24" s="10">
        <v>37773</v>
      </c>
      <c r="B24" s="5">
        <f t="array" aca="1" ref="B24" ca="1">SUM(IF(MONTH(KBCSpaarrekData!$C$2:$C$400)=MONTH(KBCSpaarrekSamenv!$A24),1,0)*IF(YEAR(KBCSpaarrekData!$C$2:$C$400)=YEAR(KBCSpaarrekSamenv!$A24),1,0)*IF(KBCSpaarrekData!$E$2:$E$400&lt;0,1,0)*KBCSpaarrekData!$E$2:$E$400)</f>
        <v>0</v>
      </c>
      <c r="C24" s="5">
        <f t="array" aca="1" ref="C24" ca="1">SUM(IF(MONTH(KBCSpaarrekData!$C$2:$C$400)=MONTH(KBCSpaarrekSamenv!$A24),1,0)*IF(YEAR(KBCSpaarrekData!$C$2:$C$400)=YEAR(KBCSpaarrekSamenv!$A24),1,0)*IF(KBCSpaarrekData!$E$2:$E$400&gt;0,1,0)*KBCSpaarrekData!$E$2:$E$400)</f>
        <v>0</v>
      </c>
      <c r="D24" s="5">
        <f t="shared" si="0"/>
        <v>0</v>
      </c>
      <c r="E24" s="36">
        <f t="array" aca="1" ref="E24" ca="1">SUM((IF(MONTH(KBCSpaarrekData!$C$2:$C$400)=MONTH(KBCSpaarrekSamenv!$A24),1,0))*(IF(YEAR(KBCSpaarrekData!$C$2:$C$400)=YEAR(KBCSpaarrekSamenv!$A24),1,0))*KBCSpaarrekData!$E$2:$E$400)+$E23</f>
        <v>0</v>
      </c>
    </row>
    <row r="25" spans="1:5" outlineLevel="1">
      <c r="A25" s="10">
        <v>37803</v>
      </c>
      <c r="B25" s="5">
        <f t="array" aca="1" ref="B25" ca="1">SUM(IF(MONTH(KBCSpaarrekData!$C$2:$C$400)=MONTH(KBCSpaarrekSamenv!$A25),1,0)*IF(YEAR(KBCSpaarrekData!$C$2:$C$400)=YEAR(KBCSpaarrekSamenv!$A25),1,0)*IF(KBCSpaarrekData!$E$2:$E$400&lt;0,1,0)*KBCSpaarrekData!$E$2:$E$400)</f>
        <v>0</v>
      </c>
      <c r="C25" s="5">
        <f t="array" aca="1" ref="C25" ca="1">SUM(IF(MONTH(KBCSpaarrekData!$C$2:$C$400)=MONTH(KBCSpaarrekSamenv!$A25),1,0)*IF(YEAR(KBCSpaarrekData!$C$2:$C$400)=YEAR(KBCSpaarrekSamenv!$A25),1,0)*IF(KBCSpaarrekData!$E$2:$E$400&gt;0,1,0)*KBCSpaarrekData!$E$2:$E$400)</f>
        <v>0</v>
      </c>
      <c r="D25" s="5">
        <f t="shared" si="0"/>
        <v>0</v>
      </c>
      <c r="E25" s="36">
        <f t="array" aca="1" ref="E25" ca="1">SUM((IF(MONTH(KBCSpaarrekData!$C$2:$C$400)=MONTH(KBCSpaarrekSamenv!$A25),1,0))*(IF(YEAR(KBCSpaarrekData!$C$2:$C$400)=YEAR(KBCSpaarrekSamenv!$A25),1,0))*KBCSpaarrekData!$E$2:$E$400)+$E24</f>
        <v>0</v>
      </c>
    </row>
    <row r="26" spans="1:5" outlineLevel="1">
      <c r="A26" s="10">
        <v>37834</v>
      </c>
      <c r="B26" s="5">
        <f t="array" aca="1" ref="B26" ca="1">SUM(IF(MONTH(KBCSpaarrekData!$C$2:$C$400)=MONTH(KBCSpaarrekSamenv!$A26),1,0)*IF(YEAR(KBCSpaarrekData!$C$2:$C$400)=YEAR(KBCSpaarrekSamenv!$A26),1,0)*IF(KBCSpaarrekData!$E$2:$E$400&lt;0,1,0)*KBCSpaarrekData!$E$2:$E$400)</f>
        <v>0</v>
      </c>
      <c r="C26" s="5">
        <f t="array" aca="1" ref="C26" ca="1">SUM(IF(MONTH(KBCSpaarrekData!$C$2:$C$400)=MONTH(KBCSpaarrekSamenv!$A26),1,0)*IF(YEAR(KBCSpaarrekData!$C$2:$C$400)=YEAR(KBCSpaarrekSamenv!$A26),1,0)*IF(KBCSpaarrekData!$E$2:$E$400&gt;0,1,0)*KBCSpaarrekData!$E$2:$E$400)</f>
        <v>0</v>
      </c>
      <c r="D26" s="5">
        <f t="shared" si="0"/>
        <v>0</v>
      </c>
      <c r="E26" s="36">
        <f t="array" aca="1" ref="E26" ca="1">SUM((IF(MONTH(KBCSpaarrekData!$C$2:$C$400)=MONTH(KBCSpaarrekSamenv!$A26),1,0))*(IF(YEAR(KBCSpaarrekData!$C$2:$C$400)=YEAR(KBCSpaarrekSamenv!$A26),1,0))*KBCSpaarrekData!$E$2:$E$400)+$E25</f>
        <v>0</v>
      </c>
    </row>
    <row r="27" spans="1:5" outlineLevel="1">
      <c r="A27" s="10">
        <v>37865</v>
      </c>
      <c r="B27" s="5">
        <f t="array" aca="1" ref="B27" ca="1">SUM(IF(MONTH(KBCSpaarrekData!$C$2:$C$400)=MONTH(KBCSpaarrekSamenv!$A27),1,0)*IF(YEAR(KBCSpaarrekData!$C$2:$C$400)=YEAR(KBCSpaarrekSamenv!$A27),1,0)*IF(KBCSpaarrekData!$E$2:$E$400&lt;0,1,0)*KBCSpaarrekData!$E$2:$E$400)</f>
        <v>0</v>
      </c>
      <c r="C27" s="5">
        <f t="array" aca="1" ref="C27" ca="1">SUM(IF(MONTH(KBCSpaarrekData!$C$2:$C$400)=MONTH(KBCSpaarrekSamenv!$A27),1,0)*IF(YEAR(KBCSpaarrekData!$C$2:$C$400)=YEAR(KBCSpaarrekSamenv!$A27),1,0)*IF(KBCSpaarrekData!$E$2:$E$400&gt;0,1,0)*KBCSpaarrekData!$E$2:$E$400)</f>
        <v>0</v>
      </c>
      <c r="D27" s="5">
        <f t="shared" si="0"/>
        <v>0</v>
      </c>
      <c r="E27" s="36">
        <f t="array" aca="1" ref="E27" ca="1">SUM((IF(MONTH(KBCSpaarrekData!$C$2:$C$400)=MONTH(KBCSpaarrekSamenv!$A27),1,0))*(IF(YEAR(KBCSpaarrekData!$C$2:$C$400)=YEAR(KBCSpaarrekSamenv!$A27),1,0))*KBCSpaarrekData!$E$2:$E$400)+$E26</f>
        <v>0</v>
      </c>
    </row>
    <row r="28" spans="1:5" outlineLevel="1">
      <c r="A28" s="10">
        <v>37895</v>
      </c>
      <c r="B28" s="5">
        <f t="array" aca="1" ref="B28" ca="1">SUM(IF(MONTH(KBCSpaarrekData!$C$2:$C$400)=MONTH(KBCSpaarrekSamenv!$A28),1,0)*IF(YEAR(KBCSpaarrekData!$C$2:$C$400)=YEAR(KBCSpaarrekSamenv!$A28),1,0)*IF(KBCSpaarrekData!$E$2:$E$400&lt;0,1,0)*KBCSpaarrekData!$E$2:$E$400)</f>
        <v>0</v>
      </c>
      <c r="C28" s="5">
        <f t="array" aca="1" ref="C28" ca="1">SUM(IF(MONTH(KBCSpaarrekData!$C$2:$C$400)=MONTH(KBCSpaarrekSamenv!$A28),1,0)*IF(YEAR(KBCSpaarrekData!$C$2:$C$400)=YEAR(KBCSpaarrekSamenv!$A28),1,0)*IF(KBCSpaarrekData!$E$2:$E$400&gt;0,1,0)*KBCSpaarrekData!$E$2:$E$400)</f>
        <v>0</v>
      </c>
      <c r="D28" s="5">
        <f t="shared" si="0"/>
        <v>0</v>
      </c>
      <c r="E28" s="36">
        <f t="array" aca="1" ref="E28" ca="1">SUM((IF(MONTH(KBCSpaarrekData!$C$2:$C$400)=MONTH(KBCSpaarrekSamenv!$A28),1,0))*(IF(YEAR(KBCSpaarrekData!$C$2:$C$400)=YEAR(KBCSpaarrekSamenv!$A28),1,0))*KBCSpaarrekData!$E$2:$E$400)+$E27</f>
        <v>0</v>
      </c>
    </row>
    <row r="29" spans="1:5" outlineLevel="1">
      <c r="A29" s="10">
        <v>37926</v>
      </c>
      <c r="B29" s="5">
        <f t="array" aca="1" ref="B29" ca="1">SUM(IF(MONTH(KBCSpaarrekData!$C$2:$C$400)=MONTH(KBCSpaarrekSamenv!$A29),1,0)*IF(YEAR(KBCSpaarrekData!$C$2:$C$400)=YEAR(KBCSpaarrekSamenv!$A29),1,0)*IF(KBCSpaarrekData!$E$2:$E$400&lt;0,1,0)*KBCSpaarrekData!$E$2:$E$400)</f>
        <v>0</v>
      </c>
      <c r="C29" s="5">
        <f t="array" aca="1" ref="C29" ca="1">SUM(IF(MONTH(KBCSpaarrekData!$C$2:$C$400)=MONTH(KBCSpaarrekSamenv!$A29),1,0)*IF(YEAR(KBCSpaarrekData!$C$2:$C$400)=YEAR(KBCSpaarrekSamenv!$A29),1,0)*IF(KBCSpaarrekData!$E$2:$E$400&gt;0,1,0)*KBCSpaarrekData!$E$2:$E$400)</f>
        <v>0</v>
      </c>
      <c r="D29" s="5">
        <f t="shared" si="0"/>
        <v>0</v>
      </c>
      <c r="E29" s="36">
        <f t="array" aca="1" ref="E29" ca="1">SUM((IF(MONTH(KBCSpaarrekData!$C$2:$C$400)=MONTH(KBCSpaarrekSamenv!$A29),1,0))*(IF(YEAR(KBCSpaarrekData!$C$2:$C$400)=YEAR(KBCSpaarrekSamenv!$A29),1,0))*KBCSpaarrekData!$E$2:$E$400)+$E28</f>
        <v>0</v>
      </c>
    </row>
    <row r="30" spans="1:5" outlineLevel="1">
      <c r="A30" s="10">
        <v>37956</v>
      </c>
      <c r="B30" s="5">
        <f t="array" aca="1" ref="B30" ca="1">SUM(IF(MONTH(KBCSpaarrekData!$C$2:$C$400)=MONTH(KBCSpaarrekSamenv!$A30),1,0)*IF(YEAR(KBCSpaarrekData!$C$2:$C$400)=YEAR(KBCSpaarrekSamenv!$A30),1,0)*IF(KBCSpaarrekData!$E$2:$E$400&lt;0,1,0)*KBCSpaarrekData!$E$2:$E$400)</f>
        <v>0</v>
      </c>
      <c r="C30" s="5">
        <f t="array" aca="1" ref="C30" ca="1">SUM(IF(MONTH(KBCSpaarrekData!$C$2:$C$400)=MONTH(KBCSpaarrekSamenv!$A30),1,0)*IF(YEAR(KBCSpaarrekData!$C$2:$C$400)=YEAR(KBCSpaarrekSamenv!$A30),1,0)*IF(KBCSpaarrekData!$E$2:$E$400&gt;0,1,0)*KBCSpaarrekData!$E$2:$E$400)</f>
        <v>0</v>
      </c>
      <c r="D30" s="5">
        <f t="shared" si="0"/>
        <v>0</v>
      </c>
      <c r="E30" s="36">
        <f t="array" aca="1" ref="E30" ca="1">SUM((IF(MONTH(KBCSpaarrekData!$C$2:$C$400)=MONTH(KBCSpaarrekSamenv!$A30),1,0))*(IF(YEAR(KBCSpaarrekData!$C$2:$C$400)=YEAR(KBCSpaarrekSamenv!$A30),1,0))*KBCSpaarrekData!$E$2:$E$400)+$E29</f>
        <v>0</v>
      </c>
    </row>
    <row r="31" spans="1:5" outlineLevel="1">
      <c r="A31" s="10">
        <v>37987</v>
      </c>
      <c r="B31" s="5">
        <f t="array" aca="1" ref="B31" ca="1">SUM(IF(MONTH(KBCSpaarrekData!$C$2:$C$400)=MONTH(KBCSpaarrekSamenv!$A31),1,0)*IF(YEAR(KBCSpaarrekData!$C$2:$C$400)=YEAR(KBCSpaarrekSamenv!$A31),1,0)*IF(KBCSpaarrekData!$E$2:$E$400&lt;0,1,0)*KBCSpaarrekData!$E$2:$E$400)</f>
        <v>0</v>
      </c>
      <c r="C31" s="5">
        <f t="array" aca="1" ref="C31" ca="1">SUM(IF(MONTH(KBCSpaarrekData!$C$2:$C$400)=MONTH(KBCSpaarrekSamenv!$A31),1,0)*IF(YEAR(KBCSpaarrekData!$C$2:$C$400)=YEAR(KBCSpaarrekSamenv!$A31),1,0)*IF(KBCSpaarrekData!$E$2:$E$400&gt;0,1,0)*KBCSpaarrekData!$E$2:$E$400)</f>
        <v>0</v>
      </c>
      <c r="D31" s="5">
        <f t="shared" si="0"/>
        <v>0</v>
      </c>
      <c r="E31" s="36">
        <f t="array" aca="1" ref="E31" ca="1">SUM((IF(MONTH(KBCSpaarrekData!$C$2:$C$400)=MONTH(KBCSpaarrekSamenv!$A31),1,0))*(IF(YEAR(KBCSpaarrekData!$C$2:$C$400)=YEAR(KBCSpaarrekSamenv!$A31),1,0))*KBCSpaarrekData!$E$2:$E$400)+$E30</f>
        <v>0</v>
      </c>
    </row>
    <row r="32" spans="1:5" outlineLevel="1">
      <c r="A32" s="10">
        <v>38018</v>
      </c>
      <c r="B32" s="5">
        <f t="array" aca="1" ref="B32" ca="1">SUM(IF(MONTH(KBCSpaarrekData!$C$2:$C$400)=MONTH(KBCSpaarrekSamenv!$A32),1,0)*IF(YEAR(KBCSpaarrekData!$C$2:$C$400)=YEAR(KBCSpaarrekSamenv!$A32),1,0)*IF(KBCSpaarrekData!$E$2:$E$400&lt;0,1,0)*KBCSpaarrekData!$E$2:$E$400)</f>
        <v>0</v>
      </c>
      <c r="C32" s="5">
        <f t="array" aca="1" ref="C32" ca="1">SUM(IF(MONTH(KBCSpaarrekData!$C$2:$C$400)=MONTH(KBCSpaarrekSamenv!$A32),1,0)*IF(YEAR(KBCSpaarrekData!$C$2:$C$400)=YEAR(KBCSpaarrekSamenv!$A32),1,0)*IF(KBCSpaarrekData!$E$2:$E$400&gt;0,1,0)*KBCSpaarrekData!$E$2:$E$400)</f>
        <v>0</v>
      </c>
      <c r="D32" s="5">
        <f t="shared" si="0"/>
        <v>0</v>
      </c>
      <c r="E32" s="36">
        <f t="array" aca="1" ref="E32" ca="1">SUM((IF(MONTH(KBCSpaarrekData!$C$2:$C$400)=MONTH(KBCSpaarrekSamenv!$A32),1,0))*(IF(YEAR(KBCSpaarrekData!$C$2:$C$400)=YEAR(KBCSpaarrekSamenv!$A32),1,0))*KBCSpaarrekData!$E$2:$E$400)+$E31</f>
        <v>0</v>
      </c>
    </row>
    <row r="33" spans="1:5" outlineLevel="1">
      <c r="A33" s="10">
        <v>38047</v>
      </c>
      <c r="B33" s="5">
        <f t="array" aca="1" ref="B33" ca="1">SUM(IF(MONTH(KBCSpaarrekData!$C$2:$C$400)=MONTH(KBCSpaarrekSamenv!$A33),1,0)*IF(YEAR(KBCSpaarrekData!$C$2:$C$400)=YEAR(KBCSpaarrekSamenv!$A33),1,0)*IF(KBCSpaarrekData!$E$2:$E$400&lt;0,1,0)*KBCSpaarrekData!$E$2:$E$400)</f>
        <v>0</v>
      </c>
      <c r="C33" s="5">
        <f t="array" aca="1" ref="C33" ca="1">SUM(IF(MONTH(KBCSpaarrekData!$C$2:$C$400)=MONTH(KBCSpaarrekSamenv!$A33),1,0)*IF(YEAR(KBCSpaarrekData!$C$2:$C$400)=YEAR(KBCSpaarrekSamenv!$A33),1,0)*IF(KBCSpaarrekData!$E$2:$E$400&gt;0,1,0)*KBCSpaarrekData!$E$2:$E$400)</f>
        <v>0</v>
      </c>
      <c r="D33" s="5">
        <f t="shared" si="0"/>
        <v>0</v>
      </c>
      <c r="E33" s="36">
        <f t="array" aca="1" ref="E33" ca="1">SUM((IF(MONTH(KBCSpaarrekData!$C$2:$C$400)=MONTH(KBCSpaarrekSamenv!$A33),1,0))*(IF(YEAR(KBCSpaarrekData!$C$2:$C$400)=YEAR(KBCSpaarrekSamenv!$A33),1,0))*KBCSpaarrekData!$E$2:$E$400)+$E32</f>
        <v>0</v>
      </c>
    </row>
    <row r="34" spans="1:5" outlineLevel="1">
      <c r="A34" s="10">
        <v>38078</v>
      </c>
      <c r="B34" s="5">
        <f t="array" aca="1" ref="B34" ca="1">SUM(IF(MONTH(KBCSpaarrekData!$C$2:$C$400)=MONTH(KBCSpaarrekSamenv!$A34),1,0)*IF(YEAR(KBCSpaarrekData!$C$2:$C$400)=YEAR(KBCSpaarrekSamenv!$A34),1,0)*IF(KBCSpaarrekData!$E$2:$E$400&lt;0,1,0)*KBCSpaarrekData!$E$2:$E$400)</f>
        <v>0</v>
      </c>
      <c r="C34" s="5">
        <f t="array" aca="1" ref="C34" ca="1">SUM(IF(MONTH(KBCSpaarrekData!$C$2:$C$400)=MONTH(KBCSpaarrekSamenv!$A34),1,0)*IF(YEAR(KBCSpaarrekData!$C$2:$C$400)=YEAR(KBCSpaarrekSamenv!$A34),1,0)*IF(KBCSpaarrekData!$E$2:$E$400&gt;0,1,0)*KBCSpaarrekData!$E$2:$E$400)</f>
        <v>0</v>
      </c>
      <c r="D34" s="5">
        <f t="shared" si="0"/>
        <v>0</v>
      </c>
      <c r="E34" s="36">
        <f t="array" aca="1" ref="E34" ca="1">SUM((IF(MONTH(KBCSpaarrekData!$C$2:$C$400)=MONTH(KBCSpaarrekSamenv!$A34),1,0))*(IF(YEAR(KBCSpaarrekData!$C$2:$C$400)=YEAR(KBCSpaarrekSamenv!$A34),1,0))*KBCSpaarrekData!$E$2:$E$400)+$E33</f>
        <v>0</v>
      </c>
    </row>
    <row r="35" spans="1:5" outlineLevel="1">
      <c r="A35" s="10">
        <v>38108</v>
      </c>
      <c r="B35" s="5">
        <f t="array" aca="1" ref="B35" ca="1">SUM(IF(MONTH(KBCSpaarrekData!$C$2:$C$400)=MONTH(KBCSpaarrekSamenv!$A35),1,0)*IF(YEAR(KBCSpaarrekData!$C$2:$C$400)=YEAR(KBCSpaarrekSamenv!$A35),1,0)*IF(KBCSpaarrekData!$E$2:$E$400&lt;0,1,0)*KBCSpaarrekData!$E$2:$E$400)</f>
        <v>0</v>
      </c>
      <c r="C35" s="5">
        <f t="array" aca="1" ref="C35" ca="1">SUM(IF(MONTH(KBCSpaarrekData!$C$2:$C$400)=MONTH(KBCSpaarrekSamenv!$A35),1,0)*IF(YEAR(KBCSpaarrekData!$C$2:$C$400)=YEAR(KBCSpaarrekSamenv!$A35),1,0)*IF(KBCSpaarrekData!$E$2:$E$400&gt;0,1,0)*KBCSpaarrekData!$E$2:$E$400)</f>
        <v>0</v>
      </c>
      <c r="D35" s="5">
        <f t="shared" si="0"/>
        <v>0</v>
      </c>
      <c r="E35" s="36">
        <f t="array" aca="1" ref="E35" ca="1">SUM((IF(MONTH(KBCSpaarrekData!$C$2:$C$400)=MONTH(KBCSpaarrekSamenv!$A35),1,0))*(IF(YEAR(KBCSpaarrekData!$C$2:$C$400)=YEAR(KBCSpaarrekSamenv!$A35),1,0))*KBCSpaarrekData!$E$2:$E$400)+$E34</f>
        <v>0</v>
      </c>
    </row>
    <row r="36" spans="1:5" outlineLevel="1">
      <c r="A36" s="10">
        <v>38139</v>
      </c>
      <c r="B36" s="5">
        <f t="array" aca="1" ref="B36" ca="1">SUM(IF(MONTH(KBCSpaarrekData!$C$2:$C$400)=MONTH(KBCSpaarrekSamenv!$A36),1,0)*IF(YEAR(KBCSpaarrekData!$C$2:$C$400)=YEAR(KBCSpaarrekSamenv!$A36),1,0)*IF(KBCSpaarrekData!$E$2:$E$400&lt;0,1,0)*KBCSpaarrekData!$E$2:$E$400)</f>
        <v>0</v>
      </c>
      <c r="C36" s="5">
        <f t="array" aca="1" ref="C36" ca="1">SUM(IF(MONTH(KBCSpaarrekData!$C$2:$C$400)=MONTH(KBCSpaarrekSamenv!$A36),1,0)*IF(YEAR(KBCSpaarrekData!$C$2:$C$400)=YEAR(KBCSpaarrekSamenv!$A36),1,0)*IF(KBCSpaarrekData!$E$2:$E$400&gt;0,1,0)*KBCSpaarrekData!$E$2:$E$400)</f>
        <v>0</v>
      </c>
      <c r="D36" s="5">
        <f t="shared" si="0"/>
        <v>0</v>
      </c>
      <c r="E36" s="36">
        <f t="array" aca="1" ref="E36" ca="1">SUM((IF(MONTH(KBCSpaarrekData!$C$2:$C$400)=MONTH(KBCSpaarrekSamenv!$A36),1,0))*(IF(YEAR(KBCSpaarrekData!$C$2:$C$400)=YEAR(KBCSpaarrekSamenv!$A36),1,0))*KBCSpaarrekData!$E$2:$E$400)+$E35</f>
        <v>0</v>
      </c>
    </row>
    <row r="37" spans="1:5" outlineLevel="1">
      <c r="A37" s="10">
        <v>38169</v>
      </c>
      <c r="B37" s="5">
        <f t="array" aca="1" ref="B37" ca="1">SUM(IF(MONTH(KBCSpaarrekData!$C$2:$C$400)=MONTH(KBCSpaarrekSamenv!$A37),1,0)*IF(YEAR(KBCSpaarrekData!$C$2:$C$400)=YEAR(KBCSpaarrekSamenv!$A37),1,0)*IF(KBCSpaarrekData!$E$2:$E$400&lt;0,1,0)*KBCSpaarrekData!$E$2:$E$400)</f>
        <v>0</v>
      </c>
      <c r="C37" s="5">
        <f t="array" aca="1" ref="C37" ca="1">SUM(IF(MONTH(KBCSpaarrekData!$C$2:$C$400)=MONTH(KBCSpaarrekSamenv!$A37),1,0)*IF(YEAR(KBCSpaarrekData!$C$2:$C$400)=YEAR(KBCSpaarrekSamenv!$A37),1,0)*IF(KBCSpaarrekData!$E$2:$E$400&gt;0,1,0)*KBCSpaarrekData!$E$2:$E$400)</f>
        <v>0</v>
      </c>
      <c r="D37" s="5">
        <f t="shared" si="0"/>
        <v>0</v>
      </c>
      <c r="E37" s="36">
        <f t="array" aca="1" ref="E37" ca="1">SUM((IF(MONTH(KBCSpaarrekData!$C$2:$C$400)=MONTH(KBCSpaarrekSamenv!$A37),1,0))*(IF(YEAR(KBCSpaarrekData!$C$2:$C$400)=YEAR(KBCSpaarrekSamenv!$A37),1,0))*KBCSpaarrekData!$E$2:$E$400)+$E36</f>
        <v>0</v>
      </c>
    </row>
    <row r="38" spans="1:5" outlineLevel="1">
      <c r="A38" s="10">
        <v>38200</v>
      </c>
      <c r="B38" s="5">
        <f t="array" aca="1" ref="B38" ca="1">SUM(IF(MONTH(KBCSpaarrekData!$C$2:$C$400)=MONTH(KBCSpaarrekSamenv!$A38),1,0)*IF(YEAR(KBCSpaarrekData!$C$2:$C$400)=YEAR(KBCSpaarrekSamenv!$A38),1,0)*IF(KBCSpaarrekData!$E$2:$E$400&lt;0,1,0)*KBCSpaarrekData!$E$2:$E$400)</f>
        <v>0</v>
      </c>
      <c r="C38" s="5">
        <f t="array" aca="1" ref="C38" ca="1">SUM(IF(MONTH(KBCSpaarrekData!$C$2:$C$400)=MONTH(KBCSpaarrekSamenv!$A38),1,0)*IF(YEAR(KBCSpaarrekData!$C$2:$C$400)=YEAR(KBCSpaarrekSamenv!$A38),1,0)*IF(KBCSpaarrekData!$E$2:$E$400&gt;0,1,0)*KBCSpaarrekData!$E$2:$E$400)</f>
        <v>0</v>
      </c>
      <c r="D38" s="5">
        <f t="shared" si="0"/>
        <v>0</v>
      </c>
      <c r="E38" s="36">
        <f t="array" aca="1" ref="E38" ca="1">SUM((IF(MONTH(KBCSpaarrekData!$C$2:$C$400)=MONTH(KBCSpaarrekSamenv!$A38),1,0))*(IF(YEAR(KBCSpaarrekData!$C$2:$C$400)=YEAR(KBCSpaarrekSamenv!$A38),1,0))*KBCSpaarrekData!$E$2:$E$400)+$E37</f>
        <v>0</v>
      </c>
    </row>
    <row r="39" spans="1:5" outlineLevel="1">
      <c r="A39" s="10">
        <v>38231</v>
      </c>
      <c r="B39" s="5">
        <f t="array" aca="1" ref="B39" ca="1">SUM(IF(MONTH(KBCSpaarrekData!$C$2:$C$400)=MONTH(KBCSpaarrekSamenv!$A39),1,0)*IF(YEAR(KBCSpaarrekData!$C$2:$C$400)=YEAR(KBCSpaarrekSamenv!$A39),1,0)*IF(KBCSpaarrekData!$E$2:$E$400&lt;0,1,0)*KBCSpaarrekData!$E$2:$E$400)</f>
        <v>0</v>
      </c>
      <c r="C39" s="5">
        <f t="array" aca="1" ref="C39" ca="1">SUM(IF(MONTH(KBCSpaarrekData!$C$2:$C$400)=MONTH(KBCSpaarrekSamenv!$A39),1,0)*IF(YEAR(KBCSpaarrekData!$C$2:$C$400)=YEAR(KBCSpaarrekSamenv!$A39),1,0)*IF(KBCSpaarrekData!$E$2:$E$400&gt;0,1,0)*KBCSpaarrekData!$E$2:$E$400)</f>
        <v>0</v>
      </c>
      <c r="D39" s="5">
        <f t="shared" si="0"/>
        <v>0</v>
      </c>
      <c r="E39" s="36">
        <f t="array" aca="1" ref="E39" ca="1">SUM((IF(MONTH(KBCSpaarrekData!$C$2:$C$400)=MONTH(KBCSpaarrekSamenv!$A39),1,0))*(IF(YEAR(KBCSpaarrekData!$C$2:$C$400)=YEAR(KBCSpaarrekSamenv!$A39),1,0))*KBCSpaarrekData!$E$2:$E$400)+$E38</f>
        <v>0</v>
      </c>
    </row>
    <row r="40" spans="1:5" outlineLevel="1">
      <c r="A40" s="10">
        <v>38261</v>
      </c>
      <c r="B40" s="5">
        <f t="array" aca="1" ref="B40" ca="1">SUM(IF(MONTH(KBCSpaarrekData!$C$2:$C$400)=MONTH(KBCSpaarrekSamenv!$A40),1,0)*IF(YEAR(KBCSpaarrekData!$C$2:$C$400)=YEAR(KBCSpaarrekSamenv!$A40),1,0)*IF(KBCSpaarrekData!$E$2:$E$400&lt;0,1,0)*KBCSpaarrekData!$E$2:$E$400)</f>
        <v>0</v>
      </c>
      <c r="C40" s="5">
        <f t="array" aca="1" ref="C40" ca="1">SUM(IF(MONTH(KBCSpaarrekData!$C$2:$C$400)=MONTH(KBCSpaarrekSamenv!$A40),1,0)*IF(YEAR(KBCSpaarrekData!$C$2:$C$400)=YEAR(KBCSpaarrekSamenv!$A40),1,0)*IF(KBCSpaarrekData!$E$2:$E$400&gt;0,1,0)*KBCSpaarrekData!$E$2:$E$400)</f>
        <v>0</v>
      </c>
      <c r="D40" s="5">
        <f t="shared" si="0"/>
        <v>0</v>
      </c>
      <c r="E40" s="36">
        <f t="array" aca="1" ref="E40" ca="1">SUM((IF(MONTH(KBCSpaarrekData!$C$2:$C$400)=MONTH(KBCSpaarrekSamenv!$A40),1,0))*(IF(YEAR(KBCSpaarrekData!$C$2:$C$400)=YEAR(KBCSpaarrekSamenv!$A40),1,0))*KBCSpaarrekData!$E$2:$E$400)+$E39</f>
        <v>0</v>
      </c>
    </row>
    <row r="41" spans="1:5" outlineLevel="1">
      <c r="A41" s="10">
        <v>38292</v>
      </c>
      <c r="B41" s="5">
        <f t="array" aca="1" ref="B41" ca="1">SUM(IF(MONTH(KBCSpaarrekData!$C$2:$C$400)=MONTH(KBCSpaarrekSamenv!$A41),1,0)*IF(YEAR(KBCSpaarrekData!$C$2:$C$400)=YEAR(KBCSpaarrekSamenv!$A41),1,0)*IF(KBCSpaarrekData!$E$2:$E$400&lt;0,1,0)*KBCSpaarrekData!$E$2:$E$400)</f>
        <v>0</v>
      </c>
      <c r="C41" s="5">
        <f t="array" aca="1" ref="C41" ca="1">SUM(IF(MONTH(KBCSpaarrekData!$C$2:$C$400)=MONTH(KBCSpaarrekSamenv!$A41),1,0)*IF(YEAR(KBCSpaarrekData!$C$2:$C$400)=YEAR(KBCSpaarrekSamenv!$A41),1,0)*IF(KBCSpaarrekData!$E$2:$E$400&gt;0,1,0)*KBCSpaarrekData!$E$2:$E$400)</f>
        <v>0</v>
      </c>
      <c r="D41" s="5">
        <f t="shared" si="0"/>
        <v>0</v>
      </c>
      <c r="E41" s="36">
        <f t="array" aca="1" ref="E41" ca="1">SUM((IF(MONTH(KBCSpaarrekData!$C$2:$C$400)=MONTH(KBCSpaarrekSamenv!$A41),1,0))*(IF(YEAR(KBCSpaarrekData!$C$2:$C$400)=YEAR(KBCSpaarrekSamenv!$A41),1,0))*KBCSpaarrekData!$E$2:$E$400)+$E40</f>
        <v>0</v>
      </c>
    </row>
    <row r="42" spans="1:5" outlineLevel="1">
      <c r="A42" s="10">
        <v>38322</v>
      </c>
      <c r="B42" s="5">
        <f t="array" aca="1" ref="B42" ca="1">SUM(IF(MONTH(KBCSpaarrekData!$C$2:$C$400)=MONTH(KBCSpaarrekSamenv!$A42),1,0)*IF(YEAR(KBCSpaarrekData!$C$2:$C$400)=YEAR(KBCSpaarrekSamenv!$A42),1,0)*IF(KBCSpaarrekData!$E$2:$E$400&lt;0,1,0)*KBCSpaarrekData!$E$2:$E$400)</f>
        <v>0</v>
      </c>
      <c r="C42" s="5">
        <f t="array" aca="1" ref="C42" ca="1">SUM(IF(MONTH(KBCSpaarrekData!$C$2:$C$400)=MONTH(KBCSpaarrekSamenv!$A42),1,0)*IF(YEAR(KBCSpaarrekData!$C$2:$C$400)=YEAR(KBCSpaarrekSamenv!$A42),1,0)*IF(KBCSpaarrekData!$E$2:$E$400&gt;0,1,0)*KBCSpaarrekData!$E$2:$E$400)</f>
        <v>0</v>
      </c>
      <c r="D42" s="5">
        <f t="shared" si="0"/>
        <v>0</v>
      </c>
      <c r="E42" s="36">
        <f t="array" aca="1" ref="E42" ca="1">SUM((IF(MONTH(KBCSpaarrekData!$C$2:$C$400)=MONTH(KBCSpaarrekSamenv!$A42),1,0))*(IF(YEAR(KBCSpaarrekData!$C$2:$C$400)=YEAR(KBCSpaarrekSamenv!$A42),1,0))*KBCSpaarrekData!$E$2:$E$400)+$E41</f>
        <v>0</v>
      </c>
    </row>
    <row r="43" spans="1:5" outlineLevel="1">
      <c r="A43" s="10">
        <v>38353</v>
      </c>
      <c r="B43" s="5">
        <f t="array" aca="1" ref="B43" ca="1">SUM(IF(MONTH(KBCSpaarrekData!$C$2:$C$400)=MONTH(KBCSpaarrekSamenv!$A43),1,0)*IF(YEAR(KBCSpaarrekData!$C$2:$C$400)=YEAR(KBCSpaarrekSamenv!$A43),1,0)*IF(KBCSpaarrekData!$E$2:$E$400&lt;0,1,0)*KBCSpaarrekData!$E$2:$E$400)</f>
        <v>0</v>
      </c>
      <c r="C43" s="5">
        <f t="array" aca="1" ref="C43" ca="1">SUM(IF(MONTH(KBCSpaarrekData!$C$2:$C$400)=MONTH(KBCSpaarrekSamenv!$A43),1,0)*IF(YEAR(KBCSpaarrekData!$C$2:$C$400)=YEAR(KBCSpaarrekSamenv!$A43),1,0)*IF(KBCSpaarrekData!$E$2:$E$400&gt;0,1,0)*KBCSpaarrekData!$E$2:$E$400)</f>
        <v>0</v>
      </c>
      <c r="D43" s="5">
        <f t="shared" si="0"/>
        <v>0</v>
      </c>
      <c r="E43" s="36">
        <f t="array" aca="1" ref="E43" ca="1">SUM((IF(MONTH(KBCSpaarrekData!$C$2:$C$400)=MONTH(KBCSpaarrekSamenv!$A43),1,0))*(IF(YEAR(KBCSpaarrekData!$C$2:$C$400)=YEAR(KBCSpaarrekSamenv!$A43),1,0))*KBCSpaarrekData!$E$2:$E$400)+$E42</f>
        <v>0</v>
      </c>
    </row>
    <row r="44" spans="1:5" outlineLevel="1">
      <c r="A44" s="10">
        <v>38384</v>
      </c>
      <c r="B44" s="5">
        <f t="array" aca="1" ref="B44" ca="1">SUM(IF(MONTH(KBCSpaarrekData!$C$2:$C$400)=MONTH(KBCSpaarrekSamenv!$A44),1,0)*IF(YEAR(KBCSpaarrekData!$C$2:$C$400)=YEAR(KBCSpaarrekSamenv!$A44),1,0)*IF(KBCSpaarrekData!$E$2:$E$400&lt;0,1,0)*KBCSpaarrekData!$E$2:$E$400)</f>
        <v>0</v>
      </c>
      <c r="C44" s="5">
        <f t="array" aca="1" ref="C44" ca="1">SUM(IF(MONTH(KBCSpaarrekData!$C$2:$C$400)=MONTH(KBCSpaarrekSamenv!$A44),1,0)*IF(YEAR(KBCSpaarrekData!$C$2:$C$400)=YEAR(KBCSpaarrekSamenv!$A44),1,0)*IF(KBCSpaarrekData!$E$2:$E$400&gt;0,1,0)*KBCSpaarrekData!$E$2:$E$400)</f>
        <v>0</v>
      </c>
      <c r="D44" s="5">
        <f t="shared" si="0"/>
        <v>0</v>
      </c>
      <c r="E44" s="36">
        <f t="array" aca="1" ref="E44" ca="1">SUM((IF(MONTH(KBCSpaarrekData!$C$2:$C$400)=MONTH(KBCSpaarrekSamenv!$A44),1,0))*(IF(YEAR(KBCSpaarrekData!$C$2:$C$400)=YEAR(KBCSpaarrekSamenv!$A44),1,0))*KBCSpaarrekData!$E$2:$E$400)+$E43</f>
        <v>0</v>
      </c>
    </row>
    <row r="45" spans="1:5" outlineLevel="1">
      <c r="A45" s="10">
        <v>38412</v>
      </c>
      <c r="B45" s="5">
        <f t="array" aca="1" ref="B45" ca="1">SUM(IF(MONTH(KBCSpaarrekData!$C$2:$C$400)=MONTH(KBCSpaarrekSamenv!$A45),1,0)*IF(YEAR(KBCSpaarrekData!$C$2:$C$400)=YEAR(KBCSpaarrekSamenv!$A45),1,0)*IF(KBCSpaarrekData!$E$2:$E$400&lt;0,1,0)*KBCSpaarrekData!$E$2:$E$400)</f>
        <v>0</v>
      </c>
      <c r="C45" s="5">
        <f t="array" aca="1" ref="C45" ca="1">SUM(IF(MONTH(KBCSpaarrekData!$C$2:$C$400)=MONTH(KBCSpaarrekSamenv!$A45),1,0)*IF(YEAR(KBCSpaarrekData!$C$2:$C$400)=YEAR(KBCSpaarrekSamenv!$A45),1,0)*IF(KBCSpaarrekData!$E$2:$E$400&gt;0,1,0)*KBCSpaarrekData!$E$2:$E$400)</f>
        <v>0</v>
      </c>
      <c r="D45" s="5">
        <f t="shared" si="0"/>
        <v>0</v>
      </c>
      <c r="E45" s="36">
        <f t="array" aca="1" ref="E45" ca="1">SUM((IF(MONTH(KBCSpaarrekData!$C$2:$C$400)=MONTH(KBCSpaarrekSamenv!$A45),1,0))*(IF(YEAR(KBCSpaarrekData!$C$2:$C$400)=YEAR(KBCSpaarrekSamenv!$A45),1,0))*KBCSpaarrekData!$E$2:$E$400)+$E44</f>
        <v>0</v>
      </c>
    </row>
    <row r="46" spans="1:5" outlineLevel="1">
      <c r="A46" s="10">
        <v>38443</v>
      </c>
      <c r="B46" s="5">
        <f t="array" aca="1" ref="B46" ca="1">SUM(IF(MONTH(KBCSpaarrekData!$C$2:$C$400)=MONTH(KBCSpaarrekSamenv!$A46),1,0)*IF(YEAR(KBCSpaarrekData!$C$2:$C$400)=YEAR(KBCSpaarrekSamenv!$A46),1,0)*IF(KBCSpaarrekData!$E$2:$E$400&lt;0,1,0)*KBCSpaarrekData!$E$2:$E$400)</f>
        <v>0</v>
      </c>
      <c r="C46" s="5">
        <f t="array" aca="1" ref="C46" ca="1">SUM(IF(MONTH(KBCSpaarrekData!$C$2:$C$400)=MONTH(KBCSpaarrekSamenv!$A46),1,0)*IF(YEAR(KBCSpaarrekData!$C$2:$C$400)=YEAR(KBCSpaarrekSamenv!$A46),1,0)*IF(KBCSpaarrekData!$E$2:$E$400&gt;0,1,0)*KBCSpaarrekData!$E$2:$E$400)</f>
        <v>0</v>
      </c>
      <c r="D46" s="5">
        <f t="shared" si="0"/>
        <v>0</v>
      </c>
      <c r="E46" s="36">
        <f t="array" aca="1" ref="E46" ca="1">SUM((IF(MONTH(KBCSpaarrekData!$C$2:$C$400)=MONTH(KBCSpaarrekSamenv!$A46),1,0))*(IF(YEAR(KBCSpaarrekData!$C$2:$C$400)=YEAR(KBCSpaarrekSamenv!$A46),1,0))*KBCSpaarrekData!$E$2:$E$400)+$E45</f>
        <v>0</v>
      </c>
    </row>
    <row r="47" spans="1:5" outlineLevel="1">
      <c r="A47" s="10">
        <v>38473</v>
      </c>
      <c r="B47" s="5">
        <f t="array" aca="1" ref="B47" ca="1">SUM(IF(MONTH(KBCSpaarrekData!$C$2:$C$400)=MONTH(KBCSpaarrekSamenv!$A47),1,0)*IF(YEAR(KBCSpaarrekData!$C$2:$C$400)=YEAR(KBCSpaarrekSamenv!$A47),1,0)*IF(KBCSpaarrekData!$E$2:$E$400&lt;0,1,0)*KBCSpaarrekData!$E$2:$E$400)</f>
        <v>0</v>
      </c>
      <c r="C47" s="5">
        <f t="array" aca="1" ref="C47" ca="1">SUM(IF(MONTH(KBCSpaarrekData!$C$2:$C$400)=MONTH(KBCSpaarrekSamenv!$A47),1,0)*IF(YEAR(KBCSpaarrekData!$C$2:$C$400)=YEAR(KBCSpaarrekSamenv!$A47),1,0)*IF(KBCSpaarrekData!$E$2:$E$400&gt;0,1,0)*KBCSpaarrekData!$E$2:$E$400)</f>
        <v>0</v>
      </c>
      <c r="D47" s="5">
        <f t="shared" si="0"/>
        <v>0</v>
      </c>
      <c r="E47" s="36">
        <f t="array" aca="1" ref="E47" ca="1">SUM((IF(MONTH(KBCSpaarrekData!$C$2:$C$400)=MONTH(KBCSpaarrekSamenv!$A47),1,0))*(IF(YEAR(KBCSpaarrekData!$C$2:$C$400)=YEAR(KBCSpaarrekSamenv!$A47),1,0))*KBCSpaarrekData!$E$2:$E$400)+$E46</f>
        <v>0</v>
      </c>
    </row>
    <row r="48" spans="1:5" outlineLevel="1">
      <c r="A48" s="10">
        <v>38504</v>
      </c>
      <c r="B48" s="5">
        <f t="array" aca="1" ref="B48" ca="1">SUM(IF(MONTH(KBCSpaarrekData!$C$2:$C$400)=MONTH(KBCSpaarrekSamenv!$A48),1,0)*IF(YEAR(KBCSpaarrekData!$C$2:$C$400)=YEAR(KBCSpaarrekSamenv!$A48),1,0)*IF(KBCSpaarrekData!$E$2:$E$400&lt;0,1,0)*KBCSpaarrekData!$E$2:$E$400)</f>
        <v>0</v>
      </c>
      <c r="C48" s="5">
        <f t="array" aca="1" ref="C48" ca="1">SUM(IF(MONTH(KBCSpaarrekData!$C$2:$C$400)=MONTH(KBCSpaarrekSamenv!$A48),1,0)*IF(YEAR(KBCSpaarrekData!$C$2:$C$400)=YEAR(KBCSpaarrekSamenv!$A48),1,0)*IF(KBCSpaarrekData!$E$2:$E$400&gt;0,1,0)*KBCSpaarrekData!$E$2:$E$400)</f>
        <v>0</v>
      </c>
      <c r="D48" s="5">
        <f t="shared" si="0"/>
        <v>0</v>
      </c>
      <c r="E48" s="36">
        <f t="array" aca="1" ref="E48" ca="1">SUM((IF(MONTH(KBCSpaarrekData!$C$2:$C$400)=MONTH(KBCSpaarrekSamenv!$A48),1,0))*(IF(YEAR(KBCSpaarrekData!$C$2:$C$400)=YEAR(KBCSpaarrekSamenv!$A48),1,0))*KBCSpaarrekData!$E$2:$E$400)+$E47</f>
        <v>0</v>
      </c>
    </row>
    <row r="49" spans="1:5" outlineLevel="1">
      <c r="A49" s="10">
        <v>38534</v>
      </c>
      <c r="B49" s="5">
        <f t="array" aca="1" ref="B49" ca="1">SUM(IF(MONTH(KBCSpaarrekData!$C$2:$C$400)=MONTH(KBCSpaarrekSamenv!$A49),1,0)*IF(YEAR(KBCSpaarrekData!$C$2:$C$400)=YEAR(KBCSpaarrekSamenv!$A49),1,0)*IF(KBCSpaarrekData!$E$2:$E$400&lt;0,1,0)*KBCSpaarrekData!$E$2:$E$400)</f>
        <v>0</v>
      </c>
      <c r="C49" s="5">
        <f t="array" aca="1" ref="C49" ca="1">SUM(IF(MONTH(KBCSpaarrekData!$C$2:$C$400)=MONTH(KBCSpaarrekSamenv!$A49),1,0)*IF(YEAR(KBCSpaarrekData!$C$2:$C$400)=YEAR(KBCSpaarrekSamenv!$A49),1,0)*IF(KBCSpaarrekData!$E$2:$E$400&gt;0,1,0)*KBCSpaarrekData!$E$2:$E$400)</f>
        <v>0</v>
      </c>
      <c r="D49" s="5">
        <f t="shared" si="0"/>
        <v>0</v>
      </c>
      <c r="E49" s="36">
        <f t="array" aca="1" ref="E49" ca="1">SUM((IF(MONTH(KBCSpaarrekData!$C$2:$C$400)=MONTH(KBCSpaarrekSamenv!$A49),1,0))*(IF(YEAR(KBCSpaarrekData!$C$2:$C$400)=YEAR(KBCSpaarrekSamenv!$A49),1,0))*KBCSpaarrekData!$E$2:$E$400)+$E48</f>
        <v>0</v>
      </c>
    </row>
    <row r="50" spans="1:5" outlineLevel="1">
      <c r="A50" s="10">
        <v>38565</v>
      </c>
      <c r="B50" s="5">
        <f t="array" aca="1" ref="B50" ca="1">SUM(IF(MONTH(KBCSpaarrekData!$C$2:$C$400)=MONTH(KBCSpaarrekSamenv!$A50),1,0)*IF(YEAR(KBCSpaarrekData!$C$2:$C$400)=YEAR(KBCSpaarrekSamenv!$A50),1,0)*IF(KBCSpaarrekData!$E$2:$E$400&lt;0,1,0)*KBCSpaarrekData!$E$2:$E$400)</f>
        <v>0</v>
      </c>
      <c r="C50" s="5">
        <f t="array" aca="1" ref="C50" ca="1">SUM(IF(MONTH(KBCSpaarrekData!$C$2:$C$400)=MONTH(KBCSpaarrekSamenv!$A50),1,0)*IF(YEAR(KBCSpaarrekData!$C$2:$C$400)=YEAR(KBCSpaarrekSamenv!$A50),1,0)*IF(KBCSpaarrekData!$E$2:$E$400&gt;0,1,0)*KBCSpaarrekData!$E$2:$E$400)</f>
        <v>0</v>
      </c>
      <c r="D50" s="5">
        <f t="shared" si="0"/>
        <v>0</v>
      </c>
      <c r="E50" s="36">
        <f t="array" aca="1" ref="E50" ca="1">SUM((IF(MONTH(KBCSpaarrekData!$C$2:$C$400)=MONTH(KBCSpaarrekSamenv!$A50),1,0))*(IF(YEAR(KBCSpaarrekData!$C$2:$C$400)=YEAR(KBCSpaarrekSamenv!$A50),1,0))*KBCSpaarrekData!$E$2:$E$400)+$E49</f>
        <v>0</v>
      </c>
    </row>
    <row r="51" spans="1:5" outlineLevel="1">
      <c r="A51" s="10">
        <v>38596</v>
      </c>
      <c r="B51" s="5">
        <f t="array" aca="1" ref="B51" ca="1">SUM(IF(MONTH(KBCSpaarrekData!$C$2:$C$400)=MONTH(KBCSpaarrekSamenv!$A51),1,0)*IF(YEAR(KBCSpaarrekData!$C$2:$C$400)=YEAR(KBCSpaarrekSamenv!$A51),1,0)*IF(KBCSpaarrekData!$E$2:$E$400&lt;0,1,0)*KBCSpaarrekData!$E$2:$E$400)</f>
        <v>0</v>
      </c>
      <c r="C51" s="5">
        <f t="array" aca="1" ref="C51" ca="1">SUM(IF(MONTH(KBCSpaarrekData!$C$2:$C$400)=MONTH(KBCSpaarrekSamenv!$A51),1,0)*IF(YEAR(KBCSpaarrekData!$C$2:$C$400)=YEAR(KBCSpaarrekSamenv!$A51),1,0)*IF(KBCSpaarrekData!$E$2:$E$400&gt;0,1,0)*KBCSpaarrekData!$E$2:$E$400)</f>
        <v>0</v>
      </c>
      <c r="D51" s="5">
        <f t="shared" si="0"/>
        <v>0</v>
      </c>
      <c r="E51" s="36">
        <f t="array" aca="1" ref="E51" ca="1">SUM((IF(MONTH(KBCSpaarrekData!$C$2:$C$400)=MONTH(KBCSpaarrekSamenv!$A51),1,0))*(IF(YEAR(KBCSpaarrekData!$C$2:$C$400)=YEAR(KBCSpaarrekSamenv!$A51),1,0))*KBCSpaarrekData!$E$2:$E$400)+$E50</f>
        <v>0</v>
      </c>
    </row>
    <row r="52" spans="1:5" outlineLevel="1">
      <c r="A52" s="10">
        <v>38626</v>
      </c>
      <c r="B52" s="5">
        <f t="array" aca="1" ref="B52" ca="1">SUM(IF(MONTH(KBCSpaarrekData!$C$2:$C$400)=MONTH(KBCSpaarrekSamenv!$A52),1,0)*IF(YEAR(KBCSpaarrekData!$C$2:$C$400)=YEAR(KBCSpaarrekSamenv!$A52),1,0)*IF(KBCSpaarrekData!$E$2:$E$400&lt;0,1,0)*KBCSpaarrekData!$E$2:$E$400)</f>
        <v>0</v>
      </c>
      <c r="C52" s="5">
        <f t="array" aca="1" ref="C52" ca="1">SUM(IF(MONTH(KBCSpaarrekData!$C$2:$C$400)=MONTH(KBCSpaarrekSamenv!$A52),1,0)*IF(YEAR(KBCSpaarrekData!$C$2:$C$400)=YEAR(KBCSpaarrekSamenv!$A52),1,0)*IF(KBCSpaarrekData!$E$2:$E$400&gt;0,1,0)*KBCSpaarrekData!$E$2:$E$400)</f>
        <v>0</v>
      </c>
      <c r="D52" s="5">
        <f t="shared" si="0"/>
        <v>0</v>
      </c>
      <c r="E52" s="36">
        <f t="array" aca="1" ref="E52" ca="1">SUM((IF(MONTH(KBCSpaarrekData!$C$2:$C$400)=MONTH(KBCSpaarrekSamenv!$A52),1,0))*(IF(YEAR(KBCSpaarrekData!$C$2:$C$400)=YEAR(KBCSpaarrekSamenv!$A52),1,0))*KBCSpaarrekData!$E$2:$E$400)+$E51</f>
        <v>0</v>
      </c>
    </row>
    <row r="53" spans="1:5" outlineLevel="1">
      <c r="A53" s="10">
        <v>38657</v>
      </c>
      <c r="B53" s="5">
        <f t="array" aca="1" ref="B53" ca="1">SUM(IF(MONTH(KBCSpaarrekData!$C$2:$C$400)=MONTH(KBCSpaarrekSamenv!$A53),1,0)*IF(YEAR(KBCSpaarrekData!$C$2:$C$400)=YEAR(KBCSpaarrekSamenv!$A53),1,0)*IF(KBCSpaarrekData!$E$2:$E$400&lt;0,1,0)*KBCSpaarrekData!$E$2:$E$400)</f>
        <v>0</v>
      </c>
      <c r="C53" s="5">
        <f t="array" aca="1" ref="C53" ca="1">SUM(IF(MONTH(KBCSpaarrekData!$C$2:$C$400)=MONTH(KBCSpaarrekSamenv!$A53),1,0)*IF(YEAR(KBCSpaarrekData!$C$2:$C$400)=YEAR(KBCSpaarrekSamenv!$A53),1,0)*IF(KBCSpaarrekData!$E$2:$E$400&gt;0,1,0)*KBCSpaarrekData!$E$2:$E$400)</f>
        <v>0</v>
      </c>
      <c r="D53" s="5">
        <f t="shared" si="0"/>
        <v>0</v>
      </c>
      <c r="E53" s="36">
        <f t="array" aca="1" ref="E53" ca="1">SUM((IF(MONTH(KBCSpaarrekData!$C$2:$C$400)=MONTH(KBCSpaarrekSamenv!$A53),1,0))*(IF(YEAR(KBCSpaarrekData!$C$2:$C$400)=YEAR(KBCSpaarrekSamenv!$A53),1,0))*KBCSpaarrekData!$E$2:$E$400)+$E52</f>
        <v>0</v>
      </c>
    </row>
    <row r="54" spans="1:5" outlineLevel="1">
      <c r="A54" s="10">
        <v>38687</v>
      </c>
      <c r="B54" s="5">
        <f t="array" aca="1" ref="B54" ca="1">SUM(IF(MONTH(KBCSpaarrekData!$C$2:$C$400)=MONTH(KBCSpaarrekSamenv!$A54),1,0)*IF(YEAR(KBCSpaarrekData!$C$2:$C$400)=YEAR(KBCSpaarrekSamenv!$A54),1,0)*IF(KBCSpaarrekData!$E$2:$E$400&lt;0,1,0)*KBCSpaarrekData!$E$2:$E$400)</f>
        <v>0</v>
      </c>
      <c r="C54" s="5">
        <f t="array" aca="1" ref="C54" ca="1">SUM(IF(MONTH(KBCSpaarrekData!$C$2:$C$400)=MONTH(KBCSpaarrekSamenv!$A54),1,0)*IF(YEAR(KBCSpaarrekData!$C$2:$C$400)=YEAR(KBCSpaarrekSamenv!$A54),1,0)*IF(KBCSpaarrekData!$E$2:$E$400&gt;0,1,0)*KBCSpaarrekData!$E$2:$E$400)</f>
        <v>0</v>
      </c>
      <c r="D54" s="5">
        <f t="shared" si="0"/>
        <v>0</v>
      </c>
      <c r="E54" s="36">
        <f t="array" aca="1" ref="E54" ca="1">SUM((IF(MONTH(KBCSpaarrekData!$C$2:$C$400)=MONTH(KBCSpaarrekSamenv!$A54),1,0))*(IF(YEAR(KBCSpaarrekData!$C$2:$C$400)=YEAR(KBCSpaarrekSamenv!$A54),1,0))*KBCSpaarrekData!$E$2:$E$400)+$E53</f>
        <v>0</v>
      </c>
    </row>
    <row r="55" spans="1:5" outlineLevel="1">
      <c r="A55" s="10">
        <v>38718</v>
      </c>
      <c r="B55" s="5">
        <f t="array" aca="1" ref="B55" ca="1">SUM(IF(MONTH(KBCSpaarrekData!$C$2:$C$400)=MONTH(KBCSpaarrekSamenv!$A55),1,0)*IF(YEAR(KBCSpaarrekData!$C$2:$C$400)=YEAR(KBCSpaarrekSamenv!$A55),1,0)*IF(KBCSpaarrekData!$E$2:$E$400&lt;0,1,0)*KBCSpaarrekData!$E$2:$E$400)</f>
        <v>0</v>
      </c>
      <c r="C55" s="5">
        <f t="array" aca="1" ref="C55" ca="1">SUM(IF(MONTH(KBCSpaarrekData!$C$2:$C$400)=MONTH(KBCSpaarrekSamenv!$A55),1,0)*IF(YEAR(KBCSpaarrekData!$C$2:$C$400)=YEAR(KBCSpaarrekSamenv!$A55),1,0)*IF(KBCSpaarrekData!$E$2:$E$400&gt;0,1,0)*KBCSpaarrekData!$E$2:$E$400)</f>
        <v>0</v>
      </c>
      <c r="D55" s="5">
        <f t="shared" si="0"/>
        <v>0</v>
      </c>
      <c r="E55" s="36">
        <f t="array" aca="1" ref="E55" ca="1">SUM((IF(MONTH(KBCSpaarrekData!$C$2:$C$400)=MONTH(KBCSpaarrekSamenv!$A55),1,0))*(IF(YEAR(KBCSpaarrekData!$C$2:$C$400)=YEAR(KBCSpaarrekSamenv!$A55),1,0))*KBCSpaarrekData!$E$2:$E$400)+$E54</f>
        <v>0</v>
      </c>
    </row>
    <row r="56" spans="1:5" outlineLevel="1">
      <c r="A56" s="10">
        <v>38749</v>
      </c>
      <c r="B56" s="5">
        <f t="array" aca="1" ref="B56" ca="1">SUM(IF(MONTH(KBCSpaarrekData!$C$2:$C$400)=MONTH(KBCSpaarrekSamenv!$A56),1,0)*IF(YEAR(KBCSpaarrekData!$C$2:$C$400)=YEAR(KBCSpaarrekSamenv!$A56),1,0)*IF(KBCSpaarrekData!$E$2:$E$400&lt;0,1,0)*KBCSpaarrekData!$E$2:$E$400)</f>
        <v>0</v>
      </c>
      <c r="C56" s="5">
        <f t="array" aca="1" ref="C56" ca="1">SUM(IF(MONTH(KBCSpaarrekData!$C$2:$C$400)=MONTH(KBCSpaarrekSamenv!$A56),1,0)*IF(YEAR(KBCSpaarrekData!$C$2:$C$400)=YEAR(KBCSpaarrekSamenv!$A56),1,0)*IF(KBCSpaarrekData!$E$2:$E$400&gt;0,1,0)*KBCSpaarrekData!$E$2:$E$400)</f>
        <v>0</v>
      </c>
      <c r="D56" s="5">
        <f t="shared" si="0"/>
        <v>0</v>
      </c>
      <c r="E56" s="36">
        <f t="array" aca="1" ref="E56" ca="1">SUM((IF(MONTH(KBCSpaarrekData!$C$2:$C$400)=MONTH(KBCSpaarrekSamenv!$A56),1,0))*(IF(YEAR(KBCSpaarrekData!$C$2:$C$400)=YEAR(KBCSpaarrekSamenv!$A56),1,0))*KBCSpaarrekData!$E$2:$E$400)+$E55</f>
        <v>0</v>
      </c>
    </row>
    <row r="57" spans="1:5" outlineLevel="1">
      <c r="A57" s="10">
        <v>38777</v>
      </c>
      <c r="B57" s="5">
        <f t="array" aca="1" ref="B57" ca="1">SUM(IF(MONTH(KBCSpaarrekData!$C$2:$C$400)=MONTH(KBCSpaarrekSamenv!$A57),1,0)*IF(YEAR(KBCSpaarrekData!$C$2:$C$400)=YEAR(KBCSpaarrekSamenv!$A57),1,0)*IF(KBCSpaarrekData!$E$2:$E$400&lt;0,1,0)*KBCSpaarrekData!$E$2:$E$400)</f>
        <v>0</v>
      </c>
      <c r="C57" s="5">
        <f t="array" aca="1" ref="C57" ca="1">SUM(IF(MONTH(KBCSpaarrekData!$C$2:$C$400)=MONTH(KBCSpaarrekSamenv!$A57),1,0)*IF(YEAR(KBCSpaarrekData!$C$2:$C$400)=YEAR(KBCSpaarrekSamenv!$A57),1,0)*IF(KBCSpaarrekData!$E$2:$E$400&gt;0,1,0)*KBCSpaarrekData!$E$2:$E$400)</f>
        <v>0</v>
      </c>
      <c r="D57" s="5">
        <f t="shared" si="0"/>
        <v>0</v>
      </c>
      <c r="E57" s="36">
        <f t="array" aca="1" ref="E57" ca="1">SUM((IF(MONTH(KBCSpaarrekData!$C$2:$C$400)=MONTH(KBCSpaarrekSamenv!$A57),1,0))*(IF(YEAR(KBCSpaarrekData!$C$2:$C$400)=YEAR(KBCSpaarrekSamenv!$A57),1,0))*KBCSpaarrekData!$E$2:$E$400)+$E56</f>
        <v>0</v>
      </c>
    </row>
    <row r="58" spans="1:5" outlineLevel="1">
      <c r="A58" s="10">
        <v>38808</v>
      </c>
      <c r="B58" s="5">
        <f t="array" aca="1" ref="B58" ca="1">SUM(IF(MONTH(KBCSpaarrekData!$C$2:$C$400)=MONTH(KBCSpaarrekSamenv!$A58),1,0)*IF(YEAR(KBCSpaarrekData!$C$2:$C$400)=YEAR(KBCSpaarrekSamenv!$A58),1,0)*IF(KBCSpaarrekData!$E$2:$E$400&lt;0,1,0)*KBCSpaarrekData!$E$2:$E$400)</f>
        <v>0</v>
      </c>
      <c r="C58" s="5">
        <f t="array" aca="1" ref="C58" ca="1">SUM(IF(MONTH(KBCSpaarrekData!$C$2:$C$400)=MONTH(KBCSpaarrekSamenv!$A58),1,0)*IF(YEAR(KBCSpaarrekData!$C$2:$C$400)=YEAR(KBCSpaarrekSamenv!$A58),1,0)*IF(KBCSpaarrekData!$E$2:$E$400&gt;0,1,0)*KBCSpaarrekData!$E$2:$E$400)</f>
        <v>0</v>
      </c>
      <c r="D58" s="5">
        <f t="shared" si="0"/>
        <v>0</v>
      </c>
      <c r="E58" s="36">
        <f t="array" aca="1" ref="E58" ca="1">SUM((IF(MONTH(KBCSpaarrekData!$C$2:$C$400)=MONTH(KBCSpaarrekSamenv!$A58),1,0))*(IF(YEAR(KBCSpaarrekData!$C$2:$C$400)=YEAR(KBCSpaarrekSamenv!$A58),1,0))*KBCSpaarrekData!$E$2:$E$400)+$E57</f>
        <v>0</v>
      </c>
    </row>
    <row r="59" spans="1:5" outlineLevel="1">
      <c r="A59" s="10">
        <v>38838</v>
      </c>
      <c r="B59" s="5">
        <f t="array" aca="1" ref="B59" ca="1">SUM(IF(MONTH(KBCSpaarrekData!$C$2:$C$400)=MONTH(KBCSpaarrekSamenv!$A59),1,0)*IF(YEAR(KBCSpaarrekData!$C$2:$C$400)=YEAR(KBCSpaarrekSamenv!$A59),1,0)*IF(KBCSpaarrekData!$E$2:$E$400&lt;0,1,0)*KBCSpaarrekData!$E$2:$E$400)</f>
        <v>0</v>
      </c>
      <c r="C59" s="5">
        <f t="array" aca="1" ref="C59" ca="1">SUM(IF(MONTH(KBCSpaarrekData!$C$2:$C$400)=MONTH(KBCSpaarrekSamenv!$A59),1,0)*IF(YEAR(KBCSpaarrekData!$C$2:$C$400)=YEAR(KBCSpaarrekSamenv!$A59),1,0)*IF(KBCSpaarrekData!$E$2:$E$400&gt;0,1,0)*KBCSpaarrekData!$E$2:$E$400)</f>
        <v>0</v>
      </c>
      <c r="D59" s="5">
        <f t="shared" si="0"/>
        <v>0</v>
      </c>
      <c r="E59" s="36">
        <f t="array" aca="1" ref="E59" ca="1">SUM((IF(MONTH(KBCSpaarrekData!$C$2:$C$400)=MONTH(KBCSpaarrekSamenv!$A59),1,0))*(IF(YEAR(KBCSpaarrekData!$C$2:$C$400)=YEAR(KBCSpaarrekSamenv!$A59),1,0))*KBCSpaarrekData!$E$2:$E$400)+$E58</f>
        <v>0</v>
      </c>
    </row>
    <row r="60" spans="1:5" outlineLevel="1">
      <c r="A60" s="10">
        <v>38869</v>
      </c>
      <c r="B60" s="5">
        <f t="array" aca="1" ref="B60" ca="1">SUM(IF(MONTH(KBCSpaarrekData!$C$2:$C$400)=MONTH(KBCSpaarrekSamenv!$A60),1,0)*IF(YEAR(KBCSpaarrekData!$C$2:$C$400)=YEAR(KBCSpaarrekSamenv!$A60),1,0)*IF(KBCSpaarrekData!$E$2:$E$400&lt;0,1,0)*KBCSpaarrekData!$E$2:$E$400)</f>
        <v>0</v>
      </c>
      <c r="C60" s="5">
        <f t="array" aca="1" ref="C60" ca="1">SUM(IF(MONTH(KBCSpaarrekData!$C$2:$C$400)=MONTH(KBCSpaarrekSamenv!$A60),1,0)*IF(YEAR(KBCSpaarrekData!$C$2:$C$400)=YEAR(KBCSpaarrekSamenv!$A60),1,0)*IF(KBCSpaarrekData!$E$2:$E$400&gt;0,1,0)*KBCSpaarrekData!$E$2:$E$400)</f>
        <v>0</v>
      </c>
      <c r="D60" s="5">
        <f t="shared" si="0"/>
        <v>0</v>
      </c>
      <c r="E60" s="36">
        <f t="array" aca="1" ref="E60" ca="1">SUM((IF(MONTH(KBCSpaarrekData!$C$2:$C$400)=MONTH(KBCSpaarrekSamenv!$A60),1,0))*(IF(YEAR(KBCSpaarrekData!$C$2:$C$400)=YEAR(KBCSpaarrekSamenv!$A60),1,0))*KBCSpaarrekData!$E$2:$E$400)+$E59</f>
        <v>0</v>
      </c>
    </row>
    <row r="61" spans="1:5" outlineLevel="1">
      <c r="A61" s="10">
        <v>38899</v>
      </c>
      <c r="B61" s="5">
        <f t="array" aca="1" ref="B61" ca="1">SUM(IF(MONTH(KBCSpaarrekData!$C$2:$C$400)=MONTH(KBCSpaarrekSamenv!$A61),1,0)*IF(YEAR(KBCSpaarrekData!$C$2:$C$400)=YEAR(KBCSpaarrekSamenv!$A61),1,0)*IF(KBCSpaarrekData!$E$2:$E$400&lt;0,1,0)*KBCSpaarrekData!$E$2:$E$400)</f>
        <v>0</v>
      </c>
      <c r="C61" s="5">
        <f t="array" aca="1" ref="C61" ca="1">SUM(IF(MONTH(KBCSpaarrekData!$C$2:$C$400)=MONTH(KBCSpaarrekSamenv!$A61),1,0)*IF(YEAR(KBCSpaarrekData!$C$2:$C$400)=YEAR(KBCSpaarrekSamenv!$A61),1,0)*IF(KBCSpaarrekData!$E$2:$E$400&gt;0,1,0)*KBCSpaarrekData!$E$2:$E$400)</f>
        <v>0</v>
      </c>
      <c r="D61" s="5">
        <f t="shared" si="0"/>
        <v>0</v>
      </c>
      <c r="E61" s="36">
        <f t="array" aca="1" ref="E61" ca="1">SUM((IF(MONTH(KBCSpaarrekData!$C$2:$C$400)=MONTH(KBCSpaarrekSamenv!$A61),1,0))*(IF(YEAR(KBCSpaarrekData!$C$2:$C$400)=YEAR(KBCSpaarrekSamenv!$A61),1,0))*KBCSpaarrekData!$E$2:$E$400)+$E60</f>
        <v>0</v>
      </c>
    </row>
    <row r="62" spans="1:5" outlineLevel="1">
      <c r="A62" s="10">
        <v>38930</v>
      </c>
      <c r="B62" s="5">
        <f t="array" aca="1" ref="B62" ca="1">SUM(IF(MONTH(KBCSpaarrekData!$C$2:$C$400)=MONTH(KBCSpaarrekSamenv!$A62),1,0)*IF(YEAR(KBCSpaarrekData!$C$2:$C$400)=YEAR(KBCSpaarrekSamenv!$A62),1,0)*IF(KBCSpaarrekData!$E$2:$E$400&lt;0,1,0)*KBCSpaarrekData!$E$2:$E$400)</f>
        <v>0</v>
      </c>
      <c r="C62" s="5">
        <f t="array" aca="1" ref="C62" ca="1">SUM(IF(MONTH(KBCSpaarrekData!$C$2:$C$400)=MONTH(KBCSpaarrekSamenv!$A62),1,0)*IF(YEAR(KBCSpaarrekData!$C$2:$C$400)=YEAR(KBCSpaarrekSamenv!$A62),1,0)*IF(KBCSpaarrekData!$E$2:$E$400&gt;0,1,0)*KBCSpaarrekData!$E$2:$E$400)</f>
        <v>0</v>
      </c>
      <c r="D62" s="5">
        <f t="shared" si="0"/>
        <v>0</v>
      </c>
      <c r="E62" s="36">
        <f t="array" aca="1" ref="E62" ca="1">SUM((IF(MONTH(KBCSpaarrekData!$C$2:$C$400)=MONTH(KBCSpaarrekSamenv!$A62),1,0))*(IF(YEAR(KBCSpaarrekData!$C$2:$C$400)=YEAR(KBCSpaarrekSamenv!$A62),1,0))*KBCSpaarrekData!$E$2:$E$400)+$E61</f>
        <v>0</v>
      </c>
    </row>
    <row r="63" spans="1:5" outlineLevel="1">
      <c r="A63" s="10">
        <v>38961</v>
      </c>
      <c r="B63" s="5">
        <f t="array" aca="1" ref="B63" ca="1">SUM(IF(MONTH(KBCSpaarrekData!$C$2:$C$400)=MONTH(KBCSpaarrekSamenv!$A63),1,0)*IF(YEAR(KBCSpaarrekData!$C$2:$C$400)=YEAR(KBCSpaarrekSamenv!$A63),1,0)*IF(KBCSpaarrekData!$E$2:$E$400&lt;0,1,0)*KBCSpaarrekData!$E$2:$E$400)</f>
        <v>0</v>
      </c>
      <c r="C63" s="5">
        <f t="array" aca="1" ref="C63" ca="1">SUM(IF(MONTH(KBCSpaarrekData!$C$2:$C$400)=MONTH(KBCSpaarrekSamenv!$A63),1,0)*IF(YEAR(KBCSpaarrekData!$C$2:$C$400)=YEAR(KBCSpaarrekSamenv!$A63),1,0)*IF(KBCSpaarrekData!$E$2:$E$400&gt;0,1,0)*KBCSpaarrekData!$E$2:$E$400)</f>
        <v>0</v>
      </c>
      <c r="D63" s="5">
        <f t="shared" si="0"/>
        <v>0</v>
      </c>
      <c r="E63" s="36">
        <f t="array" aca="1" ref="E63" ca="1">SUM((IF(MONTH(KBCSpaarrekData!$C$2:$C$400)=MONTH(KBCSpaarrekSamenv!$A63),1,0))*(IF(YEAR(KBCSpaarrekData!$C$2:$C$400)=YEAR(KBCSpaarrekSamenv!$A63),1,0))*KBCSpaarrekData!$E$2:$E$400)+$E62</f>
        <v>0</v>
      </c>
    </row>
    <row r="64" spans="1:5" outlineLevel="1">
      <c r="A64" s="10">
        <v>38991</v>
      </c>
      <c r="B64" s="5">
        <f t="array" aca="1" ref="B64" ca="1">SUM(IF(MONTH(KBCSpaarrekData!$C$2:$C$400)=MONTH(KBCSpaarrekSamenv!$A64),1,0)*IF(YEAR(KBCSpaarrekData!$C$2:$C$400)=YEAR(KBCSpaarrekSamenv!$A64),1,0)*IF(KBCSpaarrekData!$E$2:$E$400&lt;0,1,0)*KBCSpaarrekData!$E$2:$E$400)</f>
        <v>0</v>
      </c>
      <c r="C64" s="5">
        <f t="array" aca="1" ref="C64" ca="1">SUM(IF(MONTH(KBCSpaarrekData!$C$2:$C$400)=MONTH(KBCSpaarrekSamenv!$A64),1,0)*IF(YEAR(KBCSpaarrekData!$C$2:$C$400)=YEAR(KBCSpaarrekSamenv!$A64),1,0)*IF(KBCSpaarrekData!$E$2:$E$400&gt;0,1,0)*KBCSpaarrekData!$E$2:$E$400)</f>
        <v>0</v>
      </c>
      <c r="D64" s="5">
        <f t="shared" si="0"/>
        <v>0</v>
      </c>
      <c r="E64" s="36">
        <f t="array" aca="1" ref="E64" ca="1">SUM((IF(MONTH(KBCSpaarrekData!$C$2:$C$400)=MONTH(KBCSpaarrekSamenv!$A64),1,0))*(IF(YEAR(KBCSpaarrekData!$C$2:$C$400)=YEAR(KBCSpaarrekSamenv!$A64),1,0))*KBCSpaarrekData!$E$2:$E$400)+$E63</f>
        <v>0</v>
      </c>
    </row>
    <row r="65" spans="1:5" outlineLevel="1">
      <c r="A65" s="10">
        <v>39022</v>
      </c>
      <c r="B65" s="5">
        <f t="array" aca="1" ref="B65" ca="1">SUM(IF(MONTH(KBCSpaarrekData!$C$2:$C$400)=MONTH(KBCSpaarrekSamenv!$A65),1,0)*IF(YEAR(KBCSpaarrekData!$C$2:$C$400)=YEAR(KBCSpaarrekSamenv!$A65),1,0)*IF(KBCSpaarrekData!$E$2:$E$400&lt;0,1,0)*KBCSpaarrekData!$E$2:$E$400)</f>
        <v>0</v>
      </c>
      <c r="C65" s="5">
        <f t="array" aca="1" ref="C65" ca="1">SUM(IF(MONTH(KBCSpaarrekData!$C$2:$C$400)=MONTH(KBCSpaarrekSamenv!$A65),1,0)*IF(YEAR(KBCSpaarrekData!$C$2:$C$400)=YEAR(KBCSpaarrekSamenv!$A65),1,0)*IF(KBCSpaarrekData!$E$2:$E$400&gt;0,1,0)*KBCSpaarrekData!$E$2:$E$400)</f>
        <v>0</v>
      </c>
      <c r="D65" s="5">
        <f t="shared" si="0"/>
        <v>0</v>
      </c>
      <c r="E65" s="36">
        <f t="array" aca="1" ref="E65" ca="1">SUM((IF(MONTH(KBCSpaarrekData!$C$2:$C$400)=MONTH(KBCSpaarrekSamenv!$A65),1,0))*(IF(YEAR(KBCSpaarrekData!$C$2:$C$400)=YEAR(KBCSpaarrekSamenv!$A65),1,0))*KBCSpaarrekData!$E$2:$E$400)+$E64</f>
        <v>0</v>
      </c>
    </row>
    <row r="66" spans="1:5" outlineLevel="1">
      <c r="A66" s="10">
        <v>39052</v>
      </c>
      <c r="B66" s="5">
        <f t="array" aca="1" ref="B66" ca="1">SUM(IF(MONTH(KBCSpaarrekData!$C$2:$C$400)=MONTH(KBCSpaarrekSamenv!$A66),1,0)*IF(YEAR(KBCSpaarrekData!$C$2:$C$400)=YEAR(KBCSpaarrekSamenv!$A66),1,0)*IF(KBCSpaarrekData!$E$2:$E$400&lt;0,1,0)*KBCSpaarrekData!$E$2:$E$400)</f>
        <v>0</v>
      </c>
      <c r="C66" s="5">
        <f t="array" aca="1" ref="C66" ca="1">SUM(IF(MONTH(KBCSpaarrekData!$C$2:$C$400)=MONTH(KBCSpaarrekSamenv!$A66),1,0)*IF(YEAR(KBCSpaarrekData!$C$2:$C$400)=YEAR(KBCSpaarrekSamenv!$A66),1,0)*IF(KBCSpaarrekData!$E$2:$E$400&gt;0,1,0)*KBCSpaarrekData!$E$2:$E$400)</f>
        <v>0</v>
      </c>
      <c r="D66" s="5">
        <f t="shared" si="0"/>
        <v>0</v>
      </c>
      <c r="E66" s="36">
        <f t="array" aca="1" ref="E66" ca="1">SUM((IF(MONTH(KBCSpaarrekData!$C$2:$C$400)=MONTH(KBCSpaarrekSamenv!$A66),1,0))*(IF(YEAR(KBCSpaarrekData!$C$2:$C$400)=YEAR(KBCSpaarrekSamenv!$A66),1,0))*KBCSpaarrekData!$E$2:$E$400)+$E65</f>
        <v>0</v>
      </c>
    </row>
    <row r="67" spans="1:5" outlineLevel="1">
      <c r="A67" s="10">
        <v>39083</v>
      </c>
      <c r="B67" s="5">
        <f t="array" aca="1" ref="B67" ca="1">SUM(IF(MONTH(KBCSpaarrekData!$C$2:$C$400)=MONTH(KBCSpaarrekSamenv!$A67),1,0)*IF(YEAR(KBCSpaarrekData!$C$2:$C$400)=YEAR(KBCSpaarrekSamenv!$A67),1,0)*IF(KBCSpaarrekData!$E$2:$E$400&lt;0,1,0)*KBCSpaarrekData!$E$2:$E$400)</f>
        <v>0</v>
      </c>
      <c r="C67" s="5">
        <f t="array" aca="1" ref="C67" ca="1">SUM(IF(MONTH(KBCSpaarrekData!$C$2:$C$400)=MONTH(KBCSpaarrekSamenv!$A67),1,0)*IF(YEAR(KBCSpaarrekData!$C$2:$C$400)=YEAR(KBCSpaarrekSamenv!$A67),1,0)*IF(KBCSpaarrekData!$E$2:$E$400&gt;0,1,0)*KBCSpaarrekData!$E$2:$E$400)</f>
        <v>0</v>
      </c>
      <c r="D67" s="5">
        <f t="shared" si="0"/>
        <v>0</v>
      </c>
      <c r="E67" s="36">
        <f t="array" aca="1" ref="E67" ca="1">SUM((IF(MONTH(KBCSpaarrekData!$C$2:$C$400)=MONTH(KBCSpaarrekSamenv!$A67),1,0))*(IF(YEAR(KBCSpaarrekData!$C$2:$C$400)=YEAR(KBCSpaarrekSamenv!$A67),1,0))*KBCSpaarrekData!$E$2:$E$400)+$E66</f>
        <v>0</v>
      </c>
    </row>
    <row r="68" spans="1:5" outlineLevel="1">
      <c r="A68" s="10">
        <v>39114</v>
      </c>
      <c r="B68" s="5">
        <f t="array" aca="1" ref="B68" ca="1">SUM(IF(MONTH(KBCSpaarrekData!$C$2:$C$400)=MONTH(KBCSpaarrekSamenv!$A68),1,0)*IF(YEAR(KBCSpaarrekData!$C$2:$C$400)=YEAR(KBCSpaarrekSamenv!$A68),1,0)*IF(KBCSpaarrekData!$E$2:$E$400&lt;0,1,0)*KBCSpaarrekData!$E$2:$E$400)</f>
        <v>0</v>
      </c>
      <c r="C68" s="5">
        <f t="array" aca="1" ref="C68" ca="1">SUM(IF(MONTH(KBCSpaarrekData!$C$2:$C$400)=MONTH(KBCSpaarrekSamenv!$A68),1,0)*IF(YEAR(KBCSpaarrekData!$C$2:$C$400)=YEAR(KBCSpaarrekSamenv!$A68),1,0)*IF(KBCSpaarrekData!$E$2:$E$400&gt;0,1,0)*KBCSpaarrekData!$E$2:$E$400)</f>
        <v>0</v>
      </c>
      <c r="D68" s="5">
        <f t="shared" si="0"/>
        <v>0</v>
      </c>
      <c r="E68" s="36">
        <f t="array" aca="1" ref="E68" ca="1">SUM((IF(MONTH(KBCSpaarrekData!$C$2:$C$400)=MONTH(KBCSpaarrekSamenv!$A68),1,0))*(IF(YEAR(KBCSpaarrekData!$C$2:$C$400)=YEAR(KBCSpaarrekSamenv!$A68),1,0))*KBCSpaarrekData!$E$2:$E$400)+$E67</f>
        <v>0</v>
      </c>
    </row>
    <row r="69" spans="1:5" outlineLevel="1">
      <c r="A69" s="10">
        <v>39142</v>
      </c>
      <c r="B69" s="5">
        <f t="array" aca="1" ref="B69" ca="1">SUM(IF(MONTH(KBCSpaarrekData!$C$2:$C$400)=MONTH(KBCSpaarrekSamenv!$A69),1,0)*IF(YEAR(KBCSpaarrekData!$C$2:$C$400)=YEAR(KBCSpaarrekSamenv!$A69),1,0)*IF(KBCSpaarrekData!$E$2:$E$400&lt;0,1,0)*KBCSpaarrekData!$E$2:$E$400)</f>
        <v>0</v>
      </c>
      <c r="C69" s="5">
        <f t="array" aca="1" ref="C69" ca="1">SUM(IF(MONTH(KBCSpaarrekData!$C$2:$C$400)=MONTH(KBCSpaarrekSamenv!$A69),1,0)*IF(YEAR(KBCSpaarrekData!$C$2:$C$400)=YEAR(KBCSpaarrekSamenv!$A69),1,0)*IF(KBCSpaarrekData!$E$2:$E$400&gt;0,1,0)*KBCSpaarrekData!$E$2:$E$400)</f>
        <v>0</v>
      </c>
      <c r="D69" s="5">
        <f t="shared" si="0"/>
        <v>0</v>
      </c>
      <c r="E69" s="36">
        <f t="array" aca="1" ref="E69" ca="1">SUM((IF(MONTH(KBCSpaarrekData!$C$2:$C$400)=MONTH(KBCSpaarrekSamenv!$A69),1,0))*(IF(YEAR(KBCSpaarrekData!$C$2:$C$400)=YEAR(KBCSpaarrekSamenv!$A69),1,0))*KBCSpaarrekData!$E$2:$E$400)+$E68</f>
        <v>0</v>
      </c>
    </row>
    <row r="70" spans="1:5" outlineLevel="1">
      <c r="A70" s="10">
        <v>39173</v>
      </c>
      <c r="B70" s="5">
        <f t="array" aca="1" ref="B70" ca="1">SUM(IF(MONTH(KBCSpaarrekData!$C$2:$C$400)=MONTH(KBCSpaarrekSamenv!$A70),1,0)*IF(YEAR(KBCSpaarrekData!$C$2:$C$400)=YEAR(KBCSpaarrekSamenv!$A70),1,0)*IF(KBCSpaarrekData!$E$2:$E$400&lt;0,1,0)*KBCSpaarrekData!$E$2:$E$400)</f>
        <v>0</v>
      </c>
      <c r="C70" s="5">
        <f t="array" aca="1" ref="C70" ca="1">SUM(IF(MONTH(KBCSpaarrekData!$C$2:$C$400)=MONTH(KBCSpaarrekSamenv!$A70),1,0)*IF(YEAR(KBCSpaarrekData!$C$2:$C$400)=YEAR(KBCSpaarrekSamenv!$A70),1,0)*IF(KBCSpaarrekData!$E$2:$E$400&gt;0,1,0)*KBCSpaarrekData!$E$2:$E$400)</f>
        <v>0</v>
      </c>
      <c r="D70" s="5">
        <f t="shared" ref="D70:D112" si="1">C70+B70</f>
        <v>0</v>
      </c>
      <c r="E70" s="36">
        <f t="array" aca="1" ref="E70" ca="1">SUM((IF(MONTH(KBCSpaarrekData!$C$2:$C$400)=MONTH(KBCSpaarrekSamenv!$A70),1,0))*(IF(YEAR(KBCSpaarrekData!$C$2:$C$400)=YEAR(KBCSpaarrekSamenv!$A70),1,0))*KBCSpaarrekData!$E$2:$E$400)+$E69</f>
        <v>0</v>
      </c>
    </row>
    <row r="71" spans="1:5" outlineLevel="1">
      <c r="A71" s="10">
        <v>39203</v>
      </c>
      <c r="B71" s="5">
        <f t="array" aca="1" ref="B71" ca="1">SUM(IF(MONTH(KBCSpaarrekData!$C$2:$C$400)=MONTH(KBCSpaarrekSamenv!$A71),1,0)*IF(YEAR(KBCSpaarrekData!$C$2:$C$400)=YEAR(KBCSpaarrekSamenv!$A71),1,0)*IF(KBCSpaarrekData!$E$2:$E$400&lt;0,1,0)*KBCSpaarrekData!$E$2:$E$400)</f>
        <v>0</v>
      </c>
      <c r="C71" s="5">
        <f t="array" aca="1" ref="C71" ca="1">SUM(IF(MONTH(KBCSpaarrekData!$C$2:$C$400)=MONTH(KBCSpaarrekSamenv!$A71),1,0)*IF(YEAR(KBCSpaarrekData!$C$2:$C$400)=YEAR(KBCSpaarrekSamenv!$A71),1,0)*IF(KBCSpaarrekData!$E$2:$E$400&gt;0,1,0)*KBCSpaarrekData!$E$2:$E$400)</f>
        <v>0</v>
      </c>
      <c r="D71" s="5">
        <f t="shared" si="1"/>
        <v>0</v>
      </c>
      <c r="E71" s="36">
        <f t="array" aca="1" ref="E71" ca="1">SUM((IF(MONTH(KBCSpaarrekData!$C$2:$C$400)=MONTH(KBCSpaarrekSamenv!$A71),1,0))*(IF(YEAR(KBCSpaarrekData!$C$2:$C$400)=YEAR(KBCSpaarrekSamenv!$A71),1,0))*KBCSpaarrekData!$E$2:$E$400)+$E70</f>
        <v>0</v>
      </c>
    </row>
    <row r="72" spans="1:5" outlineLevel="1">
      <c r="A72" s="10">
        <v>39234</v>
      </c>
      <c r="B72" s="5">
        <f t="array" aca="1" ref="B72" ca="1">SUM(IF(MONTH(KBCSpaarrekData!$C$2:$C$400)=MONTH(KBCSpaarrekSamenv!$A72),1,0)*IF(YEAR(KBCSpaarrekData!$C$2:$C$400)=YEAR(KBCSpaarrekSamenv!$A72),1,0)*IF(KBCSpaarrekData!$E$2:$E$400&lt;0,1,0)*KBCSpaarrekData!$E$2:$E$400)</f>
        <v>0</v>
      </c>
      <c r="C72" s="5">
        <f t="array" aca="1" ref="C72" ca="1">SUM(IF(MONTH(KBCSpaarrekData!$C$2:$C$400)=MONTH(KBCSpaarrekSamenv!$A72),1,0)*IF(YEAR(KBCSpaarrekData!$C$2:$C$400)=YEAR(KBCSpaarrekSamenv!$A72),1,0)*IF(KBCSpaarrekData!$E$2:$E$400&gt;0,1,0)*KBCSpaarrekData!$E$2:$E$400)</f>
        <v>0</v>
      </c>
      <c r="D72" s="5">
        <f t="shared" si="1"/>
        <v>0</v>
      </c>
      <c r="E72" s="36">
        <f t="array" aca="1" ref="E72" ca="1">SUM((IF(MONTH(KBCSpaarrekData!$C$2:$C$400)=MONTH(KBCSpaarrekSamenv!$A72),1,0))*(IF(YEAR(KBCSpaarrekData!$C$2:$C$400)=YEAR(KBCSpaarrekSamenv!$A72),1,0))*KBCSpaarrekData!$E$2:$E$400)+$E71</f>
        <v>0</v>
      </c>
    </row>
    <row r="73" spans="1:5" outlineLevel="1">
      <c r="A73" s="10">
        <v>39264</v>
      </c>
      <c r="B73" s="5">
        <f t="array" aca="1" ref="B73" ca="1">SUM(IF(MONTH(KBCSpaarrekData!$C$2:$C$400)=MONTH(KBCSpaarrekSamenv!$A73),1,0)*IF(YEAR(KBCSpaarrekData!$C$2:$C$400)=YEAR(KBCSpaarrekSamenv!$A73),1,0)*IF(KBCSpaarrekData!$E$2:$E$400&lt;0,1,0)*KBCSpaarrekData!$E$2:$E$400)</f>
        <v>0</v>
      </c>
      <c r="C73" s="5">
        <f t="array" aca="1" ref="C73" ca="1">SUM(IF(MONTH(KBCSpaarrekData!$C$2:$C$400)=MONTH(KBCSpaarrekSamenv!$A73),1,0)*IF(YEAR(KBCSpaarrekData!$C$2:$C$400)=YEAR(KBCSpaarrekSamenv!$A73),1,0)*IF(KBCSpaarrekData!$E$2:$E$400&gt;0,1,0)*KBCSpaarrekData!$E$2:$E$400)</f>
        <v>0</v>
      </c>
      <c r="D73" s="5">
        <f t="shared" si="1"/>
        <v>0</v>
      </c>
      <c r="E73" s="36">
        <f t="array" aca="1" ref="E73" ca="1">SUM((IF(MONTH(KBCSpaarrekData!$C$2:$C$400)=MONTH(KBCSpaarrekSamenv!$A73),1,0))*(IF(YEAR(KBCSpaarrekData!$C$2:$C$400)=YEAR(KBCSpaarrekSamenv!$A73),1,0))*KBCSpaarrekData!$E$2:$E$400)+$E72</f>
        <v>0</v>
      </c>
    </row>
    <row r="74" spans="1:5" outlineLevel="1">
      <c r="A74" s="2">
        <v>39295</v>
      </c>
      <c r="B74" s="5">
        <f t="array" aca="1" ref="B74" ca="1">SUM(IF(MONTH(KBCSpaarrekData!$C$2:$C$400)=MONTH(KBCSpaarrekSamenv!$A74),1,0)*IF(YEAR(KBCSpaarrekData!$C$2:$C$400)=YEAR(KBCSpaarrekSamenv!$A74),1,0)*IF(KBCSpaarrekData!$E$2:$E$400&lt;0,1,0)*KBCSpaarrekData!$E$2:$E$400)</f>
        <v>0</v>
      </c>
      <c r="C74" s="5">
        <f t="array" aca="1" ref="C74" ca="1">SUM(IF(MONTH(KBCSpaarrekData!$C$2:$C$400)=MONTH(KBCSpaarrekSamenv!$A74),1,0)*IF(YEAR(KBCSpaarrekData!$C$2:$C$400)=YEAR(KBCSpaarrekSamenv!$A74),1,0)*IF(KBCSpaarrekData!$E$2:$E$400&gt;0,1,0)*KBCSpaarrekData!$E$2:$E$400)</f>
        <v>0</v>
      </c>
      <c r="D74" s="5">
        <f t="shared" si="1"/>
        <v>0</v>
      </c>
      <c r="E74" s="36">
        <f t="array" aca="1" ref="E74" ca="1">SUM((IF(MONTH(KBCSpaarrekData!$C$2:$C$400)=MONTH(KBCSpaarrekSamenv!$A74),1,0))*(IF(YEAR(KBCSpaarrekData!$C$2:$C$400)=YEAR(KBCSpaarrekSamenv!$A74),1,0))*KBCSpaarrekData!$E$2:$E$400)+$E73</f>
        <v>0</v>
      </c>
    </row>
    <row r="75" spans="1:5" outlineLevel="1">
      <c r="A75" s="10">
        <v>39326</v>
      </c>
      <c r="B75" s="5">
        <f t="array" aca="1" ref="B75" ca="1">SUM(IF(MONTH(KBCSpaarrekData!$C$2:$C$400)=MONTH(KBCSpaarrekSamenv!$A75),1,0)*IF(YEAR(KBCSpaarrekData!$C$2:$C$400)=YEAR(KBCSpaarrekSamenv!$A75),1,0)*IF(KBCSpaarrekData!$E$2:$E$400&lt;0,1,0)*KBCSpaarrekData!$E$2:$E$400)</f>
        <v>0</v>
      </c>
      <c r="C75" s="5">
        <f t="array" aca="1" ref="C75" ca="1">SUM(IF(MONTH(KBCSpaarrekData!$C$2:$C$400)=MONTH(KBCSpaarrekSamenv!$A75),1,0)*IF(YEAR(KBCSpaarrekData!$C$2:$C$400)=YEAR(KBCSpaarrekSamenv!$A75),1,0)*IF(KBCSpaarrekData!$E$2:$E$400&gt;0,1,0)*KBCSpaarrekData!$E$2:$E$400)</f>
        <v>0</v>
      </c>
      <c r="D75" s="5">
        <f t="shared" si="1"/>
        <v>0</v>
      </c>
      <c r="E75" s="36">
        <f t="array" aca="1" ref="E75" ca="1">SUM((IF(MONTH(KBCSpaarrekData!$C$2:$C$400)=MONTH(KBCSpaarrekSamenv!$A75),1,0))*(IF(YEAR(KBCSpaarrekData!$C$2:$C$400)=YEAR(KBCSpaarrekSamenv!$A75),1,0))*KBCSpaarrekData!$E$2:$E$400)+$E74</f>
        <v>0</v>
      </c>
    </row>
    <row r="76" spans="1:5" outlineLevel="1">
      <c r="A76" s="2">
        <v>39356</v>
      </c>
      <c r="B76" s="5">
        <f t="array" aca="1" ref="B76" ca="1">SUM(IF(MONTH(KBCSpaarrekData!$C$2:$C$400)=MONTH(KBCSpaarrekSamenv!$A76),1,0)*IF(YEAR(KBCSpaarrekData!$C$2:$C$400)=YEAR(KBCSpaarrekSamenv!$A76),1,0)*IF(KBCSpaarrekData!$E$2:$E$400&lt;0,1,0)*KBCSpaarrekData!$E$2:$E$400)</f>
        <v>0</v>
      </c>
      <c r="C76" s="5">
        <f t="array" aca="1" ref="C76" ca="1">SUM(IF(MONTH(KBCSpaarrekData!$C$2:$C$400)=MONTH(KBCSpaarrekSamenv!$A76),1,0)*IF(YEAR(KBCSpaarrekData!$C$2:$C$400)=YEAR(KBCSpaarrekSamenv!$A76),1,0)*IF(KBCSpaarrekData!$E$2:$E$400&gt;0,1,0)*KBCSpaarrekData!$E$2:$E$400)</f>
        <v>0</v>
      </c>
      <c r="D76" s="5">
        <f t="shared" si="1"/>
        <v>0</v>
      </c>
      <c r="E76" s="36">
        <f t="array" aca="1" ref="E76" ca="1">SUM((IF(MONTH(KBCSpaarrekData!$C$2:$C$400)=MONTH(KBCSpaarrekSamenv!$A76),1,0))*(IF(YEAR(KBCSpaarrekData!$C$2:$C$400)=YEAR(KBCSpaarrekSamenv!$A76),1,0))*KBCSpaarrekData!$E$2:$E$400)+$E75</f>
        <v>0</v>
      </c>
    </row>
    <row r="77" spans="1:5" outlineLevel="1">
      <c r="A77" s="10">
        <v>39387</v>
      </c>
      <c r="B77" s="5">
        <f t="array" aca="1" ref="B77" ca="1">SUM(IF(MONTH(KBCSpaarrekData!$C$2:$C$400)=MONTH(KBCSpaarrekSamenv!$A77),1,0)*IF(YEAR(KBCSpaarrekData!$C$2:$C$400)=YEAR(KBCSpaarrekSamenv!$A77),1,0)*IF(KBCSpaarrekData!$E$2:$E$400&lt;0,1,0)*KBCSpaarrekData!$E$2:$E$400)</f>
        <v>0</v>
      </c>
      <c r="C77" s="5">
        <f t="array" aca="1" ref="C77" ca="1">SUM(IF(MONTH(KBCSpaarrekData!$C$2:$C$400)=MONTH(KBCSpaarrekSamenv!$A77),1,0)*IF(YEAR(KBCSpaarrekData!$C$2:$C$400)=YEAR(KBCSpaarrekSamenv!$A77),1,0)*IF(KBCSpaarrekData!$E$2:$E$400&gt;0,1,0)*KBCSpaarrekData!$E$2:$E$400)</f>
        <v>0</v>
      </c>
      <c r="D77" s="5">
        <f t="shared" si="1"/>
        <v>0</v>
      </c>
      <c r="E77" s="36">
        <f t="array" aca="1" ref="E77" ca="1">SUM((IF(MONTH(KBCSpaarrekData!$C$2:$C$400)=MONTH(KBCSpaarrekSamenv!$A77),1,0))*(IF(YEAR(KBCSpaarrekData!$C$2:$C$400)=YEAR(KBCSpaarrekSamenv!$A77),1,0))*KBCSpaarrekData!$E$2:$E$400)+$E76</f>
        <v>0</v>
      </c>
    </row>
    <row r="78" spans="1:5" outlineLevel="1">
      <c r="A78" s="2">
        <v>39417</v>
      </c>
      <c r="B78" s="5">
        <f t="array" aca="1" ref="B78" ca="1">SUM(IF(MONTH(KBCSpaarrekData!$C$2:$C$400)=MONTH(KBCSpaarrekSamenv!$A78),1,0)*IF(YEAR(KBCSpaarrekData!$C$2:$C$400)=YEAR(KBCSpaarrekSamenv!$A78),1,0)*IF(KBCSpaarrekData!$E$2:$E$400&lt;0,1,0)*KBCSpaarrekData!$E$2:$E$400)</f>
        <v>0</v>
      </c>
      <c r="C78" s="5">
        <f t="array" aca="1" ref="C78" ca="1">SUM(IF(MONTH(KBCSpaarrekData!$C$2:$C$400)=MONTH(KBCSpaarrekSamenv!$A78),1,0)*IF(YEAR(KBCSpaarrekData!$C$2:$C$400)=YEAR(KBCSpaarrekSamenv!$A78),1,0)*IF(KBCSpaarrekData!$E$2:$E$400&gt;0,1,0)*KBCSpaarrekData!$E$2:$E$400)</f>
        <v>0</v>
      </c>
      <c r="D78" s="5">
        <f t="shared" si="1"/>
        <v>0</v>
      </c>
      <c r="E78" s="36">
        <f t="array" aca="1" ref="E78" ca="1">SUM((IF(MONTH(KBCSpaarrekData!$C$2:$C$400)=MONTH(KBCSpaarrekSamenv!$A78),1,0))*(IF(YEAR(KBCSpaarrekData!$C$2:$C$400)=YEAR(KBCSpaarrekSamenv!$A78),1,0))*KBCSpaarrekData!$E$2:$E$400)+$E77</f>
        <v>0</v>
      </c>
    </row>
    <row r="79" spans="1:5" outlineLevel="1">
      <c r="A79" s="10">
        <v>39448</v>
      </c>
      <c r="B79" s="5">
        <f t="array" aca="1" ref="B79" ca="1">SUM(IF(MONTH(KBCSpaarrekData!$C$2:$C$400)=MONTH(KBCSpaarrekSamenv!$A79),1,0)*IF(YEAR(KBCSpaarrekData!$C$2:$C$400)=YEAR(KBCSpaarrekSamenv!$A79),1,0)*IF(KBCSpaarrekData!$E$2:$E$400&lt;0,1,0)*KBCSpaarrekData!$E$2:$E$400)</f>
        <v>0</v>
      </c>
      <c r="C79" s="5">
        <f t="array" aca="1" ref="C79" ca="1">SUM(IF(MONTH(KBCSpaarrekData!$C$2:$C$400)=MONTH(KBCSpaarrekSamenv!$A79),1,0)*IF(YEAR(KBCSpaarrekData!$C$2:$C$400)=YEAR(KBCSpaarrekSamenv!$A79),1,0)*IF(KBCSpaarrekData!$E$2:$E$400&gt;0,1,0)*KBCSpaarrekData!$E$2:$E$400)</f>
        <v>0</v>
      </c>
      <c r="D79" s="5">
        <f t="shared" si="1"/>
        <v>0</v>
      </c>
      <c r="E79" s="36">
        <f t="array" aca="1" ref="E79" ca="1">SUM((IF(MONTH(KBCSpaarrekData!$C$2:$C$400)=MONTH(KBCSpaarrekSamenv!$A79),1,0))*(IF(YEAR(KBCSpaarrekData!$C$2:$C$400)=YEAR(KBCSpaarrekSamenv!$A79),1,0))*KBCSpaarrekData!$E$2:$E$400)+$E78</f>
        <v>0</v>
      </c>
    </row>
    <row r="80" spans="1:5" outlineLevel="1">
      <c r="A80" s="2">
        <v>39479</v>
      </c>
      <c r="B80" s="5">
        <f t="array" aca="1" ref="B80" ca="1">SUM(IF(MONTH(KBCSpaarrekData!$C$2:$C$400)=MONTH(KBCSpaarrekSamenv!$A80),1,0)*IF(YEAR(KBCSpaarrekData!$C$2:$C$400)=YEAR(KBCSpaarrekSamenv!$A80),1,0)*IF(KBCSpaarrekData!$E$2:$E$400&lt;0,1,0)*KBCSpaarrekData!$E$2:$E$400)</f>
        <v>0</v>
      </c>
      <c r="C80" s="5">
        <f t="array" aca="1" ref="C80" ca="1">SUM(IF(MONTH(KBCSpaarrekData!$C$2:$C$400)=MONTH(KBCSpaarrekSamenv!$A80),1,0)*IF(YEAR(KBCSpaarrekData!$C$2:$C$400)=YEAR(KBCSpaarrekSamenv!$A80),1,0)*IF(KBCSpaarrekData!$E$2:$E$400&gt;0,1,0)*KBCSpaarrekData!$E$2:$E$400)</f>
        <v>0</v>
      </c>
      <c r="D80" s="5">
        <f t="shared" si="1"/>
        <v>0</v>
      </c>
      <c r="E80" s="36">
        <f t="array" aca="1" ref="E80" ca="1">SUM((IF(MONTH(KBCSpaarrekData!$C$2:$C$400)=MONTH(KBCSpaarrekSamenv!$A80),1,0))*(IF(YEAR(KBCSpaarrekData!$C$2:$C$400)=YEAR(KBCSpaarrekSamenv!$A80),1,0))*KBCSpaarrekData!$E$2:$E$400)+$E79</f>
        <v>0</v>
      </c>
    </row>
    <row r="81" spans="1:5" outlineLevel="1">
      <c r="A81" s="10">
        <v>39508</v>
      </c>
      <c r="B81" s="5">
        <f t="array" aca="1" ref="B81" ca="1">SUM(IF(MONTH(KBCSpaarrekData!$C$2:$C$400)=MONTH(KBCSpaarrekSamenv!$A81),1,0)*IF(YEAR(KBCSpaarrekData!$C$2:$C$400)=YEAR(KBCSpaarrekSamenv!$A81),1,0)*IF(KBCSpaarrekData!$E$2:$E$400&lt;0,1,0)*KBCSpaarrekData!$E$2:$E$400)</f>
        <v>0</v>
      </c>
      <c r="C81" s="5">
        <f t="array" aca="1" ref="C81" ca="1">SUM(IF(MONTH(KBCSpaarrekData!$C$2:$C$400)=MONTH(KBCSpaarrekSamenv!$A81),1,0)*IF(YEAR(KBCSpaarrekData!$C$2:$C$400)=YEAR(KBCSpaarrekSamenv!$A81),1,0)*IF(KBCSpaarrekData!$E$2:$E$400&gt;0,1,0)*KBCSpaarrekData!$E$2:$E$400)</f>
        <v>0</v>
      </c>
      <c r="D81" s="5">
        <f t="shared" si="1"/>
        <v>0</v>
      </c>
      <c r="E81" s="36">
        <f t="array" aca="1" ref="E81" ca="1">SUM((IF(MONTH(KBCSpaarrekData!$C$2:$C$400)=MONTH(KBCSpaarrekSamenv!$A81),1,0))*(IF(YEAR(KBCSpaarrekData!$C$2:$C$400)=YEAR(KBCSpaarrekSamenv!$A81),1,0))*KBCSpaarrekData!$E$2:$E$400)+$E80</f>
        <v>0</v>
      </c>
    </row>
    <row r="82" spans="1:5" outlineLevel="1">
      <c r="A82" s="2">
        <v>39539</v>
      </c>
      <c r="B82" s="5">
        <f t="array" aca="1" ref="B82" ca="1">SUM(IF(MONTH(KBCSpaarrekData!$C$2:$C$400)=MONTH(KBCSpaarrekSamenv!$A82),1,0)*IF(YEAR(KBCSpaarrekData!$C$2:$C$400)=YEAR(KBCSpaarrekSamenv!$A82),1,0)*IF(KBCSpaarrekData!$E$2:$E$400&lt;0,1,0)*KBCSpaarrekData!$E$2:$E$400)</f>
        <v>0</v>
      </c>
      <c r="C82" s="5">
        <f t="array" aca="1" ref="C82" ca="1">SUM(IF(MONTH(KBCSpaarrekData!$C$2:$C$400)=MONTH(KBCSpaarrekSamenv!$A82),1,0)*IF(YEAR(KBCSpaarrekData!$C$2:$C$400)=YEAR(KBCSpaarrekSamenv!$A82),1,0)*IF(KBCSpaarrekData!$E$2:$E$400&gt;0,1,0)*KBCSpaarrekData!$E$2:$E$400)</f>
        <v>0</v>
      </c>
      <c r="D82" s="5">
        <f t="shared" si="1"/>
        <v>0</v>
      </c>
      <c r="E82" s="36">
        <f t="array" aca="1" ref="E82" ca="1">SUM((IF(MONTH(KBCSpaarrekData!$C$2:$C$400)=MONTH(KBCSpaarrekSamenv!$A82),1,0))*(IF(YEAR(KBCSpaarrekData!$C$2:$C$400)=YEAR(KBCSpaarrekSamenv!$A82),1,0))*KBCSpaarrekData!$E$2:$E$400)+$E81</f>
        <v>0</v>
      </c>
    </row>
    <row r="83" spans="1:5" outlineLevel="1">
      <c r="A83" s="10">
        <v>39569</v>
      </c>
      <c r="B83" s="5">
        <f t="array" aca="1" ref="B83" ca="1">SUM(IF(MONTH(KBCSpaarrekData!$C$2:$C$400)=MONTH(KBCSpaarrekSamenv!$A83),1,0)*IF(YEAR(KBCSpaarrekData!$C$2:$C$400)=YEAR(KBCSpaarrekSamenv!$A83),1,0)*IF(KBCSpaarrekData!$E$2:$E$400&lt;0,1,0)*KBCSpaarrekData!$E$2:$E$400)</f>
        <v>0</v>
      </c>
      <c r="C83" s="5">
        <f t="array" aca="1" ref="C83" ca="1">SUM(IF(MONTH(KBCSpaarrekData!$C$2:$C$400)=MONTH(KBCSpaarrekSamenv!$A83),1,0)*IF(YEAR(KBCSpaarrekData!$C$2:$C$400)=YEAR(KBCSpaarrekSamenv!$A83),1,0)*IF(KBCSpaarrekData!$E$2:$E$400&gt;0,1,0)*KBCSpaarrekData!$E$2:$E$400)</f>
        <v>0</v>
      </c>
      <c r="D83" s="5">
        <f t="shared" si="1"/>
        <v>0</v>
      </c>
      <c r="E83" s="36">
        <f t="array" aca="1" ref="E83" ca="1">SUM((IF(MONTH(KBCSpaarrekData!$C$2:$C$400)=MONTH(KBCSpaarrekSamenv!$A83),1,0))*(IF(YEAR(KBCSpaarrekData!$C$2:$C$400)=YEAR(KBCSpaarrekSamenv!$A83),1,0))*KBCSpaarrekData!$E$2:$E$400)+$E82</f>
        <v>0</v>
      </c>
    </row>
    <row r="84" spans="1:5" outlineLevel="1">
      <c r="A84" s="2">
        <v>39600</v>
      </c>
      <c r="B84" s="5">
        <f t="array" aca="1" ref="B84" ca="1">SUM(IF(MONTH(KBCSpaarrekData!$C$2:$C$400)=MONTH(KBCSpaarrekSamenv!$A84),1,0)*IF(YEAR(KBCSpaarrekData!$C$2:$C$400)=YEAR(KBCSpaarrekSamenv!$A84),1,0)*IF(KBCSpaarrekData!$E$2:$E$400&lt;0,1,0)*KBCSpaarrekData!$E$2:$E$400)</f>
        <v>0</v>
      </c>
      <c r="C84" s="5">
        <f t="array" aca="1" ref="C84" ca="1">SUM(IF(MONTH(KBCSpaarrekData!$C$2:$C$400)=MONTH(KBCSpaarrekSamenv!$A84),1,0)*IF(YEAR(KBCSpaarrekData!$C$2:$C$400)=YEAR(KBCSpaarrekSamenv!$A84),1,0)*IF(KBCSpaarrekData!$E$2:$E$400&gt;0,1,0)*KBCSpaarrekData!$E$2:$E$400)</f>
        <v>0</v>
      </c>
      <c r="D84" s="5">
        <f t="shared" si="1"/>
        <v>0</v>
      </c>
      <c r="E84" s="36">
        <f t="array" aca="1" ref="E84" ca="1">SUM((IF(MONTH(KBCSpaarrekData!$C$2:$C$400)=MONTH(KBCSpaarrekSamenv!$A84),1,0))*(IF(YEAR(KBCSpaarrekData!$C$2:$C$400)=YEAR(KBCSpaarrekSamenv!$A84),1,0))*KBCSpaarrekData!$E$2:$E$400)+$E83</f>
        <v>0</v>
      </c>
    </row>
    <row r="85" spans="1:5" outlineLevel="1">
      <c r="A85" s="10">
        <v>39630</v>
      </c>
      <c r="B85" s="5">
        <f t="array" aca="1" ref="B85" ca="1">SUM(IF(MONTH(KBCSpaarrekData!$C$2:$C$400)=MONTH(KBCSpaarrekSamenv!$A85),1,0)*IF(YEAR(KBCSpaarrekData!$C$2:$C$400)=YEAR(KBCSpaarrekSamenv!$A85),1,0)*IF(KBCSpaarrekData!$E$2:$E$400&lt;0,1,0)*KBCSpaarrekData!$E$2:$E$400)</f>
        <v>0</v>
      </c>
      <c r="C85" s="5">
        <f t="array" aca="1" ref="C85" ca="1">SUM(IF(MONTH(KBCSpaarrekData!$C$2:$C$400)=MONTH(KBCSpaarrekSamenv!$A85),1,0)*IF(YEAR(KBCSpaarrekData!$C$2:$C$400)=YEAR(KBCSpaarrekSamenv!$A85),1,0)*IF(KBCSpaarrekData!$E$2:$E$400&gt;0,1,0)*KBCSpaarrekData!$E$2:$E$400)</f>
        <v>0</v>
      </c>
      <c r="D85" s="5">
        <f t="shared" si="1"/>
        <v>0</v>
      </c>
      <c r="E85" s="36">
        <f t="array" aca="1" ref="E85" ca="1">SUM((IF(MONTH(KBCSpaarrekData!$C$2:$C$400)=MONTH(KBCSpaarrekSamenv!$A85),1,0))*(IF(YEAR(KBCSpaarrekData!$C$2:$C$400)=YEAR(KBCSpaarrekSamenv!$A85),1,0))*KBCSpaarrekData!$E$2:$E$400)+$E84</f>
        <v>0</v>
      </c>
    </row>
    <row r="86" spans="1:5" outlineLevel="1">
      <c r="A86" s="2">
        <v>39661</v>
      </c>
      <c r="B86" s="5">
        <f t="array" aca="1" ref="B86" ca="1">SUM(IF(MONTH(KBCSpaarrekData!$C$2:$C$400)=MONTH(KBCSpaarrekSamenv!$A86),1,0)*IF(YEAR(KBCSpaarrekData!$C$2:$C$400)=YEAR(KBCSpaarrekSamenv!$A86),1,0)*IF(KBCSpaarrekData!$E$2:$E$400&lt;0,1,0)*KBCSpaarrekData!$E$2:$E$400)</f>
        <v>0</v>
      </c>
      <c r="C86" s="5">
        <f t="array" aca="1" ref="C86" ca="1">SUM(IF(MONTH(KBCSpaarrekData!$C$2:$C$400)=MONTH(KBCSpaarrekSamenv!$A86),1,0)*IF(YEAR(KBCSpaarrekData!$C$2:$C$400)=YEAR(KBCSpaarrekSamenv!$A86),1,0)*IF(KBCSpaarrekData!$E$2:$E$400&gt;0,1,0)*KBCSpaarrekData!$E$2:$E$400)</f>
        <v>0</v>
      </c>
      <c r="D86" s="5">
        <f t="shared" si="1"/>
        <v>0</v>
      </c>
      <c r="E86" s="36">
        <f t="array" aca="1" ref="E86" ca="1">SUM((IF(MONTH(KBCSpaarrekData!$C$2:$C$400)=MONTH(KBCSpaarrekSamenv!$A86),1,0))*(IF(YEAR(KBCSpaarrekData!$C$2:$C$400)=YEAR(KBCSpaarrekSamenv!$A86),1,0))*KBCSpaarrekData!$E$2:$E$400)+$E85</f>
        <v>0</v>
      </c>
    </row>
    <row r="87" spans="1:5" outlineLevel="1">
      <c r="A87" s="10">
        <v>39692</v>
      </c>
      <c r="B87" s="5">
        <f t="array" aca="1" ref="B87" ca="1">SUM(IF(MONTH(KBCSpaarrekData!$C$2:$C$400)=MONTH(KBCSpaarrekSamenv!$A87),1,0)*IF(YEAR(KBCSpaarrekData!$C$2:$C$400)=YEAR(KBCSpaarrekSamenv!$A87),1,0)*IF(KBCSpaarrekData!$E$2:$E$400&lt;0,1,0)*KBCSpaarrekData!$E$2:$E$400)</f>
        <v>0</v>
      </c>
      <c r="C87" s="5">
        <f t="array" aca="1" ref="C87" ca="1">SUM(IF(MONTH(KBCSpaarrekData!$C$2:$C$400)=MONTH(KBCSpaarrekSamenv!$A87),1,0)*IF(YEAR(KBCSpaarrekData!$C$2:$C$400)=YEAR(KBCSpaarrekSamenv!$A87),1,0)*IF(KBCSpaarrekData!$E$2:$E$400&gt;0,1,0)*KBCSpaarrekData!$E$2:$E$400)</f>
        <v>0</v>
      </c>
      <c r="D87" s="5">
        <f t="shared" si="1"/>
        <v>0</v>
      </c>
      <c r="E87" s="36">
        <f t="array" aca="1" ref="E87" ca="1">SUM((IF(MONTH(KBCSpaarrekData!$C$2:$C$400)=MONTH(KBCSpaarrekSamenv!$A87),1,0))*(IF(YEAR(KBCSpaarrekData!$C$2:$C$400)=YEAR(KBCSpaarrekSamenv!$A87),1,0))*KBCSpaarrekData!$E$2:$E$400)+$E86</f>
        <v>0</v>
      </c>
    </row>
    <row r="88" spans="1:5" outlineLevel="1">
      <c r="A88" s="2">
        <v>39722</v>
      </c>
      <c r="B88" s="5">
        <f t="array" aca="1" ref="B88" ca="1">SUM(IF(MONTH(KBCSpaarrekData!$C$2:$C$400)=MONTH(KBCSpaarrekSamenv!$A88),1,0)*IF(YEAR(KBCSpaarrekData!$C$2:$C$400)=YEAR(KBCSpaarrekSamenv!$A88),1,0)*IF(KBCSpaarrekData!$E$2:$E$400&lt;0,1,0)*KBCSpaarrekData!$E$2:$E$400)</f>
        <v>0</v>
      </c>
      <c r="C88" s="5">
        <f t="array" aca="1" ref="C88" ca="1">SUM(IF(MONTH(KBCSpaarrekData!$C$2:$C$400)=MONTH(KBCSpaarrekSamenv!$A88),1,0)*IF(YEAR(KBCSpaarrekData!$C$2:$C$400)=YEAR(KBCSpaarrekSamenv!$A88),1,0)*IF(KBCSpaarrekData!$E$2:$E$400&gt;0,1,0)*KBCSpaarrekData!$E$2:$E$400)</f>
        <v>0</v>
      </c>
      <c r="D88" s="5">
        <f t="shared" si="1"/>
        <v>0</v>
      </c>
      <c r="E88" s="36">
        <f t="array" aca="1" ref="E88" ca="1">SUM((IF(MONTH(KBCSpaarrekData!$C$2:$C$400)=MONTH(KBCSpaarrekSamenv!$A88),1,0))*(IF(YEAR(KBCSpaarrekData!$C$2:$C$400)=YEAR(KBCSpaarrekSamenv!$A88),1,0))*KBCSpaarrekData!$E$2:$E$400)+$E87</f>
        <v>0</v>
      </c>
    </row>
    <row r="89" spans="1:5" outlineLevel="1">
      <c r="A89" s="10">
        <v>39753</v>
      </c>
      <c r="B89" s="5">
        <f t="array" aca="1" ref="B89" ca="1">SUM(IF(MONTH(KBCSpaarrekData!$C$2:$C$400)=MONTH(KBCSpaarrekSamenv!$A89),1,0)*IF(YEAR(KBCSpaarrekData!$C$2:$C$400)=YEAR(KBCSpaarrekSamenv!$A89),1,0)*IF(KBCSpaarrekData!$E$2:$E$400&lt;0,1,0)*KBCSpaarrekData!$E$2:$E$400)</f>
        <v>0</v>
      </c>
      <c r="C89" s="5">
        <f t="array" aca="1" ref="C89" ca="1">SUM(IF(MONTH(KBCSpaarrekData!$C$2:$C$400)=MONTH(KBCSpaarrekSamenv!$A89),1,0)*IF(YEAR(KBCSpaarrekData!$C$2:$C$400)=YEAR(KBCSpaarrekSamenv!$A89),1,0)*IF(KBCSpaarrekData!$E$2:$E$400&gt;0,1,0)*KBCSpaarrekData!$E$2:$E$400)</f>
        <v>0</v>
      </c>
      <c r="D89" s="5">
        <f t="shared" si="1"/>
        <v>0</v>
      </c>
      <c r="E89" s="36">
        <f t="array" aca="1" ref="E89" ca="1">SUM((IF(MONTH(KBCSpaarrekData!$C$2:$C$400)=MONTH(KBCSpaarrekSamenv!$A89),1,0))*(IF(YEAR(KBCSpaarrekData!$C$2:$C$400)=YEAR(KBCSpaarrekSamenv!$A89),1,0))*KBCSpaarrekData!$E$2:$E$400)+$E88</f>
        <v>0</v>
      </c>
    </row>
    <row r="90" spans="1:5" s="4" customFormat="1">
      <c r="A90" s="26">
        <v>39783</v>
      </c>
      <c r="B90" s="5">
        <f t="array" aca="1" ref="B90" ca="1">SUM(IF(MONTH(KBCSpaarrekData!$C$2:$C$400)=MONTH(KBCSpaarrekSamenv!$A90),1,0)*IF(YEAR(KBCSpaarrekData!$C$2:$C$400)=YEAR(KBCSpaarrekSamenv!$A90),1,0)*IF(KBCSpaarrekData!$E$2:$E$400&lt;0,1,0)*KBCSpaarrekData!$E$2:$E$400)</f>
        <v>0</v>
      </c>
      <c r="C90" s="5">
        <f t="array" aca="1" ref="C90" ca="1">SUM(IF(MONTH(KBCSpaarrekData!$C$2:$C$400)=MONTH(KBCSpaarrekSamenv!$A90),1,0)*IF(YEAR(KBCSpaarrekData!$C$2:$C$400)=YEAR(KBCSpaarrekSamenv!$A90),1,0)*IF(KBCSpaarrekData!$E$2:$E$400&gt;0,1,0)*KBCSpaarrekData!$E$2:$E$400)</f>
        <v>0</v>
      </c>
      <c r="D90" s="5">
        <f t="shared" si="1"/>
        <v>0</v>
      </c>
      <c r="E90" s="36">
        <f t="array" aca="1" ref="E90" ca="1">SUM((IF(MONTH(KBCSpaarrekData!$C$2:$C$400)=MONTH(KBCSpaarrekSamenv!$A90),1,0))*(IF(YEAR(KBCSpaarrekData!$C$2:$C$400)=YEAR(KBCSpaarrekSamenv!$A90),1,0))*KBCSpaarrekData!$E$2:$E$400)+$E89</f>
        <v>0</v>
      </c>
    </row>
    <row r="91" spans="1:5" outlineLevel="1">
      <c r="A91" s="10">
        <v>39814</v>
      </c>
      <c r="B91" s="5">
        <f t="array" aca="1" ref="B91" ca="1">SUM(IF(MONTH(KBCSpaarrekData!$C$2:$C$400)=MONTH(KBCSpaarrekSamenv!$A91),1,0)*IF(YEAR(KBCSpaarrekData!$C$2:$C$400)=YEAR(KBCSpaarrekSamenv!$A91),1,0)*IF(KBCSpaarrekData!$E$2:$E$400&lt;0,1,0)*KBCSpaarrekData!$E$2:$E$400)</f>
        <v>0</v>
      </c>
      <c r="C91" s="5">
        <f t="array" aca="1" ref="C91" ca="1">SUM(IF(MONTH(KBCSpaarrekData!$C$2:$C$400)=MONTH(KBCSpaarrekSamenv!$A91),1,0)*IF(YEAR(KBCSpaarrekData!$C$2:$C$400)=YEAR(KBCSpaarrekSamenv!$A91),1,0)*IF(KBCSpaarrekData!$E$2:$E$400&gt;0,1,0)*KBCSpaarrekData!$E$2:$E$400)</f>
        <v>0</v>
      </c>
      <c r="D91" s="5">
        <f t="shared" si="1"/>
        <v>0</v>
      </c>
      <c r="E91" s="36">
        <f t="array" aca="1" ref="E91" ca="1">SUM((IF(MONTH(KBCSpaarrekData!$C$2:$C$400)=MONTH(KBCSpaarrekSamenv!$A91),1,0))*(IF(YEAR(KBCSpaarrekData!$C$2:$C$400)=YEAR(KBCSpaarrekSamenv!$A91),1,0))*KBCSpaarrekData!$E$2:$E$400)+$E90</f>
        <v>0</v>
      </c>
    </row>
    <row r="92" spans="1:5" outlineLevel="1">
      <c r="A92" s="2">
        <v>39845</v>
      </c>
      <c r="B92" s="5">
        <f t="array" aca="1" ref="B92" ca="1">SUM(IF(MONTH(KBCSpaarrekData!$C$2:$C$400)=MONTH(KBCSpaarrekSamenv!$A92),1,0)*IF(YEAR(KBCSpaarrekData!$C$2:$C$400)=YEAR(KBCSpaarrekSamenv!$A92),1,0)*IF(KBCSpaarrekData!$E$2:$E$400&lt;0,1,0)*KBCSpaarrekData!$E$2:$E$400)</f>
        <v>0</v>
      </c>
      <c r="C92" s="5">
        <f t="array" aca="1" ref="C92" ca="1">SUM(IF(MONTH(KBCSpaarrekData!$C$2:$C$400)=MONTH(KBCSpaarrekSamenv!$A92),1,0)*IF(YEAR(KBCSpaarrekData!$C$2:$C$400)=YEAR(KBCSpaarrekSamenv!$A92),1,0)*IF(KBCSpaarrekData!$E$2:$E$400&gt;0,1,0)*KBCSpaarrekData!$E$2:$E$400)</f>
        <v>0</v>
      </c>
      <c r="D92" s="5">
        <f t="shared" si="1"/>
        <v>0</v>
      </c>
      <c r="E92" s="36">
        <f t="array" aca="1" ref="E92" ca="1">SUM((IF(MONTH(KBCSpaarrekData!$C$2:$C$400)=MONTH(KBCSpaarrekSamenv!$A92),1,0))*(IF(YEAR(KBCSpaarrekData!$C$2:$C$400)=YEAR(KBCSpaarrekSamenv!$A92),1,0))*KBCSpaarrekData!$E$2:$E$400)+$E91</f>
        <v>0</v>
      </c>
    </row>
    <row r="93" spans="1:5" outlineLevel="1">
      <c r="A93" s="10">
        <v>39873</v>
      </c>
      <c r="B93" s="5">
        <f t="array" aca="1" ref="B93" ca="1">SUM(IF(MONTH(KBCSpaarrekData!$C$2:$C$400)=MONTH(KBCSpaarrekSamenv!$A93),1,0)*IF(YEAR(KBCSpaarrekData!$C$2:$C$400)=YEAR(KBCSpaarrekSamenv!$A93),1,0)*IF(KBCSpaarrekData!$E$2:$E$400&lt;0,1,0)*KBCSpaarrekData!$E$2:$E$400)</f>
        <v>0</v>
      </c>
      <c r="C93" s="5">
        <f t="array" aca="1" ref="C93" ca="1">SUM(IF(MONTH(KBCSpaarrekData!$C$2:$C$400)=MONTH(KBCSpaarrekSamenv!$A93),1,0)*IF(YEAR(KBCSpaarrekData!$C$2:$C$400)=YEAR(KBCSpaarrekSamenv!$A93),1,0)*IF(KBCSpaarrekData!$E$2:$E$400&gt;0,1,0)*KBCSpaarrekData!$E$2:$E$400)</f>
        <v>0</v>
      </c>
      <c r="D93" s="5">
        <f t="shared" si="1"/>
        <v>0</v>
      </c>
      <c r="E93" s="36">
        <f t="array" aca="1" ref="E93" ca="1">SUM((IF(MONTH(KBCSpaarrekData!$C$2:$C$400)=MONTH(KBCSpaarrekSamenv!$A93),1,0))*(IF(YEAR(KBCSpaarrekData!$C$2:$C$400)=YEAR(KBCSpaarrekSamenv!$A93),1,0))*KBCSpaarrekData!$E$2:$E$400)+$E92</f>
        <v>0</v>
      </c>
    </row>
    <row r="94" spans="1:5" outlineLevel="1">
      <c r="A94" s="2">
        <v>39904</v>
      </c>
      <c r="B94" s="5">
        <f t="array" aca="1" ref="B94" ca="1">SUM(IF(MONTH(KBCSpaarrekData!$C$2:$C$400)=MONTH(KBCSpaarrekSamenv!$A94),1,0)*IF(YEAR(KBCSpaarrekData!$C$2:$C$400)=YEAR(KBCSpaarrekSamenv!$A94),1,0)*IF(KBCSpaarrekData!$E$2:$E$400&lt;0,1,0)*KBCSpaarrekData!$E$2:$E$400)</f>
        <v>0</v>
      </c>
      <c r="C94" s="5">
        <f t="array" aca="1" ref="C94" ca="1">SUM(IF(MONTH(KBCSpaarrekData!$C$2:$C$400)=MONTH(KBCSpaarrekSamenv!$A94),1,0)*IF(YEAR(KBCSpaarrekData!$C$2:$C$400)=YEAR(KBCSpaarrekSamenv!$A94),1,0)*IF(KBCSpaarrekData!$E$2:$E$400&gt;0,1,0)*KBCSpaarrekData!$E$2:$E$400)</f>
        <v>0</v>
      </c>
      <c r="D94" s="5">
        <f t="shared" si="1"/>
        <v>0</v>
      </c>
      <c r="E94" s="36">
        <f t="array" aca="1" ref="E94" ca="1">SUM((IF(MONTH(KBCSpaarrekData!$C$2:$C$400)=MONTH(KBCSpaarrekSamenv!$A94),1,0))*(IF(YEAR(KBCSpaarrekData!$C$2:$C$400)=YEAR(KBCSpaarrekSamenv!$A94),1,0))*KBCSpaarrekData!$E$2:$E$400)+$E93</f>
        <v>0</v>
      </c>
    </row>
    <row r="95" spans="1:5" outlineLevel="1">
      <c r="A95" s="10">
        <v>39934</v>
      </c>
      <c r="B95" s="5">
        <f t="array" aca="1" ref="B95" ca="1">SUM(IF(MONTH(KBCSpaarrekData!$C$2:$C$400)=MONTH(KBCSpaarrekSamenv!$A95),1,0)*IF(YEAR(KBCSpaarrekData!$C$2:$C$400)=YEAR(KBCSpaarrekSamenv!$A95),1,0)*IF(KBCSpaarrekData!$E$2:$E$400&lt;0,1,0)*KBCSpaarrekData!$E$2:$E$400)</f>
        <v>0</v>
      </c>
      <c r="C95" s="5">
        <f t="array" aca="1" ref="C95" ca="1">SUM(IF(MONTH(KBCSpaarrekData!$C$2:$C$400)=MONTH(KBCSpaarrekSamenv!$A95),1,0)*IF(YEAR(KBCSpaarrekData!$C$2:$C$400)=YEAR(KBCSpaarrekSamenv!$A95),1,0)*IF(KBCSpaarrekData!$E$2:$E$400&gt;0,1,0)*KBCSpaarrekData!$E$2:$E$400)</f>
        <v>0</v>
      </c>
      <c r="D95" s="5">
        <f t="shared" si="1"/>
        <v>0</v>
      </c>
      <c r="E95" s="36">
        <f t="array" aca="1" ref="E95" ca="1">SUM((IF(MONTH(KBCSpaarrekData!$C$2:$C$400)=MONTH(KBCSpaarrekSamenv!$A95),1,0))*(IF(YEAR(KBCSpaarrekData!$C$2:$C$400)=YEAR(KBCSpaarrekSamenv!$A95),1,0))*KBCSpaarrekData!$E$2:$E$400)+$E94</f>
        <v>0</v>
      </c>
    </row>
    <row r="96" spans="1:5" outlineLevel="1">
      <c r="A96" s="2">
        <v>39965</v>
      </c>
      <c r="B96" s="5">
        <f t="array" aca="1" ref="B96" ca="1">SUM(IF(MONTH(KBCSpaarrekData!$C$2:$C$400)=MONTH(KBCSpaarrekSamenv!$A96),1,0)*IF(YEAR(KBCSpaarrekData!$C$2:$C$400)=YEAR(KBCSpaarrekSamenv!$A96),1,0)*IF(KBCSpaarrekData!$E$2:$E$400&lt;0,1,0)*KBCSpaarrekData!$E$2:$E$400)</f>
        <v>0</v>
      </c>
      <c r="C96" s="5">
        <f t="array" aca="1" ref="C96" ca="1">SUM(IF(MONTH(KBCSpaarrekData!$C$2:$C$400)=MONTH(KBCSpaarrekSamenv!$A96),1,0)*IF(YEAR(KBCSpaarrekData!$C$2:$C$400)=YEAR(KBCSpaarrekSamenv!$A96),1,0)*IF(KBCSpaarrekData!$E$2:$E$400&gt;0,1,0)*KBCSpaarrekData!$E$2:$E$400)</f>
        <v>0</v>
      </c>
      <c r="D96" s="5">
        <f t="shared" si="1"/>
        <v>0</v>
      </c>
      <c r="E96" s="36">
        <f t="array" aca="1" ref="E96" ca="1">SUM((IF(MONTH(KBCSpaarrekData!$C$2:$C$400)=MONTH(KBCSpaarrekSamenv!$A96),1,0))*(IF(YEAR(KBCSpaarrekData!$C$2:$C$400)=YEAR(KBCSpaarrekSamenv!$A96),1,0))*KBCSpaarrekData!$E$2:$E$400)+$E95</f>
        <v>0</v>
      </c>
    </row>
    <row r="97" spans="1:5" outlineLevel="1">
      <c r="A97" s="10">
        <v>39995</v>
      </c>
      <c r="B97" s="5">
        <f t="array" aca="1" ref="B97" ca="1">SUM(IF(MONTH(KBCSpaarrekData!$C$2:$C$400)=MONTH(KBCSpaarrekSamenv!$A97),1,0)*IF(YEAR(KBCSpaarrekData!$C$2:$C$400)=YEAR(KBCSpaarrekSamenv!$A97),1,0)*IF(KBCSpaarrekData!$E$2:$E$400&lt;0,1,0)*KBCSpaarrekData!$E$2:$E$400)</f>
        <v>0</v>
      </c>
      <c r="C97" s="5">
        <f t="array" aca="1" ref="C97" ca="1">SUM(IF(MONTH(KBCSpaarrekData!$C$2:$C$400)=MONTH(KBCSpaarrekSamenv!$A97),1,0)*IF(YEAR(KBCSpaarrekData!$C$2:$C$400)=YEAR(KBCSpaarrekSamenv!$A97),1,0)*IF(KBCSpaarrekData!$E$2:$E$400&gt;0,1,0)*KBCSpaarrekData!$E$2:$E$400)</f>
        <v>0</v>
      </c>
      <c r="D97" s="5">
        <f t="shared" si="1"/>
        <v>0</v>
      </c>
      <c r="E97" s="36">
        <f t="array" aca="1" ref="E97" ca="1">SUM((IF(MONTH(KBCSpaarrekData!$C$2:$C$400)=MONTH(KBCSpaarrekSamenv!$A97),1,0))*(IF(YEAR(KBCSpaarrekData!$C$2:$C$400)=YEAR(KBCSpaarrekSamenv!$A97),1,0))*KBCSpaarrekData!$E$2:$E$400)+$E96</f>
        <v>0</v>
      </c>
    </row>
    <row r="98" spans="1:5" outlineLevel="1">
      <c r="A98" s="2">
        <v>40026</v>
      </c>
      <c r="B98" s="5">
        <f t="array" aca="1" ref="B98" ca="1">SUM(IF(MONTH(KBCSpaarrekData!$C$2:$C$400)=MONTH(KBCSpaarrekSamenv!$A98),1,0)*IF(YEAR(KBCSpaarrekData!$C$2:$C$400)=YEAR(KBCSpaarrekSamenv!$A98),1,0)*IF(KBCSpaarrekData!$E$2:$E$400&lt;0,1,0)*KBCSpaarrekData!$E$2:$E$400)</f>
        <v>0</v>
      </c>
      <c r="C98" s="5">
        <f t="array" aca="1" ref="C98" ca="1">SUM(IF(MONTH(KBCSpaarrekData!$C$2:$C$400)=MONTH(KBCSpaarrekSamenv!$A98),1,0)*IF(YEAR(KBCSpaarrekData!$C$2:$C$400)=YEAR(KBCSpaarrekSamenv!$A98),1,0)*IF(KBCSpaarrekData!$E$2:$E$400&gt;0,1,0)*KBCSpaarrekData!$E$2:$E$400)</f>
        <v>0</v>
      </c>
      <c r="D98" s="5">
        <f t="shared" si="1"/>
        <v>0</v>
      </c>
      <c r="E98" s="36">
        <f t="array" aca="1" ref="E98" ca="1">SUM((IF(MONTH(KBCSpaarrekData!$C$2:$C$400)=MONTH(KBCSpaarrekSamenv!$A98),1,0))*(IF(YEAR(KBCSpaarrekData!$C$2:$C$400)=YEAR(KBCSpaarrekSamenv!$A98),1,0))*KBCSpaarrekData!$E$2:$E$400)+$E97</f>
        <v>0</v>
      </c>
    </row>
    <row r="99" spans="1:5" outlineLevel="1">
      <c r="A99" s="10">
        <v>40057</v>
      </c>
      <c r="B99" s="5">
        <f t="array" aca="1" ref="B99" ca="1">SUM(IF(MONTH(KBCSpaarrekData!$C$2:$C$400)=MONTH(KBCSpaarrekSamenv!$A99),1,0)*IF(YEAR(KBCSpaarrekData!$C$2:$C$400)=YEAR(KBCSpaarrekSamenv!$A99),1,0)*IF(KBCSpaarrekData!$E$2:$E$400&lt;0,1,0)*KBCSpaarrekData!$E$2:$E$400)</f>
        <v>0</v>
      </c>
      <c r="C99" s="5">
        <f t="array" aca="1" ref="C99" ca="1">SUM(IF(MONTH(KBCSpaarrekData!$C$2:$C$400)=MONTH(KBCSpaarrekSamenv!$A99),1,0)*IF(YEAR(KBCSpaarrekData!$C$2:$C$400)=YEAR(KBCSpaarrekSamenv!$A99),1,0)*IF(KBCSpaarrekData!$E$2:$E$400&gt;0,1,0)*KBCSpaarrekData!$E$2:$E$400)</f>
        <v>0</v>
      </c>
      <c r="D99" s="5">
        <f t="shared" si="1"/>
        <v>0</v>
      </c>
      <c r="E99" s="36">
        <f t="array" aca="1" ref="E99" ca="1">SUM((IF(MONTH(KBCSpaarrekData!$C$2:$C$400)=MONTH(KBCSpaarrekSamenv!$A99),1,0))*(IF(YEAR(KBCSpaarrekData!$C$2:$C$400)=YEAR(KBCSpaarrekSamenv!$A99),1,0))*KBCSpaarrekData!$E$2:$E$400)+$E98</f>
        <v>0</v>
      </c>
    </row>
    <row r="100" spans="1:5" outlineLevel="1">
      <c r="A100" s="2">
        <v>40087</v>
      </c>
      <c r="B100" s="5">
        <f t="array" aca="1" ref="B100" ca="1">SUM(IF(MONTH(KBCSpaarrekData!$C$2:$C$400)=MONTH(KBCSpaarrekSamenv!$A100),1,0)*IF(YEAR(KBCSpaarrekData!$C$2:$C$400)=YEAR(KBCSpaarrekSamenv!$A100),1,0)*IF(KBCSpaarrekData!$E$2:$E$400&lt;0,1,0)*KBCSpaarrekData!$E$2:$E$400)</f>
        <v>0</v>
      </c>
      <c r="C100" s="5">
        <f t="array" aca="1" ref="C100" ca="1">SUM(IF(MONTH(KBCSpaarrekData!$C$2:$C$400)=MONTH(KBCSpaarrekSamenv!$A100),1,0)*IF(YEAR(KBCSpaarrekData!$C$2:$C$400)=YEAR(KBCSpaarrekSamenv!$A100),1,0)*IF(KBCSpaarrekData!$E$2:$E$400&gt;0,1,0)*KBCSpaarrekData!$E$2:$E$400)</f>
        <v>0</v>
      </c>
      <c r="D100" s="5">
        <f t="shared" si="1"/>
        <v>0</v>
      </c>
      <c r="E100" s="36">
        <f t="array" aca="1" ref="E100" ca="1">SUM((IF(MONTH(KBCSpaarrekData!$C$2:$C$400)=MONTH(KBCSpaarrekSamenv!$A100),1,0))*(IF(YEAR(KBCSpaarrekData!$C$2:$C$400)=YEAR(KBCSpaarrekSamenv!$A100),1,0))*KBCSpaarrekData!$E$2:$E$400)+$E99</f>
        <v>0</v>
      </c>
    </row>
    <row r="101" spans="1:5" outlineLevel="1">
      <c r="A101" s="10">
        <v>40118</v>
      </c>
      <c r="B101" s="5">
        <f t="array" aca="1" ref="B101" ca="1">SUM(IF(MONTH(KBCSpaarrekData!$C$2:$C$400)=MONTH(KBCSpaarrekSamenv!$A101),1,0)*IF(YEAR(KBCSpaarrekData!$C$2:$C$400)=YEAR(KBCSpaarrekSamenv!$A101),1,0)*IF(KBCSpaarrekData!$E$2:$E$400&lt;0,1,0)*KBCSpaarrekData!$E$2:$E$400)</f>
        <v>0</v>
      </c>
      <c r="C101" s="5">
        <f t="array" aca="1" ref="C101" ca="1">SUM(IF(MONTH(KBCSpaarrekData!$C$2:$C$400)=MONTH(KBCSpaarrekSamenv!$A101),1,0)*IF(YEAR(KBCSpaarrekData!$C$2:$C$400)=YEAR(KBCSpaarrekSamenv!$A101),1,0)*IF(KBCSpaarrekData!$E$2:$E$400&gt;0,1,0)*KBCSpaarrekData!$E$2:$E$400)</f>
        <v>0</v>
      </c>
      <c r="D101" s="5">
        <f t="shared" si="1"/>
        <v>0</v>
      </c>
      <c r="E101" s="36">
        <f t="array" aca="1" ref="E101" ca="1">SUM((IF(MONTH(KBCSpaarrekData!$C$2:$C$400)=MONTH(KBCSpaarrekSamenv!$A101),1,0))*(IF(YEAR(KBCSpaarrekData!$C$2:$C$400)=YEAR(KBCSpaarrekSamenv!$A101),1,0))*KBCSpaarrekData!$E$2:$E$400)+$E100</f>
        <v>0</v>
      </c>
    </row>
    <row r="102" spans="1:5" s="4" customFormat="1">
      <c r="A102" s="26">
        <v>40148</v>
      </c>
      <c r="B102" s="5">
        <f t="array" aca="1" ref="B102" ca="1">SUM(IF(MONTH(KBCSpaarrekData!$C$2:$C$400)=MONTH(KBCSpaarrekSamenv!$A102),1,0)*IF(YEAR(KBCSpaarrekData!$C$2:$C$400)=YEAR(KBCSpaarrekSamenv!$A102),1,0)*IF(KBCSpaarrekData!$E$2:$E$400&lt;0,1,0)*KBCSpaarrekData!$E$2:$E$400)</f>
        <v>0</v>
      </c>
      <c r="C102" s="5">
        <f t="array" aca="1" ref="C102" ca="1">SUM(IF(MONTH(KBCSpaarrekData!$C$2:$C$400)=MONTH(KBCSpaarrekSamenv!$A102),1,0)*IF(YEAR(KBCSpaarrekData!$C$2:$C$400)=YEAR(KBCSpaarrekSamenv!$A102),1,0)*IF(KBCSpaarrekData!$E$2:$E$400&gt;0,1,0)*KBCSpaarrekData!$E$2:$E$400)</f>
        <v>0</v>
      </c>
      <c r="D102" s="5">
        <f t="shared" si="1"/>
        <v>0</v>
      </c>
      <c r="E102" s="36">
        <f t="array" aca="1" ref="E102" ca="1">SUM((IF(MONTH(KBCSpaarrekData!$C$2:$C$400)=MONTH(KBCSpaarrekSamenv!$A102),1,0))*(IF(YEAR(KBCSpaarrekData!$C$2:$C$400)=YEAR(KBCSpaarrekSamenv!$A102),1,0))*KBCSpaarrekData!$E$2:$E$400)+$E101</f>
        <v>0</v>
      </c>
    </row>
    <row r="103" spans="1:5">
      <c r="A103" s="10">
        <v>40179</v>
      </c>
      <c r="B103" s="5">
        <f t="array" aca="1" ref="B103" ca="1">SUM(IF(MONTH(KBCSpaarrekData!$C$2:$C$400)=MONTH(KBCSpaarrekSamenv!$A103),1,0)*IF(YEAR(KBCSpaarrekData!$C$2:$C$400)=YEAR(KBCSpaarrekSamenv!$A103),1,0)*IF(KBCSpaarrekData!$E$2:$E$400&lt;0,1,0)*KBCSpaarrekData!$E$2:$E$400)</f>
        <v>0</v>
      </c>
      <c r="C103" s="5">
        <f t="array" aca="1" ref="C103" ca="1">SUM(IF(MONTH(KBCSpaarrekData!$C$2:$C$400)=MONTH(KBCSpaarrekSamenv!$A103),1,0)*IF(YEAR(KBCSpaarrekData!$C$2:$C$400)=YEAR(KBCSpaarrekSamenv!$A103),1,0)*IF(KBCSpaarrekData!$E$2:$E$400&gt;0,1,0)*KBCSpaarrekData!$E$2:$E$400)</f>
        <v>0</v>
      </c>
      <c r="D103" s="5">
        <f t="shared" si="1"/>
        <v>0</v>
      </c>
      <c r="E103" s="36">
        <f t="array" aca="1" ref="E103" ca="1">SUM((IF(MONTH(KBCSpaarrekData!$C$2:$C$400)=MONTH(KBCSpaarrekSamenv!$A103),1,0))*(IF(YEAR(KBCSpaarrekData!$C$2:$C$400)=YEAR(KBCSpaarrekSamenv!$A103),1,0))*KBCSpaarrekData!$E$2:$E$400)+$E102</f>
        <v>0</v>
      </c>
    </row>
    <row r="104" spans="1:5">
      <c r="A104" s="10">
        <v>40210</v>
      </c>
      <c r="B104" s="5">
        <f t="array" aca="1" ref="B104" ca="1">SUM(IF(MONTH(KBCSpaarrekData!$C$2:$C$400)=MONTH(KBCSpaarrekSamenv!$A104),1,0)*IF(YEAR(KBCSpaarrekData!$C$2:$C$400)=YEAR(KBCSpaarrekSamenv!$A104),1,0)*IF(KBCSpaarrekData!$E$2:$E$400&lt;0,1,0)*KBCSpaarrekData!$E$2:$E$400)</f>
        <v>0</v>
      </c>
      <c r="C104" s="5">
        <f t="array" aca="1" ref="C104" ca="1">SUM(IF(MONTH(KBCSpaarrekData!$C$2:$C$400)=MONTH(KBCSpaarrekSamenv!$A104),1,0)*IF(YEAR(KBCSpaarrekData!$C$2:$C$400)=YEAR(KBCSpaarrekSamenv!$A104),1,0)*IF(KBCSpaarrekData!$E$2:$E$400&gt;0,1,0)*KBCSpaarrekData!$E$2:$E$400)</f>
        <v>0</v>
      </c>
      <c r="D104" s="5">
        <f t="shared" si="1"/>
        <v>0</v>
      </c>
      <c r="E104" s="36">
        <f t="array" aca="1" ref="E104" ca="1">SUM((IF(MONTH(KBCSpaarrekData!$C$2:$C$400)=MONTH(KBCSpaarrekSamenv!$A104),1,0))*(IF(YEAR(KBCSpaarrekData!$C$2:$C$400)=YEAR(KBCSpaarrekSamenv!$A104),1,0))*KBCSpaarrekData!$E$2:$E$400)+$E103</f>
        <v>0</v>
      </c>
    </row>
    <row r="105" spans="1:5">
      <c r="A105" s="10">
        <v>40238</v>
      </c>
      <c r="B105" s="5">
        <f t="array" aca="1" ref="B105" ca="1">SUM(IF(MONTH(KBCSpaarrekData!$C$2:$C$400)=MONTH(KBCSpaarrekSamenv!$A105),1,0)*IF(YEAR(KBCSpaarrekData!$C$2:$C$400)=YEAR(KBCSpaarrekSamenv!$A105),1,0)*IF(KBCSpaarrekData!$E$2:$E$400&lt;0,1,0)*KBCSpaarrekData!$E$2:$E$400)</f>
        <v>0</v>
      </c>
      <c r="C105" s="5">
        <f t="array" aca="1" ref="C105" ca="1">SUM(IF(MONTH(KBCSpaarrekData!$C$2:$C$400)=MONTH(KBCSpaarrekSamenv!$A105),1,0)*IF(YEAR(KBCSpaarrekData!$C$2:$C$400)=YEAR(KBCSpaarrekSamenv!$A105),1,0)*IF(KBCSpaarrekData!$E$2:$E$400&gt;0,1,0)*KBCSpaarrekData!$E$2:$E$400)</f>
        <v>0</v>
      </c>
      <c r="D105" s="5">
        <f t="shared" si="1"/>
        <v>0</v>
      </c>
      <c r="E105" s="36">
        <f t="array" aca="1" ref="E105" ca="1">SUM((IF(MONTH(KBCSpaarrekData!$C$2:$C$400)=MONTH(KBCSpaarrekSamenv!$A105),1,0))*(IF(YEAR(KBCSpaarrekData!$C$2:$C$400)=YEAR(KBCSpaarrekSamenv!$A105),1,0))*KBCSpaarrekData!$E$2:$E$400)+$E104</f>
        <v>0</v>
      </c>
    </row>
    <row r="106" spans="1:5">
      <c r="A106" s="10">
        <v>40269</v>
      </c>
      <c r="B106" s="5">
        <f t="array" aca="1" ref="B106" ca="1">SUM(IF(MONTH(KBCSpaarrekData!$C$2:$C$400)=MONTH(KBCSpaarrekSamenv!$A106),1,0)*IF(YEAR(KBCSpaarrekData!$C$2:$C$400)=YEAR(KBCSpaarrekSamenv!$A106),1,0)*IF(KBCSpaarrekData!$E$2:$E$400&lt;0,1,0)*KBCSpaarrekData!$E$2:$E$400)</f>
        <v>0</v>
      </c>
      <c r="C106" s="5">
        <f t="array" aca="1" ref="C106" ca="1">SUM(IF(MONTH(KBCSpaarrekData!$C$2:$C$400)=MONTH(KBCSpaarrekSamenv!$A106),1,0)*IF(YEAR(KBCSpaarrekData!$C$2:$C$400)=YEAR(KBCSpaarrekSamenv!$A106),1,0)*IF(KBCSpaarrekData!$E$2:$E$400&gt;0,1,0)*KBCSpaarrekData!$E$2:$E$400)</f>
        <v>0</v>
      </c>
      <c r="D106" s="5">
        <f t="shared" si="1"/>
        <v>0</v>
      </c>
      <c r="E106" s="36">
        <f t="array" aca="1" ref="E106" ca="1">SUM((IF(MONTH(KBCSpaarrekData!$C$2:$C$400)=MONTH(KBCSpaarrekSamenv!$A106),1,0))*(IF(YEAR(KBCSpaarrekData!$C$2:$C$400)=YEAR(KBCSpaarrekSamenv!$A106),1,0))*KBCSpaarrekData!$E$2:$E$400)+$E105</f>
        <v>0</v>
      </c>
    </row>
    <row r="107" spans="1:5">
      <c r="A107" s="10">
        <v>40299</v>
      </c>
      <c r="B107" s="5">
        <f t="array" aca="1" ref="B107" ca="1">SUM(IF(MONTH(KBCSpaarrekData!$C$2:$C$400)=MONTH(KBCSpaarrekSamenv!$A107),1,0)*IF(YEAR(KBCSpaarrekData!$C$2:$C$400)=YEAR(KBCSpaarrekSamenv!$A107),1,0)*IF(KBCSpaarrekData!$E$2:$E$400&lt;0,1,0)*KBCSpaarrekData!$E$2:$E$400)</f>
        <v>0</v>
      </c>
      <c r="C107" s="5">
        <f t="array" aca="1" ref="C107" ca="1">SUM(IF(MONTH(KBCSpaarrekData!$C$2:$C$400)=MONTH(KBCSpaarrekSamenv!$A107),1,0)*IF(YEAR(KBCSpaarrekData!$C$2:$C$400)=YEAR(KBCSpaarrekSamenv!$A107),1,0)*IF(KBCSpaarrekData!$E$2:$E$400&gt;0,1,0)*KBCSpaarrekData!$E$2:$E$400)</f>
        <v>0</v>
      </c>
      <c r="D107" s="5">
        <f t="shared" si="1"/>
        <v>0</v>
      </c>
      <c r="E107" s="36">
        <f t="array" aca="1" ref="E107" ca="1">SUM((IF(MONTH(KBCSpaarrekData!$C$2:$C$400)=MONTH(KBCSpaarrekSamenv!$A107),1,0))*(IF(YEAR(KBCSpaarrekData!$C$2:$C$400)=YEAR(KBCSpaarrekSamenv!$A107),1,0))*KBCSpaarrekData!$E$2:$E$400)+$E106</f>
        <v>0</v>
      </c>
    </row>
    <row r="108" spans="1:5">
      <c r="A108" s="10">
        <v>40330</v>
      </c>
      <c r="B108" s="5">
        <f t="array" aca="1" ref="B108" ca="1">SUM(IF(MONTH(KBCSpaarrekData!$C$2:$C$400)=MONTH(KBCSpaarrekSamenv!$A108),1,0)*IF(YEAR(KBCSpaarrekData!$C$2:$C$400)=YEAR(KBCSpaarrekSamenv!$A108),1,0)*IF(KBCSpaarrekData!$E$2:$E$400&lt;0,1,0)*KBCSpaarrekData!$E$2:$E$400)</f>
        <v>0</v>
      </c>
      <c r="C108" s="5">
        <f t="array" aca="1" ref="C108" ca="1">SUM(IF(MONTH(KBCSpaarrekData!$C$2:$C$400)=MONTH(KBCSpaarrekSamenv!$A108),1,0)*IF(YEAR(KBCSpaarrekData!$C$2:$C$400)=YEAR(KBCSpaarrekSamenv!$A108),1,0)*IF(KBCSpaarrekData!$E$2:$E$400&gt;0,1,0)*KBCSpaarrekData!$E$2:$E$400)</f>
        <v>0</v>
      </c>
      <c r="D108" s="5">
        <f t="shared" si="1"/>
        <v>0</v>
      </c>
      <c r="E108" s="36">
        <f t="array" aca="1" ref="E108" ca="1">SUM((IF(MONTH(KBCSpaarrekData!$C$2:$C$400)=MONTH(KBCSpaarrekSamenv!$A108),1,0))*(IF(YEAR(KBCSpaarrekData!$C$2:$C$400)=YEAR(KBCSpaarrekSamenv!$A108),1,0))*KBCSpaarrekData!$E$2:$E$400)+$E107</f>
        <v>0</v>
      </c>
    </row>
    <row r="109" spans="1:5">
      <c r="A109" s="10">
        <v>40360</v>
      </c>
      <c r="B109" s="5">
        <f t="array" aca="1" ref="B109" ca="1">SUM(IF(MONTH(KBCSpaarrekData!$C$2:$C$400)=MONTH(KBCSpaarrekSamenv!$A109),1,0)*IF(YEAR(KBCSpaarrekData!$C$2:$C$400)=YEAR(KBCSpaarrekSamenv!$A109),1,0)*IF(KBCSpaarrekData!$E$2:$E$400&lt;0,1,0)*KBCSpaarrekData!$E$2:$E$400)</f>
        <v>0</v>
      </c>
      <c r="C109" s="5">
        <f t="array" aca="1" ref="C109" ca="1">SUM(IF(MONTH(KBCSpaarrekData!$C$2:$C$400)=MONTH(KBCSpaarrekSamenv!$A109),1,0)*IF(YEAR(KBCSpaarrekData!$C$2:$C$400)=YEAR(KBCSpaarrekSamenv!$A109),1,0)*IF(KBCSpaarrekData!$E$2:$E$400&gt;0,1,0)*KBCSpaarrekData!$E$2:$E$400)</f>
        <v>0</v>
      </c>
      <c r="D109" s="5">
        <f t="shared" si="1"/>
        <v>0</v>
      </c>
      <c r="E109" s="36">
        <f t="array" aca="1" ref="E109" ca="1">SUM((IF(MONTH(KBCSpaarrekData!$C$2:$C$400)=MONTH(KBCSpaarrekSamenv!$A109),1,0))*(IF(YEAR(KBCSpaarrekData!$C$2:$C$400)=YEAR(KBCSpaarrekSamenv!$A109),1,0))*KBCSpaarrekData!$E$2:$E$400)+$E108</f>
        <v>0</v>
      </c>
    </row>
    <row r="110" spans="1:5">
      <c r="A110" s="10">
        <v>40391</v>
      </c>
      <c r="B110" s="5">
        <f t="array" aca="1" ref="B110" ca="1">SUM(IF(MONTH(KBCSpaarrekData!$C$2:$C$400)=MONTH(KBCSpaarrekSamenv!$A110),1,0)*IF(YEAR(KBCSpaarrekData!$C$2:$C$400)=YEAR(KBCSpaarrekSamenv!$A110),1,0)*IF(KBCSpaarrekData!$E$2:$E$400&lt;0,1,0)*KBCSpaarrekData!$E$2:$E$400)</f>
        <v>0</v>
      </c>
      <c r="C110" s="5">
        <f t="array" aca="1" ref="C110" ca="1">SUM(IF(MONTH(KBCSpaarrekData!$C$2:$C$400)=MONTH(KBCSpaarrekSamenv!$A110),1,0)*IF(YEAR(KBCSpaarrekData!$C$2:$C$400)=YEAR(KBCSpaarrekSamenv!$A110),1,0)*IF(KBCSpaarrekData!$E$2:$E$400&gt;0,1,0)*KBCSpaarrekData!$E$2:$E$400)</f>
        <v>0</v>
      </c>
      <c r="D110" s="5">
        <f t="shared" si="1"/>
        <v>0</v>
      </c>
      <c r="E110" s="36">
        <f t="array" aca="1" ref="E110" ca="1">SUM((IF(MONTH(KBCSpaarrekData!$C$2:$C$400)=MONTH(KBCSpaarrekSamenv!$A110),1,0))*(IF(YEAR(KBCSpaarrekData!$C$2:$C$400)=YEAR(KBCSpaarrekSamenv!$A110),1,0))*KBCSpaarrekData!$E$2:$E$400)+$E109</f>
        <v>0</v>
      </c>
    </row>
    <row r="111" spans="1:5">
      <c r="A111" s="10">
        <v>40422</v>
      </c>
      <c r="B111" s="5">
        <f t="array" aca="1" ref="B111" ca="1">SUM(IF(MONTH(KBCSpaarrekData!$C$2:$C$400)=MONTH(KBCSpaarrekSamenv!$A111),1,0)*IF(YEAR(KBCSpaarrekData!$C$2:$C$400)=YEAR(KBCSpaarrekSamenv!$A111),1,0)*IF(KBCSpaarrekData!$E$2:$E$400&lt;0,1,0)*KBCSpaarrekData!$E$2:$E$400)</f>
        <v>0</v>
      </c>
      <c r="C111" s="5">
        <f t="array" aca="1" ref="C111" ca="1">SUM(IF(MONTH(KBCSpaarrekData!$C$2:$C$400)=MONTH(KBCSpaarrekSamenv!$A111),1,0)*IF(YEAR(KBCSpaarrekData!$C$2:$C$400)=YEAR(KBCSpaarrekSamenv!$A111),1,0)*IF(KBCSpaarrekData!$E$2:$E$400&gt;0,1,0)*KBCSpaarrekData!$E$2:$E$400)</f>
        <v>0</v>
      </c>
      <c r="D111" s="5">
        <f t="shared" si="1"/>
        <v>0</v>
      </c>
      <c r="E111" s="36">
        <f t="array" aca="1" ref="E111" ca="1">SUM((IF(MONTH(KBCSpaarrekData!$C$2:$C$400)=MONTH(KBCSpaarrekSamenv!$A111),1,0))*(IF(YEAR(KBCSpaarrekData!$C$2:$C$400)=YEAR(KBCSpaarrekSamenv!$A111),1,0))*KBCSpaarrekData!$E$2:$E$400)+$E110</f>
        <v>0</v>
      </c>
    </row>
    <row r="112" spans="1:5">
      <c r="A112" s="10">
        <v>40452</v>
      </c>
      <c r="B112" s="5">
        <f t="array" aca="1" ref="B112" ca="1">SUM(IF(MONTH(KBCSpaarrekData!$C$2:$C$400)=MONTH(KBCSpaarrekSamenv!$A112),1,0)*IF(YEAR(KBCSpaarrekData!$C$2:$C$400)=YEAR(KBCSpaarrekSamenv!$A112),1,0)*IF(KBCSpaarrekData!$E$2:$E$400&lt;0,1,0)*KBCSpaarrekData!$E$2:$E$400)</f>
        <v>0</v>
      </c>
      <c r="C112" s="5">
        <f t="array" aca="1" ref="C112" ca="1">SUM(IF(MONTH(KBCSpaarrekData!$C$2:$C$400)=MONTH(KBCSpaarrekSamenv!$A112),1,0)*IF(YEAR(KBCSpaarrekData!$C$2:$C$400)=YEAR(KBCSpaarrekSamenv!$A112),1,0)*IF(KBCSpaarrekData!$E$2:$E$400&gt;0,1,0)*KBCSpaarrekData!$E$2:$E$400)</f>
        <v>0</v>
      </c>
      <c r="D112" s="5">
        <f t="shared" si="1"/>
        <v>0</v>
      </c>
      <c r="E112" s="36">
        <f t="array" aca="1" ref="E112" ca="1">SUM((IF(MONTH(KBCSpaarrekData!$C$2:$C$400)=MONTH(KBCSpaarrekSamenv!$A112),1,0))*(IF(YEAR(KBCSpaarrekData!$C$2:$C$400)=YEAR(KBCSpaarrekSamenv!$A112),1,0))*KBCSpaarrekData!$E$2:$E$400)+$E111</f>
        <v>0</v>
      </c>
    </row>
  </sheetData>
  <phoneticPr fontId="8" type="noConversion"/>
  <conditionalFormatting sqref="A1:E1048576">
    <cfRule type="expression" dxfId="2" priority="1">
      <formula>IFERROR(IF(YEAR($A1)=YEAR($A2),0,1),0)</formula>
    </cfRule>
    <cfRule type="cellIs" dxfId="1" priority="4" operator="lessThan">
      <formula>0</formula>
    </cfRule>
  </conditionalFormatting>
  <dataValidations count="1">
    <dataValidation type="list" allowBlank="1" showInputMessage="1" showErrorMessage="1" sqref="A1">
      <formula1>"2001,2002,2003,2004,2005,2006,2007,2008,2009,2010,2011,2012,2013,2014,2015"</formula1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9">
    <tabColor theme="3"/>
  </sheetPr>
  <dimension ref="A1:J38"/>
  <sheetViews>
    <sheetView tabSelected="1" workbookViewId="0">
      <pane ySplit="6" topLeftCell="A7" activePane="bottomLeft" state="frozenSplit"/>
      <selection pane="bottomLeft" activeCell="C4" sqref="C4"/>
    </sheetView>
  </sheetViews>
  <sheetFormatPr defaultRowHeight="15"/>
  <cols>
    <col min="1" max="1" width="20.42578125" style="18" customWidth="1"/>
    <col min="2" max="2" width="12.85546875" style="44" customWidth="1"/>
    <col min="3" max="3" width="14.85546875" style="67" customWidth="1"/>
    <col min="4" max="4" width="13.85546875" style="59" customWidth="1"/>
    <col min="5" max="5" width="20.85546875" style="70" bestFit="1" customWidth="1"/>
    <col min="6" max="6" width="10.140625" style="61" bestFit="1" customWidth="1"/>
    <col min="7" max="7" width="21.85546875" style="45" customWidth="1"/>
    <col min="8" max="8" width="10.140625" style="61" bestFit="1" customWidth="1"/>
    <col min="9" max="9" width="11.42578125" style="47" bestFit="1" customWidth="1"/>
    <col min="10" max="10" width="12.140625" style="62" bestFit="1" customWidth="1"/>
  </cols>
  <sheetData>
    <row r="1" spans="1:10">
      <c r="A1" s="18" t="s">
        <v>78</v>
      </c>
      <c r="B1" s="135"/>
      <c r="C1" s="136"/>
      <c r="D1" s="137"/>
      <c r="E1" s="133"/>
      <c r="F1" s="133"/>
      <c r="G1" s="133"/>
      <c r="H1" s="134"/>
    </row>
    <row r="2" spans="1:10">
      <c r="A2" s="18" t="s">
        <v>79</v>
      </c>
      <c r="B2" s="138"/>
      <c r="C2" s="139"/>
      <c r="D2" s="137"/>
      <c r="E2" s="140"/>
      <c r="F2" s="141"/>
      <c r="G2" s="138"/>
      <c r="H2" s="141"/>
      <c r="I2" s="131"/>
      <c r="J2" s="132"/>
    </row>
    <row r="3" spans="1:10" s="52" customFormat="1">
      <c r="A3" s="54" t="s">
        <v>58</v>
      </c>
      <c r="B3" s="46" t="s">
        <v>74</v>
      </c>
      <c r="C3" s="46" t="s">
        <v>47</v>
      </c>
      <c r="D3" s="57" t="s">
        <v>53</v>
      </c>
      <c r="E3" s="49" t="s">
        <v>76</v>
      </c>
      <c r="F3" s="57" t="s">
        <v>47</v>
      </c>
      <c r="G3" s="49" t="s">
        <v>75</v>
      </c>
      <c r="H3" s="57" t="s">
        <v>47</v>
      </c>
      <c r="I3" s="48" t="s">
        <v>77</v>
      </c>
      <c r="J3" s="63" t="s">
        <v>47</v>
      </c>
    </row>
    <row r="4" spans="1:10" s="52" customFormat="1">
      <c r="A4" s="55" t="s">
        <v>22</v>
      </c>
      <c r="B4" s="53"/>
      <c r="C4" s="53">
        <f>AVERAGE(C7:C20)</f>
        <v>0</v>
      </c>
      <c r="D4" s="65">
        <f>AVERAGE(D7:D20)</f>
        <v>0</v>
      </c>
      <c r="E4" s="68"/>
      <c r="F4" s="65">
        <f>AVERAGE(F7:F20)</f>
        <v>0</v>
      </c>
      <c r="G4" s="64"/>
      <c r="H4" s="65">
        <f>AVERAGE(H7:H20)</f>
        <v>0</v>
      </c>
      <c r="I4" s="53"/>
      <c r="J4" s="58">
        <f>AVERAGE(J7:J20)</f>
        <v>0</v>
      </c>
    </row>
    <row r="5" spans="1:10" s="52" customFormat="1">
      <c r="A5" s="55" t="s">
        <v>54</v>
      </c>
      <c r="B5" s="53"/>
      <c r="C5" s="53" t="e">
        <f>(MAX(B7:B20)-MIN(B7:B20))/COUNT(A7:A20)</f>
        <v>#DIV/0!</v>
      </c>
      <c r="D5" s="65" t="e">
        <f>(MAX(C7:C20)-MIN(C7:C20))/COUNT(B7:B20)</f>
        <v>#DIV/0!</v>
      </c>
      <c r="E5" s="68"/>
      <c r="F5" s="65">
        <f>(MAX(E7:E20)-MIN(E7:E20))/COUNT(D7:D20)</f>
        <v>0</v>
      </c>
      <c r="G5" s="68"/>
      <c r="H5" s="65">
        <f>(MAX(G7:G20)-MIN(G7:G20))/COUNT(F7:F20)</f>
        <v>0</v>
      </c>
      <c r="I5" s="53"/>
      <c r="J5" s="58">
        <f>(MAX(I7:I20)-MIN(I7:I20))/COUNT(H7:H20)</f>
        <v>0</v>
      </c>
    </row>
    <row r="6" spans="1:10" s="52" customFormat="1">
      <c r="A6" s="107"/>
      <c r="B6" s="108"/>
      <c r="C6" s="108"/>
      <c r="D6" s="109"/>
      <c r="E6" s="110"/>
      <c r="F6" s="111"/>
      <c r="G6" s="110"/>
      <c r="H6" s="111"/>
      <c r="I6" s="112"/>
      <c r="J6" s="113"/>
    </row>
    <row r="7" spans="1:10">
      <c r="A7" s="56"/>
      <c r="D7" s="60">
        <f>C7/0.097</f>
        <v>0</v>
      </c>
      <c r="E7" s="69"/>
      <c r="F7" s="60"/>
      <c r="G7" s="50"/>
      <c r="H7" s="60"/>
    </row>
    <row r="8" spans="1:10">
      <c r="A8" s="56"/>
      <c r="C8" s="67">
        <f>B8-B7</f>
        <v>0</v>
      </c>
      <c r="D8" s="60">
        <f t="shared" ref="D8:D20" si="0">C8/0.097</f>
        <v>0</v>
      </c>
      <c r="E8" s="69"/>
      <c r="F8" s="60">
        <f>E8-E7</f>
        <v>0</v>
      </c>
      <c r="G8" s="50"/>
      <c r="H8" s="60">
        <f>G8-G7</f>
        <v>0</v>
      </c>
      <c r="J8" s="62">
        <f>I8-I7</f>
        <v>0</v>
      </c>
    </row>
    <row r="9" spans="1:10">
      <c r="A9" s="56"/>
      <c r="C9" s="67">
        <f t="shared" ref="C9:C20" si="1">B9-B8</f>
        <v>0</v>
      </c>
      <c r="D9" s="60">
        <f t="shared" si="0"/>
        <v>0</v>
      </c>
      <c r="E9" s="69"/>
      <c r="F9" s="60">
        <f t="shared" ref="F9:F20" si="2">E9-E8</f>
        <v>0</v>
      </c>
      <c r="G9" s="50"/>
      <c r="H9" s="60">
        <f t="shared" ref="H9:H20" si="3">G9-G8</f>
        <v>0</v>
      </c>
      <c r="J9" s="62">
        <f t="shared" ref="J9:J20" si="4">I9-I8</f>
        <v>0</v>
      </c>
    </row>
    <row r="10" spans="1:10">
      <c r="A10" s="56"/>
      <c r="C10" s="67">
        <f t="shared" si="1"/>
        <v>0</v>
      </c>
      <c r="D10" s="60">
        <f t="shared" si="0"/>
        <v>0</v>
      </c>
      <c r="E10" s="69"/>
      <c r="F10" s="60">
        <f t="shared" si="2"/>
        <v>0</v>
      </c>
      <c r="G10" s="50"/>
      <c r="H10" s="60">
        <f t="shared" si="3"/>
        <v>0</v>
      </c>
      <c r="J10" s="62">
        <f t="shared" si="4"/>
        <v>0</v>
      </c>
    </row>
    <row r="11" spans="1:10">
      <c r="A11" s="56"/>
      <c r="C11" s="67">
        <f t="shared" si="1"/>
        <v>0</v>
      </c>
      <c r="D11" s="60">
        <f t="shared" si="0"/>
        <v>0</v>
      </c>
      <c r="E11" s="69"/>
      <c r="F11" s="60">
        <f t="shared" si="2"/>
        <v>0</v>
      </c>
      <c r="G11" s="50"/>
      <c r="H11" s="60">
        <f t="shared" si="3"/>
        <v>0</v>
      </c>
      <c r="J11" s="62">
        <f t="shared" si="4"/>
        <v>0</v>
      </c>
    </row>
    <row r="12" spans="1:10">
      <c r="A12" s="56"/>
      <c r="C12" s="67">
        <f t="shared" si="1"/>
        <v>0</v>
      </c>
      <c r="D12" s="60">
        <f t="shared" si="0"/>
        <v>0</v>
      </c>
      <c r="E12" s="69"/>
      <c r="F12" s="60">
        <f t="shared" si="2"/>
        <v>0</v>
      </c>
      <c r="G12" s="50"/>
      <c r="H12" s="60">
        <f t="shared" si="3"/>
        <v>0</v>
      </c>
      <c r="J12" s="62">
        <f t="shared" si="4"/>
        <v>0</v>
      </c>
    </row>
    <row r="13" spans="1:10">
      <c r="A13" s="56"/>
      <c r="C13" s="67">
        <f t="shared" si="1"/>
        <v>0</v>
      </c>
      <c r="D13" s="60">
        <f t="shared" si="0"/>
        <v>0</v>
      </c>
      <c r="E13" s="69"/>
      <c r="F13" s="60">
        <f t="shared" si="2"/>
        <v>0</v>
      </c>
      <c r="G13" s="50"/>
      <c r="H13" s="60">
        <f t="shared" si="3"/>
        <v>0</v>
      </c>
      <c r="J13" s="62">
        <f t="shared" si="4"/>
        <v>0</v>
      </c>
    </row>
    <row r="14" spans="1:10">
      <c r="A14" s="56"/>
      <c r="C14" s="67">
        <f t="shared" si="1"/>
        <v>0</v>
      </c>
      <c r="D14" s="60">
        <f t="shared" si="0"/>
        <v>0</v>
      </c>
      <c r="E14" s="69"/>
      <c r="F14" s="60">
        <f t="shared" si="2"/>
        <v>0</v>
      </c>
      <c r="G14" s="50"/>
      <c r="H14" s="60">
        <f t="shared" si="3"/>
        <v>0</v>
      </c>
      <c r="J14" s="62">
        <f t="shared" si="4"/>
        <v>0</v>
      </c>
    </row>
    <row r="15" spans="1:10">
      <c r="A15" s="56"/>
      <c r="C15" s="67">
        <f t="shared" si="1"/>
        <v>0</v>
      </c>
      <c r="D15" s="60">
        <f t="shared" si="0"/>
        <v>0</v>
      </c>
      <c r="E15" s="69"/>
      <c r="F15" s="60">
        <f t="shared" si="2"/>
        <v>0</v>
      </c>
      <c r="G15" s="50"/>
      <c r="H15" s="60">
        <f t="shared" si="3"/>
        <v>0</v>
      </c>
      <c r="J15" s="62">
        <f t="shared" si="4"/>
        <v>0</v>
      </c>
    </row>
    <row r="16" spans="1:10">
      <c r="A16" s="56"/>
      <c r="C16" s="67">
        <f t="shared" si="1"/>
        <v>0</v>
      </c>
      <c r="D16" s="60">
        <f t="shared" si="0"/>
        <v>0</v>
      </c>
      <c r="E16" s="69"/>
      <c r="F16" s="60">
        <f t="shared" si="2"/>
        <v>0</v>
      </c>
      <c r="G16" s="50"/>
      <c r="H16" s="60">
        <f t="shared" si="3"/>
        <v>0</v>
      </c>
      <c r="J16" s="62">
        <f t="shared" si="4"/>
        <v>0</v>
      </c>
    </row>
    <row r="17" spans="1:10">
      <c r="A17" s="56"/>
      <c r="C17" s="67">
        <f t="shared" si="1"/>
        <v>0</v>
      </c>
      <c r="D17" s="60">
        <f t="shared" si="0"/>
        <v>0</v>
      </c>
      <c r="E17" s="69"/>
      <c r="F17" s="60">
        <f t="shared" si="2"/>
        <v>0</v>
      </c>
      <c r="G17" s="50"/>
      <c r="H17" s="60">
        <f t="shared" si="3"/>
        <v>0</v>
      </c>
      <c r="J17" s="62">
        <f t="shared" si="4"/>
        <v>0</v>
      </c>
    </row>
    <row r="18" spans="1:10">
      <c r="A18" s="56"/>
      <c r="C18" s="67">
        <f t="shared" si="1"/>
        <v>0</v>
      </c>
      <c r="D18" s="60">
        <f t="shared" si="0"/>
        <v>0</v>
      </c>
      <c r="E18" s="69"/>
      <c r="F18" s="60">
        <f t="shared" si="2"/>
        <v>0</v>
      </c>
      <c r="G18" s="50"/>
      <c r="H18" s="60">
        <f t="shared" si="3"/>
        <v>0</v>
      </c>
      <c r="J18" s="62">
        <f t="shared" si="4"/>
        <v>0</v>
      </c>
    </row>
    <row r="19" spans="1:10">
      <c r="C19" s="67">
        <f t="shared" si="1"/>
        <v>0</v>
      </c>
      <c r="D19" s="60">
        <f t="shared" si="0"/>
        <v>0</v>
      </c>
      <c r="E19" s="69"/>
      <c r="F19" s="60">
        <f t="shared" si="2"/>
        <v>0</v>
      </c>
      <c r="G19" s="50"/>
      <c r="H19" s="60">
        <f t="shared" si="3"/>
        <v>0</v>
      </c>
      <c r="J19" s="62">
        <f t="shared" si="4"/>
        <v>0</v>
      </c>
    </row>
    <row r="20" spans="1:10">
      <c r="C20" s="67">
        <f t="shared" si="1"/>
        <v>0</v>
      </c>
      <c r="D20" s="60">
        <f t="shared" si="0"/>
        <v>0</v>
      </c>
      <c r="E20" s="69"/>
      <c r="F20" s="60">
        <f t="shared" si="2"/>
        <v>0</v>
      </c>
      <c r="G20" s="50"/>
      <c r="H20" s="60">
        <f t="shared" si="3"/>
        <v>0</v>
      </c>
      <c r="J20" s="62">
        <f t="shared" si="4"/>
        <v>0</v>
      </c>
    </row>
    <row r="21" spans="1:10">
      <c r="E21" s="69"/>
      <c r="F21" s="60"/>
      <c r="G21" s="50"/>
      <c r="H21" s="60"/>
    </row>
    <row r="22" spans="1:10">
      <c r="E22" s="69"/>
      <c r="F22" s="60"/>
      <c r="G22" s="50"/>
      <c r="H22" s="60"/>
    </row>
    <row r="23" spans="1:10">
      <c r="E23" s="69"/>
      <c r="F23" s="60"/>
      <c r="G23" s="50"/>
      <c r="H23" s="60"/>
    </row>
    <row r="24" spans="1:10">
      <c r="E24" s="69"/>
      <c r="F24" s="60"/>
      <c r="G24" s="50"/>
      <c r="H24" s="60"/>
    </row>
    <row r="25" spans="1:10">
      <c r="E25" s="69"/>
      <c r="F25" s="60"/>
      <c r="G25" s="50"/>
      <c r="H25" s="60"/>
    </row>
    <row r="26" spans="1:10">
      <c r="E26" s="69"/>
      <c r="F26" s="60"/>
      <c r="G26" s="50"/>
      <c r="H26" s="60"/>
    </row>
    <row r="27" spans="1:10">
      <c r="E27" s="69"/>
      <c r="F27" s="60"/>
      <c r="G27" s="50"/>
      <c r="H27" s="60"/>
    </row>
    <row r="28" spans="1:10">
      <c r="E28" s="69"/>
      <c r="F28" s="60"/>
      <c r="G28" s="50"/>
      <c r="H28" s="60"/>
    </row>
    <row r="29" spans="1:10">
      <c r="E29" s="69"/>
      <c r="F29" s="60"/>
      <c r="G29" s="50"/>
      <c r="H29" s="60"/>
    </row>
    <row r="30" spans="1:10">
      <c r="E30" s="69"/>
      <c r="F30" s="60"/>
      <c r="G30" s="50"/>
      <c r="H30" s="60"/>
    </row>
    <row r="31" spans="1:10">
      <c r="E31" s="69"/>
      <c r="F31" s="60"/>
      <c r="G31" s="50"/>
      <c r="H31" s="60"/>
    </row>
    <row r="32" spans="1:10">
      <c r="E32" s="69"/>
      <c r="F32" s="60"/>
      <c r="G32" s="50"/>
      <c r="H32" s="60"/>
    </row>
    <row r="33" spans="5:8">
      <c r="E33" s="69"/>
      <c r="F33" s="60"/>
      <c r="G33" s="50"/>
      <c r="H33" s="60"/>
    </row>
    <row r="34" spans="5:8">
      <c r="E34" s="69"/>
      <c r="F34" s="60"/>
      <c r="G34" s="50"/>
      <c r="H34" s="60"/>
    </row>
    <row r="35" spans="5:8">
      <c r="E35" s="69"/>
      <c r="F35" s="60"/>
      <c r="G35" s="50"/>
      <c r="H35" s="60"/>
    </row>
    <row r="36" spans="5:8">
      <c r="E36" s="69"/>
      <c r="F36" s="60"/>
      <c r="G36" s="50"/>
      <c r="H36" s="60"/>
    </row>
    <row r="37" spans="5:8">
      <c r="E37" s="69"/>
      <c r="F37" s="60"/>
      <c r="G37" s="50"/>
      <c r="H37" s="60"/>
    </row>
    <row r="38" spans="5:8">
      <c r="E38" s="69"/>
      <c r="F38" s="60"/>
      <c r="G38" s="50"/>
      <c r="H38" s="60"/>
    </row>
  </sheetData>
  <mergeCells count="6">
    <mergeCell ref="I2:J2"/>
    <mergeCell ref="E1:H1"/>
    <mergeCell ref="B1:D1"/>
    <mergeCell ref="B2:D2"/>
    <mergeCell ref="E2:F2"/>
    <mergeCell ref="G2:H2"/>
  </mergeCells>
  <phoneticPr fontId="8" type="noConversion"/>
  <conditionalFormatting sqref="A1:J1048576">
    <cfRule type="expression" dxfId="0" priority="1">
      <formula>IFERROR(IF(YEAR($A1)=YEAR($A2),0,1),0)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17" baseType="lpstr">
      <vt:lpstr>Categorieën</vt:lpstr>
      <vt:lpstr>CrelanData</vt:lpstr>
      <vt:lpstr>CrelanSamenv</vt:lpstr>
      <vt:lpstr>ArgentaGiroData</vt:lpstr>
      <vt:lpstr>ArgentaGiroSamenv</vt:lpstr>
      <vt:lpstr>ArgentaGemeenschRekData</vt:lpstr>
      <vt:lpstr>ArgentaGemeenschRekSamenv</vt:lpstr>
      <vt:lpstr>ArgentaMaxiData</vt:lpstr>
      <vt:lpstr>ArgentaMaxiSamenv</vt:lpstr>
      <vt:lpstr>KBCCompData</vt:lpstr>
      <vt:lpstr>KBCCompSamenv</vt:lpstr>
      <vt:lpstr>KBCSpaarrekData</vt:lpstr>
      <vt:lpstr>KBCSpaarrekSamenv</vt:lpstr>
      <vt:lpstr>Verbruik</vt:lpstr>
      <vt:lpstr>GiroGrafiek</vt:lpstr>
      <vt:lpstr>ManualTypes</vt:lpstr>
      <vt:lpstr>YEARSEvaCompSamenv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831012639</cp:lastModifiedBy>
  <dcterms:created xsi:type="dcterms:W3CDTF">2007-11-25T22:58:35Z</dcterms:created>
  <dcterms:modified xsi:type="dcterms:W3CDTF">2010-11-29T13:20:09Z</dcterms:modified>
</cp:coreProperties>
</file>