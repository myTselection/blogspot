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240" yWindow="120" windowWidth="15150" windowHeight="7350" tabRatio="297"/>
  </bookViews>
  <sheets>
    <sheet name="kosten" sheetId="1" r:id="rId1"/>
    <sheet name="interesten" sheetId="2" r:id="rId2"/>
    <sheet name="opzeggingen" sheetId="6" r:id="rId3"/>
  </sheets>
  <definedNames>
    <definedName name="bankeninterest">kosten!$C$143:$J$143</definedName>
    <definedName name="leenbedragafhreserver">kosten!$H$25</definedName>
    <definedName name="linkleenkostleenbedrag">kosten!$I$25</definedName>
  </definedNames>
  <calcPr calcId="125725"/>
</workbook>
</file>

<file path=xl/calcChain.xml><?xml version="1.0" encoding="utf-8"?>
<calcChain xmlns="http://schemas.openxmlformats.org/spreadsheetml/2006/main">
  <c r="C123" i="1"/>
  <c r="B31"/>
  <c r="B30"/>
  <c r="B47"/>
  <c r="B46"/>
  <c r="B108"/>
  <c r="B102"/>
  <c r="B97"/>
  <c r="B96"/>
  <c r="B91"/>
  <c r="B89"/>
  <c r="B75"/>
  <c r="B74"/>
  <c r="B63"/>
  <c r="B62"/>
  <c r="D149" l="1"/>
  <c r="E149"/>
  <c r="F149"/>
  <c r="G149"/>
  <c r="H149"/>
  <c r="I149"/>
  <c r="J149"/>
  <c r="C149"/>
  <c r="B1" i="2"/>
  <c r="B1" i="1"/>
  <c r="H34"/>
  <c r="K14" i="2"/>
  <c r="G73"/>
  <c r="F73"/>
  <c r="E73"/>
  <c r="D73"/>
  <c r="C73"/>
  <c r="J14"/>
  <c r="J15" s="1"/>
  <c r="C122" i="1"/>
  <c r="E93"/>
  <c r="E113" s="1"/>
  <c r="C93"/>
  <c r="C113" s="1"/>
  <c r="G88"/>
  <c r="G90" s="1"/>
  <c r="G102" s="1"/>
  <c r="A79" i="2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78"/>
  <c r="D60"/>
  <c r="D61" s="1"/>
  <c r="E60"/>
  <c r="E61" s="1"/>
  <c r="F60"/>
  <c r="F61" s="1"/>
  <c r="G60"/>
  <c r="G61" s="1"/>
  <c r="C60"/>
  <c r="C61" s="1"/>
  <c r="G49"/>
  <c r="F49"/>
  <c r="E49"/>
  <c r="D49"/>
  <c r="C49"/>
  <c r="G37"/>
  <c r="F37"/>
  <c r="E37"/>
  <c r="D37"/>
  <c r="C37"/>
  <c r="G28"/>
  <c r="F28"/>
  <c r="E28"/>
  <c r="D28"/>
  <c r="C28"/>
  <c r="G19"/>
  <c r="F19"/>
  <c r="E19"/>
  <c r="D19"/>
  <c r="C19"/>
  <c r="D10"/>
  <c r="D12" s="1"/>
  <c r="D14" s="1"/>
  <c r="E10"/>
  <c r="E12" s="1"/>
  <c r="E14" s="1"/>
  <c r="F10"/>
  <c r="F12" s="1"/>
  <c r="F14" s="1"/>
  <c r="G10"/>
  <c r="G12" s="1"/>
  <c r="G14" s="1"/>
  <c r="C10"/>
  <c r="C8" i="1"/>
  <c r="K10" i="2"/>
  <c r="K11"/>
  <c r="K9"/>
  <c r="J11"/>
  <c r="J10"/>
  <c r="J9"/>
  <c r="K15"/>
  <c r="C12"/>
  <c r="C11" s="1"/>
  <c r="C127" i="1"/>
  <c r="F18"/>
  <c r="C81"/>
  <c r="C68"/>
  <c r="C83"/>
  <c r="C84" s="1"/>
  <c r="C59"/>
  <c r="C77"/>
  <c r="C42"/>
  <c r="D88"/>
  <c r="D90" s="1"/>
  <c r="D102" s="1"/>
  <c r="E88"/>
  <c r="E92" s="1"/>
  <c r="E108" s="1"/>
  <c r="E114" s="1"/>
  <c r="F88"/>
  <c r="F90" s="1"/>
  <c r="F102" s="1"/>
  <c r="C88"/>
  <c r="C92" s="1"/>
  <c r="C108" s="1"/>
  <c r="C114" s="1"/>
  <c r="F16"/>
  <c r="F15"/>
  <c r="F14"/>
  <c r="C7"/>
  <c r="E6"/>
  <c r="C6"/>
  <c r="H35"/>
  <c r="E25"/>
  <c r="E14" s="1"/>
  <c r="F24"/>
  <c r="D25"/>
  <c r="G25"/>
  <c r="G14" s="1"/>
  <c r="C25"/>
  <c r="C5"/>
  <c r="B113" l="1"/>
  <c r="F13" i="2"/>
  <c r="F11"/>
  <c r="D11"/>
  <c r="C14"/>
  <c r="G11"/>
  <c r="E11"/>
  <c r="E13"/>
  <c r="D93" i="1"/>
  <c r="D113" s="1"/>
  <c r="G93"/>
  <c r="G113" s="1"/>
  <c r="G92"/>
  <c r="G108" s="1"/>
  <c r="G114" s="1"/>
  <c r="F93"/>
  <c r="F113" s="1"/>
  <c r="F104"/>
  <c r="F101"/>
  <c r="F105" s="1"/>
  <c r="F103"/>
  <c r="D104"/>
  <c r="D101"/>
  <c r="D105" s="1"/>
  <c r="D103"/>
  <c r="G109"/>
  <c r="G101"/>
  <c r="G105" s="1"/>
  <c r="G103"/>
  <c r="C109"/>
  <c r="C107"/>
  <c r="C111" s="1"/>
  <c r="E107"/>
  <c r="E111" s="1"/>
  <c r="E109"/>
  <c r="E110"/>
  <c r="C110"/>
  <c r="G104"/>
  <c r="C13" i="2"/>
  <c r="C10" i="1"/>
  <c r="C32"/>
  <c r="H27" s="1"/>
  <c r="D13" i="2"/>
  <c r="G13"/>
  <c r="C18" i="1"/>
  <c r="D18"/>
  <c r="G18"/>
  <c r="E18"/>
  <c r="C66"/>
  <c r="C78"/>
  <c r="E90"/>
  <c r="E102" s="1"/>
  <c r="C90"/>
  <c r="C102" s="1"/>
  <c r="F92"/>
  <c r="F108" s="1"/>
  <c r="F114" s="1"/>
  <c r="D92"/>
  <c r="D108" s="1"/>
  <c r="D114" s="1"/>
  <c r="C14"/>
  <c r="D14"/>
  <c r="G15"/>
  <c r="E15"/>
  <c r="G16"/>
  <c r="E16"/>
  <c r="C15"/>
  <c r="D15"/>
  <c r="C16"/>
  <c r="D16"/>
  <c r="G110" l="1"/>
  <c r="E98"/>
  <c r="G98"/>
  <c r="G107"/>
  <c r="G111" s="1"/>
  <c r="D109"/>
  <c r="D107"/>
  <c r="F107"/>
  <c r="F111" s="1"/>
  <c r="F110"/>
  <c r="F109"/>
  <c r="D98"/>
  <c r="F98"/>
  <c r="C101"/>
  <c r="C103"/>
  <c r="C104"/>
  <c r="C98"/>
  <c r="E104"/>
  <c r="E101"/>
  <c r="E105" s="1"/>
  <c r="E103"/>
  <c r="D10"/>
  <c r="G20"/>
  <c r="G22" s="1"/>
  <c r="E20"/>
  <c r="E22" s="1"/>
  <c r="C20"/>
  <c r="C22" s="1"/>
  <c r="D20"/>
  <c r="D22" s="1"/>
  <c r="C105" l="1"/>
  <c r="B114"/>
  <c r="D110"/>
  <c r="D111"/>
  <c r="G19"/>
  <c r="G27"/>
  <c r="E27"/>
  <c r="E19"/>
  <c r="D27"/>
  <c r="D19"/>
  <c r="C19"/>
  <c r="C27" l="1"/>
  <c r="E34" l="1"/>
  <c r="E35" s="1"/>
  <c r="D34" l="1"/>
  <c r="D35" s="1"/>
  <c r="G34"/>
  <c r="G35" s="1"/>
  <c r="C34"/>
  <c r="C35" s="1"/>
  <c r="E3" i="2" l="1"/>
  <c r="D3"/>
  <c r="F3"/>
  <c r="G3"/>
  <c r="C3"/>
  <c r="C48" i="1" l="1"/>
  <c r="C50" s="1"/>
  <c r="H18" l="1"/>
  <c r="H16" l="1"/>
  <c r="D2" i="2"/>
  <c r="H15" i="1"/>
  <c r="H14"/>
  <c r="C2" i="2"/>
  <c r="F2"/>
  <c r="E2"/>
  <c r="G2"/>
  <c r="H24" i="1"/>
  <c r="F20"/>
  <c r="F22" s="1"/>
  <c r="E58" i="2" l="1"/>
  <c r="G58"/>
  <c r="D58"/>
  <c r="F58"/>
  <c r="G7"/>
  <c r="G21" s="1"/>
  <c r="G20" s="1"/>
  <c r="G22" s="1"/>
  <c r="G25" s="1"/>
  <c r="F7"/>
  <c r="F30" s="1"/>
  <c r="F29" s="1"/>
  <c r="F31" s="1"/>
  <c r="F34" s="1"/>
  <c r="D7"/>
  <c r="D30" s="1"/>
  <c r="D29" s="1"/>
  <c r="D31" s="1"/>
  <c r="D34" s="1"/>
  <c r="E7"/>
  <c r="E21" s="1"/>
  <c r="E20" s="1"/>
  <c r="E22" s="1"/>
  <c r="E25" s="1"/>
  <c r="G39"/>
  <c r="G38" s="1"/>
  <c r="G40" s="1"/>
  <c r="G43" s="1"/>
  <c r="H20" i="1"/>
  <c r="F27"/>
  <c r="F34" s="1"/>
  <c r="F35" s="1"/>
  <c r="F19"/>
  <c r="C58" i="2"/>
  <c r="D47"/>
  <c r="D51" s="1"/>
  <c r="C7"/>
  <c r="G47"/>
  <c r="G51" s="1"/>
  <c r="C47"/>
  <c r="C51" s="1"/>
  <c r="C53" s="1"/>
  <c r="E47"/>
  <c r="E51" s="1"/>
  <c r="F47"/>
  <c r="F51" s="1"/>
  <c r="E50" l="1"/>
  <c r="E53"/>
  <c r="G50"/>
  <c r="G53"/>
  <c r="D50"/>
  <c r="D53"/>
  <c r="F50"/>
  <c r="F53"/>
  <c r="D62"/>
  <c r="E62"/>
  <c r="C62"/>
  <c r="F62"/>
  <c r="G62"/>
  <c r="D39"/>
  <c r="D38" s="1"/>
  <c r="D40" s="1"/>
  <c r="D43" s="1"/>
  <c r="F39"/>
  <c r="F38" s="1"/>
  <c r="F40" s="1"/>
  <c r="F43" s="1"/>
  <c r="G42"/>
  <c r="G41" s="1"/>
  <c r="D21"/>
  <c r="D20" s="1"/>
  <c r="D22" s="1"/>
  <c r="D25" s="1"/>
  <c r="C124" i="1" s="1"/>
  <c r="G1" i="2" s="1"/>
  <c r="E39"/>
  <c r="E38" s="1"/>
  <c r="E40" s="1"/>
  <c r="E43" s="1"/>
  <c r="G30"/>
  <c r="G29" s="1"/>
  <c r="G31" s="1"/>
  <c r="G34" s="1"/>
  <c r="E30"/>
  <c r="E29" s="1"/>
  <c r="E31" s="1"/>
  <c r="E34" s="1"/>
  <c r="F21"/>
  <c r="F20" s="1"/>
  <c r="F22" s="1"/>
  <c r="F25" s="1"/>
  <c r="G24"/>
  <c r="G23" s="1"/>
  <c r="D33"/>
  <c r="D32" s="1"/>
  <c r="F33"/>
  <c r="F32" s="1"/>
  <c r="H19" i="1"/>
  <c r="H22"/>
  <c r="I25" s="1"/>
  <c r="E24" i="2"/>
  <c r="E23" s="1"/>
  <c r="C39"/>
  <c r="C38" s="1"/>
  <c r="C40" s="1"/>
  <c r="C43" s="1"/>
  <c r="C30"/>
  <c r="C29" s="1"/>
  <c r="C31" s="1"/>
  <c r="C34" s="1"/>
  <c r="C21"/>
  <c r="C20" s="1"/>
  <c r="C22" s="1"/>
  <c r="C25" s="1"/>
  <c r="G81" l="1"/>
  <c r="C206"/>
  <c r="D206"/>
  <c r="F206"/>
  <c r="E204"/>
  <c r="D182"/>
  <c r="F64"/>
  <c r="F66" s="1"/>
  <c r="D197"/>
  <c r="D166"/>
  <c r="F180"/>
  <c r="C183"/>
  <c r="F196"/>
  <c r="F164"/>
  <c r="C198"/>
  <c r="C167"/>
  <c r="D201"/>
  <c r="D190"/>
  <c r="D174"/>
  <c r="D158"/>
  <c r="F199"/>
  <c r="F188"/>
  <c r="F172"/>
  <c r="F156"/>
  <c r="C202"/>
  <c r="C191"/>
  <c r="C175"/>
  <c r="C159"/>
  <c r="F42"/>
  <c r="F41" s="1"/>
  <c r="E42"/>
  <c r="E41" s="1"/>
  <c r="G64"/>
  <c r="G67" s="1"/>
  <c r="G78"/>
  <c r="G195"/>
  <c r="G179"/>
  <c r="G163"/>
  <c r="G199"/>
  <c r="G185"/>
  <c r="G169"/>
  <c r="G153"/>
  <c r="G190"/>
  <c r="G182"/>
  <c r="G174"/>
  <c r="G166"/>
  <c r="G158"/>
  <c r="G150"/>
  <c r="G142"/>
  <c r="G134"/>
  <c r="G126"/>
  <c r="G118"/>
  <c r="G110"/>
  <c r="G102"/>
  <c r="G94"/>
  <c r="G86"/>
  <c r="G151"/>
  <c r="G143"/>
  <c r="G135"/>
  <c r="G127"/>
  <c r="G119"/>
  <c r="G111"/>
  <c r="G103"/>
  <c r="G95"/>
  <c r="G87"/>
  <c r="G79"/>
  <c r="F201"/>
  <c r="F197"/>
  <c r="F192"/>
  <c r="F184"/>
  <c r="F176"/>
  <c r="F168"/>
  <c r="F160"/>
  <c r="F152"/>
  <c r="F78"/>
  <c r="F194"/>
  <c r="F178"/>
  <c r="F162"/>
  <c r="F193"/>
  <c r="F185"/>
  <c r="F177"/>
  <c r="F169"/>
  <c r="F161"/>
  <c r="F153"/>
  <c r="F145"/>
  <c r="F137"/>
  <c r="F121"/>
  <c r="F105"/>
  <c r="F89"/>
  <c r="F146"/>
  <c r="F130"/>
  <c r="F114"/>
  <c r="F98"/>
  <c r="F82"/>
  <c r="F249"/>
  <c r="F233"/>
  <c r="F217"/>
  <c r="F262"/>
  <c r="F246"/>
  <c r="F230"/>
  <c r="F214"/>
  <c r="C64"/>
  <c r="C67" s="1"/>
  <c r="C200"/>
  <c r="C195"/>
  <c r="C187"/>
  <c r="C179"/>
  <c r="C171"/>
  <c r="C163"/>
  <c r="C155"/>
  <c r="C78"/>
  <c r="C193"/>
  <c r="C177"/>
  <c r="C161"/>
  <c r="C194"/>
  <c r="C186"/>
  <c r="C178"/>
  <c r="C170"/>
  <c r="C162"/>
  <c r="C154"/>
  <c r="C146"/>
  <c r="C138"/>
  <c r="C130"/>
  <c r="C122"/>
  <c r="C114"/>
  <c r="C106"/>
  <c r="C98"/>
  <c r="C90"/>
  <c r="C82"/>
  <c r="C433"/>
  <c r="C425"/>
  <c r="C417"/>
  <c r="C409"/>
  <c r="C401"/>
  <c r="C393"/>
  <c r="C385"/>
  <c r="C377"/>
  <c r="C369"/>
  <c r="C361"/>
  <c r="C352"/>
  <c r="C336"/>
  <c r="C320"/>
  <c r="C304"/>
  <c r="C288"/>
  <c r="C272"/>
  <c r="C256"/>
  <c r="C240"/>
  <c r="C149"/>
  <c r="C141"/>
  <c r="C133"/>
  <c r="C125"/>
  <c r="C117"/>
  <c r="C109"/>
  <c r="C101"/>
  <c r="C93"/>
  <c r="E64"/>
  <c r="E66" s="1"/>
  <c r="E78"/>
  <c r="E193"/>
  <c r="E177"/>
  <c r="E161"/>
  <c r="E199"/>
  <c r="E187"/>
  <c r="E171"/>
  <c r="E155"/>
  <c r="E190"/>
  <c r="E182"/>
  <c r="E174"/>
  <c r="E166"/>
  <c r="E158"/>
  <c r="E150"/>
  <c r="E142"/>
  <c r="E134"/>
  <c r="E126"/>
  <c r="E118"/>
  <c r="E110"/>
  <c r="E102"/>
  <c r="E94"/>
  <c r="E86"/>
  <c r="E151"/>
  <c r="E143"/>
  <c r="E135"/>
  <c r="E127"/>
  <c r="E119"/>
  <c r="E111"/>
  <c r="E103"/>
  <c r="E95"/>
  <c r="E87"/>
  <c r="E79"/>
  <c r="E315"/>
  <c r="E307"/>
  <c r="E299"/>
  <c r="E291"/>
  <c r="E283"/>
  <c r="E275"/>
  <c r="E267"/>
  <c r="E259"/>
  <c r="E251"/>
  <c r="E243"/>
  <c r="E235"/>
  <c r="E227"/>
  <c r="E219"/>
  <c r="E211"/>
  <c r="E203"/>
  <c r="E316"/>
  <c r="G200"/>
  <c r="G187"/>
  <c r="G171"/>
  <c r="G155"/>
  <c r="G193"/>
  <c r="G177"/>
  <c r="G161"/>
  <c r="G194"/>
  <c r="G186"/>
  <c r="G178"/>
  <c r="G170"/>
  <c r="G162"/>
  <c r="G154"/>
  <c r="G146"/>
  <c r="G138"/>
  <c r="G130"/>
  <c r="G122"/>
  <c r="G114"/>
  <c r="G106"/>
  <c r="G98"/>
  <c r="G90"/>
  <c r="G82"/>
  <c r="G147"/>
  <c r="G139"/>
  <c r="G131"/>
  <c r="G123"/>
  <c r="G115"/>
  <c r="G107"/>
  <c r="G99"/>
  <c r="G91"/>
  <c r="G83"/>
  <c r="F200"/>
  <c r="F186"/>
  <c r="F170"/>
  <c r="F154"/>
  <c r="F189"/>
  <c r="F181"/>
  <c r="F173"/>
  <c r="F165"/>
  <c r="F157"/>
  <c r="F149"/>
  <c r="F141"/>
  <c r="F129"/>
  <c r="F113"/>
  <c r="F97"/>
  <c r="F81"/>
  <c r="F138"/>
  <c r="F122"/>
  <c r="F106"/>
  <c r="F90"/>
  <c r="F257"/>
  <c r="F241"/>
  <c r="F225"/>
  <c r="F209"/>
  <c r="F254"/>
  <c r="F238"/>
  <c r="F222"/>
  <c r="C199"/>
  <c r="C185"/>
  <c r="C169"/>
  <c r="C153"/>
  <c r="C190"/>
  <c r="C182"/>
  <c r="C174"/>
  <c r="C166"/>
  <c r="C158"/>
  <c r="C150"/>
  <c r="C142"/>
  <c r="C134"/>
  <c r="C126"/>
  <c r="C118"/>
  <c r="C110"/>
  <c r="C102"/>
  <c r="C94"/>
  <c r="C86"/>
  <c r="C437"/>
  <c r="C429"/>
  <c r="C421"/>
  <c r="C413"/>
  <c r="C405"/>
  <c r="C397"/>
  <c r="C389"/>
  <c r="C381"/>
  <c r="C373"/>
  <c r="C365"/>
  <c r="C357"/>
  <c r="C344"/>
  <c r="C328"/>
  <c r="C312"/>
  <c r="C296"/>
  <c r="C280"/>
  <c r="C264"/>
  <c r="C248"/>
  <c r="C232"/>
  <c r="C145"/>
  <c r="C137"/>
  <c r="C129"/>
  <c r="C121"/>
  <c r="C113"/>
  <c r="C105"/>
  <c r="C97"/>
  <c r="C89"/>
  <c r="E200"/>
  <c r="E185"/>
  <c r="E169"/>
  <c r="E153"/>
  <c r="E195"/>
  <c r="E179"/>
  <c r="E163"/>
  <c r="E194"/>
  <c r="E186"/>
  <c r="E178"/>
  <c r="E170"/>
  <c r="E162"/>
  <c r="E154"/>
  <c r="E146"/>
  <c r="E138"/>
  <c r="E130"/>
  <c r="E122"/>
  <c r="E114"/>
  <c r="E106"/>
  <c r="E98"/>
  <c r="E90"/>
  <c r="E82"/>
  <c r="E147"/>
  <c r="E139"/>
  <c r="E131"/>
  <c r="E123"/>
  <c r="E115"/>
  <c r="E107"/>
  <c r="E99"/>
  <c r="E91"/>
  <c r="E83"/>
  <c r="E319"/>
  <c r="E311"/>
  <c r="E303"/>
  <c r="E295"/>
  <c r="E287"/>
  <c r="E279"/>
  <c r="E271"/>
  <c r="E263"/>
  <c r="E255"/>
  <c r="E247"/>
  <c r="E239"/>
  <c r="E231"/>
  <c r="E223"/>
  <c r="E215"/>
  <c r="E207"/>
  <c r="E320"/>
  <c r="D42"/>
  <c r="D41" s="1"/>
  <c r="F204"/>
  <c r="F208"/>
  <c r="F212"/>
  <c r="F216"/>
  <c r="F220"/>
  <c r="F224"/>
  <c r="F228"/>
  <c r="F232"/>
  <c r="F236"/>
  <c r="F240"/>
  <c r="F244"/>
  <c r="F248"/>
  <c r="F252"/>
  <c r="F256"/>
  <c r="F260"/>
  <c r="F203"/>
  <c r="F207"/>
  <c r="F211"/>
  <c r="F215"/>
  <c r="F219"/>
  <c r="F223"/>
  <c r="F227"/>
  <c r="F231"/>
  <c r="F235"/>
  <c r="F239"/>
  <c r="F243"/>
  <c r="F247"/>
  <c r="F251"/>
  <c r="F255"/>
  <c r="F259"/>
  <c r="F80"/>
  <c r="F84"/>
  <c r="F88"/>
  <c r="F92"/>
  <c r="F96"/>
  <c r="F100"/>
  <c r="F104"/>
  <c r="F108"/>
  <c r="F112"/>
  <c r="F116"/>
  <c r="F120"/>
  <c r="F124"/>
  <c r="F128"/>
  <c r="F132"/>
  <c r="F136"/>
  <c r="F140"/>
  <c r="F144"/>
  <c r="F148"/>
  <c r="F79"/>
  <c r="F83"/>
  <c r="F87"/>
  <c r="F91"/>
  <c r="F95"/>
  <c r="F99"/>
  <c r="F103"/>
  <c r="F107"/>
  <c r="F111"/>
  <c r="F115"/>
  <c r="F119"/>
  <c r="F123"/>
  <c r="F127"/>
  <c r="F131"/>
  <c r="F135"/>
  <c r="G202"/>
  <c r="G198"/>
  <c r="G191"/>
  <c r="G183"/>
  <c r="G175"/>
  <c r="G167"/>
  <c r="G159"/>
  <c r="G201"/>
  <c r="G197"/>
  <c r="G189"/>
  <c r="G181"/>
  <c r="G173"/>
  <c r="G165"/>
  <c r="G157"/>
  <c r="G196"/>
  <c r="G192"/>
  <c r="G188"/>
  <c r="G184"/>
  <c r="G180"/>
  <c r="G176"/>
  <c r="G172"/>
  <c r="G168"/>
  <c r="G164"/>
  <c r="G160"/>
  <c r="G156"/>
  <c r="G152"/>
  <c r="G148"/>
  <c r="G144"/>
  <c r="G140"/>
  <c r="G136"/>
  <c r="G132"/>
  <c r="G128"/>
  <c r="G124"/>
  <c r="G120"/>
  <c r="G116"/>
  <c r="G112"/>
  <c r="G108"/>
  <c r="G104"/>
  <c r="G100"/>
  <c r="G96"/>
  <c r="G92"/>
  <c r="G88"/>
  <c r="G84"/>
  <c r="G80"/>
  <c r="G149"/>
  <c r="G145"/>
  <c r="G141"/>
  <c r="G137"/>
  <c r="G133"/>
  <c r="G129"/>
  <c r="G125"/>
  <c r="G121"/>
  <c r="G117"/>
  <c r="G113"/>
  <c r="G109"/>
  <c r="G105"/>
  <c r="G101"/>
  <c r="G97"/>
  <c r="G93"/>
  <c r="G89"/>
  <c r="G85"/>
  <c r="F202"/>
  <c r="F198"/>
  <c r="F190"/>
  <c r="F182"/>
  <c r="F174"/>
  <c r="F166"/>
  <c r="F158"/>
  <c r="F195"/>
  <c r="F191"/>
  <c r="F187"/>
  <c r="F183"/>
  <c r="F179"/>
  <c r="F175"/>
  <c r="F171"/>
  <c r="F167"/>
  <c r="F163"/>
  <c r="F159"/>
  <c r="F155"/>
  <c r="F151"/>
  <c r="F147"/>
  <c r="F143"/>
  <c r="F139"/>
  <c r="F133"/>
  <c r="F125"/>
  <c r="F117"/>
  <c r="F109"/>
  <c r="F101"/>
  <c r="F93"/>
  <c r="F85"/>
  <c r="F150"/>
  <c r="F142"/>
  <c r="F134"/>
  <c r="F126"/>
  <c r="F118"/>
  <c r="F110"/>
  <c r="F102"/>
  <c r="F94"/>
  <c r="F86"/>
  <c r="F261"/>
  <c r="F253"/>
  <c r="F245"/>
  <c r="F237"/>
  <c r="F229"/>
  <c r="F221"/>
  <c r="F213"/>
  <c r="F205"/>
  <c r="F258"/>
  <c r="F250"/>
  <c r="F242"/>
  <c r="F234"/>
  <c r="F226"/>
  <c r="F218"/>
  <c r="F210"/>
  <c r="G65"/>
  <c r="C201"/>
  <c r="C197"/>
  <c r="C189"/>
  <c r="C181"/>
  <c r="C173"/>
  <c r="C165"/>
  <c r="C157"/>
  <c r="C196"/>
  <c r="C192"/>
  <c r="C188"/>
  <c r="C184"/>
  <c r="C180"/>
  <c r="C176"/>
  <c r="C172"/>
  <c r="C168"/>
  <c r="C164"/>
  <c r="C160"/>
  <c r="C156"/>
  <c r="C152"/>
  <c r="C148"/>
  <c r="C144"/>
  <c r="C140"/>
  <c r="C136"/>
  <c r="C132"/>
  <c r="C128"/>
  <c r="C124"/>
  <c r="C120"/>
  <c r="C116"/>
  <c r="C112"/>
  <c r="C108"/>
  <c r="C104"/>
  <c r="C100"/>
  <c r="C96"/>
  <c r="C92"/>
  <c r="C88"/>
  <c r="C84"/>
  <c r="C80"/>
  <c r="C435"/>
  <c r="C431"/>
  <c r="C427"/>
  <c r="C423"/>
  <c r="C419"/>
  <c r="C415"/>
  <c r="C411"/>
  <c r="C407"/>
  <c r="C403"/>
  <c r="C399"/>
  <c r="C395"/>
  <c r="C391"/>
  <c r="C387"/>
  <c r="C383"/>
  <c r="C379"/>
  <c r="C375"/>
  <c r="C371"/>
  <c r="C367"/>
  <c r="C363"/>
  <c r="C359"/>
  <c r="C355"/>
  <c r="C348"/>
  <c r="C340"/>
  <c r="C332"/>
  <c r="C324"/>
  <c r="C316"/>
  <c r="C308"/>
  <c r="C300"/>
  <c r="C292"/>
  <c r="C284"/>
  <c r="C276"/>
  <c r="C268"/>
  <c r="C260"/>
  <c r="C252"/>
  <c r="C244"/>
  <c r="C236"/>
  <c r="C151"/>
  <c r="C147"/>
  <c r="C143"/>
  <c r="C139"/>
  <c r="C135"/>
  <c r="C131"/>
  <c r="C127"/>
  <c r="C123"/>
  <c r="C119"/>
  <c r="C115"/>
  <c r="C111"/>
  <c r="C107"/>
  <c r="C103"/>
  <c r="C99"/>
  <c r="C95"/>
  <c r="C91"/>
  <c r="C87"/>
  <c r="C83"/>
  <c r="C79"/>
  <c r="C434"/>
  <c r="C430"/>
  <c r="C426"/>
  <c r="C422"/>
  <c r="C418"/>
  <c r="C414"/>
  <c r="C410"/>
  <c r="C406"/>
  <c r="C402"/>
  <c r="C398"/>
  <c r="C394"/>
  <c r="C390"/>
  <c r="C386"/>
  <c r="C382"/>
  <c r="C378"/>
  <c r="C374"/>
  <c r="C370"/>
  <c r="C366"/>
  <c r="C362"/>
  <c r="C358"/>
  <c r="C354"/>
  <c r="C346"/>
  <c r="C338"/>
  <c r="C330"/>
  <c r="C322"/>
  <c r="C314"/>
  <c r="C306"/>
  <c r="C298"/>
  <c r="C290"/>
  <c r="C282"/>
  <c r="C274"/>
  <c r="C266"/>
  <c r="C258"/>
  <c r="C250"/>
  <c r="C242"/>
  <c r="C234"/>
  <c r="C351"/>
  <c r="C347"/>
  <c r="C343"/>
  <c r="C339"/>
  <c r="C335"/>
  <c r="C331"/>
  <c r="C327"/>
  <c r="C323"/>
  <c r="C319"/>
  <c r="C315"/>
  <c r="C311"/>
  <c r="C307"/>
  <c r="C303"/>
  <c r="C299"/>
  <c r="C295"/>
  <c r="C291"/>
  <c r="C287"/>
  <c r="C283"/>
  <c r="C279"/>
  <c r="C275"/>
  <c r="C271"/>
  <c r="C267"/>
  <c r="C263"/>
  <c r="C259"/>
  <c r="C255"/>
  <c r="C251"/>
  <c r="C247"/>
  <c r="C243"/>
  <c r="C239"/>
  <c r="C235"/>
  <c r="C231"/>
  <c r="C227"/>
  <c r="C223"/>
  <c r="C219"/>
  <c r="C215"/>
  <c r="C211"/>
  <c r="C207"/>
  <c r="C203"/>
  <c r="C228"/>
  <c r="C224"/>
  <c r="C220"/>
  <c r="C216"/>
  <c r="C212"/>
  <c r="C208"/>
  <c r="C204"/>
  <c r="E202"/>
  <c r="E198"/>
  <c r="E189"/>
  <c r="E181"/>
  <c r="E173"/>
  <c r="E165"/>
  <c r="E157"/>
  <c r="E201"/>
  <c r="E197"/>
  <c r="E191"/>
  <c r="E183"/>
  <c r="E175"/>
  <c r="E167"/>
  <c r="E159"/>
  <c r="E196"/>
  <c r="E192"/>
  <c r="E188"/>
  <c r="E184"/>
  <c r="E180"/>
  <c r="E176"/>
  <c r="E172"/>
  <c r="E168"/>
  <c r="E164"/>
  <c r="E160"/>
  <c r="E156"/>
  <c r="E152"/>
  <c r="E148"/>
  <c r="E144"/>
  <c r="E140"/>
  <c r="E136"/>
  <c r="E132"/>
  <c r="E128"/>
  <c r="E124"/>
  <c r="E120"/>
  <c r="E116"/>
  <c r="E112"/>
  <c r="E108"/>
  <c r="E104"/>
  <c r="E100"/>
  <c r="E96"/>
  <c r="E92"/>
  <c r="E88"/>
  <c r="E84"/>
  <c r="E80"/>
  <c r="E149"/>
  <c r="E145"/>
  <c r="E141"/>
  <c r="E137"/>
  <c r="E133"/>
  <c r="E129"/>
  <c r="E125"/>
  <c r="E121"/>
  <c r="E117"/>
  <c r="E113"/>
  <c r="E109"/>
  <c r="E105"/>
  <c r="E101"/>
  <c r="E97"/>
  <c r="E93"/>
  <c r="E89"/>
  <c r="E85"/>
  <c r="E81"/>
  <c r="E321"/>
  <c r="E317"/>
  <c r="E313"/>
  <c r="E309"/>
  <c r="E305"/>
  <c r="E301"/>
  <c r="E297"/>
  <c r="E293"/>
  <c r="E289"/>
  <c r="E285"/>
  <c r="E281"/>
  <c r="E277"/>
  <c r="E273"/>
  <c r="E269"/>
  <c r="E265"/>
  <c r="E261"/>
  <c r="E257"/>
  <c r="E253"/>
  <c r="E249"/>
  <c r="E245"/>
  <c r="E241"/>
  <c r="E237"/>
  <c r="E233"/>
  <c r="E229"/>
  <c r="E225"/>
  <c r="E221"/>
  <c r="E217"/>
  <c r="E213"/>
  <c r="E209"/>
  <c r="E205"/>
  <c r="E322"/>
  <c r="E318"/>
  <c r="E314"/>
  <c r="E310"/>
  <c r="E306"/>
  <c r="E302"/>
  <c r="E298"/>
  <c r="E294"/>
  <c r="E290"/>
  <c r="E286"/>
  <c r="E282"/>
  <c r="E278"/>
  <c r="E274"/>
  <c r="E270"/>
  <c r="E266"/>
  <c r="E262"/>
  <c r="E258"/>
  <c r="E254"/>
  <c r="E250"/>
  <c r="E246"/>
  <c r="E242"/>
  <c r="E238"/>
  <c r="E234"/>
  <c r="E230"/>
  <c r="E226"/>
  <c r="E222"/>
  <c r="E218"/>
  <c r="E214"/>
  <c r="E210"/>
  <c r="E206"/>
  <c r="D64"/>
  <c r="D199"/>
  <c r="D194"/>
  <c r="D186"/>
  <c r="D178"/>
  <c r="D170"/>
  <c r="D162"/>
  <c r="D154"/>
  <c r="D78"/>
  <c r="D200"/>
  <c r="D196"/>
  <c r="D188"/>
  <c r="D180"/>
  <c r="D172"/>
  <c r="D164"/>
  <c r="D156"/>
  <c r="D193"/>
  <c r="D189"/>
  <c r="D185"/>
  <c r="D181"/>
  <c r="D177"/>
  <c r="D173"/>
  <c r="D169"/>
  <c r="D165"/>
  <c r="D161"/>
  <c r="D157"/>
  <c r="D153"/>
  <c r="D149"/>
  <c r="D145"/>
  <c r="D141"/>
  <c r="D137"/>
  <c r="D133"/>
  <c r="D129"/>
  <c r="D125"/>
  <c r="D121"/>
  <c r="D117"/>
  <c r="D113"/>
  <c r="D109"/>
  <c r="D105"/>
  <c r="D101"/>
  <c r="D97"/>
  <c r="D93"/>
  <c r="D89"/>
  <c r="D85"/>
  <c r="D81"/>
  <c r="D152"/>
  <c r="D148"/>
  <c r="D144"/>
  <c r="D140"/>
  <c r="D136"/>
  <c r="D132"/>
  <c r="D128"/>
  <c r="D124"/>
  <c r="D120"/>
  <c r="D116"/>
  <c r="D112"/>
  <c r="D108"/>
  <c r="D104"/>
  <c r="D100"/>
  <c r="D96"/>
  <c r="D92"/>
  <c r="D88"/>
  <c r="D84"/>
  <c r="D80"/>
  <c r="D379"/>
  <c r="D375"/>
  <c r="D371"/>
  <c r="D367"/>
  <c r="D363"/>
  <c r="D359"/>
  <c r="D355"/>
  <c r="D351"/>
  <c r="D347"/>
  <c r="D343"/>
  <c r="D339"/>
  <c r="D335"/>
  <c r="D331"/>
  <c r="D327"/>
  <c r="D323"/>
  <c r="D319"/>
  <c r="D315"/>
  <c r="D311"/>
  <c r="D307"/>
  <c r="D303"/>
  <c r="D299"/>
  <c r="D295"/>
  <c r="D291"/>
  <c r="D287"/>
  <c r="D283"/>
  <c r="D279"/>
  <c r="D275"/>
  <c r="D271"/>
  <c r="D267"/>
  <c r="D263"/>
  <c r="D259"/>
  <c r="D255"/>
  <c r="D251"/>
  <c r="D247"/>
  <c r="D243"/>
  <c r="D239"/>
  <c r="D235"/>
  <c r="D231"/>
  <c r="D227"/>
  <c r="D223"/>
  <c r="D219"/>
  <c r="D215"/>
  <c r="D211"/>
  <c r="D207"/>
  <c r="D203"/>
  <c r="D380"/>
  <c r="D376"/>
  <c r="D372"/>
  <c r="D368"/>
  <c r="D364"/>
  <c r="D360"/>
  <c r="D356"/>
  <c r="D352"/>
  <c r="D348"/>
  <c r="D344"/>
  <c r="D340"/>
  <c r="D336"/>
  <c r="D332"/>
  <c r="D328"/>
  <c r="D324"/>
  <c r="D320"/>
  <c r="D316"/>
  <c r="D312"/>
  <c r="D308"/>
  <c r="D304"/>
  <c r="D300"/>
  <c r="D296"/>
  <c r="D292"/>
  <c r="D288"/>
  <c r="D284"/>
  <c r="D280"/>
  <c r="D276"/>
  <c r="D272"/>
  <c r="D268"/>
  <c r="D264"/>
  <c r="D260"/>
  <c r="D256"/>
  <c r="D252"/>
  <c r="D248"/>
  <c r="D244"/>
  <c r="D240"/>
  <c r="D236"/>
  <c r="D232"/>
  <c r="D228"/>
  <c r="D224"/>
  <c r="D220"/>
  <c r="D216"/>
  <c r="D212"/>
  <c r="D208"/>
  <c r="D204"/>
  <c r="E69"/>
  <c r="C85"/>
  <c r="C81"/>
  <c r="C436"/>
  <c r="C432"/>
  <c r="C428"/>
  <c r="C424"/>
  <c r="C420"/>
  <c r="C416"/>
  <c r="C412"/>
  <c r="C408"/>
  <c r="C404"/>
  <c r="C400"/>
  <c r="C396"/>
  <c r="C392"/>
  <c r="C388"/>
  <c r="C384"/>
  <c r="C380"/>
  <c r="C376"/>
  <c r="C372"/>
  <c r="C368"/>
  <c r="C364"/>
  <c r="C360"/>
  <c r="C356"/>
  <c r="C350"/>
  <c r="C342"/>
  <c r="C334"/>
  <c r="C326"/>
  <c r="C318"/>
  <c r="C310"/>
  <c r="C302"/>
  <c r="C294"/>
  <c r="C286"/>
  <c r="C278"/>
  <c r="C270"/>
  <c r="C262"/>
  <c r="C254"/>
  <c r="C246"/>
  <c r="C238"/>
  <c r="C353"/>
  <c r="C349"/>
  <c r="C345"/>
  <c r="C341"/>
  <c r="C337"/>
  <c r="C333"/>
  <c r="C329"/>
  <c r="C325"/>
  <c r="C321"/>
  <c r="C317"/>
  <c r="C313"/>
  <c r="C309"/>
  <c r="C305"/>
  <c r="C301"/>
  <c r="C297"/>
  <c r="C293"/>
  <c r="C289"/>
  <c r="C285"/>
  <c r="C281"/>
  <c r="C277"/>
  <c r="C273"/>
  <c r="C269"/>
  <c r="C265"/>
  <c r="C261"/>
  <c r="C257"/>
  <c r="C253"/>
  <c r="C249"/>
  <c r="C245"/>
  <c r="C241"/>
  <c r="C237"/>
  <c r="C233"/>
  <c r="C229"/>
  <c r="C225"/>
  <c r="C221"/>
  <c r="C217"/>
  <c r="C213"/>
  <c r="C209"/>
  <c r="C205"/>
  <c r="C230"/>
  <c r="C226"/>
  <c r="C222"/>
  <c r="C218"/>
  <c r="C214"/>
  <c r="C210"/>
  <c r="E312"/>
  <c r="E308"/>
  <c r="E304"/>
  <c r="E300"/>
  <c r="E296"/>
  <c r="E292"/>
  <c r="E288"/>
  <c r="E284"/>
  <c r="E280"/>
  <c r="E276"/>
  <c r="E272"/>
  <c r="E268"/>
  <c r="E264"/>
  <c r="E260"/>
  <c r="E256"/>
  <c r="E252"/>
  <c r="E248"/>
  <c r="E244"/>
  <c r="E240"/>
  <c r="E236"/>
  <c r="E232"/>
  <c r="E228"/>
  <c r="E224"/>
  <c r="E220"/>
  <c r="E216"/>
  <c r="E212"/>
  <c r="E208"/>
  <c r="D202"/>
  <c r="D198"/>
  <c r="D192"/>
  <c r="D184"/>
  <c r="D176"/>
  <c r="D168"/>
  <c r="D160"/>
  <c r="D195"/>
  <c r="D191"/>
  <c r="D187"/>
  <c r="D183"/>
  <c r="D179"/>
  <c r="D175"/>
  <c r="D171"/>
  <c r="D167"/>
  <c r="D163"/>
  <c r="D159"/>
  <c r="D155"/>
  <c r="D151"/>
  <c r="D147"/>
  <c r="D143"/>
  <c r="D139"/>
  <c r="D135"/>
  <c r="D131"/>
  <c r="D127"/>
  <c r="D123"/>
  <c r="D119"/>
  <c r="D115"/>
  <c r="D111"/>
  <c r="D107"/>
  <c r="D103"/>
  <c r="D99"/>
  <c r="D95"/>
  <c r="D91"/>
  <c r="D87"/>
  <c r="D83"/>
  <c r="D79"/>
  <c r="D150"/>
  <c r="D146"/>
  <c r="D142"/>
  <c r="D138"/>
  <c r="D134"/>
  <c r="D130"/>
  <c r="D126"/>
  <c r="D122"/>
  <c r="D118"/>
  <c r="D114"/>
  <c r="D110"/>
  <c r="D106"/>
  <c r="D102"/>
  <c r="D98"/>
  <c r="D94"/>
  <c r="D90"/>
  <c r="D86"/>
  <c r="D82"/>
  <c r="D381"/>
  <c r="D377"/>
  <c r="D373"/>
  <c r="D369"/>
  <c r="D365"/>
  <c r="D361"/>
  <c r="D357"/>
  <c r="D353"/>
  <c r="D349"/>
  <c r="D345"/>
  <c r="D341"/>
  <c r="D337"/>
  <c r="D333"/>
  <c r="D329"/>
  <c r="D325"/>
  <c r="D321"/>
  <c r="D317"/>
  <c r="D313"/>
  <c r="D309"/>
  <c r="D305"/>
  <c r="D301"/>
  <c r="D297"/>
  <c r="D293"/>
  <c r="D289"/>
  <c r="D285"/>
  <c r="D281"/>
  <c r="D277"/>
  <c r="D273"/>
  <c r="D269"/>
  <c r="D265"/>
  <c r="D261"/>
  <c r="D257"/>
  <c r="D253"/>
  <c r="D249"/>
  <c r="D245"/>
  <c r="D241"/>
  <c r="D237"/>
  <c r="D233"/>
  <c r="D229"/>
  <c r="D225"/>
  <c r="D221"/>
  <c r="D217"/>
  <c r="D213"/>
  <c r="D209"/>
  <c r="D205"/>
  <c r="D382"/>
  <c r="D378"/>
  <c r="D374"/>
  <c r="D370"/>
  <c r="D366"/>
  <c r="D362"/>
  <c r="D358"/>
  <c r="D354"/>
  <c r="D350"/>
  <c r="D346"/>
  <c r="D342"/>
  <c r="D338"/>
  <c r="D334"/>
  <c r="D330"/>
  <c r="D326"/>
  <c r="D322"/>
  <c r="D318"/>
  <c r="D314"/>
  <c r="D310"/>
  <c r="D306"/>
  <c r="D302"/>
  <c r="D298"/>
  <c r="D294"/>
  <c r="D290"/>
  <c r="D286"/>
  <c r="D282"/>
  <c r="D278"/>
  <c r="D274"/>
  <c r="D270"/>
  <c r="D266"/>
  <c r="D262"/>
  <c r="D258"/>
  <c r="D254"/>
  <c r="D250"/>
  <c r="D246"/>
  <c r="D242"/>
  <c r="D238"/>
  <c r="D234"/>
  <c r="D230"/>
  <c r="D226"/>
  <c r="D222"/>
  <c r="D218"/>
  <c r="D214"/>
  <c r="D210"/>
  <c r="F24"/>
  <c r="F23" s="1"/>
  <c r="E33"/>
  <c r="E32" s="1"/>
  <c r="G33"/>
  <c r="G32" s="1"/>
  <c r="D24"/>
  <c r="D23" s="1"/>
  <c r="E52"/>
  <c r="E54"/>
  <c r="G52"/>
  <c r="G54"/>
  <c r="F52"/>
  <c r="F54"/>
  <c r="C42"/>
  <c r="C41" s="1"/>
  <c r="C24"/>
  <c r="C23" s="1"/>
  <c r="C33"/>
  <c r="C32" s="1"/>
  <c r="E67" l="1"/>
  <c r="F67"/>
  <c r="E68"/>
  <c r="F68"/>
  <c r="F72" s="1"/>
  <c r="E65"/>
  <c r="F65"/>
  <c r="C65"/>
  <c r="G66"/>
  <c r="G72" s="1"/>
  <c r="C69"/>
  <c r="C66"/>
  <c r="C70"/>
  <c r="C68"/>
  <c r="C71"/>
  <c r="D1"/>
  <c r="G438"/>
  <c r="G63" s="1"/>
  <c r="G74" s="1"/>
  <c r="E438"/>
  <c r="E63" s="1"/>
  <c r="E74" s="1"/>
  <c r="C438"/>
  <c r="C63" s="1"/>
  <c r="C74" s="1"/>
  <c r="F438"/>
  <c r="F63" s="1"/>
  <c r="F74" s="1"/>
  <c r="G1" i="1" s="1"/>
  <c r="D69" i="2"/>
  <c r="D65"/>
  <c r="D67"/>
  <c r="D70"/>
  <c r="D68"/>
  <c r="D66"/>
  <c r="D438"/>
  <c r="D63" s="1"/>
  <c r="D74" s="1"/>
  <c r="E72" l="1"/>
  <c r="C120" i="1"/>
  <c r="D1"/>
  <c r="C119"/>
  <c r="C72" i="2"/>
  <c r="D72"/>
  <c r="C52"/>
  <c r="C50"/>
  <c r="D52"/>
  <c r="C54" l="1"/>
  <c r="C121" i="1"/>
  <c r="D54" i="2"/>
</calcChain>
</file>

<file path=xl/sharedStrings.xml><?xml version="1.0" encoding="utf-8"?>
<sst xmlns="http://schemas.openxmlformats.org/spreadsheetml/2006/main" count="232" uniqueCount="152">
  <si>
    <t>totaal betaald</t>
  </si>
  <si>
    <t>belastingsvermindering</t>
  </si>
  <si>
    <t>maandelijkse aflossing</t>
  </si>
  <si>
    <t>totaal interesten</t>
  </si>
  <si>
    <t>interestvoet</t>
  </si>
  <si>
    <t>jaren</t>
  </si>
  <si>
    <t>voorschot</t>
  </si>
  <si>
    <t>Quotiteit</t>
  </si>
  <si>
    <t>interesten</t>
  </si>
  <si>
    <t>totaal maandelijkse aflossing</t>
  </si>
  <si>
    <t>TOTAAL BEDRAG TE LENEN</t>
  </si>
  <si>
    <t>TOTAAL BEDRAG EIGEN INBRENG</t>
  </si>
  <si>
    <t>per jaar</t>
  </si>
  <si>
    <t>Lening ereloon notaris</t>
  </si>
  <si>
    <t>Lening ereloon hypotheekbewaarder</t>
  </si>
  <si>
    <t>Lening aktekosten</t>
  </si>
  <si>
    <t>Aankoop ereloon notaris</t>
  </si>
  <si>
    <t>Aankoop aktekosten</t>
  </si>
  <si>
    <t>Lening dossiertkosten</t>
  </si>
  <si>
    <t>Huis aankoopbedrag</t>
  </si>
  <si>
    <t>Kadastraal inkomen :</t>
  </si>
  <si>
    <t>Lening registratie- en inschrijvingsrecht (1,30%)</t>
  </si>
  <si>
    <t>Totaal Leningkosten</t>
  </si>
  <si>
    <t>Totaal aankoopkosten</t>
  </si>
  <si>
    <t>Aankoop registratierechten</t>
  </si>
  <si>
    <t>Te lenen</t>
  </si>
  <si>
    <t>Brandverzekering</t>
  </si>
  <si>
    <t>Maandelijks</t>
  </si>
  <si>
    <t>Jaarlijks</t>
  </si>
  <si>
    <t>Bij te leggen (voorschot + bijkomende kosten + rest quotiteit)</t>
  </si>
  <si>
    <t>Bedrag te lenen</t>
  </si>
  <si>
    <t>Resterend bedrag te lenen</t>
  </si>
  <si>
    <t>Samen gem loon</t>
  </si>
  <si>
    <t>Pensioensparen</t>
  </si>
  <si>
    <t>SchuldSaldoVerzekering</t>
  </si>
  <si>
    <t>Eénmalig</t>
  </si>
  <si>
    <t>Duur lening</t>
  </si>
  <si>
    <t>laatste ingave:</t>
  </si>
  <si>
    <t>krijgt zelfde periode bij pensioensparen:</t>
  </si>
  <si>
    <t>winst tov 1x betalen</t>
  </si>
  <si>
    <t>SSV Pensioenspaar inbreng</t>
  </si>
  <si>
    <t>TOTAAL betaald</t>
  </si>
  <si>
    <t>Vaste kosten</t>
  </si>
  <si>
    <t>Water</t>
  </si>
  <si>
    <t>Electriciteit</t>
  </si>
  <si>
    <t>Gas</t>
  </si>
  <si>
    <t>per maand</t>
  </si>
  <si>
    <t>Internet + Telefoon</t>
  </si>
  <si>
    <t>opzegging huur</t>
  </si>
  <si>
    <t>opzegging electriciteit / gas</t>
  </si>
  <si>
    <t>opzegging kabel telenet</t>
  </si>
  <si>
    <t>3 weken</t>
  </si>
  <si>
    <t>3 maand</t>
  </si>
  <si>
    <t>Kabeltelevisie</t>
  </si>
  <si>
    <t>Telenet activatie</t>
  </si>
  <si>
    <t>Totaal jaarlijkse kosten</t>
  </si>
  <si>
    <t>Spaargeld samen</t>
  </si>
  <si>
    <t>of</t>
  </si>
  <si>
    <t>Betaald uiteindelijk</t>
  </si>
  <si>
    <t>015/666 666 werkdagen van 8 tot 20 uur en op zaterdag van 9 tot 17.30 uur.</t>
  </si>
  <si>
    <t>= per maand</t>
  </si>
  <si>
    <t>Totale schatting uitgaven per maand:</t>
  </si>
  <si>
    <t>Totale schatting inkomsten per maand:</t>
  </si>
  <si>
    <t>Gem. gezamelijke uitgaven</t>
  </si>
  <si>
    <t>Totaal maandelijkse vaste kosten</t>
  </si>
  <si>
    <t>Gem bijkomende uitgaven</t>
  </si>
  <si>
    <t>Gem netto inkomsten</t>
  </si>
  <si>
    <t>jaar</t>
  </si>
  <si>
    <t>max maandelijkse aflossing</t>
  </si>
  <si>
    <t>maandelijkse afzwakking</t>
  </si>
  <si>
    <t>Belastingsvoordeel</t>
  </si>
  <si>
    <t>Totaal jaarlijks belastingsvoordeel</t>
  </si>
  <si>
    <t>Kosten</t>
  </si>
  <si>
    <t>Lening keuze</t>
  </si>
  <si>
    <t>Kinderen</t>
  </si>
  <si>
    <t>Aantal kinderen</t>
  </si>
  <si>
    <t>totaal</t>
  </si>
  <si>
    <t>Verwachte rentevoet spaargeld</t>
  </si>
  <si>
    <t>Gespaard pensioenfonds:</t>
  </si>
  <si>
    <t>Totaal gemiddeld gezamenlijk gespaard:</t>
  </si>
  <si>
    <t>Verhuiskosten</t>
  </si>
  <si>
    <t>Inrekening in lening?</t>
  </si>
  <si>
    <t>Totaal éénmalige kosten</t>
  </si>
  <si>
    <t>Totaal gem. maandelijkse inkomsten</t>
  </si>
  <si>
    <t>Totaal gem. maandelijkse bijkomende uitgaven</t>
  </si>
  <si>
    <t>Gezamelijke loonsteiging per 5jaar</t>
  </si>
  <si>
    <t>Overschot spaarrekening</t>
  </si>
  <si>
    <t>Te lenen bedrag</t>
  </si>
  <si>
    <t>jaar afbetaling</t>
  </si>
  <si>
    <t>Kadaster OV</t>
  </si>
  <si>
    <t>min aflossing per jaar</t>
  </si>
  <si>
    <t>Vaste kapitaalaflossing</t>
  </si>
  <si>
    <t>Vaste mensualiteit</t>
  </si>
  <si>
    <t>6 weken</t>
  </si>
  <si>
    <t>1 maand</t>
  </si>
  <si>
    <t>huisbaas</t>
  </si>
  <si>
    <t>Type aflossing</t>
  </si>
  <si>
    <t>Type lening</t>
  </si>
  <si>
    <t>2e deel</t>
  </si>
  <si>
    <t>totaal jaarlijkse aflossing</t>
  </si>
  <si>
    <t>&lt; 10</t>
  </si>
  <si>
    <t>&gt; 10</t>
  </si>
  <si>
    <t>Abbatement</t>
  </si>
  <si>
    <t>aanvragen bij notaris!</t>
  </si>
  <si>
    <t>Mensualiteit</t>
  </si>
  <si>
    <t>gesplits</t>
  </si>
  <si>
    <t>Totaal betaald aan lening</t>
  </si>
  <si>
    <t>Gesplitste lening - Vaste mensualiteit</t>
  </si>
  <si>
    <t>mnd afl</t>
  </si>
  <si>
    <t>Nee</t>
  </si>
  <si>
    <t>maandelijkse aflossing 5j (60m)</t>
  </si>
  <si>
    <t>maandelijkse aflossing 10j (120m)</t>
  </si>
  <si>
    <t>maandelijkse aflossing 15j (180m)</t>
  </si>
  <si>
    <t>maandelijkse aflossing 20j (240m)</t>
  </si>
  <si>
    <t>maandelijkse aflossing 25j (300m)</t>
  </si>
  <si>
    <t>maandelijkse aflossing 30j (360m)</t>
  </si>
  <si>
    <t>/m</t>
  </si>
  <si>
    <t>/j</t>
  </si>
  <si>
    <t>Bank</t>
  </si>
  <si>
    <t>Landbouwkrediet</t>
  </si>
  <si>
    <t>Immotheker</t>
  </si>
  <si>
    <t>Argenta</t>
  </si>
  <si>
    <t>Dexia</t>
  </si>
  <si>
    <t>aantal jaren, vaste interestvoet</t>
  </si>
  <si>
    <t>OBK</t>
  </si>
  <si>
    <t>KBC</t>
  </si>
  <si>
    <t>maandelijkse kapitaalaflossing</t>
  </si>
  <si>
    <t>maandelijkse interstvoet</t>
  </si>
  <si>
    <t>interest</t>
  </si>
  <si>
    <t>SOM:</t>
  </si>
  <si>
    <t>gesplitst</t>
  </si>
  <si>
    <t>Samen</t>
  </si>
  <si>
    <t>SSV aflossing</t>
  </si>
  <si>
    <t>Belastingsvoordeel (na 10j)</t>
  </si>
  <si>
    <t>Berekening op basis van vaste:</t>
  </si>
  <si>
    <t>Leenbedrag</t>
  </si>
  <si>
    <t>Reserver spaargeld</t>
  </si>
  <si>
    <t>Reserve spaargeld elk</t>
  </si>
  <si>
    <t>Reserve spaargeld</t>
  </si>
  <si>
    <t xml:space="preserve">Bank: </t>
  </si>
  <si>
    <t xml:space="preserve">Mensualiteit: </t>
  </si>
  <si>
    <t xml:space="preserve">Totaal betaald aan bank: </t>
  </si>
  <si>
    <t>Axa</t>
  </si>
  <si>
    <t>Ing</t>
  </si>
  <si>
    <t>verhuis internet</t>
  </si>
  <si>
    <t>opzegging water</t>
  </si>
  <si>
    <t>&lt;pers2&gt;</t>
  </si>
  <si>
    <t>&lt;pers1&gt;</t>
  </si>
  <si>
    <t>Huis + bijkomende kosten</t>
  </si>
  <si>
    <t xml:space="preserve">                                                                        Simuleer uitgaven/inkomsten/gespaard op:</t>
  </si>
  <si>
    <t>Pers1 naam</t>
  </si>
  <si>
    <t>Pers2 naam</t>
  </si>
</sst>
</file>

<file path=xl/styles.xml><?xml version="1.0" encoding="utf-8"?>
<styleSheet xmlns="http://schemas.openxmlformats.org/spreadsheetml/2006/main">
  <numFmts count="10"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_-* #,##0.00\ [$€-813]_-;\-* #,##0.00\ [$€-813]_-;_-* &quot;-&quot;??\ [$€-813]_-;_-@_-"/>
    <numFmt numFmtId="166" formatCode="_-* #,##0\ _€_-;\-* #,##0\ _€_-;_-* &quot;-&quot;??\ _€_-;_-@_-"/>
    <numFmt numFmtId="167" formatCode="0.000%"/>
    <numFmt numFmtId="168" formatCode="0.0000%"/>
    <numFmt numFmtId="169" formatCode="_-* #,##0.000\ &quot;€&quot;_-;\-* #,##0.000\ &quot;€&quot;_-;_-* &quot;-&quot;???\ &quot;€&quot;_-;_-@_-"/>
    <numFmt numFmtId="170" formatCode="_-* #,##0.000\ &quot;€&quot;_-;\-* #,##0.000\ &quot;€&quot;_-;_-* &quot;-&quot;??\ &quot;€&quot;_-;_-@_-"/>
  </numFmts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sz val="9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123">
    <xf numFmtId="0" fontId="0" fillId="0" borderId="0" xfId="0"/>
    <xf numFmtId="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164" fontId="1" fillId="0" borderId="0" xfId="0" applyNumberFormat="1" applyFont="1" applyBorder="1"/>
    <xf numFmtId="0" fontId="0" fillId="0" borderId="0" xfId="0" applyAlignment="1">
      <alignment horizontal="left"/>
    </xf>
    <xf numFmtId="164" fontId="1" fillId="0" borderId="0" xfId="0" applyNumberFormat="1" applyFont="1"/>
    <xf numFmtId="0" fontId="2" fillId="0" borderId="0" xfId="0" applyFont="1" applyAlignment="1">
      <alignment horizontal="right"/>
    </xf>
    <xf numFmtId="164" fontId="2" fillId="0" borderId="0" xfId="0" applyNumberFormat="1" applyFont="1"/>
    <xf numFmtId="0" fontId="1" fillId="0" borderId="0" xfId="0" applyFont="1"/>
    <xf numFmtId="10" fontId="1" fillId="0" borderId="0" xfId="0" applyNumberFormat="1" applyFont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9" fontId="0" fillId="0" borderId="0" xfId="0" applyNumberFormat="1" applyAlignment="1">
      <alignment horizontal="center"/>
    </xf>
    <xf numFmtId="9" fontId="2" fillId="0" borderId="0" xfId="0" applyNumberFormat="1" applyFont="1" applyBorder="1" applyProtection="1"/>
    <xf numFmtId="10" fontId="1" fillId="0" borderId="0" xfId="0" applyNumberFormat="1" applyFont="1" applyBorder="1" applyProtection="1"/>
    <xf numFmtId="0" fontId="0" fillId="0" borderId="0" xfId="0" applyAlignment="1">
      <alignment vertical="center" wrapText="1"/>
    </xf>
    <xf numFmtId="0" fontId="0" fillId="0" borderId="0" xfId="0" quotePrefix="1"/>
    <xf numFmtId="0" fontId="5" fillId="0" borderId="1" xfId="0" applyFont="1" applyBorder="1"/>
    <xf numFmtId="0" fontId="7" fillId="0" borderId="0" xfId="0" applyFont="1"/>
    <xf numFmtId="8" fontId="7" fillId="0" borderId="0" xfId="0" applyNumberFormat="1" applyFont="1"/>
    <xf numFmtId="0" fontId="5" fillId="0" borderId="0" xfId="0" applyFont="1" applyFill="1" applyBorder="1"/>
    <xf numFmtId="8" fontId="5" fillId="0" borderId="0" xfId="0" applyNumberFormat="1" applyFont="1" applyBorder="1"/>
    <xf numFmtId="0" fontId="5" fillId="0" borderId="0" xfId="0" applyFont="1"/>
    <xf numFmtId="164" fontId="5" fillId="0" borderId="0" xfId="0" applyNumberFormat="1" applyFont="1"/>
    <xf numFmtId="8" fontId="5" fillId="0" borderId="0" xfId="0" applyNumberFormat="1" applyFont="1"/>
    <xf numFmtId="0" fontId="8" fillId="0" borderId="0" xfId="0" applyFont="1"/>
    <xf numFmtId="8" fontId="8" fillId="0" borderId="0" xfId="0" applyNumberFormat="1" applyFont="1"/>
    <xf numFmtId="165" fontId="5" fillId="0" borderId="1" xfId="0" applyNumberFormat="1" applyFont="1" applyBorder="1"/>
    <xf numFmtId="44" fontId="6" fillId="0" borderId="0" xfId="2" applyFont="1"/>
    <xf numFmtId="44" fontId="5" fillId="0" borderId="0" xfId="2" applyFont="1"/>
    <xf numFmtId="44" fontId="0" fillId="0" borderId="0" xfId="0" applyNumberFormat="1"/>
    <xf numFmtId="166" fontId="0" fillId="0" borderId="0" xfId="1" applyNumberFormat="1" applyFont="1"/>
    <xf numFmtId="44" fontId="5" fillId="0" borderId="0" xfId="0" applyNumberFormat="1" applyFont="1"/>
    <xf numFmtId="164" fontId="7" fillId="0" borderId="1" xfId="0" applyNumberFormat="1" applyFont="1" applyBorder="1"/>
    <xf numFmtId="44" fontId="5" fillId="0" borderId="0" xfId="0" applyNumberFormat="1" applyFont="1" applyFill="1" applyBorder="1" applyProtection="1"/>
    <xf numFmtId="44" fontId="5" fillId="0" borderId="0" xfId="2" applyFont="1" applyBorder="1" applyProtection="1">
      <protection locked="0"/>
    </xf>
    <xf numFmtId="44" fontId="5" fillId="0" borderId="0" xfId="2" applyFont="1" applyBorder="1" applyProtection="1"/>
    <xf numFmtId="0" fontId="0" fillId="0" borderId="0" xfId="0" applyProtection="1"/>
    <xf numFmtId="0" fontId="0" fillId="0" borderId="0" xfId="0" applyBorder="1" applyProtection="1"/>
    <xf numFmtId="44" fontId="5" fillId="0" borderId="0" xfId="2" applyFont="1" applyProtection="1"/>
    <xf numFmtId="44" fontId="5" fillId="0" borderId="0" xfId="2" applyFont="1" applyFill="1" applyBorder="1" applyProtection="1">
      <protection locked="0"/>
    </xf>
    <xf numFmtId="10" fontId="0" fillId="0" borderId="0" xfId="0" applyNumberFormat="1"/>
    <xf numFmtId="165" fontId="0" fillId="0" borderId="0" xfId="0" applyNumberFormat="1"/>
    <xf numFmtId="44" fontId="0" fillId="0" borderId="0" xfId="2" applyFont="1" applyBorder="1"/>
    <xf numFmtId="44" fontId="0" fillId="0" borderId="0" xfId="2" applyFont="1"/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16" fontId="0" fillId="0" borderId="0" xfId="0" applyNumberFormat="1"/>
    <xf numFmtId="0" fontId="0" fillId="0" borderId="0" xfId="0" applyBorder="1" applyAlignment="1" applyProtection="1">
      <alignment horizontal="center"/>
    </xf>
    <xf numFmtId="0" fontId="0" fillId="0" borderId="1" xfId="0" applyBorder="1" applyProtection="1"/>
    <xf numFmtId="44" fontId="5" fillId="0" borderId="0" xfId="2" applyFont="1" applyFill="1" applyBorder="1" applyProtection="1"/>
    <xf numFmtId="0" fontId="4" fillId="2" borderId="0" xfId="0" applyFont="1" applyFill="1"/>
    <xf numFmtId="8" fontId="8" fillId="0" borderId="0" xfId="0" applyNumberFormat="1" applyFont="1" applyBorder="1"/>
    <xf numFmtId="0" fontId="7" fillId="0" borderId="0" xfId="0" quotePrefix="1" applyFont="1"/>
    <xf numFmtId="44" fontId="6" fillId="0" borderId="1" xfId="2" applyFont="1" applyBorder="1"/>
    <xf numFmtId="0" fontId="0" fillId="0" borderId="0" xfId="0" applyAlignment="1">
      <alignment horizontal="center"/>
    </xf>
    <xf numFmtId="168" fontId="0" fillId="0" borderId="0" xfId="3" applyNumberFormat="1" applyFont="1"/>
    <xf numFmtId="167" fontId="0" fillId="0" borderId="0" xfId="0" applyNumberFormat="1"/>
    <xf numFmtId="170" fontId="0" fillId="0" borderId="0" xfId="2" applyNumberFormat="1" applyFont="1" applyFill="1" applyBorder="1"/>
    <xf numFmtId="44" fontId="0" fillId="0" borderId="0" xfId="0" applyNumberFormat="1" applyBorder="1"/>
    <xf numFmtId="169" fontId="0" fillId="0" borderId="0" xfId="0" applyNumberFormat="1" applyBorder="1"/>
    <xf numFmtId="8" fontId="6" fillId="0" borderId="0" xfId="2" applyNumberFormat="1" applyFont="1"/>
    <xf numFmtId="164" fontId="8" fillId="0" borderId="0" xfId="0" applyNumberFormat="1" applyFont="1" applyBorder="1"/>
    <xf numFmtId="0" fontId="2" fillId="0" borderId="0" xfId="0" applyFont="1"/>
    <xf numFmtId="44" fontId="2" fillId="0" borderId="0" xfId="0" applyNumberFormat="1" applyFont="1"/>
    <xf numFmtId="14" fontId="0" fillId="0" borderId="0" xfId="0" applyNumberFormat="1"/>
    <xf numFmtId="0" fontId="1" fillId="0" borderId="0" xfId="0" applyFont="1" applyFill="1" applyBorder="1" applyProtection="1"/>
    <xf numFmtId="44" fontId="8" fillId="0" borderId="0" xfId="2" applyFont="1" applyBorder="1" applyProtection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44" fontId="5" fillId="3" borderId="0" xfId="2" applyFont="1" applyFill="1" applyBorder="1"/>
    <xf numFmtId="44" fontId="7" fillId="3" borderId="0" xfId="2" applyFont="1" applyFill="1" applyBorder="1"/>
    <xf numFmtId="44" fontId="1" fillId="3" borderId="0" xfId="2" applyFont="1" applyFill="1" applyBorder="1"/>
    <xf numFmtId="44" fontId="0" fillId="3" borderId="0" xfId="2" applyFont="1" applyFill="1" applyBorder="1"/>
    <xf numFmtId="0" fontId="9" fillId="3" borderId="0" xfId="4" applyFill="1" applyBorder="1" applyAlignment="1" applyProtection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4" borderId="2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  <xf numFmtId="44" fontId="7" fillId="4" borderId="2" xfId="2" applyFont="1" applyFill="1" applyBorder="1" applyAlignment="1" applyProtection="1">
      <alignment horizontal="center" vertical="center"/>
      <protection locked="0"/>
    </xf>
    <xf numFmtId="9" fontId="0" fillId="4" borderId="2" xfId="3" applyFont="1" applyFill="1" applyBorder="1" applyAlignment="1" applyProtection="1">
      <alignment horizontal="center" vertical="center"/>
      <protection locked="0"/>
    </xf>
    <xf numFmtId="10" fontId="1" fillId="4" borderId="2" xfId="0" applyNumberFormat="1" applyFont="1" applyFill="1" applyBorder="1" applyProtection="1">
      <protection locked="0"/>
    </xf>
    <xf numFmtId="9" fontId="2" fillId="4" borderId="2" xfId="0" applyNumberFormat="1" applyFont="1" applyFill="1" applyBorder="1" applyProtection="1">
      <protection locked="0"/>
    </xf>
    <xf numFmtId="9" fontId="0" fillId="4" borderId="2" xfId="0" applyNumberFormat="1" applyFill="1" applyBorder="1" applyProtection="1">
      <protection locked="0"/>
    </xf>
    <xf numFmtId="44" fontId="5" fillId="4" borderId="2" xfId="2" applyFont="1" applyFill="1" applyBorder="1" applyProtection="1">
      <protection locked="0"/>
    </xf>
    <xf numFmtId="44" fontId="7" fillId="0" borderId="0" xfId="0" applyNumberFormat="1" applyFont="1"/>
    <xf numFmtId="164" fontId="1" fillId="4" borderId="2" xfId="0" applyNumberFormat="1" applyFont="1" applyFill="1" applyBorder="1" applyProtection="1">
      <protection locked="0"/>
    </xf>
    <xf numFmtId="44" fontId="4" fillId="2" borderId="0" xfId="2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 applyProtection="1">
      <alignment horizontal="right" vertical="center"/>
    </xf>
    <xf numFmtId="44" fontId="4" fillId="2" borderId="0" xfId="0" applyNumberFormat="1" applyFont="1" applyFill="1" applyAlignment="1" applyProtection="1">
      <alignment horizontal="center" vertical="center"/>
    </xf>
    <xf numFmtId="44" fontId="4" fillId="2" borderId="0" xfId="2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164" fontId="0" fillId="0" borderId="0" xfId="0" applyNumberFormat="1" applyProtection="1"/>
    <xf numFmtId="10" fontId="0" fillId="4" borderId="2" xfId="3" applyNumberFormat="1" applyFont="1" applyFill="1" applyBorder="1" applyAlignment="1" applyProtection="1">
      <alignment horizontal="center" vertical="center"/>
      <protection locked="0"/>
    </xf>
    <xf numFmtId="44" fontId="8" fillId="3" borderId="0" xfId="2" applyFont="1" applyFill="1" applyBorder="1"/>
    <xf numFmtId="44" fontId="0" fillId="4" borderId="2" xfId="2" applyFont="1" applyFill="1" applyBorder="1" applyProtection="1">
      <protection locked="0"/>
    </xf>
    <xf numFmtId="44" fontId="5" fillId="0" borderId="0" xfId="2" applyFont="1" applyAlignment="1">
      <alignment vertical="center"/>
    </xf>
    <xf numFmtId="44" fontId="7" fillId="0" borderId="0" xfId="2" applyFont="1" applyBorder="1" applyProtection="1"/>
    <xf numFmtId="44" fontId="7" fillId="0" borderId="0" xfId="2" applyFont="1"/>
    <xf numFmtId="44" fontId="7" fillId="0" borderId="0" xfId="2" applyFont="1" applyProtection="1"/>
    <xf numFmtId="44" fontId="2" fillId="0" borderId="0" xfId="2" applyFont="1" applyBorder="1" applyProtection="1"/>
    <xf numFmtId="44" fontId="8" fillId="0" borderId="0" xfId="2" applyFont="1"/>
    <xf numFmtId="44" fontId="0" fillId="0" borderId="0" xfId="2" applyFont="1" applyFill="1" applyBorder="1" applyProtection="1">
      <protection locked="0"/>
    </xf>
    <xf numFmtId="44" fontId="7" fillId="0" borderId="0" xfId="2" applyFont="1" applyFill="1" applyBorder="1" applyProtection="1"/>
    <xf numFmtId="44" fontId="13" fillId="4" borderId="2" xfId="2" applyFont="1" applyFill="1" applyBorder="1" applyAlignment="1" applyProtection="1">
      <alignment horizontal="center" vertical="center"/>
      <protection locked="0"/>
    </xf>
    <xf numFmtId="44" fontId="10" fillId="4" borderId="2" xfId="2" applyFont="1" applyFill="1" applyBorder="1" applyProtection="1">
      <protection locked="0"/>
    </xf>
    <xf numFmtId="164" fontId="2" fillId="0" borderId="0" xfId="0" applyNumberFormat="1" applyFont="1" applyProtection="1">
      <protection locked="0"/>
    </xf>
    <xf numFmtId="0" fontId="4" fillId="2" borderId="0" xfId="0" applyFont="1" applyFill="1" applyAlignment="1">
      <alignment horizontal="right" vertical="center"/>
    </xf>
    <xf numFmtId="0" fontId="0" fillId="3" borderId="6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4" fillId="2" borderId="0" xfId="0" applyFont="1" applyFill="1" applyAlignment="1" applyProtection="1">
      <alignment horizontal="right" vertical="center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4"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34998626667073579"/>
      </font>
      <fill>
        <patternFill patternType="solid">
          <bgColor theme="2" tint="-9.9948118533890809E-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C000"/>
  </sheetPr>
  <dimension ref="A1:L149"/>
  <sheetViews>
    <sheetView tabSelected="1" zoomScale="85" zoomScaleNormal="85" workbookViewId="0">
      <pane ySplit="1" topLeftCell="A114" activePane="bottomLeft" state="frozenSplit"/>
      <selection pane="bottomLeft" activeCell="C123" sqref="C123"/>
    </sheetView>
  </sheetViews>
  <sheetFormatPr defaultRowHeight="15" outlineLevelRow="2"/>
  <cols>
    <col min="2" max="2" width="52" customWidth="1"/>
    <col min="3" max="3" width="23" customWidth="1"/>
    <col min="4" max="4" width="21.28515625" customWidth="1"/>
    <col min="5" max="6" width="17.5703125" customWidth="1"/>
    <col min="7" max="7" width="17.28515625" customWidth="1"/>
    <col min="8" max="8" width="20.7109375" customWidth="1"/>
    <col min="9" max="9" width="23.5703125" style="42" customWidth="1"/>
    <col min="10" max="10" width="15.5703125" bestFit="1" customWidth="1"/>
    <col min="12" max="12" width="7.7109375" bestFit="1" customWidth="1"/>
  </cols>
  <sheetData>
    <row r="1" spans="1:9" s="50" customFormat="1">
      <c r="A1" s="98" t="s">
        <v>139</v>
      </c>
      <c r="B1" s="50" t="str">
        <f>C138</f>
        <v>Axa</v>
      </c>
      <c r="C1" s="98" t="s">
        <v>140</v>
      </c>
      <c r="D1" s="97" t="e">
        <f>C123</f>
        <v>#DIV/0!</v>
      </c>
      <c r="E1" s="118" t="s">
        <v>141</v>
      </c>
      <c r="F1" s="118"/>
      <c r="G1" s="97" t="e">
        <f>C124</f>
        <v>#DIV/0!</v>
      </c>
    </row>
    <row r="3" spans="1:9">
      <c r="B3" s="13" t="s">
        <v>19</v>
      </c>
      <c r="C3" s="106">
        <v>0</v>
      </c>
    </row>
    <row r="4" spans="1:9">
      <c r="B4" s="9" t="s">
        <v>20</v>
      </c>
      <c r="C4" s="106">
        <v>0</v>
      </c>
      <c r="D4" s="15"/>
      <c r="E4" s="16"/>
      <c r="F4" s="15"/>
      <c r="G4" s="16"/>
      <c r="H4" s="15"/>
      <c r="I4" s="53"/>
    </row>
    <row r="5" spans="1:9">
      <c r="B5" s="11" t="s">
        <v>6</v>
      </c>
      <c r="C5" s="12">
        <f>C3*D5</f>
        <v>0</v>
      </c>
      <c r="D5" s="92">
        <v>0.1</v>
      </c>
      <c r="E5" s="1"/>
      <c r="F5" s="1"/>
    </row>
    <row r="6" spans="1:9" outlineLevel="1">
      <c r="B6" s="9" t="s">
        <v>24</v>
      </c>
      <c r="C6" s="2">
        <f>($C$3*D6-625)</f>
        <v>-625</v>
      </c>
      <c r="D6" s="93">
        <v>0.05</v>
      </c>
      <c r="E6" s="17" t="str">
        <f>IF(D6=0.05,"Klein beschrijf","groot beschrijf")</f>
        <v>Klein beschrijf</v>
      </c>
      <c r="F6" s="1"/>
    </row>
    <row r="7" spans="1:9" outlineLevel="1">
      <c r="B7" s="9" t="s">
        <v>16</v>
      </c>
      <c r="C7" s="2">
        <f>IF($C$3&gt;249752,ROUND((($C$3-249752)*0.00057*1.11)+2440*1.11,2),IF($C$3&gt;63832,ROUND((($C$3-63832)*0.0057*1.11)+1381*1.11,2),IF($C$3&gt;45241,ROUND((($C$3-45241)*0.0114*1.11)+1169*1.11,2),IF($C$3&gt;29747,ROUND((($C$3-29747)*0.0171*1.11)+904*1.11,2),IF($C$3&gt;17354,ROUND((($C$3-17353)*0.0228*1.11)+622*1.11,2),IF($C$3&gt;7437,ROUND((($C$3-7437)*0.0285*1.11)+339*1.11,2),IF($C$3&gt;1,ROUND(($C$3*0.0456*1.11),2),0)))))))</f>
        <v>0</v>
      </c>
      <c r="D7" s="2"/>
      <c r="E7" s="2"/>
      <c r="F7" s="2"/>
      <c r="G7" s="2"/>
      <c r="H7" s="2"/>
    </row>
    <row r="8" spans="1:9" outlineLevel="1">
      <c r="B8" t="s">
        <v>17</v>
      </c>
      <c r="C8" s="2">
        <f>516*1.21</f>
        <v>624.36</v>
      </c>
      <c r="D8" s="2"/>
      <c r="E8" s="2"/>
      <c r="F8" s="2"/>
      <c r="G8" s="2"/>
      <c r="H8" s="2"/>
    </row>
    <row r="9" spans="1:9" outlineLevel="1">
      <c r="B9" t="s">
        <v>102</v>
      </c>
      <c r="C9" s="106">
        <v>0</v>
      </c>
      <c r="D9" s="10" t="s">
        <v>103</v>
      </c>
      <c r="E9" s="2"/>
      <c r="F9" s="2"/>
      <c r="G9" s="2"/>
      <c r="H9" s="2"/>
    </row>
    <row r="10" spans="1:9">
      <c r="B10" t="s">
        <v>23</v>
      </c>
      <c r="C10" s="28">
        <f>SUM(C6:C9)</f>
        <v>-0.63999999999998636</v>
      </c>
      <c r="D10" s="18" t="e">
        <f>C10/C3</f>
        <v>#DIV/0!</v>
      </c>
      <c r="E10" s="2"/>
      <c r="F10" s="2"/>
      <c r="G10" s="2"/>
      <c r="H10" s="2"/>
    </row>
    <row r="11" spans="1:9">
      <c r="C11" s="2"/>
      <c r="D11" s="2"/>
      <c r="E11" s="2"/>
      <c r="F11" s="2"/>
      <c r="G11" s="2"/>
      <c r="H11" s="2"/>
    </row>
    <row r="12" spans="1:9">
      <c r="C12" s="2"/>
      <c r="D12" s="2"/>
      <c r="E12" s="2"/>
      <c r="F12" s="2"/>
      <c r="G12" s="2"/>
      <c r="H12" s="2"/>
    </row>
    <row r="13" spans="1:9">
      <c r="B13" t="s">
        <v>134</v>
      </c>
      <c r="C13" s="2" t="s">
        <v>7</v>
      </c>
      <c r="D13" s="2" t="s">
        <v>7</v>
      </c>
      <c r="E13" s="2" t="s">
        <v>7</v>
      </c>
      <c r="F13" s="2" t="s">
        <v>135</v>
      </c>
      <c r="G13" s="2" t="s">
        <v>7</v>
      </c>
      <c r="H13" s="2" t="s">
        <v>136</v>
      </c>
    </row>
    <row r="14" spans="1:9" outlineLevel="1">
      <c r="B14" t="s">
        <v>21</v>
      </c>
      <c r="C14" s="49">
        <f>IF(C$25&lt; 185920,ROUND(C$25* 0.0143,0),IF(C$25&gt; 185920,ROUND((C$25+18592) * 0.013,0)))</f>
        <v>0</v>
      </c>
      <c r="D14" s="49">
        <f t="shared" ref="D14:H14" si="0">IF(D$25&lt; 185920,ROUND(D$25* 0.0143,0),IF(D$25&gt; 185920,ROUND((D$25+18592) * 0.013,0)))</f>
        <v>0</v>
      </c>
      <c r="E14" s="49">
        <f t="shared" si="0"/>
        <v>0</v>
      </c>
      <c r="F14" s="49">
        <f t="shared" si="0"/>
        <v>0</v>
      </c>
      <c r="G14" s="49">
        <f t="shared" si="0"/>
        <v>0</v>
      </c>
      <c r="H14" s="49">
        <f t="shared" si="0"/>
        <v>11</v>
      </c>
    </row>
    <row r="15" spans="1:9" outlineLevel="1">
      <c r="B15" t="s">
        <v>13</v>
      </c>
      <c r="C15" s="49" t="b">
        <f>IF(C$25&gt;249752,ROUND(((C$25-249752)*0.000456*1.11)+991*1.11,0),IF(C$25&gt;45241,ROUND(((C$25-45241)*0.00456*1.11)+482*1.11,0),IF(C$25&gt;29747,ROUND(((C$25-29747)*0.00684*1.11)+376*1.11,0),IF(C$25&gt;17353,ROUND(((C$25-17353)*0.00912*1.11)+263*1.11,0),IF(C$25&gt;7437,ROUND(((C$25-7437)*0.01368*1.11)+127*1.11,0),IF(C$25&gt;0,ROUND(C$25*0.0171*1.11,0)))))))</f>
        <v>0</v>
      </c>
      <c r="D15" s="49" t="b">
        <f t="shared" ref="D15:H15" si="1">IF(D$25&gt;249752,ROUND(((D$25-249752)*0.000456*1.11)+991*1.11,0),IF(D$25&gt;45241,ROUND(((D$25-45241)*0.00456*1.11)+482*1.11,0),IF(D$25&gt;29747,ROUND(((D$25-29747)*0.00684*1.11)+376*1.11,0),IF(D$25&gt;17353,ROUND(((D$25-17353)*0.00912*1.11)+263*1.11,0),IF(D$25&gt;7437,ROUND(((D$25-7437)*0.01368*1.11)+127*1.11,0),IF(D$25&gt;0,ROUND(D$25*0.0171*1.11,0)))))))</f>
        <v>0</v>
      </c>
      <c r="E15" s="49" t="b">
        <f t="shared" si="1"/>
        <v>0</v>
      </c>
      <c r="F15" s="49" t="b">
        <f t="shared" si="1"/>
        <v>0</v>
      </c>
      <c r="G15" s="49" t="b">
        <f t="shared" si="1"/>
        <v>0</v>
      </c>
      <c r="H15" s="49">
        <f t="shared" si="1"/>
        <v>14</v>
      </c>
    </row>
    <row r="16" spans="1:9" outlineLevel="1">
      <c r="B16" t="s">
        <v>14</v>
      </c>
      <c r="C16" s="49">
        <f>IF(((C$25*1.1)&gt;204512),(CEILING((C$25+18592)/1000000,1)-1)*700+50,IF(((C$25*1.1)&gt;24789),(CEILING(C$25*1.1/1000000,1)-1)*700+50,IF(((C$25*1.1)&gt;1),50,0)))</f>
        <v>0</v>
      </c>
      <c r="D16" s="49">
        <f t="shared" ref="D16:H16" si="2">IF(((D$25*1.1)&gt;204512),(CEILING((D$25+18592)/1000000,1)-1)*700+50,IF(((D$25*1.1)&gt;24789),(CEILING(D$25*1.1/1000000,1)-1)*700+50,IF(((D$25*1.1)&gt;1),50,0)))</f>
        <v>0</v>
      </c>
      <c r="E16" s="49">
        <f t="shared" si="2"/>
        <v>0</v>
      </c>
      <c r="F16" s="49">
        <f t="shared" si="2"/>
        <v>0</v>
      </c>
      <c r="G16" s="49">
        <f t="shared" si="2"/>
        <v>0</v>
      </c>
      <c r="H16" s="49">
        <f t="shared" si="2"/>
        <v>50</v>
      </c>
    </row>
    <row r="17" spans="2:10" outlineLevel="1">
      <c r="B17" t="s">
        <v>15</v>
      </c>
      <c r="C17" s="49">
        <v>525</v>
      </c>
      <c r="D17" s="49"/>
      <c r="E17" s="49"/>
      <c r="F17" s="49"/>
      <c r="G17" s="49"/>
      <c r="H17" s="49"/>
    </row>
    <row r="18" spans="2:10" outlineLevel="1">
      <c r="B18" t="s">
        <v>18</v>
      </c>
      <c r="C18" s="49">
        <f>MAX(150,C$25*0.3%)</f>
        <v>150</v>
      </c>
      <c r="D18" s="49">
        <f t="shared" ref="D18:H18" si="3">MAX(150,D$25*0.3%)</f>
        <v>150</v>
      </c>
      <c r="E18" s="49">
        <f t="shared" si="3"/>
        <v>150</v>
      </c>
      <c r="F18" s="49">
        <f t="shared" si="3"/>
        <v>150</v>
      </c>
      <c r="G18" s="49">
        <f t="shared" si="3"/>
        <v>150</v>
      </c>
      <c r="H18" s="49">
        <f t="shared" si="3"/>
        <v>150</v>
      </c>
    </row>
    <row r="19" spans="2:10" outlineLevel="1">
      <c r="C19" s="111" t="e">
        <f t="shared" ref="C19:H19" si="4">C20/C25</f>
        <v>#DIV/0!</v>
      </c>
      <c r="D19" s="111" t="e">
        <f t="shared" si="4"/>
        <v>#DIV/0!</v>
      </c>
      <c r="E19" s="111" t="e">
        <f t="shared" si="4"/>
        <v>#DIV/0!</v>
      </c>
      <c r="F19" s="111" t="e">
        <f t="shared" si="4"/>
        <v>#DIV/0!</v>
      </c>
      <c r="G19" s="111" t="e">
        <f t="shared" si="4"/>
        <v>#DIV/0!</v>
      </c>
      <c r="H19" s="111">
        <f t="shared" si="4"/>
        <v>1.0008540621330202</v>
      </c>
    </row>
    <row r="20" spans="2:10">
      <c r="B20" t="s">
        <v>22</v>
      </c>
      <c r="C20" s="34">
        <f>C14+C15+C16+$C17+C18</f>
        <v>675</v>
      </c>
      <c r="D20" s="34">
        <f t="shared" ref="D20:H20" si="5">D14+D15+D16+$C17+D18</f>
        <v>675</v>
      </c>
      <c r="E20" s="34">
        <f t="shared" si="5"/>
        <v>675</v>
      </c>
      <c r="F20" s="34">
        <f t="shared" si="5"/>
        <v>675</v>
      </c>
      <c r="G20" s="34">
        <f t="shared" si="5"/>
        <v>675</v>
      </c>
      <c r="H20" s="34">
        <f t="shared" si="5"/>
        <v>750</v>
      </c>
    </row>
    <row r="21" spans="2:10">
      <c r="C21" s="111"/>
      <c r="D21" s="111"/>
      <c r="E21" s="111"/>
      <c r="F21" s="111"/>
      <c r="G21" s="111"/>
      <c r="H21" s="111"/>
    </row>
    <row r="22" spans="2:10">
      <c r="B22" s="13" t="s">
        <v>148</v>
      </c>
      <c r="C22" s="112">
        <f t="shared" ref="C22:H22" si="6">$C$3+C$20+IF($E$42="Ja",$C$42,0)+$C$10</f>
        <v>674.36</v>
      </c>
      <c r="D22" s="112">
        <f t="shared" si="6"/>
        <v>674.36</v>
      </c>
      <c r="E22" s="112">
        <f t="shared" si="6"/>
        <v>674.36</v>
      </c>
      <c r="F22" s="112">
        <f t="shared" si="6"/>
        <v>674.36</v>
      </c>
      <c r="G22" s="112">
        <f t="shared" si="6"/>
        <v>674.36</v>
      </c>
      <c r="H22" s="112">
        <f t="shared" si="6"/>
        <v>749.36</v>
      </c>
    </row>
    <row r="23" spans="2:10" ht="24" customHeight="1">
      <c r="C23" s="2"/>
      <c r="D23" s="2"/>
      <c r="E23" s="2"/>
      <c r="F23" s="2"/>
    </row>
    <row r="24" spans="2:10">
      <c r="B24" t="s">
        <v>7</v>
      </c>
      <c r="C24" s="91">
        <v>0.8</v>
      </c>
      <c r="D24" s="91">
        <v>0.7</v>
      </c>
      <c r="E24" s="91">
        <v>0.65</v>
      </c>
      <c r="F24" s="14" t="e">
        <f>(F$25)/$C$3</f>
        <v>#DIV/0!</v>
      </c>
      <c r="G24" s="91">
        <v>0.6</v>
      </c>
      <c r="H24" s="19" t="e">
        <f>(H$25)/$C$3</f>
        <v>#DIV/0!</v>
      </c>
    </row>
    <row r="25" spans="2:10">
      <c r="B25" t="s">
        <v>25</v>
      </c>
      <c r="C25" s="49">
        <f>$C$3*C$24</f>
        <v>0</v>
      </c>
      <c r="D25" s="49">
        <f>$C$3*D$24</f>
        <v>0</v>
      </c>
      <c r="E25" s="49">
        <f>$C$3*E$24</f>
        <v>0</v>
      </c>
      <c r="F25" s="106">
        <v>0</v>
      </c>
      <c r="G25" s="49">
        <f>$C$3*G$24</f>
        <v>0</v>
      </c>
      <c r="H25" s="116">
        <v>749.36</v>
      </c>
      <c r="I25" s="117">
        <f>H22-H27</f>
        <v>749.36</v>
      </c>
      <c r="J25" s="2"/>
    </row>
    <row r="26" spans="2:10">
      <c r="F26" s="2"/>
    </row>
    <row r="27" spans="2:10" ht="30">
      <c r="B27" s="20" t="s">
        <v>29</v>
      </c>
      <c r="C27" s="107">
        <f>C$22-C$25</f>
        <v>674.36</v>
      </c>
      <c r="D27" s="107">
        <f t="shared" ref="D27:G27" si="7">D$22-D$25</f>
        <v>674.36</v>
      </c>
      <c r="E27" s="107">
        <f t="shared" si="7"/>
        <v>674.36</v>
      </c>
      <c r="F27" s="107">
        <f t="shared" si="7"/>
        <v>674.36</v>
      </c>
      <c r="G27" s="107">
        <f t="shared" si="7"/>
        <v>674.36</v>
      </c>
      <c r="H27" s="107">
        <f>$C$32-H$34</f>
        <v>0</v>
      </c>
    </row>
    <row r="28" spans="2:10">
      <c r="C28" s="49"/>
      <c r="D28" s="49"/>
      <c r="E28" s="49"/>
      <c r="F28" s="49"/>
      <c r="G28" s="49"/>
      <c r="H28" s="49"/>
    </row>
    <row r="29" spans="2:10" outlineLevel="1">
      <c r="D29" s="52"/>
    </row>
    <row r="30" spans="2:10" outlineLevel="1">
      <c r="B30" t="str">
        <f>"Spaargeld "&amp;$C$139</f>
        <v>Spaargeld &lt;pers1&gt;</v>
      </c>
      <c r="C30" s="89"/>
      <c r="D30" s="108"/>
      <c r="E30" s="49"/>
      <c r="F30" s="49"/>
      <c r="G30" s="49"/>
      <c r="H30" s="49"/>
    </row>
    <row r="31" spans="2:10" outlineLevel="1">
      <c r="B31" t="str">
        <f>"Spaargeld "&amp;$C$140</f>
        <v>Spaargeld &lt;pers2&gt;</v>
      </c>
      <c r="C31" s="89"/>
      <c r="D31" s="108"/>
      <c r="E31" s="49"/>
      <c r="F31" s="49"/>
      <c r="G31" s="49"/>
      <c r="H31" s="49"/>
    </row>
    <row r="32" spans="2:10">
      <c r="B32" t="s">
        <v>56</v>
      </c>
      <c r="C32" s="109">
        <f>C30+C31</f>
        <v>0</v>
      </c>
      <c r="D32" s="49"/>
      <c r="E32" s="49"/>
      <c r="F32" s="49"/>
      <c r="G32" s="49"/>
      <c r="H32" s="49"/>
    </row>
    <row r="33" spans="2:9">
      <c r="C33" s="49"/>
      <c r="D33" s="49"/>
      <c r="E33" s="49"/>
      <c r="F33" s="49"/>
      <c r="G33" s="49"/>
      <c r="H33" s="49"/>
    </row>
    <row r="34" spans="2:9">
      <c r="B34" t="s">
        <v>138</v>
      </c>
      <c r="C34" s="109">
        <f>$C$32-C$27</f>
        <v>-674.36</v>
      </c>
      <c r="D34" s="109">
        <f>$C$32-D$27</f>
        <v>-674.36</v>
      </c>
      <c r="E34" s="109">
        <f>$C$32-E$27</f>
        <v>-674.36</v>
      </c>
      <c r="F34" s="109">
        <f>$C$32-F$27</f>
        <v>-674.36</v>
      </c>
      <c r="G34" s="109">
        <f>$C$32-G$27</f>
        <v>-674.36</v>
      </c>
      <c r="H34" s="110">
        <f>$C$128</f>
        <v>0</v>
      </c>
    </row>
    <row r="35" spans="2:9">
      <c r="B35" t="s">
        <v>137</v>
      </c>
      <c r="C35" s="109">
        <f>C$34/2</f>
        <v>-337.18</v>
      </c>
      <c r="D35" s="109">
        <f t="shared" ref="D35:H35" si="8">D$34/2</f>
        <v>-337.18</v>
      </c>
      <c r="E35" s="109">
        <f t="shared" si="8"/>
        <v>-337.18</v>
      </c>
      <c r="F35" s="109">
        <f t="shared" si="8"/>
        <v>-337.18</v>
      </c>
      <c r="G35" s="109">
        <f t="shared" si="8"/>
        <v>-337.18</v>
      </c>
      <c r="H35" s="109">
        <f t="shared" si="8"/>
        <v>0</v>
      </c>
    </row>
    <row r="36" spans="2:9" s="4" customFormat="1">
      <c r="C36" s="38"/>
      <c r="D36" s="38"/>
      <c r="E36" s="38"/>
      <c r="F36" s="38"/>
      <c r="G36" s="38"/>
      <c r="H36" s="38"/>
      <c r="I36" s="54"/>
    </row>
    <row r="38" spans="2:9" outlineLevel="1">
      <c r="B38" s="50" t="s">
        <v>35</v>
      </c>
    </row>
    <row r="39" spans="2:9" outlineLevel="1">
      <c r="B39" t="s">
        <v>54</v>
      </c>
      <c r="C39" s="94">
        <v>0</v>
      </c>
    </row>
    <row r="40" spans="2:9" outlineLevel="1">
      <c r="B40" t="s">
        <v>80</v>
      </c>
      <c r="C40" s="94">
        <v>0</v>
      </c>
    </row>
    <row r="41" spans="2:9" outlineLevel="1">
      <c r="C41" s="34"/>
    </row>
    <row r="42" spans="2:9">
      <c r="B42" t="s">
        <v>82</v>
      </c>
      <c r="C42" s="34">
        <f>SUM(C39:C41)</f>
        <v>0</v>
      </c>
      <c r="D42" s="51" t="s">
        <v>81</v>
      </c>
      <c r="E42" s="87" t="s">
        <v>109</v>
      </c>
    </row>
    <row r="43" spans="2:9">
      <c r="C43" s="49"/>
    </row>
    <row r="44" spans="2:9" outlineLevel="1">
      <c r="B44" s="50" t="s">
        <v>27</v>
      </c>
      <c r="C44" s="49"/>
    </row>
    <row r="45" spans="2:9" outlineLevel="1">
      <c r="B45" s="13" t="s">
        <v>66</v>
      </c>
      <c r="C45" s="49"/>
    </row>
    <row r="46" spans="2:9" outlineLevel="1">
      <c r="B46" t="str">
        <f>"Gem loon "&amp;$C$139</f>
        <v>Gem loon &lt;pers1&gt;</v>
      </c>
      <c r="C46" s="89">
        <v>0</v>
      </c>
      <c r="D46" t="s">
        <v>46</v>
      </c>
    </row>
    <row r="47" spans="2:9" outlineLevel="1">
      <c r="B47" t="str">
        <f>"Gem loon "&amp;$C$140</f>
        <v>Gem loon &lt;pers2&gt;</v>
      </c>
      <c r="C47" s="89">
        <v>0</v>
      </c>
      <c r="D47" t="s">
        <v>46</v>
      </c>
    </row>
    <row r="48" spans="2:9" outlineLevel="1">
      <c r="B48" t="s">
        <v>32</v>
      </c>
      <c r="C48" s="109">
        <f>C46+C47</f>
        <v>0</v>
      </c>
      <c r="D48" t="s">
        <v>46</v>
      </c>
    </row>
    <row r="49" spans="2:4" outlineLevel="2">
      <c r="C49" s="109"/>
    </row>
    <row r="50" spans="2:4">
      <c r="B50" t="s">
        <v>83</v>
      </c>
      <c r="C50" s="109">
        <f>SUM(C48:C49)</f>
        <v>0</v>
      </c>
      <c r="D50" t="s">
        <v>46</v>
      </c>
    </row>
    <row r="51" spans="2:4">
      <c r="C51" s="49"/>
    </row>
    <row r="52" spans="2:4" outlineLevel="1">
      <c r="B52" s="13" t="s">
        <v>42</v>
      </c>
      <c r="C52" s="49"/>
    </row>
    <row r="53" spans="2:4" outlineLevel="1">
      <c r="B53" t="s">
        <v>47</v>
      </c>
      <c r="C53" s="94">
        <v>0</v>
      </c>
      <c r="D53" t="s">
        <v>46</v>
      </c>
    </row>
    <row r="54" spans="2:4" outlineLevel="1">
      <c r="B54" t="s">
        <v>43</v>
      </c>
      <c r="C54" s="94">
        <v>0</v>
      </c>
      <c r="D54" t="s">
        <v>46</v>
      </c>
    </row>
    <row r="55" spans="2:4" outlineLevel="1">
      <c r="B55" t="s">
        <v>44</v>
      </c>
      <c r="C55" s="94">
        <v>0</v>
      </c>
      <c r="D55" t="s">
        <v>46</v>
      </c>
    </row>
    <row r="56" spans="2:4" outlineLevel="1">
      <c r="B56" t="s">
        <v>45</v>
      </c>
      <c r="C56" s="94">
        <v>0</v>
      </c>
      <c r="D56" t="s">
        <v>46</v>
      </c>
    </row>
    <row r="57" spans="2:4" outlineLevel="1">
      <c r="B57" t="s">
        <v>53</v>
      </c>
      <c r="C57" s="94">
        <v>0</v>
      </c>
      <c r="D57" t="s">
        <v>46</v>
      </c>
    </row>
    <row r="58" spans="2:4" outlineLevel="1">
      <c r="C58" s="40"/>
    </row>
    <row r="59" spans="2:4">
      <c r="B59" t="s">
        <v>64</v>
      </c>
      <c r="C59" s="41">
        <f>SUM(C53:C58)</f>
        <v>0</v>
      </c>
      <c r="D59" t="s">
        <v>46</v>
      </c>
    </row>
    <row r="60" spans="2:4" ht="14.25" customHeight="1">
      <c r="C60" s="40"/>
    </row>
    <row r="61" spans="2:4" ht="14.25" customHeight="1" outlineLevel="1">
      <c r="B61" s="13" t="s">
        <v>65</v>
      </c>
      <c r="C61" s="40"/>
    </row>
    <row r="62" spans="2:4" outlineLevel="1">
      <c r="B62" t="str">
        <f>"Gem. pers. uitgaven "&amp;$C$139</f>
        <v>Gem. pers. uitgaven &lt;pers1&gt;</v>
      </c>
      <c r="C62" s="94">
        <v>0</v>
      </c>
      <c r="D62" t="s">
        <v>46</v>
      </c>
    </row>
    <row r="63" spans="2:4" outlineLevel="1">
      <c r="B63" t="str">
        <f>"Gem. pers. uitgaven "&amp;$C$140</f>
        <v>Gem. pers. uitgaven &lt;pers2&gt;</v>
      </c>
      <c r="C63" s="94">
        <v>0</v>
      </c>
      <c r="D63" t="s">
        <v>46</v>
      </c>
    </row>
    <row r="64" spans="2:4" outlineLevel="1">
      <c r="B64" t="s">
        <v>63</v>
      </c>
      <c r="C64" s="41">
        <v>313.5936111111107</v>
      </c>
      <c r="D64" t="s">
        <v>46</v>
      </c>
    </row>
    <row r="65" spans="2:4" outlineLevel="1">
      <c r="C65" s="40"/>
    </row>
    <row r="66" spans="2:4">
      <c r="B66" t="s">
        <v>84</v>
      </c>
      <c r="C66" s="34">
        <f>SUM(C62:C65)</f>
        <v>313.5936111111107</v>
      </c>
      <c r="D66" t="s">
        <v>46</v>
      </c>
    </row>
    <row r="67" spans="2:4">
      <c r="C67" s="34"/>
    </row>
    <row r="68" spans="2:4">
      <c r="B68" t="s">
        <v>74</v>
      </c>
      <c r="C68" s="34">
        <f>$C$129*500</f>
        <v>0</v>
      </c>
      <c r="D68" t="s">
        <v>46</v>
      </c>
    </row>
    <row r="69" spans="2:4">
      <c r="C69" s="49"/>
    </row>
    <row r="70" spans="2:4" outlineLevel="2">
      <c r="B70" s="50" t="s">
        <v>28</v>
      </c>
      <c r="C70" s="49"/>
    </row>
    <row r="71" spans="2:4" outlineLevel="2">
      <c r="B71" s="13" t="s">
        <v>72</v>
      </c>
      <c r="C71" s="49"/>
    </row>
    <row r="72" spans="2:4" outlineLevel="2">
      <c r="B72" t="s">
        <v>26</v>
      </c>
      <c r="C72" s="94">
        <v>0</v>
      </c>
      <c r="D72" t="s">
        <v>12</v>
      </c>
    </row>
    <row r="73" spans="2:4" outlineLevel="2">
      <c r="B73" t="s">
        <v>89</v>
      </c>
      <c r="C73" s="94">
        <v>0</v>
      </c>
      <c r="D73" t="s">
        <v>12</v>
      </c>
    </row>
    <row r="74" spans="2:4" outlineLevel="2">
      <c r="B74" t="str">
        <f>"Pensioensparen "&amp;$C$139</f>
        <v>Pensioensparen &lt;pers1&gt;</v>
      </c>
      <c r="C74" s="94">
        <v>0</v>
      </c>
      <c r="D74" t="s">
        <v>12</v>
      </c>
    </row>
    <row r="75" spans="2:4" outlineLevel="2">
      <c r="B75" t="str">
        <f>"Pensioensparen "&amp;$C$140</f>
        <v>Pensioensparen &lt;pers2&gt;</v>
      </c>
      <c r="C75" s="94">
        <v>0</v>
      </c>
      <c r="D75" t="s">
        <v>12</v>
      </c>
    </row>
    <row r="76" spans="2:4" outlineLevel="2">
      <c r="C76" s="113"/>
    </row>
    <row r="77" spans="2:4">
      <c r="B77" t="s">
        <v>55</v>
      </c>
      <c r="C77" s="55">
        <f>SUM(C72:C76)</f>
        <v>0</v>
      </c>
    </row>
    <row r="78" spans="2:4">
      <c r="B78" s="21" t="s">
        <v>60</v>
      </c>
      <c r="C78" s="55">
        <f>C77/12</f>
        <v>0</v>
      </c>
      <c r="D78" t="s">
        <v>46</v>
      </c>
    </row>
    <row r="79" spans="2:4">
      <c r="B79" s="21"/>
      <c r="C79" s="55"/>
    </row>
    <row r="80" spans="2:4" outlineLevel="1">
      <c r="B80" s="13" t="s">
        <v>70</v>
      </c>
      <c r="C80" s="55"/>
    </row>
    <row r="81" spans="2:10" outlineLevel="1">
      <c r="B81" t="s">
        <v>33</v>
      </c>
      <c r="C81" s="114">
        <f>$C$74*0.6+$C$75*0.6</f>
        <v>0</v>
      </c>
      <c r="D81" t="s">
        <v>12</v>
      </c>
    </row>
    <row r="82" spans="2:10" outlineLevel="1">
      <c r="C82" s="114"/>
    </row>
    <row r="83" spans="2:10">
      <c r="B83" t="s">
        <v>71</v>
      </c>
      <c r="C83" s="114">
        <f>SUM(C81:C82)</f>
        <v>0</v>
      </c>
      <c r="D83" t="s">
        <v>12</v>
      </c>
    </row>
    <row r="84" spans="2:10">
      <c r="B84" s="21" t="s">
        <v>60</v>
      </c>
      <c r="C84" s="114">
        <f>C83/12</f>
        <v>0</v>
      </c>
      <c r="D84" t="s">
        <v>46</v>
      </c>
    </row>
    <row r="85" spans="2:10">
      <c r="B85" s="21"/>
      <c r="C85" s="39"/>
    </row>
    <row r="86" spans="2:10">
      <c r="C86" t="s">
        <v>36</v>
      </c>
    </row>
    <row r="87" spans="2:10" outlineLevel="1">
      <c r="B87" s="13" t="s">
        <v>34</v>
      </c>
      <c r="C87">
        <v>30</v>
      </c>
      <c r="D87">
        <v>25</v>
      </c>
      <c r="E87">
        <v>20</v>
      </c>
      <c r="F87">
        <v>15</v>
      </c>
      <c r="G87">
        <v>10</v>
      </c>
    </row>
    <row r="88" spans="2:10" outlineLevel="1">
      <c r="B88" t="s">
        <v>28</v>
      </c>
      <c r="C88">
        <f>FLOOR(C87/1.5,1)</f>
        <v>20</v>
      </c>
      <c r="D88">
        <f>FLOOR(D87/1.5,1)</f>
        <v>16</v>
      </c>
      <c r="E88">
        <f>FLOOR(E87/1.5,1)</f>
        <v>13</v>
      </c>
      <c r="F88">
        <f>FLOOR(F87/1.5,1)</f>
        <v>10</v>
      </c>
      <c r="G88">
        <f>FLOOR(G87/1.5,1)</f>
        <v>6</v>
      </c>
    </row>
    <row r="89" spans="2:10" outlineLevel="1">
      <c r="B89" s="1" t="str">
        <f>$C$139</f>
        <v>&lt;pers1&gt;</v>
      </c>
      <c r="C89" s="94">
        <v>0</v>
      </c>
      <c r="D89" s="94">
        <v>0</v>
      </c>
      <c r="E89" s="94">
        <v>0</v>
      </c>
      <c r="F89" s="94">
        <v>0</v>
      </c>
      <c r="G89" s="94">
        <v>0</v>
      </c>
      <c r="H89" s="34"/>
    </row>
    <row r="90" spans="2:10" s="42" customFormat="1" outlineLevel="1">
      <c r="B90" s="43" t="s">
        <v>58</v>
      </c>
      <c r="C90" s="41">
        <f>C$88*C89</f>
        <v>0</v>
      </c>
      <c r="D90" s="41">
        <f t="shared" ref="D90:F90" si="9">D88*D89</f>
        <v>0</v>
      </c>
      <c r="E90" s="41">
        <f t="shared" si="9"/>
        <v>0</v>
      </c>
      <c r="F90" s="41">
        <f t="shared" si="9"/>
        <v>0</v>
      </c>
      <c r="G90" s="41">
        <f t="shared" ref="G90" si="10">G88*G89</f>
        <v>0</v>
      </c>
      <c r="H90" s="41"/>
    </row>
    <row r="91" spans="2:10" outlineLevel="1">
      <c r="B91" s="1" t="str">
        <f>$C$140</f>
        <v>&lt;pers2&gt;</v>
      </c>
      <c r="C91" s="94"/>
      <c r="D91" s="94"/>
      <c r="E91" s="94"/>
      <c r="F91" s="94"/>
      <c r="G91" s="94"/>
      <c r="H91" s="34"/>
    </row>
    <row r="92" spans="2:10" s="42" customFormat="1" outlineLevel="1">
      <c r="B92" s="42" t="s">
        <v>58</v>
      </c>
      <c r="C92" s="41">
        <f>C$88*C91</f>
        <v>0</v>
      </c>
      <c r="D92" s="41">
        <f t="shared" ref="D92:F92" si="11">D$88*D91</f>
        <v>0</v>
      </c>
      <c r="E92" s="41">
        <f t="shared" si="11"/>
        <v>0</v>
      </c>
      <c r="F92" s="41">
        <f t="shared" si="11"/>
        <v>0</v>
      </c>
      <c r="G92" s="41">
        <f t="shared" ref="G92" si="12">G$88*G91</f>
        <v>0</v>
      </c>
      <c r="H92" s="44"/>
    </row>
    <row r="93" spans="2:10" s="42" customFormat="1" outlineLevel="1">
      <c r="B93" s="71" t="s">
        <v>131</v>
      </c>
      <c r="C93" s="72">
        <f>C89+C91</f>
        <v>0</v>
      </c>
      <c r="D93" s="72">
        <f t="shared" ref="D93:G93" si="13">D89+D91</f>
        <v>0</v>
      </c>
      <c r="E93" s="72">
        <f t="shared" si="13"/>
        <v>0</v>
      </c>
      <c r="F93" s="72">
        <f t="shared" si="13"/>
        <v>0</v>
      </c>
      <c r="G93" s="72">
        <f t="shared" si="13"/>
        <v>0</v>
      </c>
      <c r="H93" s="44"/>
    </row>
    <row r="94" spans="2:10" outlineLevel="1">
      <c r="C94" s="40"/>
      <c r="D94" s="40"/>
      <c r="E94" s="40"/>
      <c r="F94" s="40"/>
      <c r="G94" s="40"/>
      <c r="H94" s="34"/>
    </row>
    <row r="95" spans="2:10" outlineLevel="1">
      <c r="B95" t="s">
        <v>35</v>
      </c>
    </row>
    <row r="96" spans="2:10" outlineLevel="1">
      <c r="B96" s="1" t="str">
        <f>$C$139</f>
        <v>&lt;pers1&gt;</v>
      </c>
      <c r="C96" s="94">
        <v>0</v>
      </c>
      <c r="D96" s="94">
        <v>0</v>
      </c>
      <c r="E96" s="94">
        <v>0</v>
      </c>
      <c r="F96" s="94">
        <v>0</v>
      </c>
      <c r="G96" s="94">
        <v>0</v>
      </c>
      <c r="H96" s="45"/>
      <c r="I96" s="55"/>
      <c r="J96" s="45"/>
    </row>
    <row r="97" spans="2:10" outlineLevel="1">
      <c r="B97" s="1" t="str">
        <f>$C$140</f>
        <v>&lt;pers2&gt;</v>
      </c>
      <c r="C97" s="94">
        <v>0</v>
      </c>
      <c r="D97" s="94">
        <v>0</v>
      </c>
      <c r="E97" s="94">
        <v>0</v>
      </c>
      <c r="F97" s="94">
        <v>0</v>
      </c>
      <c r="G97" s="94">
        <v>0</v>
      </c>
      <c r="J97" s="35"/>
    </row>
    <row r="98" spans="2:10" outlineLevel="1">
      <c r="B98" s="13" t="s">
        <v>131</v>
      </c>
      <c r="C98" s="72">
        <f>C96+C97</f>
        <v>0</v>
      </c>
      <c r="D98" s="72">
        <f t="shared" ref="D98:G98" si="14">D96+D97</f>
        <v>0</v>
      </c>
      <c r="E98" s="72">
        <f t="shared" si="14"/>
        <v>0</v>
      </c>
      <c r="F98" s="72">
        <f t="shared" si="14"/>
        <v>0</v>
      </c>
      <c r="G98" s="72">
        <f t="shared" si="14"/>
        <v>0</v>
      </c>
      <c r="J98" s="35"/>
    </row>
    <row r="99" spans="2:10" outlineLevel="1"/>
    <row r="100" spans="2:10" outlineLevel="2">
      <c r="B100" t="s">
        <v>40</v>
      </c>
    </row>
    <row r="101" spans="2:10" outlineLevel="2">
      <c r="C101" s="36" t="e">
        <f>CEILING(C$96/$C$74,1)</f>
        <v>#DIV/0!</v>
      </c>
      <c r="D101" s="36" t="e">
        <f>CEILING(D$96/$C$74,1)</f>
        <v>#DIV/0!</v>
      </c>
      <c r="E101" s="36" t="e">
        <f>CEILING(E$96/$C$74,1)</f>
        <v>#DIV/0!</v>
      </c>
      <c r="F101" s="36" t="e">
        <f>CEILING(F$96/$C$74,1)</f>
        <v>#DIV/0!</v>
      </c>
      <c r="G101" s="36" t="e">
        <f>CEILING(G$96/$C$74,1)</f>
        <v>#DIV/0!</v>
      </c>
    </row>
    <row r="102" spans="2:10" outlineLevel="2">
      <c r="B102" t="str">
        <f>$C$139&amp;" betaald effectief:"</f>
        <v>&lt;pers1&gt; betaald effectief:</v>
      </c>
      <c r="C102" s="34">
        <f>C96*60%</f>
        <v>0</v>
      </c>
      <c r="D102" s="34">
        <f>D96*60%</f>
        <v>0</v>
      </c>
      <c r="E102" s="34">
        <f t="shared" ref="E102:G102" si="15">E96*60%</f>
        <v>0</v>
      </c>
      <c r="F102" s="34">
        <f t="shared" si="15"/>
        <v>0</v>
      </c>
      <c r="G102" s="34">
        <f t="shared" si="15"/>
        <v>0</v>
      </c>
    </row>
    <row r="103" spans="2:10" outlineLevel="2">
      <c r="B103" t="s">
        <v>37</v>
      </c>
      <c r="C103" s="35" t="e">
        <f>MOD(C96,$C$74)</f>
        <v>#DIV/0!</v>
      </c>
      <c r="D103" s="35" t="e">
        <f>MOD(D96,$C$74)</f>
        <v>#DIV/0!</v>
      </c>
      <c r="E103" s="35" t="e">
        <f>MOD(E96,$C$74)</f>
        <v>#DIV/0!</v>
      </c>
      <c r="F103" s="35" t="e">
        <f>MOD(F96,$C$74)</f>
        <v>#DIV/0!</v>
      </c>
      <c r="G103" s="35" t="e">
        <f>MOD(G96,$C$74)</f>
        <v>#DIV/0!</v>
      </c>
    </row>
    <row r="104" spans="2:10" outlineLevel="2">
      <c r="B104" t="s">
        <v>39</v>
      </c>
      <c r="C104" s="35">
        <f>C96-C102</f>
        <v>0</v>
      </c>
      <c r="D104" s="35">
        <f>D96-D102</f>
        <v>0</v>
      </c>
      <c r="E104" s="35">
        <f>E96-E102</f>
        <v>0</v>
      </c>
      <c r="F104" s="35">
        <f>F96-F102</f>
        <v>0</v>
      </c>
      <c r="G104" s="35">
        <f>G96-G102</f>
        <v>0</v>
      </c>
    </row>
    <row r="105" spans="2:10" outlineLevel="2">
      <c r="B105" t="s">
        <v>38</v>
      </c>
      <c r="C105" s="35" t="e">
        <f>((C$101*$C$74)*0.6)</f>
        <v>#DIV/0!</v>
      </c>
      <c r="D105" s="35" t="e">
        <f>((D$101*$C$74)*0.6)</f>
        <v>#DIV/0!</v>
      </c>
      <c r="E105" s="35" t="e">
        <f>((E$101*$C$74)*0.6)</f>
        <v>#DIV/0!</v>
      </c>
      <c r="F105" s="35" t="e">
        <f>((F$101*$C$74)*0.6)</f>
        <v>#DIV/0!</v>
      </c>
      <c r="G105" s="35" t="e">
        <f>((G$101*$C$74)*0.6)</f>
        <v>#DIV/0!</v>
      </c>
    </row>
    <row r="106" spans="2:10" outlineLevel="2">
      <c r="C106" s="35"/>
      <c r="D106" s="35"/>
      <c r="E106" s="35"/>
      <c r="F106" s="35"/>
      <c r="G106" s="35"/>
    </row>
    <row r="107" spans="2:10" outlineLevel="2">
      <c r="C107" s="36" t="e">
        <f>CEILING(C$97/$C$75,1)</f>
        <v>#DIV/0!</v>
      </c>
      <c r="D107" s="36" t="e">
        <f>CEILING(D$97/$C$75,1)</f>
        <v>#DIV/0!</v>
      </c>
      <c r="E107" s="36" t="e">
        <f>CEILING(E$97/$C$75,1)</f>
        <v>#DIV/0!</v>
      </c>
      <c r="F107" s="36" t="e">
        <f>CEILING(F$97/$C$75,1)</f>
        <v>#DIV/0!</v>
      </c>
      <c r="G107" s="36" t="e">
        <f>CEILING(G$97/$C$75,1)</f>
        <v>#DIV/0!</v>
      </c>
    </row>
    <row r="108" spans="2:10" outlineLevel="2">
      <c r="B108" t="str">
        <f>$C$140&amp;" betaald effectief:"</f>
        <v>&lt;pers2&gt; betaald effectief:</v>
      </c>
      <c r="C108" s="34">
        <f>C97*60%</f>
        <v>0</v>
      </c>
      <c r="D108" s="34">
        <f t="shared" ref="D108:G108" si="16">D97*60%</f>
        <v>0</v>
      </c>
      <c r="E108" s="34">
        <f t="shared" si="16"/>
        <v>0</v>
      </c>
      <c r="F108" s="34">
        <f t="shared" si="16"/>
        <v>0</v>
      </c>
      <c r="G108" s="34">
        <f t="shared" si="16"/>
        <v>0</v>
      </c>
    </row>
    <row r="109" spans="2:10" outlineLevel="2">
      <c r="B109" t="s">
        <v>37</v>
      </c>
      <c r="C109" s="35" t="e">
        <f>MOD(C97,$C$75)</f>
        <v>#DIV/0!</v>
      </c>
      <c r="D109" s="35" t="e">
        <f t="shared" ref="D109:F109" si="17">MOD(D97,$C$75)</f>
        <v>#DIV/0!</v>
      </c>
      <c r="E109" s="35" t="e">
        <f t="shared" si="17"/>
        <v>#DIV/0!</v>
      </c>
      <c r="F109" s="35" t="e">
        <f t="shared" si="17"/>
        <v>#DIV/0!</v>
      </c>
      <c r="G109" s="35" t="e">
        <f t="shared" ref="G109" si="18">MOD(G97,$C$75)</f>
        <v>#DIV/0!</v>
      </c>
    </row>
    <row r="110" spans="2:10" outlineLevel="2">
      <c r="B110" t="s">
        <v>39</v>
      </c>
      <c r="C110" s="35">
        <f>C97-C108</f>
        <v>0</v>
      </c>
      <c r="D110" s="35">
        <f>D97-D108</f>
        <v>0</v>
      </c>
      <c r="E110" s="35">
        <f>E97-E108</f>
        <v>0</v>
      </c>
      <c r="F110" s="35">
        <f>F97-F108</f>
        <v>0</v>
      </c>
      <c r="G110" s="35">
        <f>G97-G108</f>
        <v>0</v>
      </c>
    </row>
    <row r="111" spans="2:10" outlineLevel="2">
      <c r="B111" t="s">
        <v>38</v>
      </c>
      <c r="C111" s="35" t="e">
        <f>((C$107*$C$75)*0.6)</f>
        <v>#DIV/0!</v>
      </c>
      <c r="D111" s="35" t="e">
        <f>((D$107*$C$75)*0.6)</f>
        <v>#DIV/0!</v>
      </c>
      <c r="E111" s="35" t="e">
        <f>((E$107*$C$75)*0.6)</f>
        <v>#DIV/0!</v>
      </c>
      <c r="F111" s="35" t="e">
        <f>((F$107*$C$75)*0.6)</f>
        <v>#DIV/0!</v>
      </c>
      <c r="G111" s="35" t="e">
        <f>((G$107*$C$75)*0.6)</f>
        <v>#DIV/0!</v>
      </c>
    </row>
    <row r="112" spans="2:10" outlineLevel="1"/>
    <row r="113" spans="1:7">
      <c r="B113" t="str">
        <f>"Totaal jaarlijks SSV/jaar (max "&amp;MAX(C88:G88)&amp;"x)"</f>
        <v>Totaal jaarlijks SSV/jaar (max 20x)</v>
      </c>
      <c r="C113" s="37">
        <f>C93</f>
        <v>0</v>
      </c>
      <c r="D113" s="37">
        <f t="shared" ref="D113:G113" si="19">D93</f>
        <v>0</v>
      </c>
      <c r="E113" s="37">
        <f t="shared" si="19"/>
        <v>0</v>
      </c>
      <c r="F113" s="37">
        <f t="shared" si="19"/>
        <v>0</v>
      </c>
      <c r="G113" s="37">
        <f t="shared" si="19"/>
        <v>0</v>
      </c>
    </row>
    <row r="114" spans="1:7">
      <c r="A114" t="s">
        <v>57</v>
      </c>
      <c r="B114" t="e">
        <f>"Totaal jaarlijks SSV/blok (max "&amp;MAX(C101:G101,C107:G107)&amp;"x)"</f>
        <v>#DIV/0!</v>
      </c>
      <c r="C114" s="37">
        <f>C108</f>
        <v>0</v>
      </c>
      <c r="D114" s="37">
        <f t="shared" ref="D114:G114" si="20">D108</f>
        <v>0</v>
      </c>
      <c r="E114" s="37">
        <f t="shared" si="20"/>
        <v>0</v>
      </c>
      <c r="F114" s="37">
        <f t="shared" si="20"/>
        <v>0</v>
      </c>
      <c r="G114" s="37">
        <f t="shared" si="20"/>
        <v>0</v>
      </c>
    </row>
    <row r="116" spans="1:7" ht="15.75" thickBot="1"/>
    <row r="117" spans="1:7">
      <c r="B117" s="73"/>
      <c r="C117" s="74"/>
      <c r="D117" s="74"/>
      <c r="E117" s="74"/>
      <c r="F117" s="75"/>
    </row>
    <row r="118" spans="1:7">
      <c r="B118" s="119" t="s">
        <v>149</v>
      </c>
      <c r="C118" s="120"/>
      <c r="D118" s="121"/>
      <c r="E118" s="87">
        <v>1</v>
      </c>
      <c r="F118" s="78" t="s">
        <v>67</v>
      </c>
    </row>
    <row r="119" spans="1:7">
      <c r="B119" s="76" t="s">
        <v>61</v>
      </c>
      <c r="C119" s="79" t="e">
        <f>IF($C$134="per blok",IF(HLOOKUP($C$135,$C$87:$G$114,ROWS($C$87:$C$107),FALSE)&lt;$E$118,0,HLOOKUP($C$135,$C$87:$G$114,ROWS($C$87:$C$114),FALSE)/12)+IF($C$137="gesplitst",IF(HLOOKUP($E$135,$C$87:$G$114,ROWS($C$87:$C$107),FALSE)&lt;$E$118,0,HLOOKUP($E$135,$C$87:$G$114,ROWS($C$87:$C$114),FALSE)/12)),IF(HLOOKUP($C$135,$C$87:$G$114,ROWS($C$87:$C$88),FALSE)&lt;$E$118,0,HLOOKUP($C$135,$C$87:$G$114,ROWS($C$87:$C$113),FALSE)/12))+$C$59+$C$66+$C$68+$C$78+$C$123</f>
        <v>#DIV/0!</v>
      </c>
      <c r="D119" s="77" t="s">
        <v>46</v>
      </c>
      <c r="E119" s="77"/>
      <c r="F119" s="78"/>
    </row>
    <row r="120" spans="1:7">
      <c r="B120" s="76" t="s">
        <v>62</v>
      </c>
      <c r="C120" s="80">
        <f>$C$50+$C$84+($C$130*MAX(0,($E$118-1))/5)+(($H$34*$C$133)/12)+IF(($E$118-1)&lt;=0,0,((((IF($C$134="per blok",IF(HLOOKUP($C$135,$C$87:$G$114,ROWS($C$87:$C$107),FALSE)&lt;1,0,HLOOKUP($C$135,$C$87:$G$114,ROWS($C$87:$C$114),FALSE)/12)+IF($C$137="gesplitst",IF(HLOOKUP($E$135,$C$87:$G$114,ROWS($C$87:$C$107),FALSE)&lt;1,0,HLOOKUP($E$135,$C$87:$G$114,ROWS($C$87:$C$114),FALSE)/12)),IF(HLOOKUP($C$135,$C$87:$G$114,ROWS($C$87:$C$88),FALSE)&lt;1,0,HLOOKUP($C$135,$C$87:$G$114,ROWS($C$87:$C$113),FALSE)/12))+$C$59+$C$66+$C$78+$C$123)-($C$50+$C$84+($C$130*($E$118-1)/5)+(($H$34*$C$133)/12)))*$E$118*12*$C$133)/12))</f>
        <v>0</v>
      </c>
      <c r="D120" s="77" t="s">
        <v>46</v>
      </c>
      <c r="E120" s="77"/>
      <c r="F120" s="78"/>
    </row>
    <row r="121" spans="1:7">
      <c r="B121" s="76" t="s">
        <v>79</v>
      </c>
      <c r="C121" s="81" t="e">
        <f>$C120-$C119</f>
        <v>#DIV/0!</v>
      </c>
      <c r="D121" s="77" t="s">
        <v>46</v>
      </c>
      <c r="E121" s="77"/>
      <c r="F121" s="78"/>
    </row>
    <row r="122" spans="1:7">
      <c r="B122" s="76" t="s">
        <v>78</v>
      </c>
      <c r="C122" s="80">
        <f>($C$74+$C$75)*$E118</f>
        <v>0</v>
      </c>
      <c r="D122" s="77" t="s">
        <v>76</v>
      </c>
      <c r="E122" s="77"/>
      <c r="F122" s="78"/>
    </row>
    <row r="123" spans="1:7">
      <c r="B123" s="76" t="s">
        <v>104</v>
      </c>
      <c r="C123" s="105" t="e">
        <f>IF($C$136="Vaste mensualiteit",IF($C$137="1 geheel",HLOOKUP($C$135,interesten!$C$48:$G$51,ROWS(interesten!$C$48:$C$51),FALSE),HLOOKUP($C$135,interesten!$C$9:$G$39,IF(kosten!$E$118&gt;kosten!$E$135,ROWS(interesten!$C$9:$C$12),VLOOKUP($E$135,interesten!$I$9:$J$11,2,FALSE)),FALSE)),IF($C$137="1 geheel",HLOOKUP($C$135,interesten!$C$59:$G$64,ROWS(interesten!$C$59:$C$64),FALSE)-($E$118*HLOOKUP($C$135,interesten!$C$59:$G$73,ROWS(interesten!$C$59:$C$65),FALSE)*12),"niet beschikbaar"))</f>
        <v>#DIV/0!</v>
      </c>
      <c r="D123" s="77"/>
      <c r="E123" s="77"/>
      <c r="F123" s="78"/>
    </row>
    <row r="124" spans="1:7">
      <c r="B124" s="76" t="s">
        <v>106</v>
      </c>
      <c r="C124" s="105" t="e">
        <f>IF($C$136="Vaste mensualiteit",IF($C$137="1 geheel",HLOOKUP($C$135,interesten!$C$48:$G$54,ROWS($X$50:$X$56),FALSE),HLOOKUP($C$135,interesten!$C$9:$G$39,VLOOKUP($E$135,interesten!$I$9:$K$11,3,FALSE),FALSE)),IF($C$137="1 geheel",HLOOKUP($C$135,interesten!$C$59:$G$74,ROWS(interesten!$C$59:$C$74),FALSE),"niet beschikbaar"))</f>
        <v>#DIV/0!</v>
      </c>
      <c r="D124" s="77"/>
      <c r="E124" s="77"/>
      <c r="F124" s="78"/>
    </row>
    <row r="125" spans="1:7">
      <c r="B125" s="76"/>
      <c r="C125" s="82"/>
      <c r="D125" s="77"/>
      <c r="E125" s="77"/>
      <c r="F125" s="78"/>
    </row>
    <row r="126" spans="1:7">
      <c r="B126" s="76"/>
      <c r="C126" s="82"/>
      <c r="D126" s="77"/>
      <c r="E126" s="83"/>
      <c r="F126" s="78"/>
    </row>
    <row r="127" spans="1:7">
      <c r="B127" s="76" t="s">
        <v>87</v>
      </c>
      <c r="C127" s="79">
        <f>$H$25</f>
        <v>749.36</v>
      </c>
      <c r="D127" s="77"/>
      <c r="E127" s="77"/>
      <c r="F127" s="78"/>
    </row>
    <row r="128" spans="1:7">
      <c r="B128" s="76" t="s">
        <v>86</v>
      </c>
      <c r="C128" s="89">
        <v>0</v>
      </c>
      <c r="D128" s="77"/>
      <c r="E128" s="77"/>
      <c r="F128" s="78"/>
    </row>
    <row r="129" spans="2:12">
      <c r="B129" s="76" t="s">
        <v>75</v>
      </c>
      <c r="C129" s="88">
        <v>0</v>
      </c>
      <c r="D129" s="77"/>
      <c r="E129" s="77"/>
      <c r="F129" s="78"/>
    </row>
    <row r="130" spans="2:12">
      <c r="B130" s="76" t="s">
        <v>85</v>
      </c>
      <c r="C130" s="89">
        <v>0</v>
      </c>
      <c r="D130" s="77"/>
      <c r="E130" s="77"/>
      <c r="F130" s="78"/>
    </row>
    <row r="131" spans="2:12">
      <c r="B131" s="76" t="s">
        <v>70</v>
      </c>
      <c r="C131" s="89">
        <v>2770</v>
      </c>
      <c r="D131" s="77"/>
      <c r="E131" s="77"/>
      <c r="F131" s="78"/>
    </row>
    <row r="132" spans="2:12">
      <c r="B132" s="76" t="s">
        <v>133</v>
      </c>
      <c r="C132" s="89">
        <v>2080</v>
      </c>
      <c r="D132" s="77"/>
      <c r="E132" s="77"/>
      <c r="F132" s="78"/>
    </row>
    <row r="133" spans="2:12">
      <c r="B133" s="76" t="s">
        <v>77</v>
      </c>
      <c r="C133" s="90">
        <v>0.03</v>
      </c>
      <c r="D133" s="77"/>
      <c r="E133" s="77"/>
      <c r="F133" s="78"/>
    </row>
    <row r="134" spans="2:12">
      <c r="B134" s="76" t="s">
        <v>132</v>
      </c>
      <c r="C134" s="90" t="s">
        <v>12</v>
      </c>
      <c r="D134" s="77"/>
      <c r="E134" s="77"/>
      <c r="F134" s="78"/>
    </row>
    <row r="135" spans="2:12">
      <c r="B135" s="76" t="s">
        <v>73</v>
      </c>
      <c r="C135" s="88">
        <v>25</v>
      </c>
      <c r="D135" s="77" t="s">
        <v>88</v>
      </c>
      <c r="E135" s="87">
        <v>10</v>
      </c>
      <c r="F135" s="78" t="s">
        <v>105</v>
      </c>
    </row>
    <row r="136" spans="2:12">
      <c r="B136" s="76" t="s">
        <v>96</v>
      </c>
      <c r="C136" s="90" t="s">
        <v>92</v>
      </c>
      <c r="D136" s="77"/>
      <c r="E136" s="77"/>
      <c r="F136" s="78"/>
    </row>
    <row r="137" spans="2:12">
      <c r="B137" s="76" t="s">
        <v>97</v>
      </c>
      <c r="C137" s="90" t="s">
        <v>130</v>
      </c>
      <c r="D137" s="77"/>
      <c r="E137" s="77"/>
      <c r="F137" s="78"/>
    </row>
    <row r="138" spans="2:12">
      <c r="B138" s="76" t="s">
        <v>118</v>
      </c>
      <c r="C138" s="115" t="s">
        <v>142</v>
      </c>
      <c r="D138" s="77"/>
      <c r="E138" s="77"/>
      <c r="F138" s="78"/>
    </row>
    <row r="139" spans="2:12" outlineLevel="1">
      <c r="B139" s="76" t="s">
        <v>150</v>
      </c>
      <c r="C139" s="90" t="s">
        <v>147</v>
      </c>
      <c r="D139" s="77"/>
      <c r="E139" s="77"/>
      <c r="F139" s="78"/>
    </row>
    <row r="140" spans="2:12" outlineLevel="1">
      <c r="B140" s="76" t="s">
        <v>151</v>
      </c>
      <c r="C140" s="90" t="s">
        <v>146</v>
      </c>
      <c r="D140" s="77"/>
      <c r="E140" s="77"/>
      <c r="F140" s="78"/>
    </row>
    <row r="141" spans="2:12" ht="15.75" thickBot="1">
      <c r="B141" s="84"/>
      <c r="C141" s="85"/>
      <c r="D141" s="85"/>
      <c r="E141" s="85"/>
      <c r="F141" s="86"/>
    </row>
    <row r="143" spans="2:12" outlineLevel="1">
      <c r="B143" s="60" t="s">
        <v>123</v>
      </c>
      <c r="C143" s="90" t="s">
        <v>142</v>
      </c>
      <c r="D143" s="90" t="s">
        <v>143</v>
      </c>
      <c r="E143" s="90" t="s">
        <v>119</v>
      </c>
      <c r="F143" s="90" t="s">
        <v>120</v>
      </c>
      <c r="G143" s="90" t="s">
        <v>121</v>
      </c>
      <c r="H143" s="90" t="s">
        <v>125</v>
      </c>
      <c r="I143" s="90" t="s">
        <v>124</v>
      </c>
      <c r="J143" s="90" t="s">
        <v>122</v>
      </c>
      <c r="L143" s="42"/>
    </row>
    <row r="144" spans="2:12" outlineLevel="1">
      <c r="B144">
        <v>10</v>
      </c>
      <c r="C144" s="104">
        <v>0</v>
      </c>
      <c r="D144" s="104">
        <v>0</v>
      </c>
      <c r="E144" s="104">
        <v>0</v>
      </c>
      <c r="F144" s="104">
        <v>0</v>
      </c>
      <c r="G144" s="104">
        <v>0</v>
      </c>
      <c r="H144" s="104">
        <v>0</v>
      </c>
      <c r="I144" s="104">
        <v>0</v>
      </c>
      <c r="J144" s="104">
        <v>0</v>
      </c>
      <c r="L144" s="42"/>
    </row>
    <row r="145" spans="2:12" outlineLevel="1">
      <c r="B145">
        <v>15</v>
      </c>
      <c r="C145" s="104">
        <v>0</v>
      </c>
      <c r="D145" s="104">
        <v>0</v>
      </c>
      <c r="E145" s="104">
        <v>0</v>
      </c>
      <c r="F145" s="104">
        <v>0</v>
      </c>
      <c r="G145" s="104">
        <v>0</v>
      </c>
      <c r="H145" s="104">
        <v>0</v>
      </c>
      <c r="I145" s="104">
        <v>0</v>
      </c>
      <c r="J145" s="104">
        <v>0</v>
      </c>
      <c r="L145" s="42"/>
    </row>
    <row r="146" spans="2:12" outlineLevel="1">
      <c r="B146">
        <v>20</v>
      </c>
      <c r="C146" s="104">
        <v>0</v>
      </c>
      <c r="D146" s="104">
        <v>0</v>
      </c>
      <c r="E146" s="104">
        <v>0</v>
      </c>
      <c r="F146" s="104">
        <v>0</v>
      </c>
      <c r="G146" s="104">
        <v>0</v>
      </c>
      <c r="H146" s="104">
        <v>0</v>
      </c>
      <c r="I146" s="104">
        <v>0</v>
      </c>
      <c r="J146" s="104">
        <v>0</v>
      </c>
      <c r="L146" s="42"/>
    </row>
    <row r="147" spans="2:12" outlineLevel="1">
      <c r="B147">
        <v>25</v>
      </c>
      <c r="C147" s="104">
        <v>0</v>
      </c>
      <c r="D147" s="104">
        <v>0</v>
      </c>
      <c r="E147" s="104">
        <v>0</v>
      </c>
      <c r="F147" s="104">
        <v>0</v>
      </c>
      <c r="G147" s="104">
        <v>0</v>
      </c>
      <c r="H147" s="104">
        <v>0</v>
      </c>
      <c r="I147" s="104">
        <v>0</v>
      </c>
      <c r="J147" s="104">
        <v>0</v>
      </c>
      <c r="L147" s="42"/>
    </row>
    <row r="148" spans="2:12" outlineLevel="1">
      <c r="B148">
        <v>30</v>
      </c>
      <c r="C148" s="104">
        <v>0</v>
      </c>
      <c r="D148" s="104">
        <v>0</v>
      </c>
      <c r="E148" s="104">
        <v>0</v>
      </c>
      <c r="F148" s="104">
        <v>0</v>
      </c>
      <c r="G148" s="104">
        <v>0</v>
      </c>
      <c r="H148" s="104">
        <v>0</v>
      </c>
      <c r="I148" s="104">
        <v>0</v>
      </c>
      <c r="J148" s="104">
        <v>0</v>
      </c>
      <c r="L148" s="42"/>
    </row>
    <row r="149" spans="2:12">
      <c r="B149" s="60" t="s">
        <v>123</v>
      </c>
      <c r="C149" s="60" t="str">
        <f>C143</f>
        <v>Axa</v>
      </c>
      <c r="D149" s="60" t="str">
        <f t="shared" ref="D149:J149" si="21">D143</f>
        <v>Ing</v>
      </c>
      <c r="E149" s="60" t="str">
        <f t="shared" si="21"/>
        <v>Landbouwkrediet</v>
      </c>
      <c r="F149" s="60" t="str">
        <f t="shared" si="21"/>
        <v>Immotheker</v>
      </c>
      <c r="G149" s="60" t="str">
        <f t="shared" si="21"/>
        <v>Argenta</v>
      </c>
      <c r="H149" s="60" t="str">
        <f t="shared" si="21"/>
        <v>KBC</v>
      </c>
      <c r="I149" s="60" t="str">
        <f t="shared" si="21"/>
        <v>OBK</v>
      </c>
      <c r="J149" s="60" t="str">
        <f t="shared" si="21"/>
        <v>Dexia</v>
      </c>
    </row>
  </sheetData>
  <sheetProtection formatCells="0" selectLockedCells="1"/>
  <mergeCells count="2">
    <mergeCell ref="E1:F1"/>
    <mergeCell ref="B118:D118"/>
  </mergeCells>
  <conditionalFormatting sqref="E135:F135">
    <cfRule type="expression" dxfId="3" priority="3">
      <formula>IF(NOT($C$137="gesplitst"),1,0)</formula>
    </cfRule>
  </conditionalFormatting>
  <conditionalFormatting sqref="C119:C122">
    <cfRule type="cellIs" dxfId="2" priority="1" operator="lessThan">
      <formula>0</formula>
    </cfRule>
  </conditionalFormatting>
  <dataValidations count="14">
    <dataValidation type="list" allowBlank="1" showInputMessage="1" showErrorMessage="1" sqref="E118">
      <formula1>"0,1,2,3,4,5,6,7,8,9,10,11,12,13,14,15,16,17,18,19,20,21,22,23,24,25,26,27,28,29,30"</formula1>
    </dataValidation>
    <dataValidation type="list" allowBlank="1" showInputMessage="1" showErrorMessage="1" sqref="E135">
      <formula1>"0,10,15,20"</formula1>
    </dataValidation>
    <dataValidation type="list" allowBlank="1" showInputMessage="1" showErrorMessage="1" sqref="C138">
      <formula1>bankeninterest</formula1>
    </dataValidation>
    <dataValidation type="list" allowBlank="1" showInputMessage="1" showErrorMessage="1" sqref="C136">
      <formula1>"Vaste kapitaalaflossing,Vaste mensualiteit"</formula1>
    </dataValidation>
    <dataValidation type="list" allowBlank="1" showInputMessage="1" showErrorMessage="1" sqref="C137">
      <formula1>"1 geheel,gesplitst"</formula1>
    </dataValidation>
    <dataValidation type="list" allowBlank="1" showInputMessage="1" showErrorMessage="1" sqref="C133">
      <formula1>"0,03,0,035,0,04,0,045,0,05,0,055,0,06,0,065,0,07,0,075,0,08"</formula1>
    </dataValidation>
    <dataValidation type="list" allowBlank="1" showInputMessage="1" showErrorMessage="1" sqref="C135">
      <formula1>"15,20,25,30"</formula1>
    </dataValidation>
    <dataValidation type="list" allowBlank="1" showInputMessage="1" showErrorMessage="1" sqref="C129">
      <formula1>"0,1,2,3,4"</formula1>
    </dataValidation>
    <dataValidation type="list" allowBlank="1" showInputMessage="1" showErrorMessage="1" sqref="C134">
      <formula1>"per jaar,per blok"</formula1>
    </dataValidation>
    <dataValidation allowBlank="1" showInputMessage="1" showErrorMessage="1" prompt="ssv ingegeven een aantal jaren (bovenvermeld) ingegevn voor pensioensparen" sqref="C102:G102"/>
    <dataValidation type="list" allowBlank="1" showInputMessage="1" showErrorMessage="1" sqref="E42 E4">
      <formula1>"Ja,Nee"</formula1>
    </dataValidation>
    <dataValidation allowBlank="1" showInputMessage="1" showErrorMessage="1" promptTitle="Wanneer heeft u recht op 5%" prompt="- tot 843 Euro bij 3 of 4 kinderen_x000a_- tot 942 Euro bij 5 of 6 kinderen_x000a_- tot 1.041 Euro bij 7 of meer kinderen_x000a_" sqref="E6"/>
    <dataValidation allowBlank="1" showInputMessage="1" showErrorMessage="1" prompt="Het als diverse aktenkosten opgegeven bedrag is een gemiddelde, meestal voldoende, provisie voor diverse kosten (hypothecaire en kadastrale opzoekingen, belastingsnotificaties, zegels, overschrijving op 1 hypotheekkantoor, etc...)" sqref="B17"/>
    <dataValidation type="list" allowBlank="1" showInputMessage="1" showErrorMessage="1" sqref="D6">
      <formula1>"0,05,0,10,0,12,0,15"</formula1>
    </dataValidation>
  </dataValidations>
  <pageMargins left="0.7" right="0.7" top="0.75" bottom="0.75" header="0.3" footer="0.3"/>
  <pageSetup paperSize="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4" tint="-0.249977111117893"/>
  </sheetPr>
  <dimension ref="A1:M438"/>
  <sheetViews>
    <sheetView zoomScale="85" zoomScaleNormal="85" workbookViewId="0">
      <pane ySplit="3" topLeftCell="A4" activePane="bottomLeft" state="frozenSplit"/>
      <selection pane="bottomLeft" activeCell="G6" sqref="G6"/>
    </sheetView>
  </sheetViews>
  <sheetFormatPr defaultRowHeight="15" outlineLevelRow="3" outlineLevelCol="1"/>
  <cols>
    <col min="2" max="2" width="33" customWidth="1"/>
    <col min="3" max="3" width="18.28515625" customWidth="1"/>
    <col min="4" max="5" width="13.7109375" customWidth="1"/>
    <col min="6" max="6" width="14.140625" customWidth="1"/>
    <col min="7" max="7" width="13.5703125" customWidth="1"/>
    <col min="8" max="8" width="4.5703125" bestFit="1" customWidth="1"/>
    <col min="9" max="9" width="5.5703125" hidden="1" customWidth="1" outlineLevel="1"/>
    <col min="10" max="10" width="21.42578125" hidden="1" customWidth="1" outlineLevel="1"/>
    <col min="11" max="11" width="13.42578125" hidden="1" customWidth="1" outlineLevel="1"/>
    <col min="12" max="12" width="9.42578125" hidden="1" customWidth="1" outlineLevel="1"/>
    <col min="13" max="13" width="9.140625" collapsed="1"/>
  </cols>
  <sheetData>
    <row r="1" spans="1:12" s="102" customFormat="1">
      <c r="A1" s="99" t="s">
        <v>139</v>
      </c>
      <c r="B1" s="100" t="str">
        <f>kosten!C138</f>
        <v>Axa</v>
      </c>
      <c r="C1" s="99" t="s">
        <v>140</v>
      </c>
      <c r="D1" s="101" t="e">
        <f>kosten!C123</f>
        <v>#DIV/0!</v>
      </c>
      <c r="E1" s="122" t="s">
        <v>141</v>
      </c>
      <c r="F1" s="122"/>
      <c r="G1" s="101" t="e">
        <f>kosten!C124</f>
        <v>#DIV/0!</v>
      </c>
    </row>
    <row r="2" spans="1:12" s="42" customFormat="1">
      <c r="B2" s="42" t="s">
        <v>10</v>
      </c>
      <c r="C2" s="103">
        <f>kosten!$H$25</f>
        <v>749.36</v>
      </c>
      <c r="D2" s="103">
        <f>kosten!$H$25</f>
        <v>749.36</v>
      </c>
      <c r="E2" s="103">
        <f>kosten!$H$25</f>
        <v>749.36</v>
      </c>
      <c r="F2" s="103">
        <f>kosten!$H$25</f>
        <v>749.36</v>
      </c>
      <c r="G2" s="103">
        <f>kosten!$H$25</f>
        <v>749.36</v>
      </c>
    </row>
    <row r="3" spans="1:12" s="42" customFormat="1">
      <c r="B3" s="42" t="s">
        <v>11</v>
      </c>
      <c r="C3" s="103">
        <f>kosten!$H$27</f>
        <v>0</v>
      </c>
      <c r="D3" s="103">
        <f>kosten!$H$27</f>
        <v>0</v>
      </c>
      <c r="E3" s="103">
        <f>kosten!$H$27</f>
        <v>0</v>
      </c>
      <c r="F3" s="103">
        <f>kosten!$H$27</f>
        <v>0</v>
      </c>
      <c r="G3" s="103">
        <f>kosten!$H$27</f>
        <v>0</v>
      </c>
    </row>
    <row r="4" spans="1:12">
      <c r="C4" s="2"/>
      <c r="D4" s="2"/>
      <c r="E4" s="2"/>
      <c r="F4" s="2"/>
      <c r="G4" s="2"/>
    </row>
    <row r="5" spans="1:12" s="56" customFormat="1" outlineLevel="1">
      <c r="B5" s="56" t="s">
        <v>107</v>
      </c>
    </row>
    <row r="6" spans="1:12" s="13" customFormat="1" outlineLevel="1">
      <c r="B6" s="13" t="s">
        <v>30</v>
      </c>
      <c r="C6" s="96"/>
      <c r="D6" s="96"/>
      <c r="E6" s="96"/>
      <c r="F6" s="96"/>
      <c r="G6" s="96"/>
    </row>
    <row r="7" spans="1:12" s="13" customFormat="1" outlineLevel="1">
      <c r="B7" s="7" t="s">
        <v>31</v>
      </c>
      <c r="C7" s="8">
        <f>ABS(C$2-C$6)</f>
        <v>749.36</v>
      </c>
      <c r="D7" s="8">
        <f>ABS(D$2-D$6)</f>
        <v>749.36</v>
      </c>
      <c r="E7" s="8">
        <f>ABS(E$2-E$6)</f>
        <v>749.36</v>
      </c>
      <c r="F7" s="8">
        <f>ABS(F$2-F$6)</f>
        <v>749.36</v>
      </c>
      <c r="G7" s="8">
        <f>ABS(G$2-G$6)</f>
        <v>749.36</v>
      </c>
    </row>
    <row r="8" spans="1:12" s="13" customFormat="1" outlineLevel="1">
      <c r="B8" s="7"/>
      <c r="C8" s="8"/>
      <c r="D8" s="8"/>
      <c r="E8" s="8"/>
      <c r="F8" s="8"/>
      <c r="G8" s="8"/>
      <c r="I8" s="13" t="s">
        <v>5</v>
      </c>
      <c r="J8" s="13" t="s">
        <v>108</v>
      </c>
      <c r="K8" s="13" t="s">
        <v>0</v>
      </c>
    </row>
    <row r="9" spans="1:12" s="13" customFormat="1" outlineLevel="1">
      <c r="B9" s="13" t="s">
        <v>5</v>
      </c>
      <c r="C9" s="13">
        <v>30</v>
      </c>
      <c r="D9" s="13">
        <v>25</v>
      </c>
      <c r="E9" s="13">
        <v>20</v>
      </c>
      <c r="F9" s="13">
        <v>15</v>
      </c>
      <c r="G9" s="13">
        <v>10</v>
      </c>
      <c r="I9">
        <v>10</v>
      </c>
      <c r="J9">
        <f>ROWS($F$9:$F$24)</f>
        <v>16</v>
      </c>
      <c r="K9">
        <f>ROWS($F$9:$F$25)</f>
        <v>17</v>
      </c>
    </row>
    <row r="10" spans="1:12" outlineLevel="2">
      <c r="B10" t="s">
        <v>4</v>
      </c>
      <c r="C10" s="46">
        <f>HLOOKUP(kosten!$C$138,kosten!$C$143:$J$148,(interesten!C9/5),FALSE)</f>
        <v>0</v>
      </c>
      <c r="D10" s="46">
        <f>HLOOKUP(kosten!$C$138,kosten!$C$143:$J$148,(interesten!D9/5),FALSE)</f>
        <v>0</v>
      </c>
      <c r="E10" s="46">
        <f>HLOOKUP(kosten!$C$138,kosten!$C$143:$J$148,(interesten!E9/5),FALSE)</f>
        <v>0</v>
      </c>
      <c r="F10" s="46">
        <f>HLOOKUP(kosten!$C$138,kosten!$C$143:$J$148,(interesten!F9/5),FALSE)</f>
        <v>0</v>
      </c>
      <c r="G10" s="46">
        <f>HLOOKUP(kosten!$C$138,kosten!$C$143:$J$148,(interesten!G9/5),FALSE)</f>
        <v>0</v>
      </c>
      <c r="I10">
        <v>15</v>
      </c>
      <c r="J10">
        <f>ROWS($F$9:$F$33)</f>
        <v>25</v>
      </c>
      <c r="K10">
        <f>ROWS($F$9:$F$34)</f>
        <v>26</v>
      </c>
    </row>
    <row r="11" spans="1:12" s="33" customFormat="1" outlineLevel="2">
      <c r="B11" s="33" t="s">
        <v>8</v>
      </c>
      <c r="C11" s="33" t="e">
        <f>(C12*C9*12)-C$6</f>
        <v>#DIV/0!</v>
      </c>
      <c r="D11" s="33" t="e">
        <f t="shared" ref="D11:G11" si="0">(D12*D9*12)-D$6</f>
        <v>#DIV/0!</v>
      </c>
      <c r="E11" s="33" t="e">
        <f t="shared" si="0"/>
        <v>#DIV/0!</v>
      </c>
      <c r="F11" s="33" t="e">
        <f t="shared" si="0"/>
        <v>#DIV/0!</v>
      </c>
      <c r="G11" s="33" t="e">
        <f t="shared" si="0"/>
        <v>#DIV/0!</v>
      </c>
      <c r="I11">
        <v>20</v>
      </c>
      <c r="J11">
        <f>ROWS($F$9:$F$42)</f>
        <v>34</v>
      </c>
      <c r="K11">
        <f>ROWS($F$9:$F$43)</f>
        <v>35</v>
      </c>
    </row>
    <row r="12" spans="1:12" s="22" customFormat="1" outlineLevel="2">
      <c r="B12" s="22" t="s">
        <v>2</v>
      </c>
      <c r="C12" s="32" t="e">
        <f>ROUND(((C$6*((((POWER(1+C10,(1/12)))-1)*100)/100)/(1-(POWER(1+(((((POWER(1+C10,(1/12)))-1)*100)/100)),0-(C9*12)))))),2)</f>
        <v>#DIV/0!</v>
      </c>
      <c r="D12" s="32" t="e">
        <f t="shared" ref="D12:G12" si="1">ROUND(((D$6*((((POWER(1+D10,(1/12)))-1)*100)/100)/(1-(POWER(1+(((((POWER(1+D10,(1/12)))-1)*100)/100)),0-(D9*12)))))),2)</f>
        <v>#DIV/0!</v>
      </c>
      <c r="E12" s="32" t="e">
        <f t="shared" si="1"/>
        <v>#DIV/0!</v>
      </c>
      <c r="F12" s="32" t="e">
        <f t="shared" si="1"/>
        <v>#DIV/0!</v>
      </c>
      <c r="G12" s="32" t="e">
        <f t="shared" si="1"/>
        <v>#DIV/0!</v>
      </c>
      <c r="I12" s="4">
        <v>30</v>
      </c>
      <c r="J12" s="4"/>
      <c r="K12" s="4"/>
      <c r="L12" s="59"/>
    </row>
    <row r="13" spans="1:12" outlineLevel="3">
      <c r="B13" s="6" t="s">
        <v>90</v>
      </c>
      <c r="C13" s="35" t="e">
        <f>C12*12</f>
        <v>#DIV/0!</v>
      </c>
      <c r="D13" s="35" t="e">
        <f t="shared" ref="D13:G13" si="2">D12*12</f>
        <v>#DIV/0!</v>
      </c>
      <c r="E13" s="35" t="e">
        <f t="shared" si="2"/>
        <v>#DIV/0!</v>
      </c>
      <c r="F13" s="35" t="e">
        <f t="shared" si="2"/>
        <v>#DIV/0!</v>
      </c>
      <c r="G13" s="35" t="e">
        <f t="shared" si="2"/>
        <v>#DIV/0!</v>
      </c>
      <c r="J13" t="s">
        <v>100</v>
      </c>
      <c r="K13" t="s">
        <v>101</v>
      </c>
    </row>
    <row r="14" spans="1:12" s="23" customFormat="1" outlineLevel="2">
      <c r="B14" s="23" t="s">
        <v>1</v>
      </c>
      <c r="C14" s="24" t="e">
        <f>IF(C9&gt;=10,((10*IF((C12*12)&gt;(kosten!$C$131*2),kosten!$C$131,((C12*12)/2))+((C9-10)*IF((C12*12)&gt;(kosten!$C$132*2),kosten!$C$132,((C12*12)/2))))),C9*IF((C12*12)&gt;(kosten!$C$131*2),kosten!$C$131,((C12*12)/2)))</f>
        <v>#DIV/0!</v>
      </c>
      <c r="D14" s="24" t="e">
        <f>IF(D9&gt;=10,((10*IF((D12*12)&gt;(kosten!$C$131*2),kosten!$C$131,((D12*12)/2))+((D9-10)*IF((D12*12)&gt;(kosten!$C$132*2),kosten!$C$132,((D12*12)/2))))),D9*IF((D12*12)&gt;(kosten!$C$131*2),kosten!$C$131,((D12*12)/2)))</f>
        <v>#DIV/0!</v>
      </c>
      <c r="E14" s="24" t="e">
        <f>IF(E9&gt;=10,((10*IF((E12*12)&gt;(kosten!$C$131*2),kosten!$C$131,((E12*12)/2))+((E9-10)*IF((E12*12)&gt;(kosten!$C$132*2),kosten!$C$132,((E12*12)/2))))),E9*IF((E12*12)&gt;(kosten!$C$131*2),kosten!$C$131,((E12*12)/2)))</f>
        <v>#DIV/0!</v>
      </c>
      <c r="F14" s="24" t="e">
        <f>IF(F9&gt;=10,((10*IF((F12*12)&gt;(kosten!$C$131*2),kosten!$C$131,((F12*12)/2))+((F9-10)*IF((F12*12)&gt;(kosten!$C$132*2),kosten!$C$132,((F12*12)/2))))),F9*IF((F12*12)&gt;(kosten!$C$131*2),kosten!$C$131,((F12*12)/2)))</f>
        <v>#DIV/0!</v>
      </c>
      <c r="G14" s="24" t="e">
        <f>IF(G9&gt;=10,((10*IF((G12*12)&gt;(kosten!$C$131*2),kosten!$C$131,((G12*12)/2))+((G9-10)*IF((G12*12)&gt;(kosten!$C$132*2),kosten!$C$132,((G12*12)/2))))),G9*IF((G12*12)&gt;(kosten!$C$131*2),kosten!$C$131,((G12*12)/2)))</f>
        <v>#DIV/0!</v>
      </c>
      <c r="J14" s="95">
        <f>kosten!$C$131*2</f>
        <v>5540</v>
      </c>
      <c r="K14" s="95">
        <f>kosten!$C$132*2</f>
        <v>4160</v>
      </c>
      <c r="L14" s="58" t="s">
        <v>117</v>
      </c>
    </row>
    <row r="15" spans="1:12" outlineLevel="1">
      <c r="C15" s="3"/>
      <c r="D15" s="3"/>
      <c r="E15" s="3"/>
      <c r="F15" s="3"/>
      <c r="G15" s="3"/>
      <c r="J15" s="3">
        <f>J14/12</f>
        <v>461.66666666666669</v>
      </c>
      <c r="K15" s="3">
        <f>K14/12</f>
        <v>346.66666666666669</v>
      </c>
      <c r="L15" s="21" t="s">
        <v>116</v>
      </c>
    </row>
    <row r="16" spans="1:12" outlineLevel="1">
      <c r="B16" s="13" t="s">
        <v>98</v>
      </c>
      <c r="C16" s="3"/>
      <c r="D16" s="3"/>
      <c r="E16" s="3"/>
      <c r="F16" s="3"/>
      <c r="G16" s="3"/>
    </row>
    <row r="17" spans="2:9" outlineLevel="1">
      <c r="B17" s="13"/>
      <c r="C17" s="3"/>
      <c r="D17" s="3"/>
      <c r="E17" s="3"/>
      <c r="F17" s="3"/>
      <c r="G17" s="3"/>
    </row>
    <row r="18" spans="2:9" s="13" customFormat="1" outlineLevel="2">
      <c r="B18" s="13" t="s">
        <v>5</v>
      </c>
      <c r="C18" s="13">
        <v>10</v>
      </c>
      <c r="D18" s="13">
        <v>10</v>
      </c>
      <c r="E18" s="13">
        <v>10</v>
      </c>
      <c r="F18" s="13">
        <v>10</v>
      </c>
      <c r="G18" s="13">
        <v>10</v>
      </c>
      <c r="I18"/>
    </row>
    <row r="19" spans="2:9" outlineLevel="2">
      <c r="B19" t="s">
        <v>4</v>
      </c>
      <c r="C19" s="46">
        <f>HLOOKUP(kosten!$C$138,kosten!$C$143:$J$148,(interesten!C18/5),FALSE)</f>
        <v>0</v>
      </c>
      <c r="D19" s="46">
        <f>HLOOKUP(kosten!$C$138,kosten!$C$143:$J$148,(interesten!D18/5),FALSE)</f>
        <v>0</v>
      </c>
      <c r="E19" s="46">
        <f>HLOOKUP(kosten!$C$138,kosten!$C$143:$J$148,(interesten!E18/5),FALSE)</f>
        <v>0</v>
      </c>
      <c r="F19" s="46">
        <f>HLOOKUP(kosten!$C$138,kosten!$C$143:$J$148,(interesten!F18/5),FALSE)</f>
        <v>0</v>
      </c>
      <c r="G19" s="46">
        <f>HLOOKUP(kosten!$C$138,kosten!$C$143:$J$148,(interesten!G18/5),FALSE)</f>
        <v>0</v>
      </c>
    </row>
    <row r="20" spans="2:9" s="33" customFormat="1" outlineLevel="2">
      <c r="B20" s="33" t="s">
        <v>8</v>
      </c>
      <c r="C20" s="33" t="e">
        <f>(C21*C18*12)-C$7</f>
        <v>#DIV/0!</v>
      </c>
      <c r="D20" s="33" t="e">
        <f t="shared" ref="D20:G20" si="3">(D21*D18*12)-D$7</f>
        <v>#DIV/0!</v>
      </c>
      <c r="E20" s="33" t="e">
        <f t="shared" si="3"/>
        <v>#DIV/0!</v>
      </c>
      <c r="F20" s="33" t="e">
        <f t="shared" si="3"/>
        <v>#DIV/0!</v>
      </c>
      <c r="G20" s="33" t="e">
        <f t="shared" si="3"/>
        <v>#DIV/0!</v>
      </c>
    </row>
    <row r="21" spans="2:9" s="22" customFormat="1" outlineLevel="2">
      <c r="B21" s="22" t="s">
        <v>2</v>
      </c>
      <c r="C21" s="32" t="e">
        <f>ROUND(((C$7*((((POWER(1+C19,(1/12)))-1)*100)/100)/(1-(POWER(1+(((((POWER(1+C19,(1/12)))-1)*100)/100)),0-(C18*12)))))),2)</f>
        <v>#DIV/0!</v>
      </c>
      <c r="D21" s="32" t="e">
        <f t="shared" ref="D21:G21" si="4">ROUND(((D$7*((((POWER(1+D19,(1/12)))-1)*100)/100)/(1-(POWER(1+(((((POWER(1+D19,(1/12)))-1)*100)/100)),0-(D18*12)))))),2)</f>
        <v>#DIV/0!</v>
      </c>
      <c r="E21" s="32" t="e">
        <f t="shared" si="4"/>
        <v>#DIV/0!</v>
      </c>
      <c r="F21" s="32" t="e">
        <f t="shared" si="4"/>
        <v>#DIV/0!</v>
      </c>
      <c r="G21" s="32" t="e">
        <f t="shared" si="4"/>
        <v>#DIV/0!</v>
      </c>
    </row>
    <row r="22" spans="2:9" s="27" customFormat="1" outlineLevel="2">
      <c r="B22" s="25" t="s">
        <v>3</v>
      </c>
      <c r="C22" s="26" t="e">
        <f>C20+C$11</f>
        <v>#DIV/0!</v>
      </c>
      <c r="D22" s="26" t="e">
        <f t="shared" ref="D22:G22" si="5">D20+D$11</f>
        <v>#DIV/0!</v>
      </c>
      <c r="E22" s="26" t="e">
        <f t="shared" si="5"/>
        <v>#DIV/0!</v>
      </c>
      <c r="F22" s="26" t="e">
        <f t="shared" si="5"/>
        <v>#DIV/0!</v>
      </c>
      <c r="G22" s="26" t="e">
        <f t="shared" si="5"/>
        <v>#DIV/0!</v>
      </c>
    </row>
    <row r="23" spans="2:9" s="27" customFormat="1" outlineLevel="3">
      <c r="B23" s="25" t="s">
        <v>99</v>
      </c>
      <c r="C23" s="26" t="e">
        <f>C24*12</f>
        <v>#DIV/0!</v>
      </c>
      <c r="D23" s="26" t="e">
        <f t="shared" ref="D23:G23" si="6">D24*12</f>
        <v>#DIV/0!</v>
      </c>
      <c r="E23" s="26" t="e">
        <f t="shared" si="6"/>
        <v>#DIV/0!</v>
      </c>
      <c r="F23" s="26" t="e">
        <f t="shared" si="6"/>
        <v>#DIV/0!</v>
      </c>
      <c r="G23" s="26" t="e">
        <f t="shared" si="6"/>
        <v>#DIV/0!</v>
      </c>
    </row>
    <row r="24" spans="2:9" s="27" customFormat="1" outlineLevel="1">
      <c r="B24" s="25" t="s">
        <v>9</v>
      </c>
      <c r="C24" s="29" t="e">
        <f>C21+C$12</f>
        <v>#DIV/0!</v>
      </c>
      <c r="D24" s="29" t="e">
        <f t="shared" ref="D24:G24" si="7">D21+D$12</f>
        <v>#DIV/0!</v>
      </c>
      <c r="E24" s="29" t="e">
        <f t="shared" si="7"/>
        <v>#DIV/0!</v>
      </c>
      <c r="F24" s="29" t="e">
        <f t="shared" si="7"/>
        <v>#DIV/0!</v>
      </c>
      <c r="G24" s="29" t="e">
        <f t="shared" si="7"/>
        <v>#DIV/0!</v>
      </c>
    </row>
    <row r="25" spans="2:9" s="30" customFormat="1" outlineLevel="1">
      <c r="B25" s="30" t="s">
        <v>41</v>
      </c>
      <c r="C25" s="31" t="e">
        <f>C6+C7+C22-C14</f>
        <v>#DIV/0!</v>
      </c>
      <c r="D25" s="31" t="e">
        <f t="shared" ref="D25:G25" si="8">D6+D7+D22-D14</f>
        <v>#DIV/0!</v>
      </c>
      <c r="E25" s="31" t="e">
        <f t="shared" si="8"/>
        <v>#DIV/0!</v>
      </c>
      <c r="F25" s="31" t="e">
        <f t="shared" si="8"/>
        <v>#DIV/0!</v>
      </c>
      <c r="G25" s="31" t="e">
        <f t="shared" si="8"/>
        <v>#DIV/0!</v>
      </c>
    </row>
    <row r="26" spans="2:9" outlineLevel="1"/>
    <row r="27" spans="2:9" s="13" customFormat="1" outlineLevel="2">
      <c r="B27" s="13" t="s">
        <v>5</v>
      </c>
      <c r="C27" s="13">
        <v>15</v>
      </c>
      <c r="D27" s="13">
        <v>15</v>
      </c>
      <c r="E27" s="13">
        <v>15</v>
      </c>
      <c r="F27" s="13">
        <v>15</v>
      </c>
      <c r="G27" s="13">
        <v>15</v>
      </c>
    </row>
    <row r="28" spans="2:9" outlineLevel="2">
      <c r="B28" t="s">
        <v>4</v>
      </c>
      <c r="C28" s="46">
        <f>HLOOKUP(kosten!$C$138,kosten!$C$143:$J$148,(interesten!C27/5),FALSE)</f>
        <v>0</v>
      </c>
      <c r="D28" s="46">
        <f>HLOOKUP(kosten!$C$138,kosten!$C$143:$J$148,(interesten!D27/5),FALSE)</f>
        <v>0</v>
      </c>
      <c r="E28" s="46">
        <f>HLOOKUP(kosten!$C$138,kosten!$C$143:$J$148,(interesten!E27/5),FALSE)</f>
        <v>0</v>
      </c>
      <c r="F28" s="46">
        <f>HLOOKUP(kosten!$C$138,kosten!$C$143:$J$148,(interesten!F27/5),FALSE)</f>
        <v>0</v>
      </c>
      <c r="G28" s="46">
        <f>HLOOKUP(kosten!$C$138,kosten!$C$143:$J$148,(interesten!G27/5),FALSE)</f>
        <v>0</v>
      </c>
    </row>
    <row r="29" spans="2:9" s="33" customFormat="1" outlineLevel="2">
      <c r="B29" s="33" t="s">
        <v>8</v>
      </c>
      <c r="C29" s="33" t="e">
        <f>(C30*C27*12)-C$7</f>
        <v>#DIV/0!</v>
      </c>
      <c r="D29" s="33" t="e">
        <f t="shared" ref="D29" si="9">(D30*D27*12)-D$7</f>
        <v>#DIV/0!</v>
      </c>
      <c r="E29" s="33" t="e">
        <f t="shared" ref="E29" si="10">(E30*E27*12)-E$7</f>
        <v>#DIV/0!</v>
      </c>
      <c r="F29" s="33" t="e">
        <f t="shared" ref="F29" si="11">(F30*F27*12)-F$7</f>
        <v>#DIV/0!</v>
      </c>
      <c r="G29" s="33" t="e">
        <f t="shared" ref="G29" si="12">(G30*G27*12)-G$7</f>
        <v>#DIV/0!</v>
      </c>
    </row>
    <row r="30" spans="2:9" s="22" customFormat="1" outlineLevel="2">
      <c r="B30" s="22" t="s">
        <v>2</v>
      </c>
      <c r="C30" s="32" t="e">
        <f>ROUND(((C$7*((((POWER(1+C28,(1/12)))-1)*100)/100)/(1-(POWER(1+(((((POWER(1+C28,(1/12)))-1)*100)/100)),0-(C27*12)))))),2)</f>
        <v>#DIV/0!</v>
      </c>
      <c r="D30" s="32" t="e">
        <f t="shared" ref="D30:G30" si="13">ROUND(((D$7*((((POWER(1+D28,(1/12)))-1)*100)/100)/(1-(POWER(1+(((((POWER(1+D28,(1/12)))-1)*100)/100)),0-(D27*12)))))),2)</f>
        <v>#DIV/0!</v>
      </c>
      <c r="E30" s="32" t="e">
        <f t="shared" si="13"/>
        <v>#DIV/0!</v>
      </c>
      <c r="F30" s="32" t="e">
        <f t="shared" si="13"/>
        <v>#DIV/0!</v>
      </c>
      <c r="G30" s="32" t="e">
        <f t="shared" si="13"/>
        <v>#DIV/0!</v>
      </c>
    </row>
    <row r="31" spans="2:9" s="27" customFormat="1" outlineLevel="2">
      <c r="B31" s="25" t="s">
        <v>3</v>
      </c>
      <c r="C31" s="29" t="e">
        <f>C29+C$11</f>
        <v>#DIV/0!</v>
      </c>
      <c r="D31" s="29" t="e">
        <f t="shared" ref="D31:G31" si="14">D29+D$11</f>
        <v>#DIV/0!</v>
      </c>
      <c r="E31" s="29" t="e">
        <f t="shared" si="14"/>
        <v>#DIV/0!</v>
      </c>
      <c r="F31" s="29" t="e">
        <f t="shared" si="14"/>
        <v>#DIV/0!</v>
      </c>
      <c r="G31" s="29" t="e">
        <f t="shared" si="14"/>
        <v>#DIV/0!</v>
      </c>
    </row>
    <row r="32" spans="2:9" s="27" customFormat="1" outlineLevel="3">
      <c r="B32" s="25" t="s">
        <v>99</v>
      </c>
      <c r="C32" s="26" t="e">
        <f>C33*12</f>
        <v>#DIV/0!</v>
      </c>
      <c r="D32" s="26" t="e">
        <f t="shared" ref="D32:G32" si="15">D33*12</f>
        <v>#DIV/0!</v>
      </c>
      <c r="E32" s="26" t="e">
        <f t="shared" si="15"/>
        <v>#DIV/0!</v>
      </c>
      <c r="F32" s="26" t="e">
        <f t="shared" si="15"/>
        <v>#DIV/0!</v>
      </c>
      <c r="G32" s="26" t="e">
        <f t="shared" si="15"/>
        <v>#DIV/0!</v>
      </c>
    </row>
    <row r="33" spans="2:7" s="27" customFormat="1" outlineLevel="1">
      <c r="B33" s="25" t="s">
        <v>9</v>
      </c>
      <c r="C33" s="26" t="e">
        <f>C30+C$12</f>
        <v>#DIV/0!</v>
      </c>
      <c r="D33" s="26" t="e">
        <f t="shared" ref="D33:G33" si="16">D30+D$12</f>
        <v>#DIV/0!</v>
      </c>
      <c r="E33" s="26" t="e">
        <f t="shared" si="16"/>
        <v>#DIV/0!</v>
      </c>
      <c r="F33" s="26" t="e">
        <f t="shared" si="16"/>
        <v>#DIV/0!</v>
      </c>
      <c r="G33" s="26" t="e">
        <f t="shared" si="16"/>
        <v>#DIV/0!</v>
      </c>
    </row>
    <row r="34" spans="2:7" s="30" customFormat="1" outlineLevel="1">
      <c r="B34" s="30" t="s">
        <v>41</v>
      </c>
      <c r="C34" s="31" t="e">
        <f>C31+C7+C6-C14</f>
        <v>#DIV/0!</v>
      </c>
      <c r="D34" s="31" t="e">
        <f>D31+D7+D6-D14</f>
        <v>#DIV/0!</v>
      </c>
      <c r="E34" s="31" t="e">
        <f>E31+E7+E6-E14</f>
        <v>#DIV/0!</v>
      </c>
      <c r="F34" s="31" t="e">
        <f>F31+F7+F6-F14</f>
        <v>#DIV/0!</v>
      </c>
      <c r="G34" s="31" t="e">
        <f>G31+G7+G6-G14</f>
        <v>#DIV/0!</v>
      </c>
    </row>
    <row r="35" spans="2:7" outlineLevel="1"/>
    <row r="36" spans="2:7" s="13" customFormat="1" outlineLevel="2">
      <c r="B36" s="13" t="s">
        <v>5</v>
      </c>
      <c r="C36" s="13">
        <v>20</v>
      </c>
      <c r="D36" s="13">
        <v>20</v>
      </c>
      <c r="E36" s="13">
        <v>20</v>
      </c>
      <c r="F36" s="13">
        <v>20</v>
      </c>
      <c r="G36" s="13">
        <v>20</v>
      </c>
    </row>
    <row r="37" spans="2:7" outlineLevel="2">
      <c r="B37" t="s">
        <v>4</v>
      </c>
      <c r="C37" s="46">
        <f>HLOOKUP(kosten!$C$138,kosten!$C$143:$J$148,(interesten!C36/5),FALSE)</f>
        <v>0</v>
      </c>
      <c r="D37" s="46">
        <f>HLOOKUP(kosten!$C$138,kosten!$C$143:$J$148,(interesten!D36/5),FALSE)</f>
        <v>0</v>
      </c>
      <c r="E37" s="46">
        <f>HLOOKUP(kosten!$C$138,kosten!$C$143:$J$148,(interesten!E36/5),FALSE)</f>
        <v>0</v>
      </c>
      <c r="F37" s="46">
        <f>HLOOKUP(kosten!$C$138,kosten!$C$143:$J$148,(interesten!F36/5),FALSE)</f>
        <v>0</v>
      </c>
      <c r="G37" s="46">
        <f>HLOOKUP(kosten!$C$138,kosten!$C$143:$J$148,(interesten!G36/5),FALSE)</f>
        <v>0</v>
      </c>
    </row>
    <row r="38" spans="2:7" s="33" customFormat="1" outlineLevel="2">
      <c r="B38" s="33" t="s">
        <v>8</v>
      </c>
      <c r="C38" s="33" t="e">
        <f>(C39*C36*12)-C$7</f>
        <v>#DIV/0!</v>
      </c>
      <c r="D38" s="33" t="e">
        <f t="shared" ref="D38" si="17">(D39*D36*12)-D$7</f>
        <v>#DIV/0!</v>
      </c>
      <c r="E38" s="33" t="e">
        <f t="shared" ref="E38" si="18">(E39*E36*12)-E$7</f>
        <v>#DIV/0!</v>
      </c>
      <c r="F38" s="33" t="e">
        <f t="shared" ref="F38" si="19">(F39*F36*12)-F$7</f>
        <v>#DIV/0!</v>
      </c>
      <c r="G38" s="33" t="e">
        <f t="shared" ref="G38" si="20">(G39*G36*12)-G$7</f>
        <v>#DIV/0!</v>
      </c>
    </row>
    <row r="39" spans="2:7" s="22" customFormat="1" outlineLevel="2">
      <c r="B39" s="22" t="s">
        <v>2</v>
      </c>
      <c r="C39" s="32" t="e">
        <f>ROUND(((C$7*((((POWER(1+C37,(1/12)))-1)*100)/100)/(1-(POWER(1+(((((POWER(1+C37,(1/12)))-1)*100)/100)),0-(C36*12)))))),2)</f>
        <v>#DIV/0!</v>
      </c>
      <c r="D39" s="32" t="e">
        <f t="shared" ref="D39:G39" si="21">ROUND(((D$7*((((POWER(1+D37,(1/12)))-1)*100)/100)/(1-(POWER(1+(((((POWER(1+D37,(1/12)))-1)*100)/100)),0-(D36*12)))))),2)</f>
        <v>#DIV/0!</v>
      </c>
      <c r="E39" s="32" t="e">
        <f t="shared" si="21"/>
        <v>#DIV/0!</v>
      </c>
      <c r="F39" s="32" t="e">
        <f t="shared" si="21"/>
        <v>#DIV/0!</v>
      </c>
      <c r="G39" s="32" t="e">
        <f t="shared" si="21"/>
        <v>#DIV/0!</v>
      </c>
    </row>
    <row r="40" spans="2:7" s="27" customFormat="1" outlineLevel="2">
      <c r="B40" s="25" t="s">
        <v>3</v>
      </c>
      <c r="C40" s="26" t="e">
        <f>C38+C$11</f>
        <v>#DIV/0!</v>
      </c>
      <c r="D40" s="26" t="e">
        <f t="shared" ref="D40:G40" si="22">D38+D$11</f>
        <v>#DIV/0!</v>
      </c>
      <c r="E40" s="26" t="e">
        <f t="shared" si="22"/>
        <v>#DIV/0!</v>
      </c>
      <c r="F40" s="26" t="e">
        <f t="shared" si="22"/>
        <v>#DIV/0!</v>
      </c>
      <c r="G40" s="26" t="e">
        <f t="shared" si="22"/>
        <v>#DIV/0!</v>
      </c>
    </row>
    <row r="41" spans="2:7" s="27" customFormat="1" outlineLevel="3">
      <c r="B41" s="25" t="s">
        <v>99</v>
      </c>
      <c r="C41" s="26" t="e">
        <f>C42*12</f>
        <v>#DIV/0!</v>
      </c>
      <c r="D41" s="26" t="e">
        <f t="shared" ref="D41:G41" si="23">D42*12</f>
        <v>#DIV/0!</v>
      </c>
      <c r="E41" s="26" t="e">
        <f t="shared" si="23"/>
        <v>#DIV/0!</v>
      </c>
      <c r="F41" s="26" t="e">
        <f t="shared" si="23"/>
        <v>#DIV/0!</v>
      </c>
      <c r="G41" s="26" t="e">
        <f t="shared" si="23"/>
        <v>#DIV/0!</v>
      </c>
    </row>
    <row r="42" spans="2:7" s="27" customFormat="1" outlineLevel="1">
      <c r="B42" s="25" t="s">
        <v>9</v>
      </c>
      <c r="C42" s="29" t="e">
        <f>C39+C$12</f>
        <v>#DIV/0!</v>
      </c>
      <c r="D42" s="29" t="e">
        <f t="shared" ref="D42:G42" si="24">D39+D$12</f>
        <v>#DIV/0!</v>
      </c>
      <c r="E42" s="29" t="e">
        <f t="shared" si="24"/>
        <v>#DIV/0!</v>
      </c>
      <c r="F42" s="29" t="e">
        <f t="shared" si="24"/>
        <v>#DIV/0!</v>
      </c>
      <c r="G42" s="29" t="e">
        <f t="shared" si="24"/>
        <v>#DIV/0!</v>
      </c>
    </row>
    <row r="43" spans="2:7" s="30" customFormat="1" outlineLevel="1">
      <c r="B43" s="30" t="s">
        <v>41</v>
      </c>
      <c r="C43" s="31" t="e">
        <f>C40+C7+C6-C14</f>
        <v>#DIV/0!</v>
      </c>
      <c r="D43" s="31" t="e">
        <f>D40+D7+D6-D14</f>
        <v>#DIV/0!</v>
      </c>
      <c r="E43" s="31" t="e">
        <f>E40+E7+E6-E14</f>
        <v>#DIV/0!</v>
      </c>
      <c r="F43" s="31" t="e">
        <f>F40+F7+F6-F14</f>
        <v>#DIV/0!</v>
      </c>
      <c r="G43" s="31" t="e">
        <f>G40+G7+G6-G14</f>
        <v>#DIV/0!</v>
      </c>
    </row>
    <row r="44" spans="2:7" outlineLevel="1"/>
    <row r="45" spans="2:7" ht="29.25" customHeight="1"/>
    <row r="46" spans="2:7" s="56" customFormat="1" outlineLevel="1">
      <c r="B46" s="56" t="s">
        <v>92</v>
      </c>
    </row>
    <row r="47" spans="2:7" s="13" customFormat="1" outlineLevel="1">
      <c r="B47" s="13" t="s">
        <v>30</v>
      </c>
      <c r="C47" s="10">
        <f>$C$2</f>
        <v>749.36</v>
      </c>
      <c r="D47" s="10">
        <f t="shared" ref="D47:G47" si="25">$C$2</f>
        <v>749.36</v>
      </c>
      <c r="E47" s="10">
        <f t="shared" si="25"/>
        <v>749.36</v>
      </c>
      <c r="F47" s="10">
        <f t="shared" si="25"/>
        <v>749.36</v>
      </c>
      <c r="G47" s="10">
        <f t="shared" si="25"/>
        <v>749.36</v>
      </c>
    </row>
    <row r="48" spans="2:7" s="13" customFormat="1" outlineLevel="1">
      <c r="B48" s="13" t="s">
        <v>5</v>
      </c>
      <c r="C48" s="13">
        <v>30</v>
      </c>
      <c r="D48" s="13">
        <v>25</v>
      </c>
      <c r="E48" s="13">
        <v>20</v>
      </c>
      <c r="F48" s="13">
        <v>15</v>
      </c>
      <c r="G48" s="13">
        <v>10</v>
      </c>
    </row>
    <row r="49" spans="2:12" s="1" customFormat="1" outlineLevel="1">
      <c r="B49" s="1" t="s">
        <v>4</v>
      </c>
      <c r="C49" s="46">
        <f>HLOOKUP(kosten!$C$138,kosten!$C$143:$J$148,(interesten!C48/5),FALSE)</f>
        <v>0</v>
      </c>
      <c r="D49" s="46">
        <f>HLOOKUP(kosten!$C$138,kosten!$C$143:$J$148,(interesten!D48/5),FALSE)</f>
        <v>0</v>
      </c>
      <c r="E49" s="46">
        <f>HLOOKUP(kosten!$C$138,kosten!$C$143:$J$148,(interesten!E48/5),FALSE)</f>
        <v>0</v>
      </c>
      <c r="F49" s="46">
        <f>HLOOKUP(kosten!$C$138,kosten!$C$143:$J$148,(interesten!F48/5),FALSE)</f>
        <v>0</v>
      </c>
      <c r="G49" s="46">
        <f>HLOOKUP(kosten!$C$138,kosten!$C$143:$J$148,(interesten!G48/5),FALSE)</f>
        <v>0</v>
      </c>
    </row>
    <row r="50" spans="2:12" s="33" customFormat="1" outlineLevel="1">
      <c r="B50" s="33" t="s">
        <v>8</v>
      </c>
      <c r="C50" s="33" t="e">
        <f>(C51*C48*12)-C47</f>
        <v>#DIV/0!</v>
      </c>
      <c r="D50" s="33" t="e">
        <f>(D51*D48*12)-D47</f>
        <v>#DIV/0!</v>
      </c>
      <c r="E50" s="33" t="e">
        <f t="shared" ref="E50:G50" si="26">(E51*E48*12)-E47</f>
        <v>#DIV/0!</v>
      </c>
      <c r="F50" s="33" t="e">
        <f t="shared" si="26"/>
        <v>#DIV/0!</v>
      </c>
      <c r="G50" s="33" t="e">
        <f t="shared" si="26"/>
        <v>#DIV/0!</v>
      </c>
      <c r="J50" s="66"/>
    </row>
    <row r="51" spans="2:12" s="32" customFormat="1" outlineLevel="1">
      <c r="B51" s="32" t="s">
        <v>2</v>
      </c>
      <c r="C51" s="32" t="e">
        <f>ROUND(((C47*((((POWER(1+C49,(1/12)))-1)*100)/100)/(1-(POWER(1+(((((POWER(1+C49,(1/12)))-1)*100)/100)),0-(C48*12)))))),2)</f>
        <v>#DIV/0!</v>
      </c>
      <c r="D51" s="32" t="e">
        <f>ROUND(((D47*((((POWER(1+D49,(1/12)))-1)*100)/100)/(1-(POWER(1+(((((POWER(1+D49,(1/12)))-1)*100)/100)),0-(D48*12)))))),2)</f>
        <v>#DIV/0!</v>
      </c>
      <c r="E51" s="32" t="e">
        <f t="shared" ref="E51:G51" si="27">ROUND(((E47*((((POWER(1+E49,(1/12)))-1)*100)/100)/(1-(POWER(1+(((((POWER(1+E49,(1/12)))-1)*100)/100)),0-(E48*12)))))),2)</f>
        <v>#DIV/0!</v>
      </c>
      <c r="F51" s="32" t="e">
        <f t="shared" si="27"/>
        <v>#DIV/0!</v>
      </c>
      <c r="G51" s="32" t="e">
        <f t="shared" si="27"/>
        <v>#DIV/0!</v>
      </c>
    </row>
    <row r="52" spans="2:12" outlineLevel="2">
      <c r="B52" s="6" t="s">
        <v>90</v>
      </c>
      <c r="C52" s="35" t="e">
        <f>C51*12</f>
        <v>#DIV/0!</v>
      </c>
      <c r="D52" s="35" t="e">
        <f t="shared" ref="D52:G52" si="28">D51*12</f>
        <v>#DIV/0!</v>
      </c>
      <c r="E52" s="35" t="e">
        <f t="shared" si="28"/>
        <v>#DIV/0!</v>
      </c>
      <c r="F52" s="35" t="e">
        <f t="shared" si="28"/>
        <v>#DIV/0!</v>
      </c>
      <c r="G52" s="35" t="e">
        <f t="shared" si="28"/>
        <v>#DIV/0!</v>
      </c>
    </row>
    <row r="53" spans="2:12" s="24" customFormat="1" outlineLevel="1">
      <c r="B53" s="24" t="s">
        <v>1</v>
      </c>
      <c r="C53" s="24" t="e">
        <f>IF(C48&gt;=10,((10*IF((C51*12)&gt;(kosten!$C$131*2),kosten!$C$131,((C51*12)/2))+((C48-10)*IF((C51*12)&gt;(kosten!$C$132*2),kosten!$C$132,((C51*12)/2))))),C48*IF((C51*12)&gt;(kosten!$C$131*2),kosten!$C$131,((C51*12)/2)))</f>
        <v>#DIV/0!</v>
      </c>
      <c r="D53" s="24" t="e">
        <f>IF(D48&gt;=10,((10*IF((D51*12)&gt;(kosten!$C$131*2),kosten!$C$131,((D51*12)/2))+((D48-10)*IF((D51*12)&gt;(kosten!$C$132*2),kosten!$C$132,((D51*12)/2))))),D48*IF((D51*12)&gt;(kosten!$C$131*2),kosten!$C$131,((D51*12)/2)))</f>
        <v>#DIV/0!</v>
      </c>
      <c r="E53" s="24" t="e">
        <f>IF(E48&gt;=10,((10*IF((E51*12)&gt;(kosten!$C$131*2),kosten!$C$131,((E51*12)/2))+((E48-10)*IF((E51*12)&gt;(kosten!$C$132*2),kosten!$C$132,((E51*12)/2))))),E48*IF((E51*12)&gt;(kosten!$C$131*2),kosten!$C$131,((E51*12)/2)))</f>
        <v>#DIV/0!</v>
      </c>
      <c r="F53" s="24" t="e">
        <f>IF(F48&gt;=10,((10*IF((F51*12)&gt;(kosten!$C$131*2),kosten!$C$131,((F51*12)/2))+((F48-10)*IF((F51*12)&gt;(kosten!$C$132*2),kosten!$C$132,((F51*12)/2))))),F48*IF((F51*12)&gt;(kosten!$C$131*2),kosten!$C$131,((F51*12)/2)))</f>
        <v>#DIV/0!</v>
      </c>
      <c r="G53" s="24" t="e">
        <f>IF(G48&gt;=10,((10*IF((G51*12)&gt;(kosten!$C$131*2),kosten!$C$131,((G51*12)/2))+((G48-10)*IF((G51*12)&gt;(kosten!$C$132*2),kosten!$C$132,((G51*12)/2))))),G48*IF((G51*12)&gt;(kosten!$C$131*2),kosten!$C$131,((G51*12)/2)))</f>
        <v>#DIV/0!</v>
      </c>
    </row>
    <row r="54" spans="2:12" s="26" customFormat="1">
      <c r="B54" s="30" t="s">
        <v>41</v>
      </c>
      <c r="C54" s="57" t="e">
        <f>C47+C50-C53</f>
        <v>#DIV/0!</v>
      </c>
      <c r="D54" s="57" t="e">
        <f t="shared" ref="D54:G54" si="29">D47+D50-D53</f>
        <v>#DIV/0!</v>
      </c>
      <c r="E54" s="57" t="e">
        <f t="shared" si="29"/>
        <v>#DIV/0!</v>
      </c>
      <c r="F54" s="57" t="e">
        <f t="shared" si="29"/>
        <v>#DIV/0!</v>
      </c>
      <c r="G54" s="57" t="e">
        <f t="shared" si="29"/>
        <v>#DIV/0!</v>
      </c>
    </row>
    <row r="57" spans="2:12" s="56" customFormat="1" outlineLevel="1">
      <c r="B57" s="56" t="s">
        <v>91</v>
      </c>
    </row>
    <row r="58" spans="2:12" outlineLevel="1">
      <c r="B58" s="13" t="s">
        <v>30</v>
      </c>
      <c r="C58" s="10">
        <f>$C$2</f>
        <v>749.36</v>
      </c>
      <c r="D58" s="10">
        <f t="shared" ref="D58:G58" si="30">$C$2</f>
        <v>749.36</v>
      </c>
      <c r="E58" s="10">
        <f t="shared" si="30"/>
        <v>749.36</v>
      </c>
      <c r="F58" s="10">
        <f t="shared" si="30"/>
        <v>749.36</v>
      </c>
      <c r="G58" s="10">
        <f t="shared" si="30"/>
        <v>749.36</v>
      </c>
      <c r="K58" s="49"/>
    </row>
    <row r="59" spans="2:12" outlineLevel="1">
      <c r="B59" s="13" t="s">
        <v>5</v>
      </c>
      <c r="C59" s="13">
        <v>30</v>
      </c>
      <c r="D59" s="13">
        <v>25</v>
      </c>
      <c r="E59" s="13">
        <v>20</v>
      </c>
      <c r="F59" s="13">
        <v>15</v>
      </c>
      <c r="G59" s="13">
        <v>10</v>
      </c>
      <c r="K59" s="46"/>
    </row>
    <row r="60" spans="2:12" outlineLevel="1">
      <c r="B60" s="1" t="s">
        <v>4</v>
      </c>
      <c r="C60" s="46">
        <f>HLOOKUP(kosten!$C$138,kosten!$C$143:$J$148,(interesten!C$59/5),FALSE)</f>
        <v>0</v>
      </c>
      <c r="D60" s="46">
        <f>HLOOKUP(kosten!$C$138,kosten!$C$143:$J$148,(interesten!D$59/5),FALSE)</f>
        <v>0</v>
      </c>
      <c r="E60" s="46">
        <f>HLOOKUP(kosten!$C$138,kosten!$C$143:$J$148,(interesten!E$59/5),FALSE)</f>
        <v>0</v>
      </c>
      <c r="F60" s="46">
        <f>HLOOKUP(kosten!$C$138,kosten!$C$143:$J$148,(interesten!F$59/5),FALSE)</f>
        <v>0</v>
      </c>
      <c r="G60" s="46">
        <f>HLOOKUP(kosten!$C$138,kosten!$C$143:$J$148,(interesten!G$59/5),FALSE)</f>
        <v>0</v>
      </c>
      <c r="I60" s="46"/>
      <c r="K60" s="61"/>
      <c r="L60" s="62"/>
    </row>
    <row r="61" spans="2:12" outlineLevel="1">
      <c r="B61" s="1" t="s">
        <v>127</v>
      </c>
      <c r="C61" s="62">
        <f t="shared" ref="C61:G61" si="31">C$60/12.2223</f>
        <v>0</v>
      </c>
      <c r="D61" s="62">
        <f t="shared" si="31"/>
        <v>0</v>
      </c>
      <c r="E61" s="62">
        <f t="shared" si="31"/>
        <v>0</v>
      </c>
      <c r="F61" s="62">
        <f t="shared" si="31"/>
        <v>0</v>
      </c>
      <c r="G61" s="62">
        <f t="shared" si="31"/>
        <v>0</v>
      </c>
      <c r="I61" s="46"/>
      <c r="K61" s="61"/>
      <c r="L61" s="62"/>
    </row>
    <row r="62" spans="2:12" outlineLevel="1">
      <c r="B62" s="1" t="s">
        <v>126</v>
      </c>
      <c r="C62" s="49">
        <f>C$58/(C$59*12)</f>
        <v>2.0815555555555556</v>
      </c>
      <c r="D62" s="49">
        <f t="shared" ref="D62:G62" si="32">D$58/(D$59*12)</f>
        <v>2.4978666666666669</v>
      </c>
      <c r="E62" s="49">
        <f t="shared" si="32"/>
        <v>3.1223333333333332</v>
      </c>
      <c r="F62" s="49">
        <f t="shared" si="32"/>
        <v>4.1631111111111112</v>
      </c>
      <c r="G62" s="49">
        <f t="shared" si="32"/>
        <v>6.2446666666666664</v>
      </c>
      <c r="I62" s="46"/>
      <c r="K62" s="61"/>
      <c r="L62" s="62"/>
    </row>
    <row r="63" spans="2:12" s="33" customFormat="1" outlineLevel="1">
      <c r="B63" s="33" t="s">
        <v>8</v>
      </c>
      <c r="C63" s="33">
        <f>C$438</f>
        <v>0</v>
      </c>
      <c r="D63" s="33">
        <f t="shared" ref="D63:G63" si="33">D$438</f>
        <v>0</v>
      </c>
      <c r="E63" s="33">
        <f t="shared" si="33"/>
        <v>0</v>
      </c>
      <c r="F63" s="33">
        <f t="shared" si="33"/>
        <v>0</v>
      </c>
      <c r="G63" s="33">
        <f t="shared" si="33"/>
        <v>0</v>
      </c>
    </row>
    <row r="64" spans="2:12" s="32" customFormat="1" outlineLevel="1">
      <c r="B64" s="32" t="s">
        <v>68</v>
      </c>
      <c r="C64" s="32">
        <f>((C$58*C$61)+C$62)</f>
        <v>2.0815555555555556</v>
      </c>
      <c r="D64" s="32">
        <f t="shared" ref="D64:G64" si="34">((D$58*D$61)+D$62)</f>
        <v>2.4978666666666669</v>
      </c>
      <c r="E64" s="32">
        <f t="shared" si="34"/>
        <v>3.1223333333333332</v>
      </c>
      <c r="F64" s="32">
        <f t="shared" si="34"/>
        <v>4.1631111111111112</v>
      </c>
      <c r="G64" s="32">
        <f t="shared" si="34"/>
        <v>6.2446666666666664</v>
      </c>
    </row>
    <row r="65" spans="1:10" s="5" customFormat="1" outlineLevel="1">
      <c r="B65" s="5" t="s">
        <v>69</v>
      </c>
      <c r="C65" s="48">
        <f>((C$64)-(((C$58-C$62)*C$61)+C$62))</f>
        <v>0</v>
      </c>
      <c r="D65" s="48">
        <f t="shared" ref="D65:G65" si="35">((D$64)-(((D$58-D$62)*D$61)+D$62))</f>
        <v>0</v>
      </c>
      <c r="E65" s="48">
        <f t="shared" si="35"/>
        <v>0</v>
      </c>
      <c r="F65" s="48">
        <f t="shared" si="35"/>
        <v>0</v>
      </c>
      <c r="G65" s="48">
        <f t="shared" si="35"/>
        <v>0</v>
      </c>
      <c r="I65" s="63"/>
      <c r="J65" s="64"/>
    </row>
    <row r="66" spans="1:10" s="5" customFormat="1" outlineLevel="1">
      <c r="B66" s="5" t="s">
        <v>110</v>
      </c>
      <c r="C66" s="48">
        <f>(C$64)-(5*12*((C$64)-(((C$58-C$62)*C$61)+C$62)))+((C$64)-(((C$58-C$62)*C$61)+C$62))</f>
        <v>2.0815555555555556</v>
      </c>
      <c r="D66" s="48">
        <f t="shared" ref="D66:G66" si="36">(D$64)-(5*12*((D$64)-(((D$58-D$62)*D$61)+D$62)))+((D$64)-(((D$58-D$62)*D$61)+D$62))</f>
        <v>2.4978666666666669</v>
      </c>
      <c r="E66" s="48">
        <f t="shared" si="36"/>
        <v>3.1223333333333332</v>
      </c>
      <c r="F66" s="48">
        <f t="shared" si="36"/>
        <v>4.1631111111111112</v>
      </c>
      <c r="G66" s="48">
        <f t="shared" si="36"/>
        <v>6.2446666666666664</v>
      </c>
      <c r="I66" s="65"/>
      <c r="J66" s="64"/>
    </row>
    <row r="67" spans="1:10" s="5" customFormat="1" outlineLevel="1">
      <c r="B67" s="5" t="s">
        <v>111</v>
      </c>
      <c r="C67" s="48">
        <f>(C$64)-(10*12*((C$64)-(((C$58-C$62)*C$61)+C$62)))+((C$64)-(((C$58-C$62)*C$61)+C$62))</f>
        <v>2.0815555555555556</v>
      </c>
      <c r="D67" s="48">
        <f t="shared" ref="D67:G67" si="37">(D$64)-(10*12*((D$64)-(((D$58-D$62)*D$61)+D$62)))+((D$64)-(((D$58-D$62)*D$61)+D$62))</f>
        <v>2.4978666666666669</v>
      </c>
      <c r="E67" s="48">
        <f t="shared" si="37"/>
        <v>3.1223333333333332</v>
      </c>
      <c r="F67" s="48">
        <f t="shared" si="37"/>
        <v>4.1631111111111112</v>
      </c>
      <c r="G67" s="48">
        <f t="shared" si="37"/>
        <v>6.2446666666666664</v>
      </c>
    </row>
    <row r="68" spans="1:10" s="5" customFormat="1" outlineLevel="1">
      <c r="B68" s="5" t="s">
        <v>112</v>
      </c>
      <c r="C68" s="48">
        <f>(C$64)-(15*12*((C$64)-(((C$58-C$62)*C$61)+C$62)))+((C$64)-(((C$58-C$62)*C$61)+C$62))</f>
        <v>2.0815555555555556</v>
      </c>
      <c r="D68" s="48">
        <f t="shared" ref="D68:F68" si="38">(D$64)-(15*12*((D$64)-(((D$58-D$62)*D$61)+D$62)))+((D$64)-(((D$58-D$62)*D$61)+D$62))</f>
        <v>2.4978666666666669</v>
      </c>
      <c r="E68" s="48">
        <f t="shared" si="38"/>
        <v>3.1223333333333332</v>
      </c>
      <c r="F68" s="48">
        <f t="shared" si="38"/>
        <v>4.1631111111111112</v>
      </c>
      <c r="G68" s="48"/>
    </row>
    <row r="69" spans="1:10" s="5" customFormat="1" outlineLevel="1">
      <c r="B69" s="5" t="s">
        <v>113</v>
      </c>
      <c r="C69" s="48">
        <f>(C$64)-(20*12*((C$64)-(((C$58-C$62)*C$61)+C$62)))+((C$64)-(((C$58-C$62)*C$61)+C$62))</f>
        <v>2.0815555555555556</v>
      </c>
      <c r="D69" s="48">
        <f t="shared" ref="D69:E69" si="39">(D$64)-(20*12*((D$64)-(((D$58-D$62)*D$61)+D$62)))+((D$64)-(((D$58-D$62)*D$61)+D$62))</f>
        <v>2.4978666666666669</v>
      </c>
      <c r="E69" s="48">
        <f t="shared" si="39"/>
        <v>3.1223333333333332</v>
      </c>
      <c r="F69" s="48"/>
      <c r="G69" s="48"/>
    </row>
    <row r="70" spans="1:10" s="5" customFormat="1" outlineLevel="1">
      <c r="B70" s="5" t="s">
        <v>114</v>
      </c>
      <c r="C70" s="48">
        <f>(C$64)-(25*12*((C$64)-(((C$58-C$62)*C$61)+C$62)))+((C$64)-(((C$58-C$62)*C$61)+C$62))</f>
        <v>2.0815555555555556</v>
      </c>
      <c r="D70" s="48">
        <f t="shared" ref="D70" si="40">(D$64)-(25*12*((D$64)-(((D$58-D$62)*D$61)+D$62)))+((D$64)-(((D$58-D$62)*D$61)+D$62))</f>
        <v>2.4978666666666669</v>
      </c>
      <c r="E70" s="48"/>
      <c r="F70" s="48"/>
      <c r="G70" s="48"/>
    </row>
    <row r="71" spans="1:10" s="5" customFormat="1" outlineLevel="1">
      <c r="B71" s="5" t="s">
        <v>115</v>
      </c>
      <c r="C71" s="48">
        <f>(C$64)-(30*12*((C$64)-(((C$58-C$62)*C$61)+C$62)))+((C$64)-(((C$58-C$62)*C$61)+C$62))</f>
        <v>2.0815555555555556</v>
      </c>
      <c r="D71" s="48"/>
      <c r="E71" s="48"/>
      <c r="F71" s="48"/>
      <c r="G71" s="48"/>
    </row>
    <row r="72" spans="1:10" outlineLevel="2">
      <c r="B72" s="6" t="s">
        <v>90</v>
      </c>
      <c r="C72" s="35">
        <f>MIN(C$66:C$71)*12</f>
        <v>24.978666666666669</v>
      </c>
      <c r="D72" s="35">
        <f t="shared" ref="D72:G72" si="41">MIN(D$66:D$71)*12</f>
        <v>29.974400000000003</v>
      </c>
      <c r="E72" s="35">
        <f t="shared" si="41"/>
        <v>37.467999999999996</v>
      </c>
      <c r="F72" s="35">
        <f t="shared" si="41"/>
        <v>49.957333333333338</v>
      </c>
      <c r="G72" s="35">
        <f t="shared" si="41"/>
        <v>74.935999999999993</v>
      </c>
    </row>
    <row r="73" spans="1:10" outlineLevel="1">
      <c r="B73" s="24" t="s">
        <v>1</v>
      </c>
      <c r="C73" s="24">
        <f>IF(C$59&gt;=10,((10*kosten!$C$131)+((C$59-10)*kosten!$C$132)),C$59*kosten!$C$131)</f>
        <v>69300</v>
      </c>
      <c r="D73" s="24">
        <f>IF(D$59&gt;=10,((10*kosten!$C$131)+((D$59-10)*kosten!$C$132)),D$59*kosten!$C$131)</f>
        <v>58900</v>
      </c>
      <c r="E73" s="24">
        <f>IF(E$59&gt;=10,((10*kosten!$C$131)+((E$59-10)*kosten!$C$132)),E$59*kosten!$C$131)</f>
        <v>48500</v>
      </c>
      <c r="F73" s="24">
        <f>IF(F$59&gt;=10,((10*kosten!$C$131)+((F$59-10)*kosten!$C$132)),F$59*kosten!$C$131)</f>
        <v>38100</v>
      </c>
      <c r="G73" s="24">
        <f>IF(G$59&gt;=10,((10*kosten!$C$131)+((G$59-10)*kosten!$C$132)),G$59*kosten!$C$131)</f>
        <v>27700</v>
      </c>
    </row>
    <row r="74" spans="1:10">
      <c r="B74" s="30" t="s">
        <v>41</v>
      </c>
      <c r="C74" s="67">
        <f>C58+C63-C73</f>
        <v>-68550.64</v>
      </c>
      <c r="D74" s="67">
        <f t="shared" ref="D74:G74" si="42">D58+D63-D73</f>
        <v>-58150.64</v>
      </c>
      <c r="E74" s="67">
        <f t="shared" si="42"/>
        <v>-47750.64</v>
      </c>
      <c r="F74" s="67">
        <f t="shared" si="42"/>
        <v>-37350.639999999999</v>
      </c>
      <c r="G74" s="67">
        <f t="shared" si="42"/>
        <v>-26950.639999999999</v>
      </c>
    </row>
    <row r="75" spans="1:10">
      <c r="B75" s="6"/>
      <c r="C75" s="47"/>
      <c r="D75" s="47"/>
      <c r="E75" s="47"/>
      <c r="F75" s="47"/>
      <c r="G75" s="47"/>
    </row>
    <row r="77" spans="1:10" hidden="1" outlineLevel="1">
      <c r="B77" t="s">
        <v>128</v>
      </c>
    </row>
    <row r="78" spans="1:10" hidden="1" outlineLevel="1">
      <c r="A78">
        <f>ROUND(B78/12,0)</f>
        <v>0</v>
      </c>
      <c r="B78">
        <v>1</v>
      </c>
      <c r="C78" s="35">
        <f>((C$58-(($B78-1)*C$62))*C$61)</f>
        <v>0</v>
      </c>
      <c r="D78" s="35">
        <f t="shared" ref="D78:G93" si="43">((D$58-(($B78-1)*D$62))*D$61)</f>
        <v>0</v>
      </c>
      <c r="E78" s="35">
        <f t="shared" si="43"/>
        <v>0</v>
      </c>
      <c r="F78" s="35">
        <f t="shared" si="43"/>
        <v>0</v>
      </c>
      <c r="G78" s="35">
        <f t="shared" si="43"/>
        <v>0</v>
      </c>
    </row>
    <row r="79" spans="1:10" hidden="1" outlineLevel="1">
      <c r="A79">
        <f t="shared" ref="A79:A142" si="44">ROUND(B79/12,0)</f>
        <v>0</v>
      </c>
      <c r="B79">
        <v>2</v>
      </c>
      <c r="C79" s="35">
        <f t="shared" ref="C79:G110" si="45">((C$58-(($B79-1)*C$62))*C$61)</f>
        <v>0</v>
      </c>
      <c r="D79" s="35">
        <f t="shared" si="43"/>
        <v>0</v>
      </c>
      <c r="E79" s="35">
        <f t="shared" si="43"/>
        <v>0</v>
      </c>
      <c r="F79" s="35">
        <f t="shared" si="43"/>
        <v>0</v>
      </c>
      <c r="G79" s="35">
        <f t="shared" si="43"/>
        <v>0</v>
      </c>
    </row>
    <row r="80" spans="1:10" hidden="1" outlineLevel="1">
      <c r="A80">
        <f t="shared" si="44"/>
        <v>0</v>
      </c>
      <c r="B80">
        <v>3</v>
      </c>
      <c r="C80" s="35">
        <f t="shared" si="45"/>
        <v>0</v>
      </c>
      <c r="D80" s="35">
        <f t="shared" si="43"/>
        <v>0</v>
      </c>
      <c r="E80" s="35">
        <f t="shared" si="43"/>
        <v>0</v>
      </c>
      <c r="F80" s="35">
        <f t="shared" si="43"/>
        <v>0</v>
      </c>
      <c r="G80" s="35">
        <f t="shared" si="43"/>
        <v>0</v>
      </c>
    </row>
    <row r="81" spans="1:7" hidden="1" outlineLevel="1">
      <c r="A81">
        <f t="shared" si="44"/>
        <v>0</v>
      </c>
      <c r="B81">
        <v>4</v>
      </c>
      <c r="C81" s="35">
        <f t="shared" si="45"/>
        <v>0</v>
      </c>
      <c r="D81" s="35">
        <f t="shared" si="43"/>
        <v>0</v>
      </c>
      <c r="E81" s="35">
        <f t="shared" si="43"/>
        <v>0</v>
      </c>
      <c r="F81" s="35">
        <f t="shared" si="43"/>
        <v>0</v>
      </c>
      <c r="G81" s="35">
        <f t="shared" si="43"/>
        <v>0</v>
      </c>
    </row>
    <row r="82" spans="1:7" hidden="1" outlineLevel="1">
      <c r="A82">
        <f t="shared" si="44"/>
        <v>0</v>
      </c>
      <c r="B82">
        <v>5</v>
      </c>
      <c r="C82" s="35">
        <f t="shared" si="45"/>
        <v>0</v>
      </c>
      <c r="D82" s="35">
        <f t="shared" si="43"/>
        <v>0</v>
      </c>
      <c r="E82" s="35">
        <f t="shared" si="43"/>
        <v>0</v>
      </c>
      <c r="F82" s="35">
        <f t="shared" si="43"/>
        <v>0</v>
      </c>
      <c r="G82" s="35">
        <f t="shared" si="43"/>
        <v>0</v>
      </c>
    </row>
    <row r="83" spans="1:7" hidden="1" outlineLevel="1">
      <c r="A83">
        <f t="shared" si="44"/>
        <v>1</v>
      </c>
      <c r="B83">
        <v>6</v>
      </c>
      <c r="C83" s="35">
        <f t="shared" si="45"/>
        <v>0</v>
      </c>
      <c r="D83" s="35">
        <f t="shared" si="43"/>
        <v>0</v>
      </c>
      <c r="E83" s="35">
        <f t="shared" si="43"/>
        <v>0</v>
      </c>
      <c r="F83" s="35">
        <f t="shared" si="43"/>
        <v>0</v>
      </c>
      <c r="G83" s="35">
        <f t="shared" si="43"/>
        <v>0</v>
      </c>
    </row>
    <row r="84" spans="1:7" hidden="1" outlineLevel="1">
      <c r="A84">
        <f t="shared" si="44"/>
        <v>1</v>
      </c>
      <c r="B84">
        <v>7</v>
      </c>
      <c r="C84" s="35">
        <f t="shared" si="45"/>
        <v>0</v>
      </c>
      <c r="D84" s="35">
        <f t="shared" si="43"/>
        <v>0</v>
      </c>
      <c r="E84" s="35">
        <f t="shared" si="43"/>
        <v>0</v>
      </c>
      <c r="F84" s="35">
        <f t="shared" si="43"/>
        <v>0</v>
      </c>
      <c r="G84" s="35">
        <f t="shared" si="43"/>
        <v>0</v>
      </c>
    </row>
    <row r="85" spans="1:7" hidden="1" outlineLevel="1">
      <c r="A85">
        <f t="shared" si="44"/>
        <v>1</v>
      </c>
      <c r="B85">
        <v>8</v>
      </c>
      <c r="C85" s="35">
        <f t="shared" si="45"/>
        <v>0</v>
      </c>
      <c r="D85" s="35">
        <f t="shared" si="43"/>
        <v>0</v>
      </c>
      <c r="E85" s="35">
        <f t="shared" si="43"/>
        <v>0</v>
      </c>
      <c r="F85" s="35">
        <f t="shared" si="43"/>
        <v>0</v>
      </c>
      <c r="G85" s="35">
        <f t="shared" si="43"/>
        <v>0</v>
      </c>
    </row>
    <row r="86" spans="1:7" hidden="1" outlineLevel="1">
      <c r="A86">
        <f t="shared" si="44"/>
        <v>1</v>
      </c>
      <c r="B86">
        <v>9</v>
      </c>
      <c r="C86" s="35">
        <f t="shared" si="45"/>
        <v>0</v>
      </c>
      <c r="D86" s="35">
        <f t="shared" si="43"/>
        <v>0</v>
      </c>
      <c r="E86" s="35">
        <f t="shared" si="43"/>
        <v>0</v>
      </c>
      <c r="F86" s="35">
        <f t="shared" si="43"/>
        <v>0</v>
      </c>
      <c r="G86" s="35">
        <f t="shared" si="43"/>
        <v>0</v>
      </c>
    </row>
    <row r="87" spans="1:7" hidden="1" outlineLevel="1">
      <c r="A87">
        <f t="shared" si="44"/>
        <v>1</v>
      </c>
      <c r="B87">
        <v>10</v>
      </c>
      <c r="C87" s="35">
        <f t="shared" si="45"/>
        <v>0</v>
      </c>
      <c r="D87" s="35">
        <f t="shared" si="43"/>
        <v>0</v>
      </c>
      <c r="E87" s="35">
        <f t="shared" si="43"/>
        <v>0</v>
      </c>
      <c r="F87" s="35">
        <f t="shared" si="43"/>
        <v>0</v>
      </c>
      <c r="G87" s="35">
        <f t="shared" si="43"/>
        <v>0</v>
      </c>
    </row>
    <row r="88" spans="1:7" hidden="1" outlineLevel="1">
      <c r="A88">
        <f t="shared" si="44"/>
        <v>1</v>
      </c>
      <c r="B88">
        <v>11</v>
      </c>
      <c r="C88" s="35">
        <f t="shared" si="45"/>
        <v>0</v>
      </c>
      <c r="D88" s="35">
        <f t="shared" si="43"/>
        <v>0</v>
      </c>
      <c r="E88" s="35">
        <f t="shared" si="43"/>
        <v>0</v>
      </c>
      <c r="F88" s="35">
        <f t="shared" si="43"/>
        <v>0</v>
      </c>
      <c r="G88" s="35">
        <f t="shared" si="43"/>
        <v>0</v>
      </c>
    </row>
    <row r="89" spans="1:7" hidden="1" outlineLevel="1">
      <c r="A89">
        <f t="shared" si="44"/>
        <v>1</v>
      </c>
      <c r="B89">
        <v>12</v>
      </c>
      <c r="C89" s="35">
        <f t="shared" si="45"/>
        <v>0</v>
      </c>
      <c r="D89" s="35">
        <f t="shared" si="43"/>
        <v>0</v>
      </c>
      <c r="E89" s="35">
        <f t="shared" si="43"/>
        <v>0</v>
      </c>
      <c r="F89" s="35">
        <f t="shared" si="43"/>
        <v>0</v>
      </c>
      <c r="G89" s="35">
        <f t="shared" si="43"/>
        <v>0</v>
      </c>
    </row>
    <row r="90" spans="1:7" hidden="1" outlineLevel="1">
      <c r="A90">
        <f t="shared" si="44"/>
        <v>1</v>
      </c>
      <c r="B90">
        <v>13</v>
      </c>
      <c r="C90" s="35">
        <f t="shared" si="45"/>
        <v>0</v>
      </c>
      <c r="D90" s="35">
        <f t="shared" si="43"/>
        <v>0</v>
      </c>
      <c r="E90" s="35">
        <f t="shared" si="43"/>
        <v>0</v>
      </c>
      <c r="F90" s="35">
        <f t="shared" si="43"/>
        <v>0</v>
      </c>
      <c r="G90" s="35">
        <f t="shared" si="43"/>
        <v>0</v>
      </c>
    </row>
    <row r="91" spans="1:7" hidden="1" outlineLevel="1">
      <c r="A91">
        <f t="shared" si="44"/>
        <v>1</v>
      </c>
      <c r="B91">
        <v>14</v>
      </c>
      <c r="C91" s="35">
        <f t="shared" si="45"/>
        <v>0</v>
      </c>
      <c r="D91" s="35">
        <f t="shared" si="43"/>
        <v>0</v>
      </c>
      <c r="E91" s="35">
        <f t="shared" si="43"/>
        <v>0</v>
      </c>
      <c r="F91" s="35">
        <f t="shared" si="43"/>
        <v>0</v>
      </c>
      <c r="G91" s="35">
        <f t="shared" si="43"/>
        <v>0</v>
      </c>
    </row>
    <row r="92" spans="1:7" hidden="1" outlineLevel="1">
      <c r="A92">
        <f t="shared" si="44"/>
        <v>1</v>
      </c>
      <c r="B92">
        <v>15</v>
      </c>
      <c r="C92" s="35">
        <f t="shared" si="45"/>
        <v>0</v>
      </c>
      <c r="D92" s="35">
        <f t="shared" si="43"/>
        <v>0</v>
      </c>
      <c r="E92" s="35">
        <f t="shared" si="43"/>
        <v>0</v>
      </c>
      <c r="F92" s="35">
        <f t="shared" si="43"/>
        <v>0</v>
      </c>
      <c r="G92" s="35">
        <f t="shared" si="43"/>
        <v>0</v>
      </c>
    </row>
    <row r="93" spans="1:7" hidden="1" outlineLevel="1">
      <c r="A93">
        <f t="shared" si="44"/>
        <v>1</v>
      </c>
      <c r="B93">
        <v>16</v>
      </c>
      <c r="C93" s="35">
        <f t="shared" si="45"/>
        <v>0</v>
      </c>
      <c r="D93" s="35">
        <f t="shared" si="43"/>
        <v>0</v>
      </c>
      <c r="E93" s="35">
        <f t="shared" si="43"/>
        <v>0</v>
      </c>
      <c r="F93" s="35">
        <f t="shared" si="43"/>
        <v>0</v>
      </c>
      <c r="G93" s="35">
        <f t="shared" si="43"/>
        <v>0</v>
      </c>
    </row>
    <row r="94" spans="1:7" hidden="1" outlineLevel="1">
      <c r="A94">
        <f t="shared" si="44"/>
        <v>1</v>
      </c>
      <c r="B94">
        <v>17</v>
      </c>
      <c r="C94" s="35">
        <f t="shared" si="45"/>
        <v>0</v>
      </c>
      <c r="D94" s="35">
        <f t="shared" si="45"/>
        <v>0</v>
      </c>
      <c r="E94" s="35">
        <f t="shared" si="45"/>
        <v>0</v>
      </c>
      <c r="F94" s="35">
        <f t="shared" si="45"/>
        <v>0</v>
      </c>
      <c r="G94" s="35">
        <f t="shared" si="45"/>
        <v>0</v>
      </c>
    </row>
    <row r="95" spans="1:7" hidden="1" outlineLevel="1">
      <c r="A95">
        <f t="shared" si="44"/>
        <v>2</v>
      </c>
      <c r="B95">
        <v>18</v>
      </c>
      <c r="C95" s="35">
        <f t="shared" si="45"/>
        <v>0</v>
      </c>
      <c r="D95" s="35">
        <f t="shared" si="45"/>
        <v>0</v>
      </c>
      <c r="E95" s="35">
        <f t="shared" si="45"/>
        <v>0</v>
      </c>
      <c r="F95" s="35">
        <f t="shared" si="45"/>
        <v>0</v>
      </c>
      <c r="G95" s="35">
        <f t="shared" si="45"/>
        <v>0</v>
      </c>
    </row>
    <row r="96" spans="1:7" hidden="1" outlineLevel="1">
      <c r="A96">
        <f t="shared" si="44"/>
        <v>2</v>
      </c>
      <c r="B96">
        <v>19</v>
      </c>
      <c r="C96" s="35">
        <f t="shared" si="45"/>
        <v>0</v>
      </c>
      <c r="D96" s="35">
        <f t="shared" si="45"/>
        <v>0</v>
      </c>
      <c r="E96" s="35">
        <f t="shared" si="45"/>
        <v>0</v>
      </c>
      <c r="F96" s="35">
        <f t="shared" si="45"/>
        <v>0</v>
      </c>
      <c r="G96" s="35">
        <f t="shared" si="45"/>
        <v>0</v>
      </c>
    </row>
    <row r="97" spans="1:7" hidden="1" outlineLevel="1">
      <c r="A97">
        <f t="shared" si="44"/>
        <v>2</v>
      </c>
      <c r="B97">
        <v>20</v>
      </c>
      <c r="C97" s="35">
        <f t="shared" si="45"/>
        <v>0</v>
      </c>
      <c r="D97" s="35">
        <f t="shared" si="45"/>
        <v>0</v>
      </c>
      <c r="E97" s="35">
        <f t="shared" si="45"/>
        <v>0</v>
      </c>
      <c r="F97" s="35">
        <f t="shared" si="45"/>
        <v>0</v>
      </c>
      <c r="G97" s="35">
        <f t="shared" si="45"/>
        <v>0</v>
      </c>
    </row>
    <row r="98" spans="1:7" hidden="1" outlineLevel="1">
      <c r="A98">
        <f t="shared" si="44"/>
        <v>2</v>
      </c>
      <c r="B98">
        <v>21</v>
      </c>
      <c r="C98" s="35">
        <f t="shared" si="45"/>
        <v>0</v>
      </c>
      <c r="D98" s="35">
        <f t="shared" si="45"/>
        <v>0</v>
      </c>
      <c r="E98" s="35">
        <f t="shared" si="45"/>
        <v>0</v>
      </c>
      <c r="F98" s="35">
        <f t="shared" si="45"/>
        <v>0</v>
      </c>
      <c r="G98" s="35">
        <f t="shared" si="45"/>
        <v>0</v>
      </c>
    </row>
    <row r="99" spans="1:7" hidden="1" outlineLevel="1">
      <c r="A99">
        <f t="shared" si="44"/>
        <v>2</v>
      </c>
      <c r="B99">
        <v>22</v>
      </c>
      <c r="C99" s="35">
        <f t="shared" si="45"/>
        <v>0</v>
      </c>
      <c r="D99" s="35">
        <f t="shared" si="45"/>
        <v>0</v>
      </c>
      <c r="E99" s="35">
        <f t="shared" si="45"/>
        <v>0</v>
      </c>
      <c r="F99" s="35">
        <f t="shared" si="45"/>
        <v>0</v>
      </c>
      <c r="G99" s="35">
        <f t="shared" si="45"/>
        <v>0</v>
      </c>
    </row>
    <row r="100" spans="1:7" hidden="1" outlineLevel="1">
      <c r="A100">
        <f t="shared" si="44"/>
        <v>2</v>
      </c>
      <c r="B100">
        <v>23</v>
      </c>
      <c r="C100" s="35">
        <f t="shared" si="45"/>
        <v>0</v>
      </c>
      <c r="D100" s="35">
        <f t="shared" si="45"/>
        <v>0</v>
      </c>
      <c r="E100" s="35">
        <f t="shared" si="45"/>
        <v>0</v>
      </c>
      <c r="F100" s="35">
        <f t="shared" si="45"/>
        <v>0</v>
      </c>
      <c r="G100" s="35">
        <f t="shared" si="45"/>
        <v>0</v>
      </c>
    </row>
    <row r="101" spans="1:7" hidden="1" outlineLevel="1">
      <c r="A101">
        <f t="shared" si="44"/>
        <v>2</v>
      </c>
      <c r="B101">
        <v>24</v>
      </c>
      <c r="C101" s="35">
        <f t="shared" si="45"/>
        <v>0</v>
      </c>
      <c r="D101" s="35">
        <f t="shared" si="45"/>
        <v>0</v>
      </c>
      <c r="E101" s="35">
        <f t="shared" si="45"/>
        <v>0</v>
      </c>
      <c r="F101" s="35">
        <f t="shared" si="45"/>
        <v>0</v>
      </c>
      <c r="G101" s="35">
        <f t="shared" si="45"/>
        <v>0</v>
      </c>
    </row>
    <row r="102" spans="1:7" hidden="1" outlineLevel="1">
      <c r="A102">
        <f t="shared" si="44"/>
        <v>2</v>
      </c>
      <c r="B102">
        <v>25</v>
      </c>
      <c r="C102" s="35">
        <f t="shared" si="45"/>
        <v>0</v>
      </c>
      <c r="D102" s="35">
        <f t="shared" si="45"/>
        <v>0</v>
      </c>
      <c r="E102" s="35">
        <f t="shared" si="45"/>
        <v>0</v>
      </c>
      <c r="F102" s="35">
        <f t="shared" si="45"/>
        <v>0</v>
      </c>
      <c r="G102" s="35">
        <f t="shared" si="45"/>
        <v>0</v>
      </c>
    </row>
    <row r="103" spans="1:7" hidden="1" outlineLevel="1">
      <c r="A103">
        <f t="shared" si="44"/>
        <v>2</v>
      </c>
      <c r="B103">
        <v>26</v>
      </c>
      <c r="C103" s="35">
        <f t="shared" si="45"/>
        <v>0</v>
      </c>
      <c r="D103" s="35">
        <f t="shared" si="45"/>
        <v>0</v>
      </c>
      <c r="E103" s="35">
        <f t="shared" si="45"/>
        <v>0</v>
      </c>
      <c r="F103" s="35">
        <f t="shared" si="45"/>
        <v>0</v>
      </c>
      <c r="G103" s="35">
        <f t="shared" si="45"/>
        <v>0</v>
      </c>
    </row>
    <row r="104" spans="1:7" hidden="1" outlineLevel="1">
      <c r="A104">
        <f t="shared" si="44"/>
        <v>2</v>
      </c>
      <c r="B104">
        <v>27</v>
      </c>
      <c r="C104" s="35">
        <f t="shared" si="45"/>
        <v>0</v>
      </c>
      <c r="D104" s="35">
        <f t="shared" si="45"/>
        <v>0</v>
      </c>
      <c r="E104" s="35">
        <f t="shared" si="45"/>
        <v>0</v>
      </c>
      <c r="F104" s="35">
        <f t="shared" si="45"/>
        <v>0</v>
      </c>
      <c r="G104" s="35">
        <f t="shared" si="45"/>
        <v>0</v>
      </c>
    </row>
    <row r="105" spans="1:7" hidden="1" outlineLevel="1">
      <c r="A105">
        <f t="shared" si="44"/>
        <v>2</v>
      </c>
      <c r="B105">
        <v>28</v>
      </c>
      <c r="C105" s="35">
        <f t="shared" si="45"/>
        <v>0</v>
      </c>
      <c r="D105" s="35">
        <f t="shared" si="45"/>
        <v>0</v>
      </c>
      <c r="E105" s="35">
        <f t="shared" si="45"/>
        <v>0</v>
      </c>
      <c r="F105" s="35">
        <f t="shared" si="45"/>
        <v>0</v>
      </c>
      <c r="G105" s="35">
        <f t="shared" si="45"/>
        <v>0</v>
      </c>
    </row>
    <row r="106" spans="1:7" hidden="1" outlineLevel="1">
      <c r="A106">
        <f t="shared" si="44"/>
        <v>2</v>
      </c>
      <c r="B106">
        <v>29</v>
      </c>
      <c r="C106" s="35">
        <f t="shared" si="45"/>
        <v>0</v>
      </c>
      <c r="D106" s="35">
        <f t="shared" si="45"/>
        <v>0</v>
      </c>
      <c r="E106" s="35">
        <f t="shared" si="45"/>
        <v>0</v>
      </c>
      <c r="F106" s="35">
        <f t="shared" si="45"/>
        <v>0</v>
      </c>
      <c r="G106" s="35">
        <f t="shared" si="45"/>
        <v>0</v>
      </c>
    </row>
    <row r="107" spans="1:7" hidden="1" outlineLevel="1">
      <c r="A107">
        <f t="shared" si="44"/>
        <v>3</v>
      </c>
      <c r="B107">
        <v>30</v>
      </c>
      <c r="C107" s="35">
        <f t="shared" si="45"/>
        <v>0</v>
      </c>
      <c r="D107" s="35">
        <f t="shared" si="45"/>
        <v>0</v>
      </c>
      <c r="E107" s="35">
        <f t="shared" si="45"/>
        <v>0</v>
      </c>
      <c r="F107" s="35">
        <f t="shared" si="45"/>
        <v>0</v>
      </c>
      <c r="G107" s="35">
        <f t="shared" si="45"/>
        <v>0</v>
      </c>
    </row>
    <row r="108" spans="1:7" hidden="1" outlineLevel="1">
      <c r="A108">
        <f t="shared" si="44"/>
        <v>3</v>
      </c>
      <c r="B108">
        <v>31</v>
      </c>
      <c r="C108" s="35">
        <f t="shared" si="45"/>
        <v>0</v>
      </c>
      <c r="D108" s="35">
        <f t="shared" si="45"/>
        <v>0</v>
      </c>
      <c r="E108" s="35">
        <f t="shared" si="45"/>
        <v>0</v>
      </c>
      <c r="F108" s="35">
        <f t="shared" si="45"/>
        <v>0</v>
      </c>
      <c r="G108" s="35">
        <f t="shared" si="45"/>
        <v>0</v>
      </c>
    </row>
    <row r="109" spans="1:7" hidden="1" outlineLevel="1">
      <c r="A109">
        <f t="shared" si="44"/>
        <v>3</v>
      </c>
      <c r="B109">
        <v>32</v>
      </c>
      <c r="C109" s="35">
        <f t="shared" si="45"/>
        <v>0</v>
      </c>
      <c r="D109" s="35">
        <f t="shared" si="45"/>
        <v>0</v>
      </c>
      <c r="E109" s="35">
        <f t="shared" si="45"/>
        <v>0</v>
      </c>
      <c r="F109" s="35">
        <f t="shared" si="45"/>
        <v>0</v>
      </c>
      <c r="G109" s="35">
        <f t="shared" si="45"/>
        <v>0</v>
      </c>
    </row>
    <row r="110" spans="1:7" hidden="1" outlineLevel="1">
      <c r="A110">
        <f t="shared" si="44"/>
        <v>3</v>
      </c>
      <c r="B110">
        <v>33</v>
      </c>
      <c r="C110" s="35">
        <f t="shared" si="45"/>
        <v>0</v>
      </c>
      <c r="D110" s="35">
        <f t="shared" si="45"/>
        <v>0</v>
      </c>
      <c r="E110" s="35">
        <f t="shared" si="45"/>
        <v>0</v>
      </c>
      <c r="F110" s="35">
        <f t="shared" si="45"/>
        <v>0</v>
      </c>
      <c r="G110" s="35">
        <f t="shared" si="45"/>
        <v>0</v>
      </c>
    </row>
    <row r="111" spans="1:7" hidden="1" outlineLevel="1">
      <c r="A111">
        <f t="shared" si="44"/>
        <v>3</v>
      </c>
      <c r="B111">
        <v>34</v>
      </c>
      <c r="C111" s="35">
        <f t="shared" ref="C111:G142" si="46">((C$58-(($B111-1)*C$62))*C$61)</f>
        <v>0</v>
      </c>
      <c r="D111" s="35">
        <f t="shared" si="46"/>
        <v>0</v>
      </c>
      <c r="E111" s="35">
        <f t="shared" si="46"/>
        <v>0</v>
      </c>
      <c r="F111" s="35">
        <f t="shared" si="46"/>
        <v>0</v>
      </c>
      <c r="G111" s="35">
        <f t="shared" si="46"/>
        <v>0</v>
      </c>
    </row>
    <row r="112" spans="1:7" hidden="1" outlineLevel="1">
      <c r="A112">
        <f t="shared" si="44"/>
        <v>3</v>
      </c>
      <c r="B112">
        <v>35</v>
      </c>
      <c r="C112" s="35">
        <f t="shared" si="46"/>
        <v>0</v>
      </c>
      <c r="D112" s="35">
        <f t="shared" si="46"/>
        <v>0</v>
      </c>
      <c r="E112" s="35">
        <f t="shared" si="46"/>
        <v>0</v>
      </c>
      <c r="F112" s="35">
        <f t="shared" si="46"/>
        <v>0</v>
      </c>
      <c r="G112" s="35">
        <f t="shared" si="46"/>
        <v>0</v>
      </c>
    </row>
    <row r="113" spans="1:7" hidden="1" outlineLevel="1">
      <c r="A113">
        <f t="shared" si="44"/>
        <v>3</v>
      </c>
      <c r="B113">
        <v>36</v>
      </c>
      <c r="C113" s="35">
        <f t="shared" si="46"/>
        <v>0</v>
      </c>
      <c r="D113" s="35">
        <f t="shared" si="46"/>
        <v>0</v>
      </c>
      <c r="E113" s="35">
        <f t="shared" si="46"/>
        <v>0</v>
      </c>
      <c r="F113" s="35">
        <f t="shared" si="46"/>
        <v>0</v>
      </c>
      <c r="G113" s="35">
        <f t="shared" si="46"/>
        <v>0</v>
      </c>
    </row>
    <row r="114" spans="1:7" hidden="1" outlineLevel="1">
      <c r="A114">
        <f t="shared" si="44"/>
        <v>3</v>
      </c>
      <c r="B114">
        <v>37</v>
      </c>
      <c r="C114" s="35">
        <f t="shared" si="46"/>
        <v>0</v>
      </c>
      <c r="D114" s="35">
        <f t="shared" si="46"/>
        <v>0</v>
      </c>
      <c r="E114" s="35">
        <f t="shared" si="46"/>
        <v>0</v>
      </c>
      <c r="F114" s="35">
        <f t="shared" si="46"/>
        <v>0</v>
      </c>
      <c r="G114" s="35">
        <f t="shared" si="46"/>
        <v>0</v>
      </c>
    </row>
    <row r="115" spans="1:7" hidden="1" outlineLevel="1">
      <c r="A115">
        <f t="shared" si="44"/>
        <v>3</v>
      </c>
      <c r="B115">
        <v>38</v>
      </c>
      <c r="C115" s="35">
        <f t="shared" si="46"/>
        <v>0</v>
      </c>
      <c r="D115" s="35">
        <f t="shared" si="46"/>
        <v>0</v>
      </c>
      <c r="E115" s="35">
        <f t="shared" si="46"/>
        <v>0</v>
      </c>
      <c r="F115" s="35">
        <f t="shared" si="46"/>
        <v>0</v>
      </c>
      <c r="G115" s="35">
        <f t="shared" si="46"/>
        <v>0</v>
      </c>
    </row>
    <row r="116" spans="1:7" hidden="1" outlineLevel="1">
      <c r="A116">
        <f t="shared" si="44"/>
        <v>3</v>
      </c>
      <c r="B116">
        <v>39</v>
      </c>
      <c r="C116" s="35">
        <f t="shared" si="46"/>
        <v>0</v>
      </c>
      <c r="D116" s="35">
        <f t="shared" si="46"/>
        <v>0</v>
      </c>
      <c r="E116" s="35">
        <f t="shared" si="46"/>
        <v>0</v>
      </c>
      <c r="F116" s="35">
        <f t="shared" si="46"/>
        <v>0</v>
      </c>
      <c r="G116" s="35">
        <f t="shared" si="46"/>
        <v>0</v>
      </c>
    </row>
    <row r="117" spans="1:7" hidden="1" outlineLevel="1">
      <c r="A117">
        <f t="shared" si="44"/>
        <v>3</v>
      </c>
      <c r="B117">
        <v>40</v>
      </c>
      <c r="C117" s="35">
        <f t="shared" si="46"/>
        <v>0</v>
      </c>
      <c r="D117" s="35">
        <f t="shared" si="46"/>
        <v>0</v>
      </c>
      <c r="E117" s="35">
        <f t="shared" si="46"/>
        <v>0</v>
      </c>
      <c r="F117" s="35">
        <f t="shared" si="46"/>
        <v>0</v>
      </c>
      <c r="G117" s="35">
        <f t="shared" si="46"/>
        <v>0</v>
      </c>
    </row>
    <row r="118" spans="1:7" hidden="1" outlineLevel="1">
      <c r="A118">
        <f t="shared" si="44"/>
        <v>3</v>
      </c>
      <c r="B118">
        <v>41</v>
      </c>
      <c r="C118" s="35">
        <f t="shared" si="46"/>
        <v>0</v>
      </c>
      <c r="D118" s="35">
        <f t="shared" si="46"/>
        <v>0</v>
      </c>
      <c r="E118" s="35">
        <f t="shared" si="46"/>
        <v>0</v>
      </c>
      <c r="F118" s="35">
        <f t="shared" si="46"/>
        <v>0</v>
      </c>
      <c r="G118" s="35">
        <f t="shared" si="46"/>
        <v>0</v>
      </c>
    </row>
    <row r="119" spans="1:7" hidden="1" outlineLevel="1">
      <c r="A119">
        <f t="shared" si="44"/>
        <v>4</v>
      </c>
      <c r="B119">
        <v>42</v>
      </c>
      <c r="C119" s="35">
        <f t="shared" si="46"/>
        <v>0</v>
      </c>
      <c r="D119" s="35">
        <f t="shared" si="46"/>
        <v>0</v>
      </c>
      <c r="E119" s="35">
        <f t="shared" si="46"/>
        <v>0</v>
      </c>
      <c r="F119" s="35">
        <f t="shared" si="46"/>
        <v>0</v>
      </c>
      <c r="G119" s="35">
        <f t="shared" si="46"/>
        <v>0</v>
      </c>
    </row>
    <row r="120" spans="1:7" hidden="1" outlineLevel="1">
      <c r="A120">
        <f t="shared" si="44"/>
        <v>4</v>
      </c>
      <c r="B120">
        <v>43</v>
      </c>
      <c r="C120" s="35">
        <f t="shared" si="46"/>
        <v>0</v>
      </c>
      <c r="D120" s="35">
        <f t="shared" si="46"/>
        <v>0</v>
      </c>
      <c r="E120" s="35">
        <f t="shared" si="46"/>
        <v>0</v>
      </c>
      <c r="F120" s="35">
        <f t="shared" si="46"/>
        <v>0</v>
      </c>
      <c r="G120" s="35">
        <f t="shared" si="46"/>
        <v>0</v>
      </c>
    </row>
    <row r="121" spans="1:7" hidden="1" outlineLevel="1">
      <c r="A121">
        <f t="shared" si="44"/>
        <v>4</v>
      </c>
      <c r="B121">
        <v>44</v>
      </c>
      <c r="C121" s="35">
        <f t="shared" si="46"/>
        <v>0</v>
      </c>
      <c r="D121" s="35">
        <f t="shared" si="46"/>
        <v>0</v>
      </c>
      <c r="E121" s="35">
        <f t="shared" si="46"/>
        <v>0</v>
      </c>
      <c r="F121" s="35">
        <f t="shared" si="46"/>
        <v>0</v>
      </c>
      <c r="G121" s="35">
        <f t="shared" si="46"/>
        <v>0</v>
      </c>
    </row>
    <row r="122" spans="1:7" hidden="1" outlineLevel="1">
      <c r="A122">
        <f t="shared" si="44"/>
        <v>4</v>
      </c>
      <c r="B122">
        <v>45</v>
      </c>
      <c r="C122" s="35">
        <f t="shared" si="46"/>
        <v>0</v>
      </c>
      <c r="D122" s="35">
        <f t="shared" si="46"/>
        <v>0</v>
      </c>
      <c r="E122" s="35">
        <f t="shared" si="46"/>
        <v>0</v>
      </c>
      <c r="F122" s="35">
        <f t="shared" si="46"/>
        <v>0</v>
      </c>
      <c r="G122" s="35">
        <f t="shared" si="46"/>
        <v>0</v>
      </c>
    </row>
    <row r="123" spans="1:7" hidden="1" outlineLevel="1">
      <c r="A123">
        <f t="shared" si="44"/>
        <v>4</v>
      </c>
      <c r="B123">
        <v>46</v>
      </c>
      <c r="C123" s="35">
        <f t="shared" si="46"/>
        <v>0</v>
      </c>
      <c r="D123" s="35">
        <f t="shared" si="46"/>
        <v>0</v>
      </c>
      <c r="E123" s="35">
        <f t="shared" si="46"/>
        <v>0</v>
      </c>
      <c r="F123" s="35">
        <f t="shared" si="46"/>
        <v>0</v>
      </c>
      <c r="G123" s="35">
        <f t="shared" si="46"/>
        <v>0</v>
      </c>
    </row>
    <row r="124" spans="1:7" hidden="1" outlineLevel="1">
      <c r="A124">
        <f t="shared" si="44"/>
        <v>4</v>
      </c>
      <c r="B124">
        <v>47</v>
      </c>
      <c r="C124" s="35">
        <f t="shared" si="46"/>
        <v>0</v>
      </c>
      <c r="D124" s="35">
        <f t="shared" si="46"/>
        <v>0</v>
      </c>
      <c r="E124" s="35">
        <f t="shared" si="46"/>
        <v>0</v>
      </c>
      <c r="F124" s="35">
        <f t="shared" si="46"/>
        <v>0</v>
      </c>
      <c r="G124" s="35">
        <f t="shared" si="46"/>
        <v>0</v>
      </c>
    </row>
    <row r="125" spans="1:7" hidden="1" outlineLevel="1">
      <c r="A125">
        <f t="shared" si="44"/>
        <v>4</v>
      </c>
      <c r="B125">
        <v>48</v>
      </c>
      <c r="C125" s="35">
        <f t="shared" si="46"/>
        <v>0</v>
      </c>
      <c r="D125" s="35">
        <f t="shared" si="46"/>
        <v>0</v>
      </c>
      <c r="E125" s="35">
        <f t="shared" si="46"/>
        <v>0</v>
      </c>
      <c r="F125" s="35">
        <f t="shared" si="46"/>
        <v>0</v>
      </c>
      <c r="G125" s="35">
        <f t="shared" si="46"/>
        <v>0</v>
      </c>
    </row>
    <row r="126" spans="1:7" hidden="1" outlineLevel="1">
      <c r="A126">
        <f t="shared" si="44"/>
        <v>4</v>
      </c>
      <c r="B126">
        <v>49</v>
      </c>
      <c r="C126" s="35">
        <f t="shared" si="46"/>
        <v>0</v>
      </c>
      <c r="D126" s="35">
        <f t="shared" si="46"/>
        <v>0</v>
      </c>
      <c r="E126" s="35">
        <f t="shared" si="46"/>
        <v>0</v>
      </c>
      <c r="F126" s="35">
        <f t="shared" si="46"/>
        <v>0</v>
      </c>
      <c r="G126" s="35">
        <f t="shared" si="46"/>
        <v>0</v>
      </c>
    </row>
    <row r="127" spans="1:7" hidden="1" outlineLevel="1">
      <c r="A127">
        <f t="shared" si="44"/>
        <v>4</v>
      </c>
      <c r="B127">
        <v>50</v>
      </c>
      <c r="C127" s="35">
        <f t="shared" si="46"/>
        <v>0</v>
      </c>
      <c r="D127" s="35">
        <f t="shared" si="46"/>
        <v>0</v>
      </c>
      <c r="E127" s="35">
        <f t="shared" si="46"/>
        <v>0</v>
      </c>
      <c r="F127" s="35">
        <f t="shared" si="46"/>
        <v>0</v>
      </c>
      <c r="G127" s="35">
        <f t="shared" si="46"/>
        <v>0</v>
      </c>
    </row>
    <row r="128" spans="1:7" hidden="1" outlineLevel="1">
      <c r="A128">
        <f t="shared" si="44"/>
        <v>4</v>
      </c>
      <c r="B128">
        <v>51</v>
      </c>
      <c r="C128" s="35">
        <f t="shared" si="46"/>
        <v>0</v>
      </c>
      <c r="D128" s="35">
        <f t="shared" si="46"/>
        <v>0</v>
      </c>
      <c r="E128" s="35">
        <f t="shared" si="46"/>
        <v>0</v>
      </c>
      <c r="F128" s="35">
        <f t="shared" si="46"/>
        <v>0</v>
      </c>
      <c r="G128" s="35">
        <f t="shared" si="46"/>
        <v>0</v>
      </c>
    </row>
    <row r="129" spans="1:7" hidden="1" outlineLevel="1">
      <c r="A129">
        <f t="shared" si="44"/>
        <v>4</v>
      </c>
      <c r="B129">
        <v>52</v>
      </c>
      <c r="C129" s="35">
        <f t="shared" si="46"/>
        <v>0</v>
      </c>
      <c r="D129" s="35">
        <f t="shared" si="46"/>
        <v>0</v>
      </c>
      <c r="E129" s="35">
        <f t="shared" si="46"/>
        <v>0</v>
      </c>
      <c r="F129" s="35">
        <f t="shared" si="46"/>
        <v>0</v>
      </c>
      <c r="G129" s="35">
        <f t="shared" si="46"/>
        <v>0</v>
      </c>
    </row>
    <row r="130" spans="1:7" hidden="1" outlineLevel="1">
      <c r="A130">
        <f t="shared" si="44"/>
        <v>4</v>
      </c>
      <c r="B130">
        <v>53</v>
      </c>
      <c r="C130" s="35">
        <f t="shared" si="46"/>
        <v>0</v>
      </c>
      <c r="D130" s="35">
        <f t="shared" si="46"/>
        <v>0</v>
      </c>
      <c r="E130" s="35">
        <f t="shared" si="46"/>
        <v>0</v>
      </c>
      <c r="F130" s="35">
        <f t="shared" si="46"/>
        <v>0</v>
      </c>
      <c r="G130" s="35">
        <f t="shared" si="46"/>
        <v>0</v>
      </c>
    </row>
    <row r="131" spans="1:7" hidden="1" outlineLevel="1">
      <c r="A131">
        <f t="shared" si="44"/>
        <v>5</v>
      </c>
      <c r="B131">
        <v>54</v>
      </c>
      <c r="C131" s="35">
        <f t="shared" si="46"/>
        <v>0</v>
      </c>
      <c r="D131" s="35">
        <f t="shared" si="46"/>
        <v>0</v>
      </c>
      <c r="E131" s="35">
        <f t="shared" si="46"/>
        <v>0</v>
      </c>
      <c r="F131" s="35">
        <f t="shared" si="46"/>
        <v>0</v>
      </c>
      <c r="G131" s="35">
        <f t="shared" si="46"/>
        <v>0</v>
      </c>
    </row>
    <row r="132" spans="1:7" hidden="1" outlineLevel="1">
      <c r="A132">
        <f t="shared" si="44"/>
        <v>5</v>
      </c>
      <c r="B132">
        <v>55</v>
      </c>
      <c r="C132" s="35">
        <f t="shared" si="46"/>
        <v>0</v>
      </c>
      <c r="D132" s="35">
        <f t="shared" si="46"/>
        <v>0</v>
      </c>
      <c r="E132" s="35">
        <f t="shared" si="46"/>
        <v>0</v>
      </c>
      <c r="F132" s="35">
        <f t="shared" si="46"/>
        <v>0</v>
      </c>
      <c r="G132" s="35">
        <f t="shared" si="46"/>
        <v>0</v>
      </c>
    </row>
    <row r="133" spans="1:7" hidden="1" outlineLevel="1">
      <c r="A133">
        <f t="shared" si="44"/>
        <v>5</v>
      </c>
      <c r="B133">
        <v>56</v>
      </c>
      <c r="C133" s="35">
        <f t="shared" si="46"/>
        <v>0</v>
      </c>
      <c r="D133" s="35">
        <f t="shared" si="46"/>
        <v>0</v>
      </c>
      <c r="E133" s="35">
        <f t="shared" si="46"/>
        <v>0</v>
      </c>
      <c r="F133" s="35">
        <f t="shared" si="46"/>
        <v>0</v>
      </c>
      <c r="G133" s="35">
        <f t="shared" si="46"/>
        <v>0</v>
      </c>
    </row>
    <row r="134" spans="1:7" hidden="1" outlineLevel="1">
      <c r="A134">
        <f t="shared" si="44"/>
        <v>5</v>
      </c>
      <c r="B134">
        <v>57</v>
      </c>
      <c r="C134" s="35">
        <f t="shared" si="46"/>
        <v>0</v>
      </c>
      <c r="D134" s="35">
        <f t="shared" si="46"/>
        <v>0</v>
      </c>
      <c r="E134" s="35">
        <f t="shared" si="46"/>
        <v>0</v>
      </c>
      <c r="F134" s="35">
        <f t="shared" si="46"/>
        <v>0</v>
      </c>
      <c r="G134" s="35">
        <f t="shared" si="46"/>
        <v>0</v>
      </c>
    </row>
    <row r="135" spans="1:7" hidden="1" outlineLevel="1">
      <c r="A135">
        <f t="shared" si="44"/>
        <v>5</v>
      </c>
      <c r="B135">
        <v>58</v>
      </c>
      <c r="C135" s="35">
        <f t="shared" si="46"/>
        <v>0</v>
      </c>
      <c r="D135" s="35">
        <f t="shared" si="46"/>
        <v>0</v>
      </c>
      <c r="E135" s="35">
        <f t="shared" si="46"/>
        <v>0</v>
      </c>
      <c r="F135" s="35">
        <f t="shared" si="46"/>
        <v>0</v>
      </c>
      <c r="G135" s="35">
        <f t="shared" si="46"/>
        <v>0</v>
      </c>
    </row>
    <row r="136" spans="1:7" hidden="1" outlineLevel="1">
      <c r="A136">
        <f t="shared" si="44"/>
        <v>5</v>
      </c>
      <c r="B136">
        <v>59</v>
      </c>
      <c r="C136" s="35">
        <f t="shared" si="46"/>
        <v>0</v>
      </c>
      <c r="D136" s="35">
        <f t="shared" si="46"/>
        <v>0</v>
      </c>
      <c r="E136" s="35">
        <f t="shared" si="46"/>
        <v>0</v>
      </c>
      <c r="F136" s="35">
        <f t="shared" si="46"/>
        <v>0</v>
      </c>
      <c r="G136" s="35">
        <f t="shared" si="46"/>
        <v>0</v>
      </c>
    </row>
    <row r="137" spans="1:7" hidden="1" outlineLevel="1">
      <c r="A137">
        <f t="shared" si="44"/>
        <v>5</v>
      </c>
      <c r="B137">
        <v>60</v>
      </c>
      <c r="C137" s="35">
        <f t="shared" si="46"/>
        <v>0</v>
      </c>
      <c r="D137" s="35">
        <f t="shared" si="46"/>
        <v>0</v>
      </c>
      <c r="E137" s="35">
        <f t="shared" si="46"/>
        <v>0</v>
      </c>
      <c r="F137" s="35">
        <f t="shared" si="46"/>
        <v>0</v>
      </c>
      <c r="G137" s="35">
        <f t="shared" si="46"/>
        <v>0</v>
      </c>
    </row>
    <row r="138" spans="1:7" hidden="1" outlineLevel="1">
      <c r="A138">
        <f t="shared" si="44"/>
        <v>5</v>
      </c>
      <c r="B138">
        <v>61</v>
      </c>
      <c r="C138" s="35">
        <f t="shared" si="46"/>
        <v>0</v>
      </c>
      <c r="D138" s="35">
        <f t="shared" si="46"/>
        <v>0</v>
      </c>
      <c r="E138" s="35">
        <f t="shared" si="46"/>
        <v>0</v>
      </c>
      <c r="F138" s="35">
        <f t="shared" si="46"/>
        <v>0</v>
      </c>
      <c r="G138" s="35">
        <f t="shared" si="46"/>
        <v>0</v>
      </c>
    </row>
    <row r="139" spans="1:7" hidden="1" outlineLevel="1">
      <c r="A139">
        <f t="shared" si="44"/>
        <v>5</v>
      </c>
      <c r="B139">
        <v>62</v>
      </c>
      <c r="C139" s="35">
        <f t="shared" si="46"/>
        <v>0</v>
      </c>
      <c r="D139" s="35">
        <f t="shared" si="46"/>
        <v>0</v>
      </c>
      <c r="E139" s="35">
        <f t="shared" si="46"/>
        <v>0</v>
      </c>
      <c r="F139" s="35">
        <f t="shared" si="46"/>
        <v>0</v>
      </c>
      <c r="G139" s="35">
        <f t="shared" si="46"/>
        <v>0</v>
      </c>
    </row>
    <row r="140" spans="1:7" hidden="1" outlineLevel="1">
      <c r="A140">
        <f t="shared" si="44"/>
        <v>5</v>
      </c>
      <c r="B140">
        <v>63</v>
      </c>
      <c r="C140" s="35">
        <f t="shared" si="46"/>
        <v>0</v>
      </c>
      <c r="D140" s="35">
        <f t="shared" si="46"/>
        <v>0</v>
      </c>
      <c r="E140" s="35">
        <f t="shared" si="46"/>
        <v>0</v>
      </c>
      <c r="F140" s="35">
        <f t="shared" si="46"/>
        <v>0</v>
      </c>
      <c r="G140" s="35">
        <f t="shared" si="46"/>
        <v>0</v>
      </c>
    </row>
    <row r="141" spans="1:7" hidden="1" outlineLevel="1">
      <c r="A141">
        <f t="shared" si="44"/>
        <v>5</v>
      </c>
      <c r="B141">
        <v>64</v>
      </c>
      <c r="C141" s="35">
        <f t="shared" si="46"/>
        <v>0</v>
      </c>
      <c r="D141" s="35">
        <f t="shared" si="46"/>
        <v>0</v>
      </c>
      <c r="E141" s="35">
        <f t="shared" si="46"/>
        <v>0</v>
      </c>
      <c r="F141" s="35">
        <f t="shared" si="46"/>
        <v>0</v>
      </c>
      <c r="G141" s="35">
        <f t="shared" si="46"/>
        <v>0</v>
      </c>
    </row>
    <row r="142" spans="1:7" hidden="1" outlineLevel="1">
      <c r="A142">
        <f t="shared" si="44"/>
        <v>5</v>
      </c>
      <c r="B142">
        <v>65</v>
      </c>
      <c r="C142" s="35">
        <f t="shared" si="46"/>
        <v>0</v>
      </c>
      <c r="D142" s="35">
        <f t="shared" si="46"/>
        <v>0</v>
      </c>
      <c r="E142" s="35">
        <f t="shared" si="46"/>
        <v>0</v>
      </c>
      <c r="F142" s="35">
        <f t="shared" si="46"/>
        <v>0</v>
      </c>
      <c r="G142" s="35">
        <f t="shared" si="46"/>
        <v>0</v>
      </c>
    </row>
    <row r="143" spans="1:7" hidden="1" outlineLevel="1">
      <c r="A143">
        <f t="shared" ref="A143:A206" si="47">ROUND(B143/12,0)</f>
        <v>6</v>
      </c>
      <c r="B143">
        <v>66</v>
      </c>
      <c r="C143" s="35">
        <f t="shared" ref="C143:G174" si="48">((C$58-(($B143-1)*C$62))*C$61)</f>
        <v>0</v>
      </c>
      <c r="D143" s="35">
        <f t="shared" si="48"/>
        <v>0</v>
      </c>
      <c r="E143" s="35">
        <f t="shared" si="48"/>
        <v>0</v>
      </c>
      <c r="F143" s="35">
        <f t="shared" si="48"/>
        <v>0</v>
      </c>
      <c r="G143" s="35">
        <f t="shared" si="48"/>
        <v>0</v>
      </c>
    </row>
    <row r="144" spans="1:7" hidden="1" outlineLevel="1">
      <c r="A144">
        <f t="shared" si="47"/>
        <v>6</v>
      </c>
      <c r="B144">
        <v>67</v>
      </c>
      <c r="C144" s="35">
        <f t="shared" si="48"/>
        <v>0</v>
      </c>
      <c r="D144" s="35">
        <f t="shared" si="48"/>
        <v>0</v>
      </c>
      <c r="E144" s="35">
        <f t="shared" si="48"/>
        <v>0</v>
      </c>
      <c r="F144" s="35">
        <f t="shared" si="48"/>
        <v>0</v>
      </c>
      <c r="G144" s="35">
        <f t="shared" si="48"/>
        <v>0</v>
      </c>
    </row>
    <row r="145" spans="1:7" hidden="1" outlineLevel="1">
      <c r="A145">
        <f t="shared" si="47"/>
        <v>6</v>
      </c>
      <c r="B145">
        <v>68</v>
      </c>
      <c r="C145" s="35">
        <f t="shared" si="48"/>
        <v>0</v>
      </c>
      <c r="D145" s="35">
        <f t="shared" si="48"/>
        <v>0</v>
      </c>
      <c r="E145" s="35">
        <f t="shared" si="48"/>
        <v>0</v>
      </c>
      <c r="F145" s="35">
        <f t="shared" si="48"/>
        <v>0</v>
      </c>
      <c r="G145" s="35">
        <f t="shared" si="48"/>
        <v>0</v>
      </c>
    </row>
    <row r="146" spans="1:7" hidden="1" outlineLevel="1">
      <c r="A146">
        <f t="shared" si="47"/>
        <v>6</v>
      </c>
      <c r="B146">
        <v>69</v>
      </c>
      <c r="C146" s="35">
        <f t="shared" si="48"/>
        <v>0</v>
      </c>
      <c r="D146" s="35">
        <f t="shared" si="48"/>
        <v>0</v>
      </c>
      <c r="E146" s="35">
        <f t="shared" si="48"/>
        <v>0</v>
      </c>
      <c r="F146" s="35">
        <f t="shared" si="48"/>
        <v>0</v>
      </c>
      <c r="G146" s="35">
        <f t="shared" si="48"/>
        <v>0</v>
      </c>
    </row>
    <row r="147" spans="1:7" hidden="1" outlineLevel="1">
      <c r="A147">
        <f t="shared" si="47"/>
        <v>6</v>
      </c>
      <c r="B147">
        <v>70</v>
      </c>
      <c r="C147" s="35">
        <f t="shared" si="48"/>
        <v>0</v>
      </c>
      <c r="D147" s="35">
        <f t="shared" si="48"/>
        <v>0</v>
      </c>
      <c r="E147" s="35">
        <f t="shared" si="48"/>
        <v>0</v>
      </c>
      <c r="F147" s="35">
        <f t="shared" si="48"/>
        <v>0</v>
      </c>
      <c r="G147" s="35">
        <f t="shared" si="48"/>
        <v>0</v>
      </c>
    </row>
    <row r="148" spans="1:7" hidden="1" outlineLevel="1">
      <c r="A148">
        <f t="shared" si="47"/>
        <v>6</v>
      </c>
      <c r="B148">
        <v>71</v>
      </c>
      <c r="C148" s="35">
        <f t="shared" si="48"/>
        <v>0</v>
      </c>
      <c r="D148" s="35">
        <f t="shared" si="48"/>
        <v>0</v>
      </c>
      <c r="E148" s="35">
        <f t="shared" si="48"/>
        <v>0</v>
      </c>
      <c r="F148" s="35">
        <f t="shared" si="48"/>
        <v>0</v>
      </c>
      <c r="G148" s="35">
        <f t="shared" si="48"/>
        <v>0</v>
      </c>
    </row>
    <row r="149" spans="1:7" hidden="1" outlineLevel="1">
      <c r="A149">
        <f t="shared" si="47"/>
        <v>6</v>
      </c>
      <c r="B149">
        <v>72</v>
      </c>
      <c r="C149" s="35">
        <f t="shared" si="48"/>
        <v>0</v>
      </c>
      <c r="D149" s="35">
        <f t="shared" si="48"/>
        <v>0</v>
      </c>
      <c r="E149" s="35">
        <f t="shared" si="48"/>
        <v>0</v>
      </c>
      <c r="F149" s="35">
        <f t="shared" si="48"/>
        <v>0</v>
      </c>
      <c r="G149" s="35">
        <f t="shared" si="48"/>
        <v>0</v>
      </c>
    </row>
    <row r="150" spans="1:7" hidden="1" outlineLevel="1">
      <c r="A150">
        <f t="shared" si="47"/>
        <v>6</v>
      </c>
      <c r="B150">
        <v>73</v>
      </c>
      <c r="C150" s="35">
        <f t="shared" si="48"/>
        <v>0</v>
      </c>
      <c r="D150" s="35">
        <f t="shared" si="48"/>
        <v>0</v>
      </c>
      <c r="E150" s="35">
        <f t="shared" si="48"/>
        <v>0</v>
      </c>
      <c r="F150" s="35">
        <f t="shared" si="48"/>
        <v>0</v>
      </c>
      <c r="G150" s="35">
        <f t="shared" si="48"/>
        <v>0</v>
      </c>
    </row>
    <row r="151" spans="1:7" hidden="1" outlineLevel="1">
      <c r="A151">
        <f t="shared" si="47"/>
        <v>6</v>
      </c>
      <c r="B151">
        <v>74</v>
      </c>
      <c r="C151" s="35">
        <f t="shared" si="48"/>
        <v>0</v>
      </c>
      <c r="D151" s="35">
        <f t="shared" si="48"/>
        <v>0</v>
      </c>
      <c r="E151" s="35">
        <f t="shared" si="48"/>
        <v>0</v>
      </c>
      <c r="F151" s="35">
        <f t="shared" si="48"/>
        <v>0</v>
      </c>
      <c r="G151" s="35">
        <f t="shared" si="48"/>
        <v>0</v>
      </c>
    </row>
    <row r="152" spans="1:7" hidden="1" outlineLevel="1">
      <c r="A152">
        <f t="shared" si="47"/>
        <v>6</v>
      </c>
      <c r="B152">
        <v>75</v>
      </c>
      <c r="C152" s="35">
        <f t="shared" si="48"/>
        <v>0</v>
      </c>
      <c r="D152" s="35">
        <f t="shared" si="48"/>
        <v>0</v>
      </c>
      <c r="E152" s="35">
        <f t="shared" si="48"/>
        <v>0</v>
      </c>
      <c r="F152" s="35">
        <f t="shared" si="48"/>
        <v>0</v>
      </c>
      <c r="G152" s="35">
        <f t="shared" si="48"/>
        <v>0</v>
      </c>
    </row>
    <row r="153" spans="1:7" hidden="1" outlineLevel="1">
      <c r="A153">
        <f t="shared" si="47"/>
        <v>6</v>
      </c>
      <c r="B153">
        <v>76</v>
      </c>
      <c r="C153" s="35">
        <f t="shared" si="48"/>
        <v>0</v>
      </c>
      <c r="D153" s="35">
        <f t="shared" si="48"/>
        <v>0</v>
      </c>
      <c r="E153" s="35">
        <f t="shared" si="48"/>
        <v>0</v>
      </c>
      <c r="F153" s="35">
        <f t="shared" si="48"/>
        <v>0</v>
      </c>
      <c r="G153" s="35">
        <f t="shared" si="48"/>
        <v>0</v>
      </c>
    </row>
    <row r="154" spans="1:7" hidden="1" outlineLevel="1">
      <c r="A154">
        <f t="shared" si="47"/>
        <v>6</v>
      </c>
      <c r="B154">
        <v>77</v>
      </c>
      <c r="C154" s="35">
        <f t="shared" si="48"/>
        <v>0</v>
      </c>
      <c r="D154" s="35">
        <f t="shared" si="48"/>
        <v>0</v>
      </c>
      <c r="E154" s="35">
        <f t="shared" si="48"/>
        <v>0</v>
      </c>
      <c r="F154" s="35">
        <f t="shared" si="48"/>
        <v>0</v>
      </c>
      <c r="G154" s="35">
        <f t="shared" si="48"/>
        <v>0</v>
      </c>
    </row>
    <row r="155" spans="1:7" hidden="1" outlineLevel="1">
      <c r="A155">
        <f t="shared" si="47"/>
        <v>7</v>
      </c>
      <c r="B155">
        <v>78</v>
      </c>
      <c r="C155" s="35">
        <f t="shared" si="48"/>
        <v>0</v>
      </c>
      <c r="D155" s="35">
        <f t="shared" si="48"/>
        <v>0</v>
      </c>
      <c r="E155" s="35">
        <f t="shared" si="48"/>
        <v>0</v>
      </c>
      <c r="F155" s="35">
        <f t="shared" si="48"/>
        <v>0</v>
      </c>
      <c r="G155" s="35">
        <f t="shared" si="48"/>
        <v>0</v>
      </c>
    </row>
    <row r="156" spans="1:7" hidden="1" outlineLevel="1">
      <c r="A156">
        <f t="shared" si="47"/>
        <v>7</v>
      </c>
      <c r="B156">
        <v>79</v>
      </c>
      <c r="C156" s="35">
        <f t="shared" si="48"/>
        <v>0</v>
      </c>
      <c r="D156" s="35">
        <f t="shared" si="48"/>
        <v>0</v>
      </c>
      <c r="E156" s="35">
        <f t="shared" si="48"/>
        <v>0</v>
      </c>
      <c r="F156" s="35">
        <f t="shared" si="48"/>
        <v>0</v>
      </c>
      <c r="G156" s="35">
        <f t="shared" si="48"/>
        <v>0</v>
      </c>
    </row>
    <row r="157" spans="1:7" hidden="1" outlineLevel="1">
      <c r="A157">
        <f t="shared" si="47"/>
        <v>7</v>
      </c>
      <c r="B157">
        <v>80</v>
      </c>
      <c r="C157" s="35">
        <f t="shared" si="48"/>
        <v>0</v>
      </c>
      <c r="D157" s="35">
        <f t="shared" si="48"/>
        <v>0</v>
      </c>
      <c r="E157" s="35">
        <f t="shared" si="48"/>
        <v>0</v>
      </c>
      <c r="F157" s="35">
        <f t="shared" si="48"/>
        <v>0</v>
      </c>
      <c r="G157" s="35">
        <f t="shared" si="48"/>
        <v>0</v>
      </c>
    </row>
    <row r="158" spans="1:7" hidden="1" outlineLevel="1">
      <c r="A158">
        <f t="shared" si="47"/>
        <v>7</v>
      </c>
      <c r="B158">
        <v>81</v>
      </c>
      <c r="C158" s="35">
        <f t="shared" si="48"/>
        <v>0</v>
      </c>
      <c r="D158" s="35">
        <f t="shared" si="48"/>
        <v>0</v>
      </c>
      <c r="E158" s="35">
        <f t="shared" si="48"/>
        <v>0</v>
      </c>
      <c r="F158" s="35">
        <f t="shared" si="48"/>
        <v>0</v>
      </c>
      <c r="G158" s="35">
        <f t="shared" si="48"/>
        <v>0</v>
      </c>
    </row>
    <row r="159" spans="1:7" hidden="1" outlineLevel="1">
      <c r="A159">
        <f t="shared" si="47"/>
        <v>7</v>
      </c>
      <c r="B159">
        <v>82</v>
      </c>
      <c r="C159" s="35">
        <f t="shared" si="48"/>
        <v>0</v>
      </c>
      <c r="D159" s="35">
        <f t="shared" si="48"/>
        <v>0</v>
      </c>
      <c r="E159" s="35">
        <f t="shared" si="48"/>
        <v>0</v>
      </c>
      <c r="F159" s="35">
        <f t="shared" si="48"/>
        <v>0</v>
      </c>
      <c r="G159" s="35">
        <f t="shared" si="48"/>
        <v>0</v>
      </c>
    </row>
    <row r="160" spans="1:7" hidden="1" outlineLevel="1">
      <c r="A160">
        <f t="shared" si="47"/>
        <v>7</v>
      </c>
      <c r="B160">
        <v>83</v>
      </c>
      <c r="C160" s="35">
        <f t="shared" si="48"/>
        <v>0</v>
      </c>
      <c r="D160" s="35">
        <f t="shared" si="48"/>
        <v>0</v>
      </c>
      <c r="E160" s="35">
        <f t="shared" si="48"/>
        <v>0</v>
      </c>
      <c r="F160" s="35">
        <f t="shared" si="48"/>
        <v>0</v>
      </c>
      <c r="G160" s="35">
        <f t="shared" si="48"/>
        <v>0</v>
      </c>
    </row>
    <row r="161" spans="1:7" hidden="1" outlineLevel="1">
      <c r="A161">
        <f t="shared" si="47"/>
        <v>7</v>
      </c>
      <c r="B161">
        <v>84</v>
      </c>
      <c r="C161" s="35">
        <f t="shared" si="48"/>
        <v>0</v>
      </c>
      <c r="D161" s="35">
        <f t="shared" si="48"/>
        <v>0</v>
      </c>
      <c r="E161" s="35">
        <f t="shared" si="48"/>
        <v>0</v>
      </c>
      <c r="F161" s="35">
        <f t="shared" si="48"/>
        <v>0</v>
      </c>
      <c r="G161" s="35">
        <f t="shared" si="48"/>
        <v>0</v>
      </c>
    </row>
    <row r="162" spans="1:7" hidden="1" outlineLevel="1">
      <c r="A162">
        <f t="shared" si="47"/>
        <v>7</v>
      </c>
      <c r="B162">
        <v>85</v>
      </c>
      <c r="C162" s="35">
        <f t="shared" si="48"/>
        <v>0</v>
      </c>
      <c r="D162" s="35">
        <f t="shared" si="48"/>
        <v>0</v>
      </c>
      <c r="E162" s="35">
        <f t="shared" si="48"/>
        <v>0</v>
      </c>
      <c r="F162" s="35">
        <f t="shared" si="48"/>
        <v>0</v>
      </c>
      <c r="G162" s="35">
        <f t="shared" si="48"/>
        <v>0</v>
      </c>
    </row>
    <row r="163" spans="1:7" hidden="1" outlineLevel="1">
      <c r="A163">
        <f t="shared" si="47"/>
        <v>7</v>
      </c>
      <c r="B163">
        <v>86</v>
      </c>
      <c r="C163" s="35">
        <f t="shared" si="48"/>
        <v>0</v>
      </c>
      <c r="D163" s="35">
        <f t="shared" si="48"/>
        <v>0</v>
      </c>
      <c r="E163" s="35">
        <f t="shared" si="48"/>
        <v>0</v>
      </c>
      <c r="F163" s="35">
        <f t="shared" si="48"/>
        <v>0</v>
      </c>
      <c r="G163" s="35">
        <f t="shared" si="48"/>
        <v>0</v>
      </c>
    </row>
    <row r="164" spans="1:7" hidden="1" outlineLevel="1">
      <c r="A164">
        <f t="shared" si="47"/>
        <v>7</v>
      </c>
      <c r="B164">
        <v>87</v>
      </c>
      <c r="C164" s="35">
        <f t="shared" si="48"/>
        <v>0</v>
      </c>
      <c r="D164" s="35">
        <f t="shared" si="48"/>
        <v>0</v>
      </c>
      <c r="E164" s="35">
        <f t="shared" si="48"/>
        <v>0</v>
      </c>
      <c r="F164" s="35">
        <f t="shared" si="48"/>
        <v>0</v>
      </c>
      <c r="G164" s="35">
        <f t="shared" si="48"/>
        <v>0</v>
      </c>
    </row>
    <row r="165" spans="1:7" hidden="1" outlineLevel="1">
      <c r="A165">
        <f t="shared" si="47"/>
        <v>7</v>
      </c>
      <c r="B165">
        <v>88</v>
      </c>
      <c r="C165" s="35">
        <f t="shared" si="48"/>
        <v>0</v>
      </c>
      <c r="D165" s="35">
        <f t="shared" si="48"/>
        <v>0</v>
      </c>
      <c r="E165" s="35">
        <f t="shared" si="48"/>
        <v>0</v>
      </c>
      <c r="F165" s="35">
        <f t="shared" si="48"/>
        <v>0</v>
      </c>
      <c r="G165" s="35">
        <f t="shared" si="48"/>
        <v>0</v>
      </c>
    </row>
    <row r="166" spans="1:7" hidden="1" outlineLevel="1">
      <c r="A166">
        <f t="shared" si="47"/>
        <v>7</v>
      </c>
      <c r="B166">
        <v>89</v>
      </c>
      <c r="C166" s="35">
        <f t="shared" si="48"/>
        <v>0</v>
      </c>
      <c r="D166" s="35">
        <f t="shared" si="48"/>
        <v>0</v>
      </c>
      <c r="E166" s="35">
        <f t="shared" si="48"/>
        <v>0</v>
      </c>
      <c r="F166" s="35">
        <f t="shared" si="48"/>
        <v>0</v>
      </c>
      <c r="G166" s="35">
        <f t="shared" si="48"/>
        <v>0</v>
      </c>
    </row>
    <row r="167" spans="1:7" hidden="1" outlineLevel="1">
      <c r="A167">
        <f t="shared" si="47"/>
        <v>8</v>
      </c>
      <c r="B167">
        <v>90</v>
      </c>
      <c r="C167" s="35">
        <f t="shared" si="48"/>
        <v>0</v>
      </c>
      <c r="D167" s="35">
        <f t="shared" si="48"/>
        <v>0</v>
      </c>
      <c r="E167" s="35">
        <f t="shared" si="48"/>
        <v>0</v>
      </c>
      <c r="F167" s="35">
        <f t="shared" si="48"/>
        <v>0</v>
      </c>
      <c r="G167" s="35">
        <f t="shared" si="48"/>
        <v>0</v>
      </c>
    </row>
    <row r="168" spans="1:7" hidden="1" outlineLevel="1">
      <c r="A168">
        <f t="shared" si="47"/>
        <v>8</v>
      </c>
      <c r="B168">
        <v>91</v>
      </c>
      <c r="C168" s="35">
        <f t="shared" si="48"/>
        <v>0</v>
      </c>
      <c r="D168" s="35">
        <f t="shared" si="48"/>
        <v>0</v>
      </c>
      <c r="E168" s="35">
        <f t="shared" si="48"/>
        <v>0</v>
      </c>
      <c r="F168" s="35">
        <f t="shared" si="48"/>
        <v>0</v>
      </c>
      <c r="G168" s="35">
        <f t="shared" si="48"/>
        <v>0</v>
      </c>
    </row>
    <row r="169" spans="1:7" hidden="1" outlineLevel="1">
      <c r="A169">
        <f t="shared" si="47"/>
        <v>8</v>
      </c>
      <c r="B169">
        <v>92</v>
      </c>
      <c r="C169" s="35">
        <f t="shared" si="48"/>
        <v>0</v>
      </c>
      <c r="D169" s="35">
        <f t="shared" si="48"/>
        <v>0</v>
      </c>
      <c r="E169" s="35">
        <f t="shared" si="48"/>
        <v>0</v>
      </c>
      <c r="F169" s="35">
        <f t="shared" si="48"/>
        <v>0</v>
      </c>
      <c r="G169" s="35">
        <f t="shared" si="48"/>
        <v>0</v>
      </c>
    </row>
    <row r="170" spans="1:7" hidden="1" outlineLevel="1">
      <c r="A170">
        <f t="shared" si="47"/>
        <v>8</v>
      </c>
      <c r="B170">
        <v>93</v>
      </c>
      <c r="C170" s="35">
        <f t="shared" si="48"/>
        <v>0</v>
      </c>
      <c r="D170" s="35">
        <f t="shared" si="48"/>
        <v>0</v>
      </c>
      <c r="E170" s="35">
        <f t="shared" si="48"/>
        <v>0</v>
      </c>
      <c r="F170" s="35">
        <f t="shared" si="48"/>
        <v>0</v>
      </c>
      <c r="G170" s="35">
        <f t="shared" si="48"/>
        <v>0</v>
      </c>
    </row>
    <row r="171" spans="1:7" hidden="1" outlineLevel="1">
      <c r="A171">
        <f t="shared" si="47"/>
        <v>8</v>
      </c>
      <c r="B171">
        <v>94</v>
      </c>
      <c r="C171" s="35">
        <f t="shared" si="48"/>
        <v>0</v>
      </c>
      <c r="D171" s="35">
        <f t="shared" si="48"/>
        <v>0</v>
      </c>
      <c r="E171" s="35">
        <f t="shared" si="48"/>
        <v>0</v>
      </c>
      <c r="F171" s="35">
        <f t="shared" si="48"/>
        <v>0</v>
      </c>
      <c r="G171" s="35">
        <f t="shared" si="48"/>
        <v>0</v>
      </c>
    </row>
    <row r="172" spans="1:7" hidden="1" outlineLevel="1">
      <c r="A172">
        <f t="shared" si="47"/>
        <v>8</v>
      </c>
      <c r="B172">
        <v>95</v>
      </c>
      <c r="C172" s="35">
        <f t="shared" si="48"/>
        <v>0</v>
      </c>
      <c r="D172" s="35">
        <f t="shared" si="48"/>
        <v>0</v>
      </c>
      <c r="E172" s="35">
        <f t="shared" si="48"/>
        <v>0</v>
      </c>
      <c r="F172" s="35">
        <f t="shared" si="48"/>
        <v>0</v>
      </c>
      <c r="G172" s="35">
        <f t="shared" si="48"/>
        <v>0</v>
      </c>
    </row>
    <row r="173" spans="1:7" hidden="1" outlineLevel="1">
      <c r="A173">
        <f t="shared" si="47"/>
        <v>8</v>
      </c>
      <c r="B173">
        <v>96</v>
      </c>
      <c r="C173" s="35">
        <f t="shared" si="48"/>
        <v>0</v>
      </c>
      <c r="D173" s="35">
        <f t="shared" si="48"/>
        <v>0</v>
      </c>
      <c r="E173" s="35">
        <f t="shared" si="48"/>
        <v>0</v>
      </c>
      <c r="F173" s="35">
        <f t="shared" si="48"/>
        <v>0</v>
      </c>
      <c r="G173" s="35">
        <f t="shared" si="48"/>
        <v>0</v>
      </c>
    </row>
    <row r="174" spans="1:7" hidden="1" outlineLevel="1">
      <c r="A174">
        <f t="shared" si="47"/>
        <v>8</v>
      </c>
      <c r="B174">
        <v>97</v>
      </c>
      <c r="C174" s="35">
        <f t="shared" si="48"/>
        <v>0</v>
      </c>
      <c r="D174" s="35">
        <f t="shared" si="48"/>
        <v>0</v>
      </c>
      <c r="E174" s="35">
        <f t="shared" si="48"/>
        <v>0</v>
      </c>
      <c r="F174" s="35">
        <f t="shared" si="48"/>
        <v>0</v>
      </c>
      <c r="G174" s="35">
        <f t="shared" si="48"/>
        <v>0</v>
      </c>
    </row>
    <row r="175" spans="1:7" hidden="1" outlineLevel="1">
      <c r="A175">
        <f t="shared" si="47"/>
        <v>8</v>
      </c>
      <c r="B175">
        <v>98</v>
      </c>
      <c r="C175" s="35">
        <f t="shared" ref="C175:G203" si="49">((C$58-(($B175-1)*C$62))*C$61)</f>
        <v>0</v>
      </c>
      <c r="D175" s="35">
        <f t="shared" si="49"/>
        <v>0</v>
      </c>
      <c r="E175" s="35">
        <f t="shared" si="49"/>
        <v>0</v>
      </c>
      <c r="F175" s="35">
        <f t="shared" si="49"/>
        <v>0</v>
      </c>
      <c r="G175" s="35">
        <f t="shared" si="49"/>
        <v>0</v>
      </c>
    </row>
    <row r="176" spans="1:7" hidden="1" outlineLevel="1">
      <c r="A176">
        <f t="shared" si="47"/>
        <v>8</v>
      </c>
      <c r="B176">
        <v>99</v>
      </c>
      <c r="C176" s="35">
        <f t="shared" si="49"/>
        <v>0</v>
      </c>
      <c r="D176" s="35">
        <f t="shared" si="49"/>
        <v>0</v>
      </c>
      <c r="E176" s="35">
        <f t="shared" si="49"/>
        <v>0</v>
      </c>
      <c r="F176" s="35">
        <f t="shared" si="49"/>
        <v>0</v>
      </c>
      <c r="G176" s="35">
        <f t="shared" si="49"/>
        <v>0</v>
      </c>
    </row>
    <row r="177" spans="1:7" hidden="1" outlineLevel="1">
      <c r="A177">
        <f t="shared" si="47"/>
        <v>8</v>
      </c>
      <c r="B177">
        <v>100</v>
      </c>
      <c r="C177" s="35">
        <f t="shared" si="49"/>
        <v>0</v>
      </c>
      <c r="D177" s="35">
        <f t="shared" si="49"/>
        <v>0</v>
      </c>
      <c r="E177" s="35">
        <f t="shared" si="49"/>
        <v>0</v>
      </c>
      <c r="F177" s="35">
        <f t="shared" si="49"/>
        <v>0</v>
      </c>
      <c r="G177" s="35">
        <f t="shared" si="49"/>
        <v>0</v>
      </c>
    </row>
    <row r="178" spans="1:7" hidden="1" outlineLevel="1">
      <c r="A178">
        <f t="shared" si="47"/>
        <v>8</v>
      </c>
      <c r="B178">
        <v>101</v>
      </c>
      <c r="C178" s="35">
        <f t="shared" si="49"/>
        <v>0</v>
      </c>
      <c r="D178" s="35">
        <f t="shared" si="49"/>
        <v>0</v>
      </c>
      <c r="E178" s="35">
        <f t="shared" si="49"/>
        <v>0</v>
      </c>
      <c r="F178" s="35">
        <f t="shared" si="49"/>
        <v>0</v>
      </c>
      <c r="G178" s="35">
        <f t="shared" si="49"/>
        <v>0</v>
      </c>
    </row>
    <row r="179" spans="1:7" hidden="1" outlineLevel="1">
      <c r="A179">
        <f t="shared" si="47"/>
        <v>9</v>
      </c>
      <c r="B179">
        <v>102</v>
      </c>
      <c r="C179" s="35">
        <f t="shared" si="49"/>
        <v>0</v>
      </c>
      <c r="D179" s="35">
        <f t="shared" si="49"/>
        <v>0</v>
      </c>
      <c r="E179" s="35">
        <f t="shared" si="49"/>
        <v>0</v>
      </c>
      <c r="F179" s="35">
        <f t="shared" si="49"/>
        <v>0</v>
      </c>
      <c r="G179" s="35">
        <f t="shared" si="49"/>
        <v>0</v>
      </c>
    </row>
    <row r="180" spans="1:7" hidden="1" outlineLevel="1">
      <c r="A180">
        <f t="shared" si="47"/>
        <v>9</v>
      </c>
      <c r="B180">
        <v>103</v>
      </c>
      <c r="C180" s="35">
        <f t="shared" si="49"/>
        <v>0</v>
      </c>
      <c r="D180" s="35">
        <f t="shared" si="49"/>
        <v>0</v>
      </c>
      <c r="E180" s="35">
        <f t="shared" si="49"/>
        <v>0</v>
      </c>
      <c r="F180" s="35">
        <f t="shared" si="49"/>
        <v>0</v>
      </c>
      <c r="G180" s="35">
        <f t="shared" si="49"/>
        <v>0</v>
      </c>
    </row>
    <row r="181" spans="1:7" hidden="1" outlineLevel="1">
      <c r="A181">
        <f t="shared" si="47"/>
        <v>9</v>
      </c>
      <c r="B181">
        <v>104</v>
      </c>
      <c r="C181" s="35">
        <f t="shared" si="49"/>
        <v>0</v>
      </c>
      <c r="D181" s="35">
        <f t="shared" si="49"/>
        <v>0</v>
      </c>
      <c r="E181" s="35">
        <f t="shared" si="49"/>
        <v>0</v>
      </c>
      <c r="F181" s="35">
        <f t="shared" si="49"/>
        <v>0</v>
      </c>
      <c r="G181" s="35">
        <f t="shared" si="49"/>
        <v>0</v>
      </c>
    </row>
    <row r="182" spans="1:7" hidden="1" outlineLevel="1">
      <c r="A182">
        <f t="shared" si="47"/>
        <v>9</v>
      </c>
      <c r="B182">
        <v>105</v>
      </c>
      <c r="C182" s="35">
        <f t="shared" si="49"/>
        <v>0</v>
      </c>
      <c r="D182" s="35">
        <f t="shared" si="49"/>
        <v>0</v>
      </c>
      <c r="E182" s="35">
        <f t="shared" si="49"/>
        <v>0</v>
      </c>
      <c r="F182" s="35">
        <f t="shared" si="49"/>
        <v>0</v>
      </c>
      <c r="G182" s="35">
        <f t="shared" si="49"/>
        <v>0</v>
      </c>
    </row>
    <row r="183" spans="1:7" hidden="1" outlineLevel="1">
      <c r="A183">
        <f t="shared" si="47"/>
        <v>9</v>
      </c>
      <c r="B183">
        <v>106</v>
      </c>
      <c r="C183" s="35">
        <f t="shared" si="49"/>
        <v>0</v>
      </c>
      <c r="D183" s="35">
        <f t="shared" si="49"/>
        <v>0</v>
      </c>
      <c r="E183" s="35">
        <f t="shared" si="49"/>
        <v>0</v>
      </c>
      <c r="F183" s="35">
        <f t="shared" si="49"/>
        <v>0</v>
      </c>
      <c r="G183" s="35">
        <f t="shared" si="49"/>
        <v>0</v>
      </c>
    </row>
    <row r="184" spans="1:7" hidden="1" outlineLevel="1">
      <c r="A184">
        <f t="shared" si="47"/>
        <v>9</v>
      </c>
      <c r="B184">
        <v>107</v>
      </c>
      <c r="C184" s="35">
        <f t="shared" si="49"/>
        <v>0</v>
      </c>
      <c r="D184" s="35">
        <f t="shared" si="49"/>
        <v>0</v>
      </c>
      <c r="E184" s="35">
        <f t="shared" si="49"/>
        <v>0</v>
      </c>
      <c r="F184" s="35">
        <f t="shared" si="49"/>
        <v>0</v>
      </c>
      <c r="G184" s="35">
        <f t="shared" si="49"/>
        <v>0</v>
      </c>
    </row>
    <row r="185" spans="1:7" hidden="1" outlineLevel="1">
      <c r="A185">
        <f t="shared" si="47"/>
        <v>9</v>
      </c>
      <c r="B185">
        <v>108</v>
      </c>
      <c r="C185" s="35">
        <f t="shared" si="49"/>
        <v>0</v>
      </c>
      <c r="D185" s="35">
        <f t="shared" si="49"/>
        <v>0</v>
      </c>
      <c r="E185" s="35">
        <f t="shared" si="49"/>
        <v>0</v>
      </c>
      <c r="F185" s="35">
        <f t="shared" si="49"/>
        <v>0</v>
      </c>
      <c r="G185" s="35">
        <f t="shared" si="49"/>
        <v>0</v>
      </c>
    </row>
    <row r="186" spans="1:7" hidden="1" outlineLevel="1">
      <c r="A186">
        <f t="shared" si="47"/>
        <v>9</v>
      </c>
      <c r="B186">
        <v>109</v>
      </c>
      <c r="C186" s="35">
        <f t="shared" si="49"/>
        <v>0</v>
      </c>
      <c r="D186" s="35">
        <f t="shared" si="49"/>
        <v>0</v>
      </c>
      <c r="E186" s="35">
        <f t="shared" si="49"/>
        <v>0</v>
      </c>
      <c r="F186" s="35">
        <f t="shared" si="49"/>
        <v>0</v>
      </c>
      <c r="G186" s="35">
        <f t="shared" si="49"/>
        <v>0</v>
      </c>
    </row>
    <row r="187" spans="1:7" hidden="1" outlineLevel="1">
      <c r="A187">
        <f t="shared" si="47"/>
        <v>9</v>
      </c>
      <c r="B187">
        <v>110</v>
      </c>
      <c r="C187" s="35">
        <f t="shared" si="49"/>
        <v>0</v>
      </c>
      <c r="D187" s="35">
        <f t="shared" si="49"/>
        <v>0</v>
      </c>
      <c r="E187" s="35">
        <f t="shared" si="49"/>
        <v>0</v>
      </c>
      <c r="F187" s="35">
        <f t="shared" si="49"/>
        <v>0</v>
      </c>
      <c r="G187" s="35">
        <f t="shared" si="49"/>
        <v>0</v>
      </c>
    </row>
    <row r="188" spans="1:7" hidden="1" outlineLevel="1">
      <c r="A188">
        <f t="shared" si="47"/>
        <v>9</v>
      </c>
      <c r="B188">
        <v>111</v>
      </c>
      <c r="C188" s="35">
        <f t="shared" si="49"/>
        <v>0</v>
      </c>
      <c r="D188" s="35">
        <f t="shared" si="49"/>
        <v>0</v>
      </c>
      <c r="E188" s="35">
        <f t="shared" si="49"/>
        <v>0</v>
      </c>
      <c r="F188" s="35">
        <f t="shared" si="49"/>
        <v>0</v>
      </c>
      <c r="G188" s="35">
        <f t="shared" si="49"/>
        <v>0</v>
      </c>
    </row>
    <row r="189" spans="1:7" hidden="1" outlineLevel="1">
      <c r="A189">
        <f t="shared" si="47"/>
        <v>9</v>
      </c>
      <c r="B189">
        <v>112</v>
      </c>
      <c r="C189" s="35">
        <f t="shared" si="49"/>
        <v>0</v>
      </c>
      <c r="D189" s="35">
        <f t="shared" si="49"/>
        <v>0</v>
      </c>
      <c r="E189" s="35">
        <f t="shared" si="49"/>
        <v>0</v>
      </c>
      <c r="F189" s="35">
        <f t="shared" si="49"/>
        <v>0</v>
      </c>
      <c r="G189" s="35">
        <f t="shared" si="49"/>
        <v>0</v>
      </c>
    </row>
    <row r="190" spans="1:7" hidden="1" outlineLevel="1">
      <c r="A190">
        <f t="shared" si="47"/>
        <v>9</v>
      </c>
      <c r="B190">
        <v>113</v>
      </c>
      <c r="C190" s="35">
        <f t="shared" si="49"/>
        <v>0</v>
      </c>
      <c r="D190" s="35">
        <f t="shared" si="49"/>
        <v>0</v>
      </c>
      <c r="E190" s="35">
        <f t="shared" si="49"/>
        <v>0</v>
      </c>
      <c r="F190" s="35">
        <f t="shared" si="49"/>
        <v>0</v>
      </c>
      <c r="G190" s="35">
        <f t="shared" si="49"/>
        <v>0</v>
      </c>
    </row>
    <row r="191" spans="1:7" hidden="1" outlineLevel="1">
      <c r="A191">
        <f t="shared" si="47"/>
        <v>10</v>
      </c>
      <c r="B191">
        <v>114</v>
      </c>
      <c r="C191" s="35">
        <f t="shared" si="49"/>
        <v>0</v>
      </c>
      <c r="D191" s="35">
        <f t="shared" si="49"/>
        <v>0</v>
      </c>
      <c r="E191" s="35">
        <f t="shared" si="49"/>
        <v>0</v>
      </c>
      <c r="F191" s="35">
        <f t="shared" si="49"/>
        <v>0</v>
      </c>
      <c r="G191" s="35">
        <f t="shared" si="49"/>
        <v>0</v>
      </c>
    </row>
    <row r="192" spans="1:7" hidden="1" outlineLevel="1">
      <c r="A192">
        <f t="shared" si="47"/>
        <v>10</v>
      </c>
      <c r="B192">
        <v>115</v>
      </c>
      <c r="C192" s="35">
        <f t="shared" si="49"/>
        <v>0</v>
      </c>
      <c r="D192" s="35">
        <f t="shared" si="49"/>
        <v>0</v>
      </c>
      <c r="E192" s="35">
        <f t="shared" si="49"/>
        <v>0</v>
      </c>
      <c r="F192" s="35">
        <f t="shared" si="49"/>
        <v>0</v>
      </c>
      <c r="G192" s="35">
        <f t="shared" si="49"/>
        <v>0</v>
      </c>
    </row>
    <row r="193" spans="1:7" hidden="1" outlineLevel="1">
      <c r="A193">
        <f t="shared" si="47"/>
        <v>10</v>
      </c>
      <c r="B193">
        <v>116</v>
      </c>
      <c r="C193" s="35">
        <f t="shared" si="49"/>
        <v>0</v>
      </c>
      <c r="D193" s="35">
        <f t="shared" si="49"/>
        <v>0</v>
      </c>
      <c r="E193" s="35">
        <f t="shared" si="49"/>
        <v>0</v>
      </c>
      <c r="F193" s="35">
        <f t="shared" si="49"/>
        <v>0</v>
      </c>
      <c r="G193" s="35">
        <f t="shared" si="49"/>
        <v>0</v>
      </c>
    </row>
    <row r="194" spans="1:7" hidden="1" outlineLevel="1">
      <c r="A194">
        <f t="shared" si="47"/>
        <v>10</v>
      </c>
      <c r="B194">
        <v>117</v>
      </c>
      <c r="C194" s="35">
        <f t="shared" si="49"/>
        <v>0</v>
      </c>
      <c r="D194" s="35">
        <f t="shared" si="49"/>
        <v>0</v>
      </c>
      <c r="E194" s="35">
        <f t="shared" si="49"/>
        <v>0</v>
      </c>
      <c r="F194" s="35">
        <f t="shared" si="49"/>
        <v>0</v>
      </c>
      <c r="G194" s="35">
        <f t="shared" si="49"/>
        <v>0</v>
      </c>
    </row>
    <row r="195" spans="1:7" hidden="1" outlineLevel="1">
      <c r="A195">
        <f t="shared" si="47"/>
        <v>10</v>
      </c>
      <c r="B195">
        <v>118</v>
      </c>
      <c r="C195" s="35">
        <f t="shared" si="49"/>
        <v>0</v>
      </c>
      <c r="D195" s="35">
        <f t="shared" si="49"/>
        <v>0</v>
      </c>
      <c r="E195" s="35">
        <f t="shared" si="49"/>
        <v>0</v>
      </c>
      <c r="F195" s="35">
        <f t="shared" si="49"/>
        <v>0</v>
      </c>
      <c r="G195" s="35">
        <f t="shared" si="49"/>
        <v>0</v>
      </c>
    </row>
    <row r="196" spans="1:7" hidden="1" outlineLevel="1">
      <c r="A196">
        <f t="shared" si="47"/>
        <v>10</v>
      </c>
      <c r="B196">
        <v>119</v>
      </c>
      <c r="C196" s="35">
        <f t="shared" si="49"/>
        <v>0</v>
      </c>
      <c r="D196" s="35">
        <f t="shared" si="49"/>
        <v>0</v>
      </c>
      <c r="E196" s="35">
        <f t="shared" si="49"/>
        <v>0</v>
      </c>
      <c r="F196" s="35">
        <f t="shared" si="49"/>
        <v>0</v>
      </c>
      <c r="G196" s="35">
        <f t="shared" si="49"/>
        <v>0</v>
      </c>
    </row>
    <row r="197" spans="1:7" hidden="1" outlineLevel="1">
      <c r="A197">
        <f t="shared" si="47"/>
        <v>10</v>
      </c>
      <c r="B197">
        <v>120</v>
      </c>
      <c r="C197" s="35">
        <f t="shared" si="49"/>
        <v>0</v>
      </c>
      <c r="D197" s="35">
        <f t="shared" si="49"/>
        <v>0</v>
      </c>
      <c r="E197" s="35">
        <f t="shared" si="49"/>
        <v>0</v>
      </c>
      <c r="F197" s="35">
        <f t="shared" si="49"/>
        <v>0</v>
      </c>
      <c r="G197" s="35">
        <f t="shared" si="49"/>
        <v>0</v>
      </c>
    </row>
    <row r="198" spans="1:7" hidden="1" outlineLevel="1">
      <c r="A198">
        <f t="shared" si="47"/>
        <v>10</v>
      </c>
      <c r="B198">
        <v>121</v>
      </c>
      <c r="C198" s="35">
        <f t="shared" si="49"/>
        <v>0</v>
      </c>
      <c r="D198" s="35">
        <f t="shared" si="49"/>
        <v>0</v>
      </c>
      <c r="E198" s="35">
        <f t="shared" si="49"/>
        <v>0</v>
      </c>
      <c r="F198" s="35">
        <f t="shared" si="49"/>
        <v>0</v>
      </c>
      <c r="G198" s="35">
        <f t="shared" si="49"/>
        <v>0</v>
      </c>
    </row>
    <row r="199" spans="1:7" hidden="1" outlineLevel="1">
      <c r="A199">
        <f t="shared" si="47"/>
        <v>10</v>
      </c>
      <c r="B199">
        <v>122</v>
      </c>
      <c r="C199" s="35">
        <f t="shared" si="49"/>
        <v>0</v>
      </c>
      <c r="D199" s="35">
        <f t="shared" si="49"/>
        <v>0</v>
      </c>
      <c r="E199" s="35">
        <f t="shared" si="49"/>
        <v>0</v>
      </c>
      <c r="F199" s="35">
        <f t="shared" si="49"/>
        <v>0</v>
      </c>
      <c r="G199" s="35">
        <f t="shared" si="49"/>
        <v>0</v>
      </c>
    </row>
    <row r="200" spans="1:7" hidden="1" outlineLevel="1">
      <c r="A200">
        <f t="shared" si="47"/>
        <v>10</v>
      </c>
      <c r="B200">
        <v>123</v>
      </c>
      <c r="C200" s="35">
        <f t="shared" si="49"/>
        <v>0</v>
      </c>
      <c r="D200" s="35">
        <f t="shared" si="49"/>
        <v>0</v>
      </c>
      <c r="E200" s="35">
        <f t="shared" si="49"/>
        <v>0</v>
      </c>
      <c r="F200" s="35">
        <f t="shared" si="49"/>
        <v>0</v>
      </c>
      <c r="G200" s="35">
        <f t="shared" si="49"/>
        <v>0</v>
      </c>
    </row>
    <row r="201" spans="1:7" hidden="1" outlineLevel="1">
      <c r="A201">
        <f t="shared" si="47"/>
        <v>10</v>
      </c>
      <c r="B201">
        <v>124</v>
      </c>
      <c r="C201" s="35">
        <f t="shared" si="49"/>
        <v>0</v>
      </c>
      <c r="D201" s="35">
        <f t="shared" si="49"/>
        <v>0</v>
      </c>
      <c r="E201" s="35">
        <f t="shared" si="49"/>
        <v>0</v>
      </c>
      <c r="F201" s="35">
        <f t="shared" si="49"/>
        <v>0</v>
      </c>
      <c r="G201" s="35">
        <f t="shared" si="49"/>
        <v>0</v>
      </c>
    </row>
    <row r="202" spans="1:7" hidden="1" outlineLevel="1">
      <c r="A202">
        <f t="shared" si="47"/>
        <v>10</v>
      </c>
      <c r="B202">
        <v>125</v>
      </c>
      <c r="C202" s="35">
        <f t="shared" si="49"/>
        <v>0</v>
      </c>
      <c r="D202" s="35">
        <f t="shared" si="49"/>
        <v>0</v>
      </c>
      <c r="E202" s="35">
        <f t="shared" si="49"/>
        <v>0</v>
      </c>
      <c r="F202" s="35">
        <f t="shared" si="49"/>
        <v>0</v>
      </c>
      <c r="G202" s="35">
        <f t="shared" si="49"/>
        <v>0</v>
      </c>
    </row>
    <row r="203" spans="1:7" hidden="1" outlineLevel="1">
      <c r="A203">
        <f t="shared" si="47"/>
        <v>11</v>
      </c>
      <c r="B203">
        <v>126</v>
      </c>
      <c r="C203" s="35">
        <f t="shared" si="49"/>
        <v>0</v>
      </c>
      <c r="D203" s="35">
        <f t="shared" si="49"/>
        <v>0</v>
      </c>
      <c r="E203" s="35">
        <f t="shared" si="49"/>
        <v>0</v>
      </c>
      <c r="F203" s="35">
        <f t="shared" si="49"/>
        <v>0</v>
      </c>
      <c r="G203" s="35"/>
    </row>
    <row r="204" spans="1:7" hidden="1" outlineLevel="1">
      <c r="A204">
        <f t="shared" si="47"/>
        <v>11</v>
      </c>
      <c r="B204">
        <v>127</v>
      </c>
      <c r="C204" s="35">
        <f t="shared" ref="C204:F267" si="50">((C$58-(($B204-1)*C$62))*C$61)</f>
        <v>0</v>
      </c>
      <c r="D204" s="35">
        <f t="shared" si="50"/>
        <v>0</v>
      </c>
      <c r="E204" s="35">
        <f t="shared" si="50"/>
        <v>0</v>
      </c>
      <c r="F204" s="35">
        <f t="shared" si="50"/>
        <v>0</v>
      </c>
      <c r="G204" s="35"/>
    </row>
    <row r="205" spans="1:7" hidden="1" outlineLevel="1">
      <c r="A205">
        <f t="shared" si="47"/>
        <v>11</v>
      </c>
      <c r="B205">
        <v>128</v>
      </c>
      <c r="C205" s="35">
        <f t="shared" si="50"/>
        <v>0</v>
      </c>
      <c r="D205" s="35">
        <f t="shared" si="50"/>
        <v>0</v>
      </c>
      <c r="E205" s="35">
        <f t="shared" si="50"/>
        <v>0</v>
      </c>
      <c r="F205" s="35">
        <f t="shared" si="50"/>
        <v>0</v>
      </c>
      <c r="G205" s="35"/>
    </row>
    <row r="206" spans="1:7" hidden="1" outlineLevel="1">
      <c r="A206">
        <f t="shared" si="47"/>
        <v>11</v>
      </c>
      <c r="B206">
        <v>129</v>
      </c>
      <c r="C206" s="35">
        <f t="shared" si="50"/>
        <v>0</v>
      </c>
      <c r="D206" s="35">
        <f t="shared" si="50"/>
        <v>0</v>
      </c>
      <c r="E206" s="35">
        <f t="shared" si="50"/>
        <v>0</v>
      </c>
      <c r="F206" s="35">
        <f t="shared" si="50"/>
        <v>0</v>
      </c>
      <c r="G206" s="35"/>
    </row>
    <row r="207" spans="1:7" hidden="1" outlineLevel="1">
      <c r="A207">
        <f t="shared" ref="A207:A270" si="51">ROUND(B207/12,0)</f>
        <v>11</v>
      </c>
      <c r="B207">
        <v>130</v>
      </c>
      <c r="C207" s="35">
        <f t="shared" si="50"/>
        <v>0</v>
      </c>
      <c r="D207" s="35">
        <f t="shared" si="50"/>
        <v>0</v>
      </c>
      <c r="E207" s="35">
        <f t="shared" si="50"/>
        <v>0</v>
      </c>
      <c r="F207" s="35">
        <f t="shared" si="50"/>
        <v>0</v>
      </c>
      <c r="G207" s="35"/>
    </row>
    <row r="208" spans="1:7" hidden="1" outlineLevel="1">
      <c r="A208">
        <f t="shared" si="51"/>
        <v>11</v>
      </c>
      <c r="B208">
        <v>131</v>
      </c>
      <c r="C208" s="35">
        <f t="shared" si="50"/>
        <v>0</v>
      </c>
      <c r="D208" s="35">
        <f t="shared" si="50"/>
        <v>0</v>
      </c>
      <c r="E208" s="35">
        <f t="shared" si="50"/>
        <v>0</v>
      </c>
      <c r="F208" s="35">
        <f t="shared" si="50"/>
        <v>0</v>
      </c>
      <c r="G208" s="35"/>
    </row>
    <row r="209" spans="1:7" hidden="1" outlineLevel="1">
      <c r="A209">
        <f t="shared" si="51"/>
        <v>11</v>
      </c>
      <c r="B209">
        <v>132</v>
      </c>
      <c r="C209" s="35">
        <f t="shared" si="50"/>
        <v>0</v>
      </c>
      <c r="D209" s="35">
        <f t="shared" si="50"/>
        <v>0</v>
      </c>
      <c r="E209" s="35">
        <f t="shared" si="50"/>
        <v>0</v>
      </c>
      <c r="F209" s="35">
        <f t="shared" si="50"/>
        <v>0</v>
      </c>
      <c r="G209" s="35"/>
    </row>
    <row r="210" spans="1:7" hidden="1" outlineLevel="1">
      <c r="A210">
        <f t="shared" si="51"/>
        <v>11</v>
      </c>
      <c r="B210">
        <v>133</v>
      </c>
      <c r="C210" s="35">
        <f t="shared" si="50"/>
        <v>0</v>
      </c>
      <c r="D210" s="35">
        <f t="shared" si="50"/>
        <v>0</v>
      </c>
      <c r="E210" s="35">
        <f t="shared" si="50"/>
        <v>0</v>
      </c>
      <c r="F210" s="35">
        <f t="shared" si="50"/>
        <v>0</v>
      </c>
      <c r="G210" s="35"/>
    </row>
    <row r="211" spans="1:7" hidden="1" outlineLevel="1">
      <c r="A211">
        <f t="shared" si="51"/>
        <v>11</v>
      </c>
      <c r="B211">
        <v>134</v>
      </c>
      <c r="C211" s="35">
        <f t="shared" si="50"/>
        <v>0</v>
      </c>
      <c r="D211" s="35">
        <f t="shared" si="50"/>
        <v>0</v>
      </c>
      <c r="E211" s="35">
        <f t="shared" si="50"/>
        <v>0</v>
      </c>
      <c r="F211" s="35">
        <f t="shared" si="50"/>
        <v>0</v>
      </c>
      <c r="G211" s="35"/>
    </row>
    <row r="212" spans="1:7" hidden="1" outlineLevel="1">
      <c r="A212">
        <f t="shared" si="51"/>
        <v>11</v>
      </c>
      <c r="B212">
        <v>135</v>
      </c>
      <c r="C212" s="35">
        <f t="shared" si="50"/>
        <v>0</v>
      </c>
      <c r="D212" s="35">
        <f t="shared" si="50"/>
        <v>0</v>
      </c>
      <c r="E212" s="35">
        <f t="shared" si="50"/>
        <v>0</v>
      </c>
      <c r="F212" s="35">
        <f t="shared" si="50"/>
        <v>0</v>
      </c>
      <c r="G212" s="35"/>
    </row>
    <row r="213" spans="1:7" hidden="1" outlineLevel="1">
      <c r="A213">
        <f t="shared" si="51"/>
        <v>11</v>
      </c>
      <c r="B213">
        <v>136</v>
      </c>
      <c r="C213" s="35">
        <f t="shared" si="50"/>
        <v>0</v>
      </c>
      <c r="D213" s="35">
        <f t="shared" si="50"/>
        <v>0</v>
      </c>
      <c r="E213" s="35">
        <f t="shared" si="50"/>
        <v>0</v>
      </c>
      <c r="F213" s="35">
        <f t="shared" si="50"/>
        <v>0</v>
      </c>
      <c r="G213" s="35"/>
    </row>
    <row r="214" spans="1:7" hidden="1" outlineLevel="1">
      <c r="A214">
        <f t="shared" si="51"/>
        <v>11</v>
      </c>
      <c r="B214">
        <v>137</v>
      </c>
      <c r="C214" s="35">
        <f t="shared" si="50"/>
        <v>0</v>
      </c>
      <c r="D214" s="35">
        <f t="shared" si="50"/>
        <v>0</v>
      </c>
      <c r="E214" s="35">
        <f t="shared" si="50"/>
        <v>0</v>
      </c>
      <c r="F214" s="35">
        <f t="shared" si="50"/>
        <v>0</v>
      </c>
      <c r="G214" s="35"/>
    </row>
    <row r="215" spans="1:7" hidden="1" outlineLevel="1">
      <c r="A215">
        <f t="shared" si="51"/>
        <v>12</v>
      </c>
      <c r="B215">
        <v>138</v>
      </c>
      <c r="C215" s="35">
        <f t="shared" si="50"/>
        <v>0</v>
      </c>
      <c r="D215" s="35">
        <f t="shared" si="50"/>
        <v>0</v>
      </c>
      <c r="E215" s="35">
        <f t="shared" si="50"/>
        <v>0</v>
      </c>
      <c r="F215" s="35">
        <f t="shared" si="50"/>
        <v>0</v>
      </c>
      <c r="G215" s="35"/>
    </row>
    <row r="216" spans="1:7" hidden="1" outlineLevel="1">
      <c r="A216">
        <f t="shared" si="51"/>
        <v>12</v>
      </c>
      <c r="B216">
        <v>139</v>
      </c>
      <c r="C216" s="35">
        <f t="shared" si="50"/>
        <v>0</v>
      </c>
      <c r="D216" s="35">
        <f t="shared" si="50"/>
        <v>0</v>
      </c>
      <c r="E216" s="35">
        <f t="shared" si="50"/>
        <v>0</v>
      </c>
      <c r="F216" s="35">
        <f t="shared" si="50"/>
        <v>0</v>
      </c>
      <c r="G216" s="35"/>
    </row>
    <row r="217" spans="1:7" hidden="1" outlineLevel="1">
      <c r="A217">
        <f t="shared" si="51"/>
        <v>12</v>
      </c>
      <c r="B217">
        <v>140</v>
      </c>
      <c r="C217" s="35">
        <f t="shared" si="50"/>
        <v>0</v>
      </c>
      <c r="D217" s="35">
        <f t="shared" si="50"/>
        <v>0</v>
      </c>
      <c r="E217" s="35">
        <f t="shared" si="50"/>
        <v>0</v>
      </c>
      <c r="F217" s="35">
        <f t="shared" si="50"/>
        <v>0</v>
      </c>
      <c r="G217" s="35"/>
    </row>
    <row r="218" spans="1:7" hidden="1" outlineLevel="1">
      <c r="A218">
        <f t="shared" si="51"/>
        <v>12</v>
      </c>
      <c r="B218">
        <v>141</v>
      </c>
      <c r="C218" s="35">
        <f t="shared" si="50"/>
        <v>0</v>
      </c>
      <c r="D218" s="35">
        <f t="shared" si="50"/>
        <v>0</v>
      </c>
      <c r="E218" s="35">
        <f t="shared" si="50"/>
        <v>0</v>
      </c>
      <c r="F218" s="35">
        <f t="shared" si="50"/>
        <v>0</v>
      </c>
      <c r="G218" s="35"/>
    </row>
    <row r="219" spans="1:7" hidden="1" outlineLevel="1">
      <c r="A219">
        <f t="shared" si="51"/>
        <v>12</v>
      </c>
      <c r="B219">
        <v>142</v>
      </c>
      <c r="C219" s="35">
        <f t="shared" si="50"/>
        <v>0</v>
      </c>
      <c r="D219" s="35">
        <f t="shared" si="50"/>
        <v>0</v>
      </c>
      <c r="E219" s="35">
        <f t="shared" si="50"/>
        <v>0</v>
      </c>
      <c r="F219" s="35">
        <f t="shared" si="50"/>
        <v>0</v>
      </c>
      <c r="G219" s="35"/>
    </row>
    <row r="220" spans="1:7" hidden="1" outlineLevel="1">
      <c r="A220">
        <f t="shared" si="51"/>
        <v>12</v>
      </c>
      <c r="B220">
        <v>143</v>
      </c>
      <c r="C220" s="35">
        <f t="shared" si="50"/>
        <v>0</v>
      </c>
      <c r="D220" s="35">
        <f t="shared" si="50"/>
        <v>0</v>
      </c>
      <c r="E220" s="35">
        <f t="shared" si="50"/>
        <v>0</v>
      </c>
      <c r="F220" s="35">
        <f t="shared" si="50"/>
        <v>0</v>
      </c>
      <c r="G220" s="35"/>
    </row>
    <row r="221" spans="1:7" hidden="1" outlineLevel="1">
      <c r="A221">
        <f t="shared" si="51"/>
        <v>12</v>
      </c>
      <c r="B221">
        <v>144</v>
      </c>
      <c r="C221" s="35">
        <f t="shared" si="50"/>
        <v>0</v>
      </c>
      <c r="D221" s="35">
        <f t="shared" si="50"/>
        <v>0</v>
      </c>
      <c r="E221" s="35">
        <f t="shared" si="50"/>
        <v>0</v>
      </c>
      <c r="F221" s="35">
        <f t="shared" si="50"/>
        <v>0</v>
      </c>
      <c r="G221" s="35"/>
    </row>
    <row r="222" spans="1:7" hidden="1" outlineLevel="1">
      <c r="A222">
        <f t="shared" si="51"/>
        <v>12</v>
      </c>
      <c r="B222">
        <v>145</v>
      </c>
      <c r="C222" s="35">
        <f t="shared" si="50"/>
        <v>0</v>
      </c>
      <c r="D222" s="35">
        <f t="shared" si="50"/>
        <v>0</v>
      </c>
      <c r="E222" s="35">
        <f t="shared" si="50"/>
        <v>0</v>
      </c>
      <c r="F222" s="35">
        <f t="shared" si="50"/>
        <v>0</v>
      </c>
      <c r="G222" s="35"/>
    </row>
    <row r="223" spans="1:7" hidden="1" outlineLevel="1">
      <c r="A223">
        <f t="shared" si="51"/>
        <v>12</v>
      </c>
      <c r="B223">
        <v>146</v>
      </c>
      <c r="C223" s="35">
        <f t="shared" si="50"/>
        <v>0</v>
      </c>
      <c r="D223" s="35">
        <f t="shared" si="50"/>
        <v>0</v>
      </c>
      <c r="E223" s="35">
        <f t="shared" si="50"/>
        <v>0</v>
      </c>
      <c r="F223" s="35">
        <f t="shared" si="50"/>
        <v>0</v>
      </c>
      <c r="G223" s="35"/>
    </row>
    <row r="224" spans="1:7" hidden="1" outlineLevel="1">
      <c r="A224">
        <f t="shared" si="51"/>
        <v>12</v>
      </c>
      <c r="B224">
        <v>147</v>
      </c>
      <c r="C224" s="35">
        <f t="shared" si="50"/>
        <v>0</v>
      </c>
      <c r="D224" s="35">
        <f t="shared" si="50"/>
        <v>0</v>
      </c>
      <c r="E224" s="35">
        <f t="shared" si="50"/>
        <v>0</v>
      </c>
      <c r="F224" s="35">
        <f t="shared" si="50"/>
        <v>0</v>
      </c>
      <c r="G224" s="35"/>
    </row>
    <row r="225" spans="1:7" hidden="1" outlineLevel="1">
      <c r="A225">
        <f t="shared" si="51"/>
        <v>12</v>
      </c>
      <c r="B225">
        <v>148</v>
      </c>
      <c r="C225" s="35">
        <f t="shared" si="50"/>
        <v>0</v>
      </c>
      <c r="D225" s="35">
        <f t="shared" si="50"/>
        <v>0</v>
      </c>
      <c r="E225" s="35">
        <f t="shared" si="50"/>
        <v>0</v>
      </c>
      <c r="F225" s="35">
        <f t="shared" si="50"/>
        <v>0</v>
      </c>
      <c r="G225" s="35"/>
    </row>
    <row r="226" spans="1:7" hidden="1" outlineLevel="1">
      <c r="A226">
        <f t="shared" si="51"/>
        <v>12</v>
      </c>
      <c r="B226">
        <v>149</v>
      </c>
      <c r="C226" s="35">
        <f t="shared" si="50"/>
        <v>0</v>
      </c>
      <c r="D226" s="35">
        <f t="shared" si="50"/>
        <v>0</v>
      </c>
      <c r="E226" s="35">
        <f t="shared" si="50"/>
        <v>0</v>
      </c>
      <c r="F226" s="35">
        <f t="shared" si="50"/>
        <v>0</v>
      </c>
      <c r="G226" s="35"/>
    </row>
    <row r="227" spans="1:7" hidden="1" outlineLevel="1">
      <c r="A227">
        <f t="shared" si="51"/>
        <v>13</v>
      </c>
      <c r="B227">
        <v>150</v>
      </c>
      <c r="C227" s="35">
        <f t="shared" si="50"/>
        <v>0</v>
      </c>
      <c r="D227" s="35">
        <f t="shared" si="50"/>
        <v>0</v>
      </c>
      <c r="E227" s="35">
        <f t="shared" si="50"/>
        <v>0</v>
      </c>
      <c r="F227" s="35">
        <f t="shared" si="50"/>
        <v>0</v>
      </c>
      <c r="G227" s="35"/>
    </row>
    <row r="228" spans="1:7" hidden="1" outlineLevel="1">
      <c r="A228">
        <f t="shared" si="51"/>
        <v>13</v>
      </c>
      <c r="B228">
        <v>151</v>
      </c>
      <c r="C228" s="35">
        <f t="shared" si="50"/>
        <v>0</v>
      </c>
      <c r="D228" s="35">
        <f t="shared" si="50"/>
        <v>0</v>
      </c>
      <c r="E228" s="35">
        <f t="shared" si="50"/>
        <v>0</v>
      </c>
      <c r="F228" s="35">
        <f t="shared" si="50"/>
        <v>0</v>
      </c>
      <c r="G228" s="35"/>
    </row>
    <row r="229" spans="1:7" hidden="1" outlineLevel="1">
      <c r="A229">
        <f t="shared" si="51"/>
        <v>13</v>
      </c>
      <c r="B229">
        <v>152</v>
      </c>
      <c r="C229" s="35">
        <f t="shared" si="50"/>
        <v>0</v>
      </c>
      <c r="D229" s="35">
        <f t="shared" si="50"/>
        <v>0</v>
      </c>
      <c r="E229" s="35">
        <f t="shared" si="50"/>
        <v>0</v>
      </c>
      <c r="F229" s="35">
        <f t="shared" si="50"/>
        <v>0</v>
      </c>
      <c r="G229" s="35"/>
    </row>
    <row r="230" spans="1:7" hidden="1" outlineLevel="1">
      <c r="A230">
        <f t="shared" si="51"/>
        <v>13</v>
      </c>
      <c r="B230">
        <v>153</v>
      </c>
      <c r="C230" s="35">
        <f t="shared" si="50"/>
        <v>0</v>
      </c>
      <c r="D230" s="35">
        <f t="shared" si="50"/>
        <v>0</v>
      </c>
      <c r="E230" s="35">
        <f t="shared" si="50"/>
        <v>0</v>
      </c>
      <c r="F230" s="35">
        <f t="shared" si="50"/>
        <v>0</v>
      </c>
      <c r="G230" s="35"/>
    </row>
    <row r="231" spans="1:7" hidden="1" outlineLevel="1">
      <c r="A231">
        <f t="shared" si="51"/>
        <v>13</v>
      </c>
      <c r="B231">
        <v>154</v>
      </c>
      <c r="C231" s="35">
        <f t="shared" si="50"/>
        <v>0</v>
      </c>
      <c r="D231" s="35">
        <f t="shared" si="50"/>
        <v>0</v>
      </c>
      <c r="E231" s="35">
        <f t="shared" si="50"/>
        <v>0</v>
      </c>
      <c r="F231" s="35">
        <f t="shared" si="50"/>
        <v>0</v>
      </c>
      <c r="G231" s="35"/>
    </row>
    <row r="232" spans="1:7" hidden="1" outlineLevel="1">
      <c r="A232">
        <f t="shared" si="51"/>
        <v>13</v>
      </c>
      <c r="B232">
        <v>155</v>
      </c>
      <c r="C232" s="35">
        <f t="shared" si="50"/>
        <v>0</v>
      </c>
      <c r="D232" s="35">
        <f t="shared" si="50"/>
        <v>0</v>
      </c>
      <c r="E232" s="35">
        <f t="shared" si="50"/>
        <v>0</v>
      </c>
      <c r="F232" s="35">
        <f t="shared" si="50"/>
        <v>0</v>
      </c>
      <c r="G232" s="35"/>
    </row>
    <row r="233" spans="1:7" hidden="1" outlineLevel="1">
      <c r="A233">
        <f t="shared" si="51"/>
        <v>13</v>
      </c>
      <c r="B233">
        <v>156</v>
      </c>
      <c r="C233" s="35">
        <f t="shared" si="50"/>
        <v>0</v>
      </c>
      <c r="D233" s="35">
        <f t="shared" si="50"/>
        <v>0</v>
      </c>
      <c r="E233" s="35">
        <f t="shared" si="50"/>
        <v>0</v>
      </c>
      <c r="F233" s="35">
        <f t="shared" si="50"/>
        <v>0</v>
      </c>
      <c r="G233" s="35"/>
    </row>
    <row r="234" spans="1:7" hidden="1" outlineLevel="1">
      <c r="A234">
        <f t="shared" si="51"/>
        <v>13</v>
      </c>
      <c r="B234">
        <v>157</v>
      </c>
      <c r="C234" s="35">
        <f t="shared" si="50"/>
        <v>0</v>
      </c>
      <c r="D234" s="35">
        <f t="shared" si="50"/>
        <v>0</v>
      </c>
      <c r="E234" s="35">
        <f t="shared" si="50"/>
        <v>0</v>
      </c>
      <c r="F234" s="35">
        <f t="shared" si="50"/>
        <v>0</v>
      </c>
      <c r="G234" s="35"/>
    </row>
    <row r="235" spans="1:7" hidden="1" outlineLevel="1">
      <c r="A235">
        <f t="shared" si="51"/>
        <v>13</v>
      </c>
      <c r="B235">
        <v>158</v>
      </c>
      <c r="C235" s="35">
        <f t="shared" si="50"/>
        <v>0</v>
      </c>
      <c r="D235" s="35">
        <f t="shared" si="50"/>
        <v>0</v>
      </c>
      <c r="E235" s="35">
        <f t="shared" si="50"/>
        <v>0</v>
      </c>
      <c r="F235" s="35">
        <f t="shared" si="50"/>
        <v>0</v>
      </c>
      <c r="G235" s="35"/>
    </row>
    <row r="236" spans="1:7" hidden="1" outlineLevel="1">
      <c r="A236">
        <f t="shared" si="51"/>
        <v>13</v>
      </c>
      <c r="B236">
        <v>159</v>
      </c>
      <c r="C236" s="35">
        <f t="shared" si="50"/>
        <v>0</v>
      </c>
      <c r="D236" s="35">
        <f t="shared" si="50"/>
        <v>0</v>
      </c>
      <c r="E236" s="35">
        <f t="shared" si="50"/>
        <v>0</v>
      </c>
      <c r="F236" s="35">
        <f t="shared" si="50"/>
        <v>0</v>
      </c>
      <c r="G236" s="35"/>
    </row>
    <row r="237" spans="1:7" hidden="1" outlineLevel="1">
      <c r="A237">
        <f t="shared" si="51"/>
        <v>13</v>
      </c>
      <c r="B237">
        <v>160</v>
      </c>
      <c r="C237" s="35">
        <f t="shared" si="50"/>
        <v>0</v>
      </c>
      <c r="D237" s="35">
        <f t="shared" si="50"/>
        <v>0</v>
      </c>
      <c r="E237" s="35">
        <f t="shared" si="50"/>
        <v>0</v>
      </c>
      <c r="F237" s="35">
        <f t="shared" si="50"/>
        <v>0</v>
      </c>
      <c r="G237" s="35"/>
    </row>
    <row r="238" spans="1:7" hidden="1" outlineLevel="1">
      <c r="A238">
        <f t="shared" si="51"/>
        <v>13</v>
      </c>
      <c r="B238">
        <v>161</v>
      </c>
      <c r="C238" s="35">
        <f t="shared" si="50"/>
        <v>0</v>
      </c>
      <c r="D238" s="35">
        <f t="shared" si="50"/>
        <v>0</v>
      </c>
      <c r="E238" s="35">
        <f t="shared" si="50"/>
        <v>0</v>
      </c>
      <c r="F238" s="35">
        <f t="shared" si="50"/>
        <v>0</v>
      </c>
      <c r="G238" s="35"/>
    </row>
    <row r="239" spans="1:7" hidden="1" outlineLevel="1">
      <c r="A239">
        <f t="shared" si="51"/>
        <v>14</v>
      </c>
      <c r="B239">
        <v>162</v>
      </c>
      <c r="C239" s="35">
        <f t="shared" si="50"/>
        <v>0</v>
      </c>
      <c r="D239" s="35">
        <f t="shared" si="50"/>
        <v>0</v>
      </c>
      <c r="E239" s="35">
        <f t="shared" si="50"/>
        <v>0</v>
      </c>
      <c r="F239" s="35">
        <f t="shared" si="50"/>
        <v>0</v>
      </c>
      <c r="G239" s="35"/>
    </row>
    <row r="240" spans="1:7" hidden="1" outlineLevel="1">
      <c r="A240">
        <f t="shared" si="51"/>
        <v>14</v>
      </c>
      <c r="B240">
        <v>163</v>
      </c>
      <c r="C240" s="35">
        <f t="shared" si="50"/>
        <v>0</v>
      </c>
      <c r="D240" s="35">
        <f t="shared" si="50"/>
        <v>0</v>
      </c>
      <c r="E240" s="35">
        <f t="shared" si="50"/>
        <v>0</v>
      </c>
      <c r="F240" s="35">
        <f t="shared" si="50"/>
        <v>0</v>
      </c>
      <c r="G240" s="35"/>
    </row>
    <row r="241" spans="1:7" hidden="1" outlineLevel="1">
      <c r="A241">
        <f t="shared" si="51"/>
        <v>14</v>
      </c>
      <c r="B241">
        <v>164</v>
      </c>
      <c r="C241" s="35">
        <f t="shared" si="50"/>
        <v>0</v>
      </c>
      <c r="D241" s="35">
        <f t="shared" si="50"/>
        <v>0</v>
      </c>
      <c r="E241" s="35">
        <f t="shared" si="50"/>
        <v>0</v>
      </c>
      <c r="F241" s="35">
        <f t="shared" si="50"/>
        <v>0</v>
      </c>
      <c r="G241" s="35"/>
    </row>
    <row r="242" spans="1:7" hidden="1" outlineLevel="1">
      <c r="A242">
        <f t="shared" si="51"/>
        <v>14</v>
      </c>
      <c r="B242">
        <v>165</v>
      </c>
      <c r="C242" s="35">
        <f t="shared" si="50"/>
        <v>0</v>
      </c>
      <c r="D242" s="35">
        <f t="shared" si="50"/>
        <v>0</v>
      </c>
      <c r="E242" s="35">
        <f t="shared" si="50"/>
        <v>0</v>
      </c>
      <c r="F242" s="35">
        <f t="shared" si="50"/>
        <v>0</v>
      </c>
      <c r="G242" s="35"/>
    </row>
    <row r="243" spans="1:7" hidden="1" outlineLevel="1">
      <c r="A243">
        <f t="shared" si="51"/>
        <v>14</v>
      </c>
      <c r="B243">
        <v>166</v>
      </c>
      <c r="C243" s="35">
        <f t="shared" si="50"/>
        <v>0</v>
      </c>
      <c r="D243" s="35">
        <f t="shared" si="50"/>
        <v>0</v>
      </c>
      <c r="E243" s="35">
        <f t="shared" si="50"/>
        <v>0</v>
      </c>
      <c r="F243" s="35">
        <f t="shared" si="50"/>
        <v>0</v>
      </c>
      <c r="G243" s="35"/>
    </row>
    <row r="244" spans="1:7" hidden="1" outlineLevel="1">
      <c r="A244">
        <f t="shared" si="51"/>
        <v>14</v>
      </c>
      <c r="B244">
        <v>167</v>
      </c>
      <c r="C244" s="35">
        <f t="shared" si="50"/>
        <v>0</v>
      </c>
      <c r="D244" s="35">
        <f t="shared" si="50"/>
        <v>0</v>
      </c>
      <c r="E244" s="35">
        <f t="shared" si="50"/>
        <v>0</v>
      </c>
      <c r="F244" s="35">
        <f t="shared" si="50"/>
        <v>0</v>
      </c>
      <c r="G244" s="35"/>
    </row>
    <row r="245" spans="1:7" hidden="1" outlineLevel="1">
      <c r="A245">
        <f t="shared" si="51"/>
        <v>14</v>
      </c>
      <c r="B245">
        <v>168</v>
      </c>
      <c r="C245" s="35">
        <f t="shared" si="50"/>
        <v>0</v>
      </c>
      <c r="D245" s="35">
        <f t="shared" si="50"/>
        <v>0</v>
      </c>
      <c r="E245" s="35">
        <f t="shared" si="50"/>
        <v>0</v>
      </c>
      <c r="F245" s="35">
        <f t="shared" si="50"/>
        <v>0</v>
      </c>
      <c r="G245" s="35"/>
    </row>
    <row r="246" spans="1:7" hidden="1" outlineLevel="1">
      <c r="A246">
        <f t="shared" si="51"/>
        <v>14</v>
      </c>
      <c r="B246">
        <v>169</v>
      </c>
      <c r="C246" s="35">
        <f t="shared" si="50"/>
        <v>0</v>
      </c>
      <c r="D246" s="35">
        <f t="shared" si="50"/>
        <v>0</v>
      </c>
      <c r="E246" s="35">
        <f t="shared" si="50"/>
        <v>0</v>
      </c>
      <c r="F246" s="35">
        <f t="shared" si="50"/>
        <v>0</v>
      </c>
      <c r="G246" s="35"/>
    </row>
    <row r="247" spans="1:7" hidden="1" outlineLevel="1">
      <c r="A247">
        <f t="shared" si="51"/>
        <v>14</v>
      </c>
      <c r="B247">
        <v>170</v>
      </c>
      <c r="C247" s="35">
        <f t="shared" si="50"/>
        <v>0</v>
      </c>
      <c r="D247" s="35">
        <f t="shared" si="50"/>
        <v>0</v>
      </c>
      <c r="E247" s="35">
        <f t="shared" si="50"/>
        <v>0</v>
      </c>
      <c r="F247" s="35">
        <f t="shared" si="50"/>
        <v>0</v>
      </c>
      <c r="G247" s="35"/>
    </row>
    <row r="248" spans="1:7" hidden="1" outlineLevel="1">
      <c r="A248">
        <f t="shared" si="51"/>
        <v>14</v>
      </c>
      <c r="B248">
        <v>171</v>
      </c>
      <c r="C248" s="35">
        <f t="shared" si="50"/>
        <v>0</v>
      </c>
      <c r="D248" s="35">
        <f t="shared" si="50"/>
        <v>0</v>
      </c>
      <c r="E248" s="35">
        <f t="shared" si="50"/>
        <v>0</v>
      </c>
      <c r="F248" s="35">
        <f t="shared" si="50"/>
        <v>0</v>
      </c>
      <c r="G248" s="35"/>
    </row>
    <row r="249" spans="1:7" hidden="1" outlineLevel="1">
      <c r="A249">
        <f t="shared" si="51"/>
        <v>14</v>
      </c>
      <c r="B249">
        <v>172</v>
      </c>
      <c r="C249" s="35">
        <f t="shared" si="50"/>
        <v>0</v>
      </c>
      <c r="D249" s="35">
        <f t="shared" si="50"/>
        <v>0</v>
      </c>
      <c r="E249" s="35">
        <f t="shared" si="50"/>
        <v>0</v>
      </c>
      <c r="F249" s="35">
        <f t="shared" si="50"/>
        <v>0</v>
      </c>
      <c r="G249" s="35"/>
    </row>
    <row r="250" spans="1:7" hidden="1" outlineLevel="1">
      <c r="A250">
        <f t="shared" si="51"/>
        <v>14</v>
      </c>
      <c r="B250">
        <v>173</v>
      </c>
      <c r="C250" s="35">
        <f t="shared" si="50"/>
        <v>0</v>
      </c>
      <c r="D250" s="35">
        <f t="shared" si="50"/>
        <v>0</v>
      </c>
      <c r="E250" s="35">
        <f t="shared" si="50"/>
        <v>0</v>
      </c>
      <c r="F250" s="35">
        <f t="shared" si="50"/>
        <v>0</v>
      </c>
      <c r="G250" s="35"/>
    </row>
    <row r="251" spans="1:7" hidden="1" outlineLevel="1">
      <c r="A251">
        <f t="shared" si="51"/>
        <v>15</v>
      </c>
      <c r="B251">
        <v>174</v>
      </c>
      <c r="C251" s="35">
        <f t="shared" si="50"/>
        <v>0</v>
      </c>
      <c r="D251" s="35">
        <f t="shared" si="50"/>
        <v>0</v>
      </c>
      <c r="E251" s="35">
        <f t="shared" si="50"/>
        <v>0</v>
      </c>
      <c r="F251" s="35">
        <f t="shared" si="50"/>
        <v>0</v>
      </c>
      <c r="G251" s="35"/>
    </row>
    <row r="252" spans="1:7" hidden="1" outlineLevel="1">
      <c r="A252">
        <f t="shared" si="51"/>
        <v>15</v>
      </c>
      <c r="B252">
        <v>175</v>
      </c>
      <c r="C252" s="35">
        <f t="shared" si="50"/>
        <v>0</v>
      </c>
      <c r="D252" s="35">
        <f t="shared" si="50"/>
        <v>0</v>
      </c>
      <c r="E252" s="35">
        <f t="shared" si="50"/>
        <v>0</v>
      </c>
      <c r="F252" s="35">
        <f t="shared" si="50"/>
        <v>0</v>
      </c>
      <c r="G252" s="35"/>
    </row>
    <row r="253" spans="1:7" hidden="1" outlineLevel="1">
      <c r="A253">
        <f t="shared" si="51"/>
        <v>15</v>
      </c>
      <c r="B253">
        <v>176</v>
      </c>
      <c r="C253" s="35">
        <f t="shared" si="50"/>
        <v>0</v>
      </c>
      <c r="D253" s="35">
        <f t="shared" si="50"/>
        <v>0</v>
      </c>
      <c r="E253" s="35">
        <f t="shared" si="50"/>
        <v>0</v>
      </c>
      <c r="F253" s="35">
        <f t="shared" si="50"/>
        <v>0</v>
      </c>
      <c r="G253" s="35"/>
    </row>
    <row r="254" spans="1:7" hidden="1" outlineLevel="1">
      <c r="A254">
        <f t="shared" si="51"/>
        <v>15</v>
      </c>
      <c r="B254">
        <v>177</v>
      </c>
      <c r="C254" s="35">
        <f t="shared" si="50"/>
        <v>0</v>
      </c>
      <c r="D254" s="35">
        <f t="shared" si="50"/>
        <v>0</v>
      </c>
      <c r="E254" s="35">
        <f t="shared" si="50"/>
        <v>0</v>
      </c>
      <c r="F254" s="35">
        <f t="shared" si="50"/>
        <v>0</v>
      </c>
      <c r="G254" s="35"/>
    </row>
    <row r="255" spans="1:7" hidden="1" outlineLevel="1">
      <c r="A255">
        <f t="shared" si="51"/>
        <v>15</v>
      </c>
      <c r="B255">
        <v>178</v>
      </c>
      <c r="C255" s="35">
        <f t="shared" si="50"/>
        <v>0</v>
      </c>
      <c r="D255" s="35">
        <f t="shared" si="50"/>
        <v>0</v>
      </c>
      <c r="E255" s="35">
        <f t="shared" si="50"/>
        <v>0</v>
      </c>
      <c r="F255" s="35">
        <f t="shared" si="50"/>
        <v>0</v>
      </c>
      <c r="G255" s="35"/>
    </row>
    <row r="256" spans="1:7" hidden="1" outlineLevel="1">
      <c r="A256">
        <f t="shared" si="51"/>
        <v>15</v>
      </c>
      <c r="B256">
        <v>179</v>
      </c>
      <c r="C256" s="35">
        <f t="shared" si="50"/>
        <v>0</v>
      </c>
      <c r="D256" s="35">
        <f t="shared" si="50"/>
        <v>0</v>
      </c>
      <c r="E256" s="35">
        <f t="shared" si="50"/>
        <v>0</v>
      </c>
      <c r="F256" s="35">
        <f t="shared" si="50"/>
        <v>0</v>
      </c>
      <c r="G256" s="35"/>
    </row>
    <row r="257" spans="1:7" hidden="1" outlineLevel="1">
      <c r="A257">
        <f t="shared" si="51"/>
        <v>15</v>
      </c>
      <c r="B257">
        <v>180</v>
      </c>
      <c r="C257" s="35">
        <f t="shared" si="50"/>
        <v>0</v>
      </c>
      <c r="D257" s="35">
        <f t="shared" si="50"/>
        <v>0</v>
      </c>
      <c r="E257" s="35">
        <f t="shared" si="50"/>
        <v>0</v>
      </c>
      <c r="F257" s="35">
        <f t="shared" si="50"/>
        <v>0</v>
      </c>
      <c r="G257" s="35"/>
    </row>
    <row r="258" spans="1:7" hidden="1" outlineLevel="1">
      <c r="A258">
        <f t="shared" si="51"/>
        <v>15</v>
      </c>
      <c r="B258">
        <v>181</v>
      </c>
      <c r="C258" s="35">
        <f t="shared" si="50"/>
        <v>0</v>
      </c>
      <c r="D258" s="35">
        <f t="shared" si="50"/>
        <v>0</v>
      </c>
      <c r="E258" s="35">
        <f t="shared" si="50"/>
        <v>0</v>
      </c>
      <c r="F258" s="35">
        <f t="shared" si="50"/>
        <v>0</v>
      </c>
      <c r="G258" s="35"/>
    </row>
    <row r="259" spans="1:7" hidden="1" outlineLevel="1">
      <c r="A259">
        <f t="shared" si="51"/>
        <v>15</v>
      </c>
      <c r="B259">
        <v>182</v>
      </c>
      <c r="C259" s="35">
        <f t="shared" si="50"/>
        <v>0</v>
      </c>
      <c r="D259" s="35">
        <f t="shared" si="50"/>
        <v>0</v>
      </c>
      <c r="E259" s="35">
        <f t="shared" si="50"/>
        <v>0</v>
      </c>
      <c r="F259" s="35">
        <f t="shared" si="50"/>
        <v>0</v>
      </c>
      <c r="G259" s="35"/>
    </row>
    <row r="260" spans="1:7" hidden="1" outlineLevel="1">
      <c r="A260">
        <f t="shared" si="51"/>
        <v>15</v>
      </c>
      <c r="B260">
        <v>183</v>
      </c>
      <c r="C260" s="35">
        <f t="shared" si="50"/>
        <v>0</v>
      </c>
      <c r="D260" s="35">
        <f t="shared" si="50"/>
        <v>0</v>
      </c>
      <c r="E260" s="35">
        <f t="shared" si="50"/>
        <v>0</v>
      </c>
      <c r="F260" s="35">
        <f t="shared" si="50"/>
        <v>0</v>
      </c>
      <c r="G260" s="35"/>
    </row>
    <row r="261" spans="1:7" hidden="1" outlineLevel="1">
      <c r="A261">
        <f t="shared" si="51"/>
        <v>15</v>
      </c>
      <c r="B261">
        <v>184</v>
      </c>
      <c r="C261" s="35">
        <f t="shared" si="50"/>
        <v>0</v>
      </c>
      <c r="D261" s="35">
        <f t="shared" si="50"/>
        <v>0</v>
      </c>
      <c r="E261" s="35">
        <f t="shared" si="50"/>
        <v>0</v>
      </c>
      <c r="F261" s="35">
        <f t="shared" si="50"/>
        <v>0</v>
      </c>
      <c r="G261" s="35"/>
    </row>
    <row r="262" spans="1:7" hidden="1" outlineLevel="1">
      <c r="A262">
        <f t="shared" si="51"/>
        <v>15</v>
      </c>
      <c r="B262">
        <v>185</v>
      </c>
      <c r="C262" s="35">
        <f t="shared" si="50"/>
        <v>0</v>
      </c>
      <c r="D262" s="35">
        <f t="shared" si="50"/>
        <v>0</v>
      </c>
      <c r="E262" s="35">
        <f t="shared" si="50"/>
        <v>0</v>
      </c>
      <c r="F262" s="35">
        <f t="shared" si="50"/>
        <v>0</v>
      </c>
      <c r="G262" s="35"/>
    </row>
    <row r="263" spans="1:7" hidden="1" outlineLevel="1">
      <c r="A263">
        <f t="shared" si="51"/>
        <v>16</v>
      </c>
      <c r="B263">
        <v>186</v>
      </c>
      <c r="C263" s="35">
        <f t="shared" si="50"/>
        <v>0</v>
      </c>
      <c r="D263" s="35">
        <f t="shared" si="50"/>
        <v>0</v>
      </c>
      <c r="E263" s="35">
        <f t="shared" si="50"/>
        <v>0</v>
      </c>
      <c r="F263" s="35"/>
      <c r="G263" s="35"/>
    </row>
    <row r="264" spans="1:7" hidden="1" outlineLevel="1">
      <c r="A264">
        <f t="shared" si="51"/>
        <v>16</v>
      </c>
      <c r="B264">
        <v>187</v>
      </c>
      <c r="C264" s="35">
        <f t="shared" si="50"/>
        <v>0</v>
      </c>
      <c r="D264" s="35">
        <f t="shared" si="50"/>
        <v>0</v>
      </c>
      <c r="E264" s="35">
        <f t="shared" si="50"/>
        <v>0</v>
      </c>
      <c r="F264" s="35"/>
      <c r="G264" s="35"/>
    </row>
    <row r="265" spans="1:7" hidden="1" outlineLevel="1">
      <c r="A265">
        <f t="shared" si="51"/>
        <v>16</v>
      </c>
      <c r="B265">
        <v>188</v>
      </c>
      <c r="C265" s="35">
        <f t="shared" si="50"/>
        <v>0</v>
      </c>
      <c r="D265" s="35">
        <f t="shared" si="50"/>
        <v>0</v>
      </c>
      <c r="E265" s="35">
        <f t="shared" si="50"/>
        <v>0</v>
      </c>
      <c r="F265" s="35"/>
      <c r="G265" s="35"/>
    </row>
    <row r="266" spans="1:7" hidden="1" outlineLevel="1">
      <c r="A266">
        <f t="shared" si="51"/>
        <v>16</v>
      </c>
      <c r="B266">
        <v>189</v>
      </c>
      <c r="C266" s="35">
        <f t="shared" si="50"/>
        <v>0</v>
      </c>
      <c r="D266" s="35">
        <f t="shared" si="50"/>
        <v>0</v>
      </c>
      <c r="E266" s="35">
        <f t="shared" si="50"/>
        <v>0</v>
      </c>
      <c r="F266" s="35"/>
      <c r="G266" s="35"/>
    </row>
    <row r="267" spans="1:7" hidden="1" outlineLevel="1">
      <c r="A267">
        <f t="shared" si="51"/>
        <v>16</v>
      </c>
      <c r="B267">
        <v>190</v>
      </c>
      <c r="C267" s="35">
        <f t="shared" si="50"/>
        <v>0</v>
      </c>
      <c r="D267" s="35">
        <f t="shared" si="50"/>
        <v>0</v>
      </c>
      <c r="E267" s="35">
        <f t="shared" si="50"/>
        <v>0</v>
      </c>
      <c r="F267" s="35"/>
      <c r="G267" s="35"/>
    </row>
    <row r="268" spans="1:7" hidden="1" outlineLevel="1">
      <c r="A268">
        <f t="shared" si="51"/>
        <v>16</v>
      </c>
      <c r="B268">
        <v>191</v>
      </c>
      <c r="C268" s="35">
        <f t="shared" ref="C268:E331" si="52">((C$58-(($B268-1)*C$62))*C$61)</f>
        <v>0</v>
      </c>
      <c r="D268" s="35">
        <f t="shared" si="52"/>
        <v>0</v>
      </c>
      <c r="E268" s="35">
        <f t="shared" si="52"/>
        <v>0</v>
      </c>
      <c r="F268" s="35"/>
      <c r="G268" s="35"/>
    </row>
    <row r="269" spans="1:7" hidden="1" outlineLevel="1">
      <c r="A269">
        <f t="shared" si="51"/>
        <v>16</v>
      </c>
      <c r="B269">
        <v>192</v>
      </c>
      <c r="C269" s="35">
        <f t="shared" si="52"/>
        <v>0</v>
      </c>
      <c r="D269" s="35">
        <f t="shared" si="52"/>
        <v>0</v>
      </c>
      <c r="E269" s="35">
        <f t="shared" si="52"/>
        <v>0</v>
      </c>
      <c r="F269" s="35"/>
      <c r="G269" s="35"/>
    </row>
    <row r="270" spans="1:7" hidden="1" outlineLevel="1">
      <c r="A270">
        <f t="shared" si="51"/>
        <v>16</v>
      </c>
      <c r="B270">
        <v>193</v>
      </c>
      <c r="C270" s="35">
        <f t="shared" si="52"/>
        <v>0</v>
      </c>
      <c r="D270" s="35">
        <f t="shared" si="52"/>
        <v>0</v>
      </c>
      <c r="E270" s="35">
        <f t="shared" si="52"/>
        <v>0</v>
      </c>
      <c r="F270" s="35"/>
      <c r="G270" s="35"/>
    </row>
    <row r="271" spans="1:7" hidden="1" outlineLevel="1">
      <c r="A271">
        <f t="shared" ref="A271:A334" si="53">ROUND(B271/12,0)</f>
        <v>16</v>
      </c>
      <c r="B271">
        <v>194</v>
      </c>
      <c r="C271" s="35">
        <f t="shared" si="52"/>
        <v>0</v>
      </c>
      <c r="D271" s="35">
        <f t="shared" si="52"/>
        <v>0</v>
      </c>
      <c r="E271" s="35">
        <f t="shared" si="52"/>
        <v>0</v>
      </c>
      <c r="F271" s="35"/>
      <c r="G271" s="35"/>
    </row>
    <row r="272" spans="1:7" hidden="1" outlineLevel="1">
      <c r="A272">
        <f t="shared" si="53"/>
        <v>16</v>
      </c>
      <c r="B272">
        <v>195</v>
      </c>
      <c r="C272" s="35">
        <f t="shared" si="52"/>
        <v>0</v>
      </c>
      <c r="D272" s="35">
        <f t="shared" si="52"/>
        <v>0</v>
      </c>
      <c r="E272" s="35">
        <f t="shared" si="52"/>
        <v>0</v>
      </c>
      <c r="F272" s="35"/>
      <c r="G272" s="35"/>
    </row>
    <row r="273" spans="1:7" hidden="1" outlineLevel="1">
      <c r="A273">
        <f t="shared" si="53"/>
        <v>16</v>
      </c>
      <c r="B273">
        <v>196</v>
      </c>
      <c r="C273" s="35">
        <f t="shared" si="52"/>
        <v>0</v>
      </c>
      <c r="D273" s="35">
        <f t="shared" si="52"/>
        <v>0</v>
      </c>
      <c r="E273" s="35">
        <f t="shared" si="52"/>
        <v>0</v>
      </c>
      <c r="F273" s="35"/>
      <c r="G273" s="35"/>
    </row>
    <row r="274" spans="1:7" hidden="1" outlineLevel="1">
      <c r="A274">
        <f t="shared" si="53"/>
        <v>16</v>
      </c>
      <c r="B274">
        <v>197</v>
      </c>
      <c r="C274" s="35">
        <f t="shared" si="52"/>
        <v>0</v>
      </c>
      <c r="D274" s="35">
        <f t="shared" si="52"/>
        <v>0</v>
      </c>
      <c r="E274" s="35">
        <f t="shared" si="52"/>
        <v>0</v>
      </c>
      <c r="F274" s="35"/>
      <c r="G274" s="35"/>
    </row>
    <row r="275" spans="1:7" hidden="1" outlineLevel="1">
      <c r="A275">
        <f t="shared" si="53"/>
        <v>17</v>
      </c>
      <c r="B275">
        <v>198</v>
      </c>
      <c r="C275" s="35">
        <f t="shared" si="52"/>
        <v>0</v>
      </c>
      <c r="D275" s="35">
        <f t="shared" si="52"/>
        <v>0</v>
      </c>
      <c r="E275" s="35">
        <f t="shared" si="52"/>
        <v>0</v>
      </c>
      <c r="F275" s="35"/>
      <c r="G275" s="35"/>
    </row>
    <row r="276" spans="1:7" hidden="1" outlineLevel="1">
      <c r="A276">
        <f t="shared" si="53"/>
        <v>17</v>
      </c>
      <c r="B276">
        <v>199</v>
      </c>
      <c r="C276" s="35">
        <f t="shared" si="52"/>
        <v>0</v>
      </c>
      <c r="D276" s="35">
        <f t="shared" si="52"/>
        <v>0</v>
      </c>
      <c r="E276" s="35">
        <f t="shared" si="52"/>
        <v>0</v>
      </c>
      <c r="F276" s="35"/>
      <c r="G276" s="35"/>
    </row>
    <row r="277" spans="1:7" hidden="1" outlineLevel="1">
      <c r="A277">
        <f t="shared" si="53"/>
        <v>17</v>
      </c>
      <c r="B277">
        <v>200</v>
      </c>
      <c r="C277" s="35">
        <f t="shared" si="52"/>
        <v>0</v>
      </c>
      <c r="D277" s="35">
        <f t="shared" si="52"/>
        <v>0</v>
      </c>
      <c r="E277" s="35">
        <f t="shared" si="52"/>
        <v>0</v>
      </c>
      <c r="F277" s="35"/>
      <c r="G277" s="35"/>
    </row>
    <row r="278" spans="1:7" hidden="1" outlineLevel="1">
      <c r="A278">
        <f t="shared" si="53"/>
        <v>17</v>
      </c>
      <c r="B278">
        <v>201</v>
      </c>
      <c r="C278" s="35">
        <f t="shared" si="52"/>
        <v>0</v>
      </c>
      <c r="D278" s="35">
        <f t="shared" si="52"/>
        <v>0</v>
      </c>
      <c r="E278" s="35">
        <f t="shared" si="52"/>
        <v>0</v>
      </c>
      <c r="F278" s="35"/>
      <c r="G278" s="35"/>
    </row>
    <row r="279" spans="1:7" hidden="1" outlineLevel="1">
      <c r="A279">
        <f t="shared" si="53"/>
        <v>17</v>
      </c>
      <c r="B279">
        <v>202</v>
      </c>
      <c r="C279" s="35">
        <f t="shared" si="52"/>
        <v>0</v>
      </c>
      <c r="D279" s="35">
        <f t="shared" si="52"/>
        <v>0</v>
      </c>
      <c r="E279" s="35">
        <f t="shared" si="52"/>
        <v>0</v>
      </c>
      <c r="F279" s="35"/>
      <c r="G279" s="35"/>
    </row>
    <row r="280" spans="1:7" hidden="1" outlineLevel="1">
      <c r="A280">
        <f t="shared" si="53"/>
        <v>17</v>
      </c>
      <c r="B280">
        <v>203</v>
      </c>
      <c r="C280" s="35">
        <f t="shared" si="52"/>
        <v>0</v>
      </c>
      <c r="D280" s="35">
        <f t="shared" si="52"/>
        <v>0</v>
      </c>
      <c r="E280" s="35">
        <f t="shared" si="52"/>
        <v>0</v>
      </c>
      <c r="F280" s="35"/>
      <c r="G280" s="35"/>
    </row>
    <row r="281" spans="1:7" hidden="1" outlineLevel="1">
      <c r="A281">
        <f t="shared" si="53"/>
        <v>17</v>
      </c>
      <c r="B281">
        <v>204</v>
      </c>
      <c r="C281" s="35">
        <f t="shared" si="52"/>
        <v>0</v>
      </c>
      <c r="D281" s="35">
        <f t="shared" si="52"/>
        <v>0</v>
      </c>
      <c r="E281" s="35">
        <f t="shared" si="52"/>
        <v>0</v>
      </c>
      <c r="F281" s="35"/>
      <c r="G281" s="35"/>
    </row>
    <row r="282" spans="1:7" hidden="1" outlineLevel="1">
      <c r="A282">
        <f t="shared" si="53"/>
        <v>17</v>
      </c>
      <c r="B282">
        <v>205</v>
      </c>
      <c r="C282" s="35">
        <f t="shared" si="52"/>
        <v>0</v>
      </c>
      <c r="D282" s="35">
        <f t="shared" si="52"/>
        <v>0</v>
      </c>
      <c r="E282" s="35">
        <f t="shared" si="52"/>
        <v>0</v>
      </c>
      <c r="F282" s="35"/>
      <c r="G282" s="35"/>
    </row>
    <row r="283" spans="1:7" hidden="1" outlineLevel="1">
      <c r="A283">
        <f t="shared" si="53"/>
        <v>17</v>
      </c>
      <c r="B283">
        <v>206</v>
      </c>
      <c r="C283" s="35">
        <f t="shared" si="52"/>
        <v>0</v>
      </c>
      <c r="D283" s="35">
        <f t="shared" si="52"/>
        <v>0</v>
      </c>
      <c r="E283" s="35">
        <f t="shared" si="52"/>
        <v>0</v>
      </c>
      <c r="F283" s="35"/>
      <c r="G283" s="35"/>
    </row>
    <row r="284" spans="1:7" hidden="1" outlineLevel="1">
      <c r="A284">
        <f t="shared" si="53"/>
        <v>17</v>
      </c>
      <c r="B284">
        <v>207</v>
      </c>
      <c r="C284" s="35">
        <f t="shared" si="52"/>
        <v>0</v>
      </c>
      <c r="D284" s="35">
        <f t="shared" si="52"/>
        <v>0</v>
      </c>
      <c r="E284" s="35">
        <f t="shared" si="52"/>
        <v>0</v>
      </c>
      <c r="F284" s="35"/>
      <c r="G284" s="35"/>
    </row>
    <row r="285" spans="1:7" hidden="1" outlineLevel="1">
      <c r="A285">
        <f t="shared" si="53"/>
        <v>17</v>
      </c>
      <c r="B285">
        <v>208</v>
      </c>
      <c r="C285" s="35">
        <f t="shared" si="52"/>
        <v>0</v>
      </c>
      <c r="D285" s="35">
        <f t="shared" si="52"/>
        <v>0</v>
      </c>
      <c r="E285" s="35">
        <f t="shared" si="52"/>
        <v>0</v>
      </c>
      <c r="F285" s="35"/>
      <c r="G285" s="35"/>
    </row>
    <row r="286" spans="1:7" hidden="1" outlineLevel="1">
      <c r="A286">
        <f t="shared" si="53"/>
        <v>17</v>
      </c>
      <c r="B286">
        <v>209</v>
      </c>
      <c r="C286" s="35">
        <f t="shared" si="52"/>
        <v>0</v>
      </c>
      <c r="D286" s="35">
        <f t="shared" si="52"/>
        <v>0</v>
      </c>
      <c r="E286" s="35">
        <f t="shared" si="52"/>
        <v>0</v>
      </c>
      <c r="F286" s="35"/>
      <c r="G286" s="35"/>
    </row>
    <row r="287" spans="1:7" hidden="1" outlineLevel="1">
      <c r="A287">
        <f t="shared" si="53"/>
        <v>18</v>
      </c>
      <c r="B287">
        <v>210</v>
      </c>
      <c r="C287" s="35">
        <f t="shared" si="52"/>
        <v>0</v>
      </c>
      <c r="D287" s="35">
        <f t="shared" si="52"/>
        <v>0</v>
      </c>
      <c r="E287" s="35">
        <f t="shared" si="52"/>
        <v>0</v>
      </c>
      <c r="F287" s="35"/>
      <c r="G287" s="35"/>
    </row>
    <row r="288" spans="1:7" hidden="1" outlineLevel="1">
      <c r="A288">
        <f t="shared" si="53"/>
        <v>18</v>
      </c>
      <c r="B288">
        <v>211</v>
      </c>
      <c r="C288" s="35">
        <f t="shared" si="52"/>
        <v>0</v>
      </c>
      <c r="D288" s="35">
        <f t="shared" si="52"/>
        <v>0</v>
      </c>
      <c r="E288" s="35">
        <f t="shared" si="52"/>
        <v>0</v>
      </c>
      <c r="F288" s="35"/>
      <c r="G288" s="35"/>
    </row>
    <row r="289" spans="1:7" hidden="1" outlineLevel="1">
      <c r="A289">
        <f t="shared" si="53"/>
        <v>18</v>
      </c>
      <c r="B289">
        <v>212</v>
      </c>
      <c r="C289" s="35">
        <f t="shared" si="52"/>
        <v>0</v>
      </c>
      <c r="D289" s="35">
        <f t="shared" si="52"/>
        <v>0</v>
      </c>
      <c r="E289" s="35">
        <f t="shared" si="52"/>
        <v>0</v>
      </c>
      <c r="F289" s="35"/>
      <c r="G289" s="35"/>
    </row>
    <row r="290" spans="1:7" hidden="1" outlineLevel="1">
      <c r="A290">
        <f t="shared" si="53"/>
        <v>18</v>
      </c>
      <c r="B290">
        <v>213</v>
      </c>
      <c r="C290" s="35">
        <f t="shared" si="52"/>
        <v>0</v>
      </c>
      <c r="D290" s="35">
        <f t="shared" si="52"/>
        <v>0</v>
      </c>
      <c r="E290" s="35">
        <f t="shared" si="52"/>
        <v>0</v>
      </c>
      <c r="F290" s="35"/>
      <c r="G290" s="35"/>
    </row>
    <row r="291" spans="1:7" hidden="1" outlineLevel="1">
      <c r="A291">
        <f t="shared" si="53"/>
        <v>18</v>
      </c>
      <c r="B291">
        <v>214</v>
      </c>
      <c r="C291" s="35">
        <f t="shared" si="52"/>
        <v>0</v>
      </c>
      <c r="D291" s="35">
        <f t="shared" si="52"/>
        <v>0</v>
      </c>
      <c r="E291" s="35">
        <f t="shared" si="52"/>
        <v>0</v>
      </c>
      <c r="F291" s="35"/>
      <c r="G291" s="35"/>
    </row>
    <row r="292" spans="1:7" hidden="1" outlineLevel="1">
      <c r="A292">
        <f t="shared" si="53"/>
        <v>18</v>
      </c>
      <c r="B292">
        <v>215</v>
      </c>
      <c r="C292" s="35">
        <f t="shared" si="52"/>
        <v>0</v>
      </c>
      <c r="D292" s="35">
        <f t="shared" si="52"/>
        <v>0</v>
      </c>
      <c r="E292" s="35">
        <f t="shared" si="52"/>
        <v>0</v>
      </c>
      <c r="F292" s="35"/>
      <c r="G292" s="35"/>
    </row>
    <row r="293" spans="1:7" hidden="1" outlineLevel="1">
      <c r="A293">
        <f t="shared" si="53"/>
        <v>18</v>
      </c>
      <c r="B293">
        <v>216</v>
      </c>
      <c r="C293" s="35">
        <f t="shared" si="52"/>
        <v>0</v>
      </c>
      <c r="D293" s="35">
        <f t="shared" si="52"/>
        <v>0</v>
      </c>
      <c r="E293" s="35">
        <f t="shared" si="52"/>
        <v>0</v>
      </c>
      <c r="F293" s="35"/>
      <c r="G293" s="35"/>
    </row>
    <row r="294" spans="1:7" hidden="1" outlineLevel="1">
      <c r="A294">
        <f t="shared" si="53"/>
        <v>18</v>
      </c>
      <c r="B294">
        <v>217</v>
      </c>
      <c r="C294" s="35">
        <f t="shared" si="52"/>
        <v>0</v>
      </c>
      <c r="D294" s="35">
        <f t="shared" si="52"/>
        <v>0</v>
      </c>
      <c r="E294" s="35">
        <f t="shared" si="52"/>
        <v>0</v>
      </c>
      <c r="F294" s="35"/>
      <c r="G294" s="35"/>
    </row>
    <row r="295" spans="1:7" hidden="1" outlineLevel="1">
      <c r="A295">
        <f t="shared" si="53"/>
        <v>18</v>
      </c>
      <c r="B295">
        <v>218</v>
      </c>
      <c r="C295" s="35">
        <f t="shared" si="52"/>
        <v>0</v>
      </c>
      <c r="D295" s="35">
        <f t="shared" si="52"/>
        <v>0</v>
      </c>
      <c r="E295" s="35">
        <f t="shared" si="52"/>
        <v>0</v>
      </c>
      <c r="F295" s="35"/>
      <c r="G295" s="35"/>
    </row>
    <row r="296" spans="1:7" hidden="1" outlineLevel="1">
      <c r="A296">
        <f t="shared" si="53"/>
        <v>18</v>
      </c>
      <c r="B296">
        <v>219</v>
      </c>
      <c r="C296" s="35">
        <f t="shared" si="52"/>
        <v>0</v>
      </c>
      <c r="D296" s="35">
        <f t="shared" si="52"/>
        <v>0</v>
      </c>
      <c r="E296" s="35">
        <f t="shared" si="52"/>
        <v>0</v>
      </c>
      <c r="F296" s="35"/>
      <c r="G296" s="35"/>
    </row>
    <row r="297" spans="1:7" hidden="1" outlineLevel="1">
      <c r="A297">
        <f t="shared" si="53"/>
        <v>18</v>
      </c>
      <c r="B297">
        <v>220</v>
      </c>
      <c r="C297" s="35">
        <f t="shared" si="52"/>
        <v>0</v>
      </c>
      <c r="D297" s="35">
        <f t="shared" si="52"/>
        <v>0</v>
      </c>
      <c r="E297" s="35">
        <f t="shared" si="52"/>
        <v>0</v>
      </c>
      <c r="F297" s="35"/>
      <c r="G297" s="35"/>
    </row>
    <row r="298" spans="1:7" hidden="1" outlineLevel="1">
      <c r="A298">
        <f t="shared" si="53"/>
        <v>18</v>
      </c>
      <c r="B298">
        <v>221</v>
      </c>
      <c r="C298" s="35">
        <f t="shared" si="52"/>
        <v>0</v>
      </c>
      <c r="D298" s="35">
        <f t="shared" si="52"/>
        <v>0</v>
      </c>
      <c r="E298" s="35">
        <f t="shared" si="52"/>
        <v>0</v>
      </c>
      <c r="F298" s="35"/>
      <c r="G298" s="35"/>
    </row>
    <row r="299" spans="1:7" hidden="1" outlineLevel="1">
      <c r="A299">
        <f t="shared" si="53"/>
        <v>19</v>
      </c>
      <c r="B299">
        <v>222</v>
      </c>
      <c r="C299" s="35">
        <f t="shared" si="52"/>
        <v>0</v>
      </c>
      <c r="D299" s="35">
        <f t="shared" si="52"/>
        <v>0</v>
      </c>
      <c r="E299" s="35">
        <f t="shared" si="52"/>
        <v>0</v>
      </c>
      <c r="F299" s="35"/>
      <c r="G299" s="35"/>
    </row>
    <row r="300" spans="1:7" hidden="1" outlineLevel="1">
      <c r="A300">
        <f t="shared" si="53"/>
        <v>19</v>
      </c>
      <c r="B300">
        <v>223</v>
      </c>
      <c r="C300" s="35">
        <f t="shared" si="52"/>
        <v>0</v>
      </c>
      <c r="D300" s="35">
        <f t="shared" si="52"/>
        <v>0</v>
      </c>
      <c r="E300" s="35">
        <f t="shared" si="52"/>
        <v>0</v>
      </c>
      <c r="F300" s="35"/>
      <c r="G300" s="35"/>
    </row>
    <row r="301" spans="1:7" hidden="1" outlineLevel="1">
      <c r="A301">
        <f t="shared" si="53"/>
        <v>19</v>
      </c>
      <c r="B301">
        <v>224</v>
      </c>
      <c r="C301" s="35">
        <f t="shared" si="52"/>
        <v>0</v>
      </c>
      <c r="D301" s="35">
        <f t="shared" si="52"/>
        <v>0</v>
      </c>
      <c r="E301" s="35">
        <f t="shared" si="52"/>
        <v>0</v>
      </c>
      <c r="F301" s="35"/>
      <c r="G301" s="35"/>
    </row>
    <row r="302" spans="1:7" hidden="1" outlineLevel="1">
      <c r="A302">
        <f t="shared" si="53"/>
        <v>19</v>
      </c>
      <c r="B302">
        <v>225</v>
      </c>
      <c r="C302" s="35">
        <f t="shared" si="52"/>
        <v>0</v>
      </c>
      <c r="D302" s="35">
        <f t="shared" si="52"/>
        <v>0</v>
      </c>
      <c r="E302" s="35">
        <f t="shared" si="52"/>
        <v>0</v>
      </c>
      <c r="F302" s="35"/>
      <c r="G302" s="35"/>
    </row>
    <row r="303" spans="1:7" hidden="1" outlineLevel="1">
      <c r="A303">
        <f t="shared" si="53"/>
        <v>19</v>
      </c>
      <c r="B303">
        <v>226</v>
      </c>
      <c r="C303" s="35">
        <f t="shared" si="52"/>
        <v>0</v>
      </c>
      <c r="D303" s="35">
        <f t="shared" si="52"/>
        <v>0</v>
      </c>
      <c r="E303" s="35">
        <f t="shared" si="52"/>
        <v>0</v>
      </c>
      <c r="F303" s="35"/>
      <c r="G303" s="35"/>
    </row>
    <row r="304" spans="1:7" hidden="1" outlineLevel="1">
      <c r="A304">
        <f t="shared" si="53"/>
        <v>19</v>
      </c>
      <c r="B304">
        <v>227</v>
      </c>
      <c r="C304" s="35">
        <f t="shared" si="52"/>
        <v>0</v>
      </c>
      <c r="D304" s="35">
        <f t="shared" si="52"/>
        <v>0</v>
      </c>
      <c r="E304" s="35">
        <f t="shared" si="52"/>
        <v>0</v>
      </c>
      <c r="F304" s="35"/>
      <c r="G304" s="35"/>
    </row>
    <row r="305" spans="1:7" hidden="1" outlineLevel="1">
      <c r="A305">
        <f t="shared" si="53"/>
        <v>19</v>
      </c>
      <c r="B305">
        <v>228</v>
      </c>
      <c r="C305" s="35">
        <f t="shared" si="52"/>
        <v>0</v>
      </c>
      <c r="D305" s="35">
        <f t="shared" si="52"/>
        <v>0</v>
      </c>
      <c r="E305" s="35">
        <f t="shared" si="52"/>
        <v>0</v>
      </c>
      <c r="F305" s="35"/>
      <c r="G305" s="35"/>
    </row>
    <row r="306" spans="1:7" hidden="1" outlineLevel="1">
      <c r="A306">
        <f t="shared" si="53"/>
        <v>19</v>
      </c>
      <c r="B306">
        <v>229</v>
      </c>
      <c r="C306" s="35">
        <f t="shared" si="52"/>
        <v>0</v>
      </c>
      <c r="D306" s="35">
        <f t="shared" si="52"/>
        <v>0</v>
      </c>
      <c r="E306" s="35">
        <f t="shared" si="52"/>
        <v>0</v>
      </c>
      <c r="F306" s="35"/>
      <c r="G306" s="35"/>
    </row>
    <row r="307" spans="1:7" hidden="1" outlineLevel="1">
      <c r="A307">
        <f t="shared" si="53"/>
        <v>19</v>
      </c>
      <c r="B307">
        <v>230</v>
      </c>
      <c r="C307" s="35">
        <f t="shared" si="52"/>
        <v>0</v>
      </c>
      <c r="D307" s="35">
        <f t="shared" si="52"/>
        <v>0</v>
      </c>
      <c r="E307" s="35">
        <f t="shared" si="52"/>
        <v>0</v>
      </c>
      <c r="F307" s="35"/>
      <c r="G307" s="35"/>
    </row>
    <row r="308" spans="1:7" hidden="1" outlineLevel="1">
      <c r="A308">
        <f t="shared" si="53"/>
        <v>19</v>
      </c>
      <c r="B308">
        <v>231</v>
      </c>
      <c r="C308" s="35">
        <f t="shared" si="52"/>
        <v>0</v>
      </c>
      <c r="D308" s="35">
        <f t="shared" si="52"/>
        <v>0</v>
      </c>
      <c r="E308" s="35">
        <f t="shared" si="52"/>
        <v>0</v>
      </c>
      <c r="F308" s="35"/>
      <c r="G308" s="35"/>
    </row>
    <row r="309" spans="1:7" hidden="1" outlineLevel="1">
      <c r="A309">
        <f t="shared" si="53"/>
        <v>19</v>
      </c>
      <c r="B309">
        <v>232</v>
      </c>
      <c r="C309" s="35">
        <f t="shared" si="52"/>
        <v>0</v>
      </c>
      <c r="D309" s="35">
        <f t="shared" si="52"/>
        <v>0</v>
      </c>
      <c r="E309" s="35">
        <f t="shared" si="52"/>
        <v>0</v>
      </c>
      <c r="F309" s="35"/>
      <c r="G309" s="35"/>
    </row>
    <row r="310" spans="1:7" hidden="1" outlineLevel="1">
      <c r="A310">
        <f t="shared" si="53"/>
        <v>19</v>
      </c>
      <c r="B310">
        <v>233</v>
      </c>
      <c r="C310" s="35">
        <f t="shared" si="52"/>
        <v>0</v>
      </c>
      <c r="D310" s="35">
        <f t="shared" si="52"/>
        <v>0</v>
      </c>
      <c r="E310" s="35">
        <f t="shared" si="52"/>
        <v>0</v>
      </c>
      <c r="F310" s="35"/>
      <c r="G310" s="35"/>
    </row>
    <row r="311" spans="1:7" hidden="1" outlineLevel="1">
      <c r="A311">
        <f t="shared" si="53"/>
        <v>20</v>
      </c>
      <c r="B311">
        <v>234</v>
      </c>
      <c r="C311" s="35">
        <f t="shared" si="52"/>
        <v>0</v>
      </c>
      <c r="D311" s="35">
        <f t="shared" si="52"/>
        <v>0</v>
      </c>
      <c r="E311" s="35">
        <f t="shared" si="52"/>
        <v>0</v>
      </c>
      <c r="F311" s="35"/>
      <c r="G311" s="35"/>
    </row>
    <row r="312" spans="1:7" hidden="1" outlineLevel="1">
      <c r="A312">
        <f t="shared" si="53"/>
        <v>20</v>
      </c>
      <c r="B312">
        <v>235</v>
      </c>
      <c r="C312" s="35">
        <f t="shared" si="52"/>
        <v>0</v>
      </c>
      <c r="D312" s="35">
        <f t="shared" si="52"/>
        <v>0</v>
      </c>
      <c r="E312" s="35">
        <f t="shared" si="52"/>
        <v>0</v>
      </c>
      <c r="F312" s="35"/>
      <c r="G312" s="35"/>
    </row>
    <row r="313" spans="1:7" hidden="1" outlineLevel="1">
      <c r="A313">
        <f t="shared" si="53"/>
        <v>20</v>
      </c>
      <c r="B313">
        <v>236</v>
      </c>
      <c r="C313" s="35">
        <f t="shared" si="52"/>
        <v>0</v>
      </c>
      <c r="D313" s="35">
        <f t="shared" si="52"/>
        <v>0</v>
      </c>
      <c r="E313" s="35">
        <f t="shared" si="52"/>
        <v>0</v>
      </c>
      <c r="F313" s="35"/>
      <c r="G313" s="35"/>
    </row>
    <row r="314" spans="1:7" hidden="1" outlineLevel="1">
      <c r="A314">
        <f t="shared" si="53"/>
        <v>20</v>
      </c>
      <c r="B314">
        <v>237</v>
      </c>
      <c r="C314" s="35">
        <f t="shared" si="52"/>
        <v>0</v>
      </c>
      <c r="D314" s="35">
        <f t="shared" si="52"/>
        <v>0</v>
      </c>
      <c r="E314" s="35">
        <f t="shared" si="52"/>
        <v>0</v>
      </c>
      <c r="F314" s="35"/>
      <c r="G314" s="35"/>
    </row>
    <row r="315" spans="1:7" hidden="1" outlineLevel="1">
      <c r="A315">
        <f t="shared" si="53"/>
        <v>20</v>
      </c>
      <c r="B315">
        <v>238</v>
      </c>
      <c r="C315" s="35">
        <f t="shared" si="52"/>
        <v>0</v>
      </c>
      <c r="D315" s="35">
        <f t="shared" si="52"/>
        <v>0</v>
      </c>
      <c r="E315" s="35">
        <f t="shared" si="52"/>
        <v>0</v>
      </c>
      <c r="F315" s="35"/>
      <c r="G315" s="35"/>
    </row>
    <row r="316" spans="1:7" hidden="1" outlineLevel="1">
      <c r="A316">
        <f t="shared" si="53"/>
        <v>20</v>
      </c>
      <c r="B316">
        <v>239</v>
      </c>
      <c r="C316" s="35">
        <f t="shared" si="52"/>
        <v>0</v>
      </c>
      <c r="D316" s="35">
        <f t="shared" si="52"/>
        <v>0</v>
      </c>
      <c r="E316" s="35">
        <f t="shared" si="52"/>
        <v>0</v>
      </c>
      <c r="F316" s="35"/>
      <c r="G316" s="35"/>
    </row>
    <row r="317" spans="1:7" hidden="1" outlineLevel="1">
      <c r="A317">
        <f t="shared" si="53"/>
        <v>20</v>
      </c>
      <c r="B317">
        <v>240</v>
      </c>
      <c r="C317" s="35">
        <f t="shared" si="52"/>
        <v>0</v>
      </c>
      <c r="D317" s="35">
        <f t="shared" si="52"/>
        <v>0</v>
      </c>
      <c r="E317" s="35">
        <f t="shared" si="52"/>
        <v>0</v>
      </c>
      <c r="F317" s="35"/>
      <c r="G317" s="35"/>
    </row>
    <row r="318" spans="1:7" hidden="1" outlineLevel="1">
      <c r="A318">
        <f t="shared" si="53"/>
        <v>20</v>
      </c>
      <c r="B318">
        <v>241</v>
      </c>
      <c r="C318" s="35">
        <f t="shared" si="52"/>
        <v>0</v>
      </c>
      <c r="D318" s="35">
        <f t="shared" si="52"/>
        <v>0</v>
      </c>
      <c r="E318" s="35">
        <f t="shared" si="52"/>
        <v>0</v>
      </c>
      <c r="F318" s="35"/>
      <c r="G318" s="35"/>
    </row>
    <row r="319" spans="1:7" hidden="1" outlineLevel="1">
      <c r="A319">
        <f t="shared" si="53"/>
        <v>20</v>
      </c>
      <c r="B319">
        <v>242</v>
      </c>
      <c r="C319" s="35">
        <f t="shared" si="52"/>
        <v>0</v>
      </c>
      <c r="D319" s="35">
        <f t="shared" si="52"/>
        <v>0</v>
      </c>
      <c r="E319" s="35">
        <f t="shared" si="52"/>
        <v>0</v>
      </c>
      <c r="F319" s="35"/>
      <c r="G319" s="35"/>
    </row>
    <row r="320" spans="1:7" hidden="1" outlineLevel="1">
      <c r="A320">
        <f t="shared" si="53"/>
        <v>20</v>
      </c>
      <c r="B320">
        <v>243</v>
      </c>
      <c r="C320" s="35">
        <f t="shared" si="52"/>
        <v>0</v>
      </c>
      <c r="D320" s="35">
        <f t="shared" si="52"/>
        <v>0</v>
      </c>
      <c r="E320" s="35">
        <f t="shared" si="52"/>
        <v>0</v>
      </c>
      <c r="F320" s="35"/>
      <c r="G320" s="35"/>
    </row>
    <row r="321" spans="1:7" hidden="1" outlineLevel="1">
      <c r="A321">
        <f t="shared" si="53"/>
        <v>20</v>
      </c>
      <c r="B321">
        <v>244</v>
      </c>
      <c r="C321" s="35">
        <f t="shared" si="52"/>
        <v>0</v>
      </c>
      <c r="D321" s="35">
        <f t="shared" si="52"/>
        <v>0</v>
      </c>
      <c r="E321" s="35">
        <f t="shared" si="52"/>
        <v>0</v>
      </c>
      <c r="F321" s="35"/>
      <c r="G321" s="35"/>
    </row>
    <row r="322" spans="1:7" hidden="1" outlineLevel="1">
      <c r="A322">
        <f t="shared" si="53"/>
        <v>20</v>
      </c>
      <c r="B322">
        <v>245</v>
      </c>
      <c r="C322" s="35">
        <f t="shared" si="52"/>
        <v>0</v>
      </c>
      <c r="D322" s="35">
        <f t="shared" si="52"/>
        <v>0</v>
      </c>
      <c r="E322" s="35">
        <f t="shared" si="52"/>
        <v>0</v>
      </c>
      <c r="F322" s="35"/>
      <c r="G322" s="35"/>
    </row>
    <row r="323" spans="1:7" hidden="1" outlineLevel="1">
      <c r="A323">
        <f t="shared" si="53"/>
        <v>21</v>
      </c>
      <c r="B323">
        <v>246</v>
      </c>
      <c r="C323" s="35">
        <f t="shared" si="52"/>
        <v>0</v>
      </c>
      <c r="D323" s="35">
        <f t="shared" si="52"/>
        <v>0</v>
      </c>
      <c r="E323" s="35"/>
      <c r="F323" s="35"/>
      <c r="G323" s="35"/>
    </row>
    <row r="324" spans="1:7" hidden="1" outlineLevel="1">
      <c r="A324">
        <f t="shared" si="53"/>
        <v>21</v>
      </c>
      <c r="B324">
        <v>247</v>
      </c>
      <c r="C324" s="35">
        <f t="shared" si="52"/>
        <v>0</v>
      </c>
      <c r="D324" s="35">
        <f t="shared" si="52"/>
        <v>0</v>
      </c>
      <c r="E324" s="35"/>
      <c r="F324" s="35"/>
      <c r="G324" s="35"/>
    </row>
    <row r="325" spans="1:7" hidden="1" outlineLevel="1">
      <c r="A325">
        <f t="shared" si="53"/>
        <v>21</v>
      </c>
      <c r="B325">
        <v>248</v>
      </c>
      <c r="C325" s="35">
        <f t="shared" si="52"/>
        <v>0</v>
      </c>
      <c r="D325" s="35">
        <f t="shared" si="52"/>
        <v>0</v>
      </c>
      <c r="E325" s="35"/>
      <c r="F325" s="35"/>
      <c r="G325" s="35"/>
    </row>
    <row r="326" spans="1:7" hidden="1" outlineLevel="1">
      <c r="A326">
        <f t="shared" si="53"/>
        <v>21</v>
      </c>
      <c r="B326">
        <v>249</v>
      </c>
      <c r="C326" s="35">
        <f t="shared" si="52"/>
        <v>0</v>
      </c>
      <c r="D326" s="35">
        <f t="shared" si="52"/>
        <v>0</v>
      </c>
      <c r="E326" s="35"/>
      <c r="F326" s="35"/>
      <c r="G326" s="35"/>
    </row>
    <row r="327" spans="1:7" hidden="1" outlineLevel="1">
      <c r="A327">
        <f t="shared" si="53"/>
        <v>21</v>
      </c>
      <c r="B327">
        <v>250</v>
      </c>
      <c r="C327" s="35">
        <f t="shared" si="52"/>
        <v>0</v>
      </c>
      <c r="D327" s="35">
        <f t="shared" si="52"/>
        <v>0</v>
      </c>
      <c r="E327" s="35"/>
      <c r="F327" s="35"/>
      <c r="G327" s="35"/>
    </row>
    <row r="328" spans="1:7" hidden="1" outlineLevel="1">
      <c r="A328">
        <f t="shared" si="53"/>
        <v>21</v>
      </c>
      <c r="B328">
        <v>251</v>
      </c>
      <c r="C328" s="35">
        <f t="shared" si="52"/>
        <v>0</v>
      </c>
      <c r="D328" s="35">
        <f t="shared" si="52"/>
        <v>0</v>
      </c>
      <c r="E328" s="35"/>
      <c r="F328" s="35"/>
      <c r="G328" s="35"/>
    </row>
    <row r="329" spans="1:7" hidden="1" outlineLevel="1">
      <c r="A329">
        <f t="shared" si="53"/>
        <v>21</v>
      </c>
      <c r="B329">
        <v>252</v>
      </c>
      <c r="C329" s="35">
        <f t="shared" si="52"/>
        <v>0</v>
      </c>
      <c r="D329" s="35">
        <f t="shared" si="52"/>
        <v>0</v>
      </c>
      <c r="E329" s="35"/>
      <c r="F329" s="35"/>
      <c r="G329" s="35"/>
    </row>
    <row r="330" spans="1:7" hidden="1" outlineLevel="1">
      <c r="A330">
        <f t="shared" si="53"/>
        <v>21</v>
      </c>
      <c r="B330">
        <v>253</v>
      </c>
      <c r="C330" s="35">
        <f t="shared" si="52"/>
        <v>0</v>
      </c>
      <c r="D330" s="35">
        <f t="shared" si="52"/>
        <v>0</v>
      </c>
      <c r="E330" s="35"/>
      <c r="F330" s="35"/>
      <c r="G330" s="35"/>
    </row>
    <row r="331" spans="1:7" hidden="1" outlineLevel="1">
      <c r="A331">
        <f t="shared" si="53"/>
        <v>21</v>
      </c>
      <c r="B331">
        <v>254</v>
      </c>
      <c r="C331" s="35">
        <f t="shared" si="52"/>
        <v>0</v>
      </c>
      <c r="D331" s="35">
        <f t="shared" si="52"/>
        <v>0</v>
      </c>
      <c r="E331" s="35"/>
      <c r="F331" s="35"/>
      <c r="G331" s="35"/>
    </row>
    <row r="332" spans="1:7" hidden="1" outlineLevel="1">
      <c r="A332">
        <f t="shared" si="53"/>
        <v>21</v>
      </c>
      <c r="B332">
        <v>255</v>
      </c>
      <c r="C332" s="35">
        <f t="shared" ref="C332:D395" si="54">((C$58-(($B332-1)*C$62))*C$61)</f>
        <v>0</v>
      </c>
      <c r="D332" s="35">
        <f t="shared" si="54"/>
        <v>0</v>
      </c>
      <c r="E332" s="35"/>
      <c r="F332" s="35"/>
      <c r="G332" s="35"/>
    </row>
    <row r="333" spans="1:7" hidden="1" outlineLevel="1">
      <c r="A333">
        <f t="shared" si="53"/>
        <v>21</v>
      </c>
      <c r="B333">
        <v>256</v>
      </c>
      <c r="C333" s="35">
        <f t="shared" si="54"/>
        <v>0</v>
      </c>
      <c r="D333" s="35">
        <f t="shared" si="54"/>
        <v>0</v>
      </c>
      <c r="E333" s="35"/>
      <c r="F333" s="35"/>
      <c r="G333" s="35"/>
    </row>
    <row r="334" spans="1:7" hidden="1" outlineLevel="1">
      <c r="A334">
        <f t="shared" si="53"/>
        <v>21</v>
      </c>
      <c r="B334">
        <v>257</v>
      </c>
      <c r="C334" s="35">
        <f t="shared" si="54"/>
        <v>0</v>
      </c>
      <c r="D334" s="35">
        <f t="shared" si="54"/>
        <v>0</v>
      </c>
      <c r="E334" s="35"/>
      <c r="F334" s="35"/>
      <c r="G334" s="35"/>
    </row>
    <row r="335" spans="1:7" hidden="1" outlineLevel="1">
      <c r="A335">
        <f t="shared" ref="A335:A398" si="55">ROUND(B335/12,0)</f>
        <v>22</v>
      </c>
      <c r="B335">
        <v>258</v>
      </c>
      <c r="C335" s="35">
        <f t="shared" si="54"/>
        <v>0</v>
      </c>
      <c r="D335" s="35">
        <f t="shared" si="54"/>
        <v>0</v>
      </c>
      <c r="E335" s="35"/>
      <c r="F335" s="35"/>
      <c r="G335" s="35"/>
    </row>
    <row r="336" spans="1:7" hidden="1" outlineLevel="1">
      <c r="A336">
        <f t="shared" si="55"/>
        <v>22</v>
      </c>
      <c r="B336">
        <v>259</v>
      </c>
      <c r="C336" s="35">
        <f t="shared" si="54"/>
        <v>0</v>
      </c>
      <c r="D336" s="35">
        <f t="shared" si="54"/>
        <v>0</v>
      </c>
      <c r="E336" s="35"/>
      <c r="F336" s="35"/>
      <c r="G336" s="35"/>
    </row>
    <row r="337" spans="1:7" hidden="1" outlineLevel="1">
      <c r="A337">
        <f t="shared" si="55"/>
        <v>22</v>
      </c>
      <c r="B337">
        <v>260</v>
      </c>
      <c r="C337" s="35">
        <f t="shared" si="54"/>
        <v>0</v>
      </c>
      <c r="D337" s="35">
        <f t="shared" si="54"/>
        <v>0</v>
      </c>
      <c r="E337" s="35"/>
      <c r="F337" s="35"/>
      <c r="G337" s="35"/>
    </row>
    <row r="338" spans="1:7" hidden="1" outlineLevel="1">
      <c r="A338">
        <f t="shared" si="55"/>
        <v>22</v>
      </c>
      <c r="B338">
        <v>261</v>
      </c>
      <c r="C338" s="35">
        <f t="shared" si="54"/>
        <v>0</v>
      </c>
      <c r="D338" s="35">
        <f t="shared" si="54"/>
        <v>0</v>
      </c>
      <c r="E338" s="35"/>
      <c r="F338" s="35"/>
      <c r="G338" s="35"/>
    </row>
    <row r="339" spans="1:7" hidden="1" outlineLevel="1">
      <c r="A339">
        <f t="shared" si="55"/>
        <v>22</v>
      </c>
      <c r="B339">
        <v>262</v>
      </c>
      <c r="C339" s="35">
        <f t="shared" si="54"/>
        <v>0</v>
      </c>
      <c r="D339" s="35">
        <f t="shared" si="54"/>
        <v>0</v>
      </c>
      <c r="E339" s="35"/>
      <c r="F339" s="35"/>
      <c r="G339" s="35"/>
    </row>
    <row r="340" spans="1:7" hidden="1" outlineLevel="1">
      <c r="A340">
        <f t="shared" si="55"/>
        <v>22</v>
      </c>
      <c r="B340">
        <v>263</v>
      </c>
      <c r="C340" s="35">
        <f t="shared" si="54"/>
        <v>0</v>
      </c>
      <c r="D340" s="35">
        <f t="shared" si="54"/>
        <v>0</v>
      </c>
      <c r="E340" s="35"/>
      <c r="F340" s="35"/>
      <c r="G340" s="35"/>
    </row>
    <row r="341" spans="1:7" hidden="1" outlineLevel="1">
      <c r="A341">
        <f t="shared" si="55"/>
        <v>22</v>
      </c>
      <c r="B341">
        <v>264</v>
      </c>
      <c r="C341" s="35">
        <f t="shared" si="54"/>
        <v>0</v>
      </c>
      <c r="D341" s="35">
        <f t="shared" si="54"/>
        <v>0</v>
      </c>
      <c r="E341" s="35"/>
      <c r="F341" s="35"/>
      <c r="G341" s="35"/>
    </row>
    <row r="342" spans="1:7" hidden="1" outlineLevel="1">
      <c r="A342">
        <f t="shared" si="55"/>
        <v>22</v>
      </c>
      <c r="B342">
        <v>265</v>
      </c>
      <c r="C342" s="35">
        <f t="shared" si="54"/>
        <v>0</v>
      </c>
      <c r="D342" s="35">
        <f t="shared" si="54"/>
        <v>0</v>
      </c>
      <c r="E342" s="35"/>
      <c r="F342" s="35"/>
      <c r="G342" s="35"/>
    </row>
    <row r="343" spans="1:7" hidden="1" outlineLevel="1">
      <c r="A343">
        <f t="shared" si="55"/>
        <v>22</v>
      </c>
      <c r="B343">
        <v>266</v>
      </c>
      <c r="C343" s="35">
        <f t="shared" si="54"/>
        <v>0</v>
      </c>
      <c r="D343" s="35">
        <f t="shared" si="54"/>
        <v>0</v>
      </c>
      <c r="E343" s="35"/>
      <c r="F343" s="35"/>
      <c r="G343" s="35"/>
    </row>
    <row r="344" spans="1:7" hidden="1" outlineLevel="1">
      <c r="A344">
        <f t="shared" si="55"/>
        <v>22</v>
      </c>
      <c r="B344">
        <v>267</v>
      </c>
      <c r="C344" s="35">
        <f t="shared" si="54"/>
        <v>0</v>
      </c>
      <c r="D344" s="35">
        <f t="shared" si="54"/>
        <v>0</v>
      </c>
      <c r="E344" s="35"/>
      <c r="F344" s="35"/>
      <c r="G344" s="35"/>
    </row>
    <row r="345" spans="1:7" hidden="1" outlineLevel="1">
      <c r="A345">
        <f t="shared" si="55"/>
        <v>22</v>
      </c>
      <c r="B345">
        <v>268</v>
      </c>
      <c r="C345" s="35">
        <f t="shared" si="54"/>
        <v>0</v>
      </c>
      <c r="D345" s="35">
        <f t="shared" si="54"/>
        <v>0</v>
      </c>
      <c r="E345" s="35"/>
      <c r="F345" s="35"/>
      <c r="G345" s="35"/>
    </row>
    <row r="346" spans="1:7" hidden="1" outlineLevel="1">
      <c r="A346">
        <f t="shared" si="55"/>
        <v>22</v>
      </c>
      <c r="B346">
        <v>269</v>
      </c>
      <c r="C346" s="35">
        <f t="shared" si="54"/>
        <v>0</v>
      </c>
      <c r="D346" s="35">
        <f t="shared" si="54"/>
        <v>0</v>
      </c>
      <c r="E346" s="35"/>
      <c r="F346" s="35"/>
      <c r="G346" s="35"/>
    </row>
    <row r="347" spans="1:7" hidden="1" outlineLevel="1">
      <c r="A347">
        <f t="shared" si="55"/>
        <v>23</v>
      </c>
      <c r="B347">
        <v>270</v>
      </c>
      <c r="C347" s="35">
        <f t="shared" si="54"/>
        <v>0</v>
      </c>
      <c r="D347" s="35">
        <f t="shared" si="54"/>
        <v>0</v>
      </c>
      <c r="E347" s="35"/>
      <c r="F347" s="35"/>
      <c r="G347" s="35"/>
    </row>
    <row r="348" spans="1:7" hidden="1" outlineLevel="1">
      <c r="A348">
        <f t="shared" si="55"/>
        <v>23</v>
      </c>
      <c r="B348">
        <v>271</v>
      </c>
      <c r="C348" s="35">
        <f t="shared" si="54"/>
        <v>0</v>
      </c>
      <c r="D348" s="35">
        <f t="shared" si="54"/>
        <v>0</v>
      </c>
      <c r="E348" s="35"/>
      <c r="F348" s="35"/>
      <c r="G348" s="35"/>
    </row>
    <row r="349" spans="1:7" hidden="1" outlineLevel="1">
      <c r="A349">
        <f t="shared" si="55"/>
        <v>23</v>
      </c>
      <c r="B349">
        <v>272</v>
      </c>
      <c r="C349" s="35">
        <f t="shared" si="54"/>
        <v>0</v>
      </c>
      <c r="D349" s="35">
        <f t="shared" si="54"/>
        <v>0</v>
      </c>
      <c r="E349" s="35"/>
      <c r="F349" s="35"/>
      <c r="G349" s="35"/>
    </row>
    <row r="350" spans="1:7" hidden="1" outlineLevel="1">
      <c r="A350">
        <f t="shared" si="55"/>
        <v>23</v>
      </c>
      <c r="B350">
        <v>273</v>
      </c>
      <c r="C350" s="35">
        <f t="shared" si="54"/>
        <v>0</v>
      </c>
      <c r="D350" s="35">
        <f t="shared" si="54"/>
        <v>0</v>
      </c>
      <c r="E350" s="35"/>
      <c r="F350" s="35"/>
      <c r="G350" s="35"/>
    </row>
    <row r="351" spans="1:7" hidden="1" outlineLevel="1">
      <c r="A351">
        <f t="shared" si="55"/>
        <v>23</v>
      </c>
      <c r="B351">
        <v>274</v>
      </c>
      <c r="C351" s="35">
        <f t="shared" si="54"/>
        <v>0</v>
      </c>
      <c r="D351" s="35">
        <f t="shared" si="54"/>
        <v>0</v>
      </c>
      <c r="E351" s="35"/>
      <c r="F351" s="35"/>
      <c r="G351" s="35"/>
    </row>
    <row r="352" spans="1:7" hidden="1" outlineLevel="1">
      <c r="A352">
        <f t="shared" si="55"/>
        <v>23</v>
      </c>
      <c r="B352">
        <v>275</v>
      </c>
      <c r="C352" s="35">
        <f t="shared" si="54"/>
        <v>0</v>
      </c>
      <c r="D352" s="35">
        <f t="shared" si="54"/>
        <v>0</v>
      </c>
      <c r="E352" s="35"/>
      <c r="F352" s="35"/>
      <c r="G352" s="35"/>
    </row>
    <row r="353" spans="1:7" hidden="1" outlineLevel="1">
      <c r="A353">
        <f t="shared" si="55"/>
        <v>23</v>
      </c>
      <c r="B353">
        <v>276</v>
      </c>
      <c r="C353" s="35">
        <f t="shared" si="54"/>
        <v>0</v>
      </c>
      <c r="D353" s="35">
        <f t="shared" si="54"/>
        <v>0</v>
      </c>
      <c r="E353" s="35"/>
      <c r="F353" s="35"/>
      <c r="G353" s="35"/>
    </row>
    <row r="354" spans="1:7" hidden="1" outlineLevel="1">
      <c r="A354">
        <f t="shared" si="55"/>
        <v>23</v>
      </c>
      <c r="B354">
        <v>277</v>
      </c>
      <c r="C354" s="35">
        <f t="shared" si="54"/>
        <v>0</v>
      </c>
      <c r="D354" s="35">
        <f t="shared" si="54"/>
        <v>0</v>
      </c>
      <c r="E354" s="35"/>
      <c r="F354" s="35"/>
      <c r="G354" s="35"/>
    </row>
    <row r="355" spans="1:7" hidden="1" outlineLevel="1">
      <c r="A355">
        <f t="shared" si="55"/>
        <v>23</v>
      </c>
      <c r="B355">
        <v>278</v>
      </c>
      <c r="C355" s="35">
        <f t="shared" si="54"/>
        <v>0</v>
      </c>
      <c r="D355" s="35">
        <f t="shared" si="54"/>
        <v>0</v>
      </c>
      <c r="E355" s="35"/>
      <c r="F355" s="35"/>
      <c r="G355" s="35"/>
    </row>
    <row r="356" spans="1:7" hidden="1" outlineLevel="1">
      <c r="A356">
        <f t="shared" si="55"/>
        <v>23</v>
      </c>
      <c r="B356">
        <v>279</v>
      </c>
      <c r="C356" s="35">
        <f t="shared" si="54"/>
        <v>0</v>
      </c>
      <c r="D356" s="35">
        <f t="shared" si="54"/>
        <v>0</v>
      </c>
      <c r="E356" s="35"/>
      <c r="F356" s="35"/>
      <c r="G356" s="35"/>
    </row>
    <row r="357" spans="1:7" hidden="1" outlineLevel="1">
      <c r="A357">
        <f t="shared" si="55"/>
        <v>23</v>
      </c>
      <c r="B357">
        <v>280</v>
      </c>
      <c r="C357" s="35">
        <f t="shared" si="54"/>
        <v>0</v>
      </c>
      <c r="D357" s="35">
        <f t="shared" si="54"/>
        <v>0</v>
      </c>
      <c r="E357" s="35"/>
      <c r="F357" s="35"/>
      <c r="G357" s="35"/>
    </row>
    <row r="358" spans="1:7" hidden="1" outlineLevel="1">
      <c r="A358">
        <f t="shared" si="55"/>
        <v>23</v>
      </c>
      <c r="B358">
        <v>281</v>
      </c>
      <c r="C358" s="35">
        <f t="shared" si="54"/>
        <v>0</v>
      </c>
      <c r="D358" s="35">
        <f t="shared" si="54"/>
        <v>0</v>
      </c>
      <c r="E358" s="35"/>
      <c r="F358" s="35"/>
      <c r="G358" s="35"/>
    </row>
    <row r="359" spans="1:7" hidden="1" outlineLevel="1">
      <c r="A359">
        <f t="shared" si="55"/>
        <v>24</v>
      </c>
      <c r="B359">
        <v>282</v>
      </c>
      <c r="C359" s="35">
        <f t="shared" si="54"/>
        <v>0</v>
      </c>
      <c r="D359" s="35">
        <f t="shared" si="54"/>
        <v>0</v>
      </c>
      <c r="E359" s="35"/>
      <c r="F359" s="35"/>
      <c r="G359" s="35"/>
    </row>
    <row r="360" spans="1:7" hidden="1" outlineLevel="1">
      <c r="A360">
        <f t="shared" si="55"/>
        <v>24</v>
      </c>
      <c r="B360">
        <v>283</v>
      </c>
      <c r="C360" s="35">
        <f t="shared" si="54"/>
        <v>0</v>
      </c>
      <c r="D360" s="35">
        <f t="shared" si="54"/>
        <v>0</v>
      </c>
      <c r="E360" s="35"/>
      <c r="F360" s="35"/>
      <c r="G360" s="35"/>
    </row>
    <row r="361" spans="1:7" hidden="1" outlineLevel="1">
      <c r="A361">
        <f t="shared" si="55"/>
        <v>24</v>
      </c>
      <c r="B361">
        <v>284</v>
      </c>
      <c r="C361" s="35">
        <f t="shared" si="54"/>
        <v>0</v>
      </c>
      <c r="D361" s="35">
        <f t="shared" si="54"/>
        <v>0</v>
      </c>
      <c r="E361" s="35"/>
      <c r="F361" s="35"/>
      <c r="G361" s="35"/>
    </row>
    <row r="362" spans="1:7" hidden="1" outlineLevel="1">
      <c r="A362">
        <f t="shared" si="55"/>
        <v>24</v>
      </c>
      <c r="B362">
        <v>285</v>
      </c>
      <c r="C362" s="35">
        <f t="shared" si="54"/>
        <v>0</v>
      </c>
      <c r="D362" s="35">
        <f t="shared" si="54"/>
        <v>0</v>
      </c>
      <c r="E362" s="35"/>
      <c r="F362" s="35"/>
      <c r="G362" s="35"/>
    </row>
    <row r="363" spans="1:7" hidden="1" outlineLevel="1">
      <c r="A363">
        <f t="shared" si="55"/>
        <v>24</v>
      </c>
      <c r="B363">
        <v>286</v>
      </c>
      <c r="C363" s="35">
        <f t="shared" si="54"/>
        <v>0</v>
      </c>
      <c r="D363" s="35">
        <f t="shared" si="54"/>
        <v>0</v>
      </c>
      <c r="E363" s="35"/>
      <c r="F363" s="35"/>
      <c r="G363" s="35"/>
    </row>
    <row r="364" spans="1:7" hidden="1" outlineLevel="1">
      <c r="A364">
        <f t="shared" si="55"/>
        <v>24</v>
      </c>
      <c r="B364">
        <v>287</v>
      </c>
      <c r="C364" s="35">
        <f t="shared" si="54"/>
        <v>0</v>
      </c>
      <c r="D364" s="35">
        <f t="shared" si="54"/>
        <v>0</v>
      </c>
      <c r="E364" s="35"/>
      <c r="F364" s="35"/>
      <c r="G364" s="35"/>
    </row>
    <row r="365" spans="1:7" hidden="1" outlineLevel="1">
      <c r="A365">
        <f t="shared" si="55"/>
        <v>24</v>
      </c>
      <c r="B365">
        <v>288</v>
      </c>
      <c r="C365" s="35">
        <f t="shared" si="54"/>
        <v>0</v>
      </c>
      <c r="D365" s="35">
        <f t="shared" si="54"/>
        <v>0</v>
      </c>
      <c r="E365" s="35"/>
      <c r="F365" s="35"/>
      <c r="G365" s="35"/>
    </row>
    <row r="366" spans="1:7" hidden="1" outlineLevel="1">
      <c r="A366">
        <f t="shared" si="55"/>
        <v>24</v>
      </c>
      <c r="B366">
        <v>289</v>
      </c>
      <c r="C366" s="35">
        <f t="shared" si="54"/>
        <v>0</v>
      </c>
      <c r="D366" s="35">
        <f t="shared" si="54"/>
        <v>0</v>
      </c>
      <c r="E366" s="35"/>
      <c r="F366" s="35"/>
      <c r="G366" s="35"/>
    </row>
    <row r="367" spans="1:7" hidden="1" outlineLevel="1">
      <c r="A367">
        <f t="shared" si="55"/>
        <v>24</v>
      </c>
      <c r="B367">
        <v>290</v>
      </c>
      <c r="C367" s="35">
        <f t="shared" si="54"/>
        <v>0</v>
      </c>
      <c r="D367" s="35">
        <f t="shared" si="54"/>
        <v>0</v>
      </c>
      <c r="E367" s="35"/>
      <c r="F367" s="35"/>
      <c r="G367" s="35"/>
    </row>
    <row r="368" spans="1:7" hidden="1" outlineLevel="1">
      <c r="A368">
        <f t="shared" si="55"/>
        <v>24</v>
      </c>
      <c r="B368">
        <v>291</v>
      </c>
      <c r="C368" s="35">
        <f t="shared" si="54"/>
        <v>0</v>
      </c>
      <c r="D368" s="35">
        <f t="shared" si="54"/>
        <v>0</v>
      </c>
      <c r="E368" s="35"/>
      <c r="F368" s="35"/>
      <c r="G368" s="35"/>
    </row>
    <row r="369" spans="1:7" hidden="1" outlineLevel="1">
      <c r="A369">
        <f t="shared" si="55"/>
        <v>24</v>
      </c>
      <c r="B369">
        <v>292</v>
      </c>
      <c r="C369" s="35">
        <f t="shared" si="54"/>
        <v>0</v>
      </c>
      <c r="D369" s="35">
        <f t="shared" si="54"/>
        <v>0</v>
      </c>
      <c r="E369" s="35"/>
      <c r="F369" s="35"/>
      <c r="G369" s="35"/>
    </row>
    <row r="370" spans="1:7" hidden="1" outlineLevel="1">
      <c r="A370">
        <f t="shared" si="55"/>
        <v>24</v>
      </c>
      <c r="B370">
        <v>293</v>
      </c>
      <c r="C370" s="35">
        <f t="shared" si="54"/>
        <v>0</v>
      </c>
      <c r="D370" s="35">
        <f t="shared" si="54"/>
        <v>0</v>
      </c>
      <c r="E370" s="35"/>
      <c r="F370" s="35"/>
      <c r="G370" s="35"/>
    </row>
    <row r="371" spans="1:7" hidden="1" outlineLevel="1">
      <c r="A371">
        <f t="shared" si="55"/>
        <v>25</v>
      </c>
      <c r="B371">
        <v>294</v>
      </c>
      <c r="C371" s="35">
        <f t="shared" si="54"/>
        <v>0</v>
      </c>
      <c r="D371" s="35">
        <f t="shared" si="54"/>
        <v>0</v>
      </c>
      <c r="E371" s="35"/>
      <c r="F371" s="35"/>
      <c r="G371" s="35"/>
    </row>
    <row r="372" spans="1:7" hidden="1" outlineLevel="1">
      <c r="A372">
        <f t="shared" si="55"/>
        <v>25</v>
      </c>
      <c r="B372">
        <v>295</v>
      </c>
      <c r="C372" s="35">
        <f t="shared" si="54"/>
        <v>0</v>
      </c>
      <c r="D372" s="35">
        <f t="shared" si="54"/>
        <v>0</v>
      </c>
      <c r="E372" s="35"/>
      <c r="F372" s="35"/>
      <c r="G372" s="35"/>
    </row>
    <row r="373" spans="1:7" hidden="1" outlineLevel="1">
      <c r="A373">
        <f t="shared" si="55"/>
        <v>25</v>
      </c>
      <c r="B373">
        <v>296</v>
      </c>
      <c r="C373" s="35">
        <f t="shared" si="54"/>
        <v>0</v>
      </c>
      <c r="D373" s="35">
        <f t="shared" si="54"/>
        <v>0</v>
      </c>
      <c r="E373" s="35"/>
      <c r="F373" s="35"/>
      <c r="G373" s="35"/>
    </row>
    <row r="374" spans="1:7" hidden="1" outlineLevel="1">
      <c r="A374">
        <f t="shared" si="55"/>
        <v>25</v>
      </c>
      <c r="B374">
        <v>297</v>
      </c>
      <c r="C374" s="35">
        <f t="shared" si="54"/>
        <v>0</v>
      </c>
      <c r="D374" s="35">
        <f t="shared" si="54"/>
        <v>0</v>
      </c>
      <c r="E374" s="35"/>
      <c r="F374" s="35"/>
      <c r="G374" s="35"/>
    </row>
    <row r="375" spans="1:7" hidden="1" outlineLevel="1">
      <c r="A375">
        <f t="shared" si="55"/>
        <v>25</v>
      </c>
      <c r="B375">
        <v>298</v>
      </c>
      <c r="C375" s="35">
        <f t="shared" si="54"/>
        <v>0</v>
      </c>
      <c r="D375" s="35">
        <f t="shared" si="54"/>
        <v>0</v>
      </c>
      <c r="E375" s="35"/>
      <c r="F375" s="35"/>
      <c r="G375" s="35"/>
    </row>
    <row r="376" spans="1:7" hidden="1" outlineLevel="1">
      <c r="A376">
        <f t="shared" si="55"/>
        <v>25</v>
      </c>
      <c r="B376">
        <v>299</v>
      </c>
      <c r="C376" s="35">
        <f t="shared" si="54"/>
        <v>0</v>
      </c>
      <c r="D376" s="35">
        <f t="shared" si="54"/>
        <v>0</v>
      </c>
      <c r="E376" s="35"/>
      <c r="F376" s="35"/>
      <c r="G376" s="35"/>
    </row>
    <row r="377" spans="1:7" hidden="1" outlineLevel="1">
      <c r="A377">
        <f t="shared" si="55"/>
        <v>25</v>
      </c>
      <c r="B377">
        <v>300</v>
      </c>
      <c r="C377" s="35">
        <f t="shared" si="54"/>
        <v>0</v>
      </c>
      <c r="D377" s="35">
        <f t="shared" si="54"/>
        <v>0</v>
      </c>
      <c r="E377" s="35"/>
      <c r="F377" s="35"/>
      <c r="G377" s="35"/>
    </row>
    <row r="378" spans="1:7" hidden="1" outlineLevel="1">
      <c r="A378">
        <f t="shared" si="55"/>
        <v>25</v>
      </c>
      <c r="B378">
        <v>301</v>
      </c>
      <c r="C378" s="35">
        <f t="shared" si="54"/>
        <v>0</v>
      </c>
      <c r="D378" s="35">
        <f t="shared" si="54"/>
        <v>0</v>
      </c>
      <c r="E378" s="35"/>
      <c r="F378" s="35"/>
      <c r="G378" s="35"/>
    </row>
    <row r="379" spans="1:7" hidden="1" outlineLevel="1">
      <c r="A379">
        <f t="shared" si="55"/>
        <v>25</v>
      </c>
      <c r="B379">
        <v>302</v>
      </c>
      <c r="C379" s="35">
        <f t="shared" si="54"/>
        <v>0</v>
      </c>
      <c r="D379" s="35">
        <f t="shared" si="54"/>
        <v>0</v>
      </c>
      <c r="E379" s="35"/>
      <c r="F379" s="35"/>
      <c r="G379" s="35"/>
    </row>
    <row r="380" spans="1:7" hidden="1" outlineLevel="1">
      <c r="A380">
        <f t="shared" si="55"/>
        <v>25</v>
      </c>
      <c r="B380">
        <v>303</v>
      </c>
      <c r="C380" s="35">
        <f t="shared" si="54"/>
        <v>0</v>
      </c>
      <c r="D380" s="35">
        <f t="shared" si="54"/>
        <v>0</v>
      </c>
      <c r="E380" s="35"/>
      <c r="F380" s="35"/>
      <c r="G380" s="35"/>
    </row>
    <row r="381" spans="1:7" hidden="1" outlineLevel="1">
      <c r="A381">
        <f t="shared" si="55"/>
        <v>25</v>
      </c>
      <c r="B381">
        <v>304</v>
      </c>
      <c r="C381" s="35">
        <f t="shared" si="54"/>
        <v>0</v>
      </c>
      <c r="D381" s="35">
        <f t="shared" si="54"/>
        <v>0</v>
      </c>
      <c r="E381" s="35"/>
      <c r="F381" s="35"/>
      <c r="G381" s="35"/>
    </row>
    <row r="382" spans="1:7" hidden="1" outlineLevel="1">
      <c r="A382">
        <f t="shared" si="55"/>
        <v>25</v>
      </c>
      <c r="B382">
        <v>305</v>
      </c>
      <c r="C382" s="35">
        <f t="shared" si="54"/>
        <v>0</v>
      </c>
      <c r="D382" s="35">
        <f t="shared" si="54"/>
        <v>0</v>
      </c>
      <c r="E382" s="35"/>
      <c r="F382" s="35"/>
      <c r="G382" s="35"/>
    </row>
    <row r="383" spans="1:7" hidden="1" outlineLevel="1">
      <c r="A383">
        <f t="shared" si="55"/>
        <v>26</v>
      </c>
      <c r="B383">
        <v>306</v>
      </c>
      <c r="C383" s="35">
        <f t="shared" si="54"/>
        <v>0</v>
      </c>
      <c r="D383" s="35"/>
      <c r="E383" s="35"/>
      <c r="F383" s="35"/>
      <c r="G383" s="35"/>
    </row>
    <row r="384" spans="1:7" hidden="1" outlineLevel="1">
      <c r="A384">
        <f t="shared" si="55"/>
        <v>26</v>
      </c>
      <c r="B384">
        <v>307</v>
      </c>
      <c r="C384" s="35">
        <f t="shared" si="54"/>
        <v>0</v>
      </c>
      <c r="D384" s="35"/>
      <c r="E384" s="35"/>
      <c r="F384" s="35"/>
      <c r="G384" s="35"/>
    </row>
    <row r="385" spans="1:7" hidden="1" outlineLevel="1">
      <c r="A385">
        <f t="shared" si="55"/>
        <v>26</v>
      </c>
      <c r="B385">
        <v>308</v>
      </c>
      <c r="C385" s="35">
        <f t="shared" si="54"/>
        <v>0</v>
      </c>
      <c r="D385" s="35"/>
      <c r="E385" s="35"/>
      <c r="F385" s="35"/>
      <c r="G385" s="35"/>
    </row>
    <row r="386" spans="1:7" hidden="1" outlineLevel="1">
      <c r="A386">
        <f t="shared" si="55"/>
        <v>26</v>
      </c>
      <c r="B386">
        <v>309</v>
      </c>
      <c r="C386" s="35">
        <f t="shared" si="54"/>
        <v>0</v>
      </c>
      <c r="D386" s="35"/>
      <c r="E386" s="35"/>
      <c r="F386" s="35"/>
      <c r="G386" s="35"/>
    </row>
    <row r="387" spans="1:7" hidden="1" outlineLevel="1">
      <c r="A387">
        <f t="shared" si="55"/>
        <v>26</v>
      </c>
      <c r="B387">
        <v>310</v>
      </c>
      <c r="C387" s="35">
        <f t="shared" si="54"/>
        <v>0</v>
      </c>
      <c r="D387" s="35"/>
      <c r="E387" s="35"/>
      <c r="F387" s="35"/>
      <c r="G387" s="35"/>
    </row>
    <row r="388" spans="1:7" hidden="1" outlineLevel="1">
      <c r="A388">
        <f t="shared" si="55"/>
        <v>26</v>
      </c>
      <c r="B388">
        <v>311</v>
      </c>
      <c r="C388" s="35">
        <f t="shared" si="54"/>
        <v>0</v>
      </c>
      <c r="D388" s="35"/>
      <c r="E388" s="35"/>
      <c r="F388" s="35"/>
      <c r="G388" s="35"/>
    </row>
    <row r="389" spans="1:7" hidden="1" outlineLevel="1">
      <c r="A389">
        <f t="shared" si="55"/>
        <v>26</v>
      </c>
      <c r="B389">
        <v>312</v>
      </c>
      <c r="C389" s="35">
        <f t="shared" si="54"/>
        <v>0</v>
      </c>
      <c r="D389" s="35"/>
      <c r="E389" s="35"/>
      <c r="F389" s="35"/>
      <c r="G389" s="35"/>
    </row>
    <row r="390" spans="1:7" hidden="1" outlineLevel="1">
      <c r="A390">
        <f t="shared" si="55"/>
        <v>26</v>
      </c>
      <c r="B390">
        <v>313</v>
      </c>
      <c r="C390" s="35">
        <f t="shared" si="54"/>
        <v>0</v>
      </c>
      <c r="D390" s="35"/>
      <c r="E390" s="35"/>
      <c r="F390" s="35"/>
      <c r="G390" s="35"/>
    </row>
    <row r="391" spans="1:7" hidden="1" outlineLevel="1">
      <c r="A391">
        <f t="shared" si="55"/>
        <v>26</v>
      </c>
      <c r="B391">
        <v>314</v>
      </c>
      <c r="C391" s="35">
        <f t="shared" si="54"/>
        <v>0</v>
      </c>
      <c r="D391" s="35"/>
      <c r="E391" s="35"/>
      <c r="F391" s="35"/>
      <c r="G391" s="35"/>
    </row>
    <row r="392" spans="1:7" hidden="1" outlineLevel="1">
      <c r="A392">
        <f t="shared" si="55"/>
        <v>26</v>
      </c>
      <c r="B392">
        <v>315</v>
      </c>
      <c r="C392" s="35">
        <f t="shared" si="54"/>
        <v>0</v>
      </c>
      <c r="D392" s="35"/>
      <c r="E392" s="35"/>
      <c r="F392" s="35"/>
      <c r="G392" s="35"/>
    </row>
    <row r="393" spans="1:7" hidden="1" outlineLevel="1">
      <c r="A393">
        <f t="shared" si="55"/>
        <v>26</v>
      </c>
      <c r="B393">
        <v>316</v>
      </c>
      <c r="C393" s="35">
        <f t="shared" si="54"/>
        <v>0</v>
      </c>
      <c r="D393" s="35"/>
      <c r="E393" s="35"/>
      <c r="F393" s="35"/>
      <c r="G393" s="35"/>
    </row>
    <row r="394" spans="1:7" hidden="1" outlineLevel="1">
      <c r="A394">
        <f t="shared" si="55"/>
        <v>26</v>
      </c>
      <c r="B394">
        <v>317</v>
      </c>
      <c r="C394" s="35">
        <f t="shared" si="54"/>
        <v>0</v>
      </c>
      <c r="D394" s="35"/>
      <c r="E394" s="35"/>
      <c r="F394" s="35"/>
      <c r="G394" s="35"/>
    </row>
    <row r="395" spans="1:7" hidden="1" outlineLevel="1">
      <c r="A395">
        <f t="shared" si="55"/>
        <v>27</v>
      </c>
      <c r="B395">
        <v>318</v>
      </c>
      <c r="C395" s="35">
        <f t="shared" si="54"/>
        <v>0</v>
      </c>
      <c r="D395" s="35"/>
      <c r="E395" s="35"/>
      <c r="F395" s="35"/>
      <c r="G395" s="35"/>
    </row>
    <row r="396" spans="1:7" hidden="1" outlineLevel="1">
      <c r="A396">
        <f t="shared" si="55"/>
        <v>27</v>
      </c>
      <c r="B396">
        <v>319</v>
      </c>
      <c r="C396" s="35">
        <f t="shared" ref="C396:C437" si="56">((C$58-(($B396-1)*C$62))*C$61)</f>
        <v>0</v>
      </c>
      <c r="D396" s="35"/>
      <c r="E396" s="35"/>
      <c r="F396" s="35"/>
      <c r="G396" s="35"/>
    </row>
    <row r="397" spans="1:7" hidden="1" outlineLevel="1">
      <c r="A397">
        <f t="shared" si="55"/>
        <v>27</v>
      </c>
      <c r="B397">
        <v>320</v>
      </c>
      <c r="C397" s="35">
        <f t="shared" si="56"/>
        <v>0</v>
      </c>
      <c r="D397" s="35"/>
      <c r="E397" s="35"/>
      <c r="F397" s="35"/>
      <c r="G397" s="35"/>
    </row>
    <row r="398" spans="1:7" hidden="1" outlineLevel="1">
      <c r="A398">
        <f t="shared" si="55"/>
        <v>27</v>
      </c>
      <c r="B398">
        <v>321</v>
      </c>
      <c r="C398" s="35">
        <f t="shared" si="56"/>
        <v>0</v>
      </c>
      <c r="D398" s="35"/>
      <c r="E398" s="35"/>
      <c r="F398" s="35"/>
      <c r="G398" s="35"/>
    </row>
    <row r="399" spans="1:7" hidden="1" outlineLevel="1">
      <c r="A399">
        <f t="shared" ref="A399:A437" si="57">ROUND(B399/12,0)</f>
        <v>27</v>
      </c>
      <c r="B399">
        <v>322</v>
      </c>
      <c r="C399" s="35">
        <f t="shared" si="56"/>
        <v>0</v>
      </c>
      <c r="D399" s="35"/>
      <c r="E399" s="35"/>
      <c r="F399" s="35"/>
      <c r="G399" s="35"/>
    </row>
    <row r="400" spans="1:7" hidden="1" outlineLevel="1">
      <c r="A400">
        <f t="shared" si="57"/>
        <v>27</v>
      </c>
      <c r="B400">
        <v>323</v>
      </c>
      <c r="C400" s="35">
        <f t="shared" si="56"/>
        <v>0</v>
      </c>
      <c r="D400" s="35"/>
      <c r="E400" s="35"/>
      <c r="F400" s="35"/>
      <c r="G400" s="35"/>
    </row>
    <row r="401" spans="1:7" hidden="1" outlineLevel="1">
      <c r="A401">
        <f t="shared" si="57"/>
        <v>27</v>
      </c>
      <c r="B401">
        <v>324</v>
      </c>
      <c r="C401" s="35">
        <f t="shared" si="56"/>
        <v>0</v>
      </c>
      <c r="D401" s="35"/>
      <c r="E401" s="35"/>
      <c r="F401" s="35"/>
      <c r="G401" s="35"/>
    </row>
    <row r="402" spans="1:7" hidden="1" outlineLevel="1">
      <c r="A402">
        <f t="shared" si="57"/>
        <v>27</v>
      </c>
      <c r="B402">
        <v>325</v>
      </c>
      <c r="C402" s="35">
        <f t="shared" si="56"/>
        <v>0</v>
      </c>
      <c r="D402" s="35"/>
      <c r="E402" s="35"/>
      <c r="F402" s="35"/>
      <c r="G402" s="35"/>
    </row>
    <row r="403" spans="1:7" hidden="1" outlineLevel="1">
      <c r="A403">
        <f t="shared" si="57"/>
        <v>27</v>
      </c>
      <c r="B403">
        <v>326</v>
      </c>
      <c r="C403" s="35">
        <f t="shared" si="56"/>
        <v>0</v>
      </c>
      <c r="D403" s="35"/>
      <c r="E403" s="35"/>
      <c r="F403" s="35"/>
      <c r="G403" s="35"/>
    </row>
    <row r="404" spans="1:7" hidden="1" outlineLevel="1">
      <c r="A404">
        <f t="shared" si="57"/>
        <v>27</v>
      </c>
      <c r="B404">
        <v>327</v>
      </c>
      <c r="C404" s="35">
        <f t="shared" si="56"/>
        <v>0</v>
      </c>
      <c r="D404" s="35"/>
      <c r="E404" s="35"/>
      <c r="F404" s="35"/>
      <c r="G404" s="35"/>
    </row>
    <row r="405" spans="1:7" hidden="1" outlineLevel="1">
      <c r="A405">
        <f t="shared" si="57"/>
        <v>27</v>
      </c>
      <c r="B405">
        <v>328</v>
      </c>
      <c r="C405" s="35">
        <f t="shared" si="56"/>
        <v>0</v>
      </c>
      <c r="D405" s="35"/>
      <c r="E405" s="35"/>
      <c r="F405" s="35"/>
      <c r="G405" s="35"/>
    </row>
    <row r="406" spans="1:7" hidden="1" outlineLevel="1">
      <c r="A406">
        <f t="shared" si="57"/>
        <v>27</v>
      </c>
      <c r="B406">
        <v>329</v>
      </c>
      <c r="C406" s="35">
        <f t="shared" si="56"/>
        <v>0</v>
      </c>
      <c r="D406" s="35"/>
      <c r="E406" s="35"/>
      <c r="F406" s="35"/>
      <c r="G406" s="35"/>
    </row>
    <row r="407" spans="1:7" hidden="1" outlineLevel="1">
      <c r="A407">
        <f t="shared" si="57"/>
        <v>28</v>
      </c>
      <c r="B407">
        <v>330</v>
      </c>
      <c r="C407" s="35">
        <f t="shared" si="56"/>
        <v>0</v>
      </c>
      <c r="D407" s="35"/>
      <c r="E407" s="35"/>
      <c r="F407" s="35"/>
      <c r="G407" s="35"/>
    </row>
    <row r="408" spans="1:7" hidden="1" outlineLevel="1">
      <c r="A408">
        <f t="shared" si="57"/>
        <v>28</v>
      </c>
      <c r="B408">
        <v>331</v>
      </c>
      <c r="C408" s="35">
        <f t="shared" si="56"/>
        <v>0</v>
      </c>
      <c r="D408" s="35"/>
      <c r="E408" s="35"/>
      <c r="F408" s="35"/>
      <c r="G408" s="35"/>
    </row>
    <row r="409" spans="1:7" hidden="1" outlineLevel="1">
      <c r="A409">
        <f t="shared" si="57"/>
        <v>28</v>
      </c>
      <c r="B409">
        <v>332</v>
      </c>
      <c r="C409" s="35">
        <f t="shared" si="56"/>
        <v>0</v>
      </c>
      <c r="D409" s="35"/>
      <c r="E409" s="35"/>
      <c r="F409" s="35"/>
      <c r="G409" s="35"/>
    </row>
    <row r="410" spans="1:7" hidden="1" outlineLevel="1">
      <c r="A410">
        <f t="shared" si="57"/>
        <v>28</v>
      </c>
      <c r="B410">
        <v>333</v>
      </c>
      <c r="C410" s="35">
        <f t="shared" si="56"/>
        <v>0</v>
      </c>
      <c r="D410" s="35"/>
      <c r="E410" s="35"/>
      <c r="F410" s="35"/>
      <c r="G410" s="35"/>
    </row>
    <row r="411" spans="1:7" hidden="1" outlineLevel="1">
      <c r="A411">
        <f t="shared" si="57"/>
        <v>28</v>
      </c>
      <c r="B411">
        <v>334</v>
      </c>
      <c r="C411" s="35">
        <f t="shared" si="56"/>
        <v>0</v>
      </c>
      <c r="D411" s="35"/>
      <c r="E411" s="35"/>
      <c r="F411" s="35"/>
      <c r="G411" s="35"/>
    </row>
    <row r="412" spans="1:7" hidden="1" outlineLevel="1">
      <c r="A412">
        <f t="shared" si="57"/>
        <v>28</v>
      </c>
      <c r="B412">
        <v>335</v>
      </c>
      <c r="C412" s="35">
        <f t="shared" si="56"/>
        <v>0</v>
      </c>
      <c r="D412" s="35"/>
      <c r="E412" s="35"/>
      <c r="F412" s="35"/>
      <c r="G412" s="35"/>
    </row>
    <row r="413" spans="1:7" hidden="1" outlineLevel="1">
      <c r="A413">
        <f t="shared" si="57"/>
        <v>28</v>
      </c>
      <c r="B413">
        <v>336</v>
      </c>
      <c r="C413" s="35">
        <f t="shared" si="56"/>
        <v>0</v>
      </c>
      <c r="D413" s="35"/>
      <c r="E413" s="35"/>
      <c r="F413" s="35"/>
      <c r="G413" s="35"/>
    </row>
    <row r="414" spans="1:7" hidden="1" outlineLevel="1">
      <c r="A414">
        <f t="shared" si="57"/>
        <v>28</v>
      </c>
      <c r="B414">
        <v>337</v>
      </c>
      <c r="C414" s="35">
        <f t="shared" si="56"/>
        <v>0</v>
      </c>
      <c r="D414" s="35"/>
      <c r="E414" s="35"/>
      <c r="F414" s="35"/>
      <c r="G414" s="35"/>
    </row>
    <row r="415" spans="1:7" hidden="1" outlineLevel="1">
      <c r="A415">
        <f t="shared" si="57"/>
        <v>28</v>
      </c>
      <c r="B415">
        <v>338</v>
      </c>
      <c r="C415" s="35">
        <f t="shared" si="56"/>
        <v>0</v>
      </c>
      <c r="D415" s="35"/>
      <c r="E415" s="35"/>
      <c r="F415" s="35"/>
      <c r="G415" s="35"/>
    </row>
    <row r="416" spans="1:7" hidden="1" outlineLevel="1">
      <c r="A416">
        <f t="shared" si="57"/>
        <v>28</v>
      </c>
      <c r="B416">
        <v>339</v>
      </c>
      <c r="C416" s="35">
        <f t="shared" si="56"/>
        <v>0</v>
      </c>
      <c r="D416" s="35"/>
      <c r="E416" s="35"/>
      <c r="F416" s="35"/>
      <c r="G416" s="35"/>
    </row>
    <row r="417" spans="1:7" hidden="1" outlineLevel="1">
      <c r="A417">
        <f t="shared" si="57"/>
        <v>28</v>
      </c>
      <c r="B417">
        <v>340</v>
      </c>
      <c r="C417" s="35">
        <f t="shared" si="56"/>
        <v>0</v>
      </c>
      <c r="D417" s="35"/>
      <c r="E417" s="35"/>
      <c r="F417" s="35"/>
      <c r="G417" s="35"/>
    </row>
    <row r="418" spans="1:7" hidden="1" outlineLevel="1">
      <c r="A418">
        <f t="shared" si="57"/>
        <v>28</v>
      </c>
      <c r="B418">
        <v>341</v>
      </c>
      <c r="C418" s="35">
        <f t="shared" si="56"/>
        <v>0</v>
      </c>
      <c r="D418" s="35"/>
      <c r="E418" s="35"/>
      <c r="F418" s="35"/>
      <c r="G418" s="35"/>
    </row>
    <row r="419" spans="1:7" hidden="1" outlineLevel="1">
      <c r="A419">
        <f t="shared" si="57"/>
        <v>29</v>
      </c>
      <c r="B419">
        <v>342</v>
      </c>
      <c r="C419" s="35">
        <f t="shared" si="56"/>
        <v>0</v>
      </c>
      <c r="D419" s="35"/>
      <c r="E419" s="35"/>
      <c r="F419" s="35"/>
      <c r="G419" s="35"/>
    </row>
    <row r="420" spans="1:7" hidden="1" outlineLevel="1">
      <c r="A420">
        <f t="shared" si="57"/>
        <v>29</v>
      </c>
      <c r="B420">
        <v>343</v>
      </c>
      <c r="C420" s="35">
        <f t="shared" si="56"/>
        <v>0</v>
      </c>
      <c r="D420" s="35"/>
      <c r="E420" s="35"/>
      <c r="F420" s="35"/>
      <c r="G420" s="35"/>
    </row>
    <row r="421" spans="1:7" hidden="1" outlineLevel="1">
      <c r="A421">
        <f t="shared" si="57"/>
        <v>29</v>
      </c>
      <c r="B421">
        <v>344</v>
      </c>
      <c r="C421" s="35">
        <f t="shared" si="56"/>
        <v>0</v>
      </c>
      <c r="D421" s="35"/>
      <c r="E421" s="35"/>
      <c r="F421" s="35"/>
      <c r="G421" s="35"/>
    </row>
    <row r="422" spans="1:7" hidden="1" outlineLevel="1">
      <c r="A422">
        <f t="shared" si="57"/>
        <v>29</v>
      </c>
      <c r="B422">
        <v>345</v>
      </c>
      <c r="C422" s="35">
        <f t="shared" si="56"/>
        <v>0</v>
      </c>
      <c r="D422" s="35"/>
      <c r="E422" s="35"/>
      <c r="F422" s="35"/>
      <c r="G422" s="35"/>
    </row>
    <row r="423" spans="1:7" hidden="1" outlineLevel="1">
      <c r="A423">
        <f t="shared" si="57"/>
        <v>29</v>
      </c>
      <c r="B423">
        <v>346</v>
      </c>
      <c r="C423" s="35">
        <f t="shared" si="56"/>
        <v>0</v>
      </c>
      <c r="D423" s="35"/>
      <c r="E423" s="35"/>
      <c r="F423" s="35"/>
      <c r="G423" s="35"/>
    </row>
    <row r="424" spans="1:7" hidden="1" outlineLevel="1">
      <c r="A424">
        <f t="shared" si="57"/>
        <v>29</v>
      </c>
      <c r="B424">
        <v>347</v>
      </c>
      <c r="C424" s="35">
        <f t="shared" si="56"/>
        <v>0</v>
      </c>
      <c r="D424" s="35"/>
      <c r="E424" s="35"/>
      <c r="F424" s="35"/>
      <c r="G424" s="35"/>
    </row>
    <row r="425" spans="1:7" hidden="1" outlineLevel="1">
      <c r="A425">
        <f t="shared" si="57"/>
        <v>29</v>
      </c>
      <c r="B425">
        <v>348</v>
      </c>
      <c r="C425" s="35">
        <f t="shared" si="56"/>
        <v>0</v>
      </c>
      <c r="D425" s="35"/>
      <c r="E425" s="35"/>
      <c r="F425" s="35"/>
      <c r="G425" s="35"/>
    </row>
    <row r="426" spans="1:7" hidden="1" outlineLevel="1">
      <c r="A426">
        <f t="shared" si="57"/>
        <v>29</v>
      </c>
      <c r="B426">
        <v>349</v>
      </c>
      <c r="C426" s="35">
        <f t="shared" si="56"/>
        <v>0</v>
      </c>
      <c r="D426" s="35"/>
      <c r="E426" s="35"/>
      <c r="F426" s="35"/>
      <c r="G426" s="35"/>
    </row>
    <row r="427" spans="1:7" hidden="1" outlineLevel="1">
      <c r="A427">
        <f t="shared" si="57"/>
        <v>29</v>
      </c>
      <c r="B427">
        <v>350</v>
      </c>
      <c r="C427" s="35">
        <f t="shared" si="56"/>
        <v>0</v>
      </c>
      <c r="D427" s="35"/>
      <c r="E427" s="35"/>
      <c r="F427" s="35"/>
      <c r="G427" s="35"/>
    </row>
    <row r="428" spans="1:7" hidden="1" outlineLevel="1">
      <c r="A428">
        <f t="shared" si="57"/>
        <v>29</v>
      </c>
      <c r="B428">
        <v>351</v>
      </c>
      <c r="C428" s="35">
        <f t="shared" si="56"/>
        <v>0</v>
      </c>
      <c r="D428" s="35"/>
      <c r="E428" s="35"/>
      <c r="F428" s="35"/>
      <c r="G428" s="35"/>
    </row>
    <row r="429" spans="1:7" hidden="1" outlineLevel="1">
      <c r="A429">
        <f t="shared" si="57"/>
        <v>29</v>
      </c>
      <c r="B429">
        <v>352</v>
      </c>
      <c r="C429" s="35">
        <f t="shared" si="56"/>
        <v>0</v>
      </c>
      <c r="D429" s="35"/>
      <c r="E429" s="35"/>
      <c r="F429" s="35"/>
      <c r="G429" s="35"/>
    </row>
    <row r="430" spans="1:7" hidden="1" outlineLevel="1">
      <c r="A430">
        <f t="shared" si="57"/>
        <v>29</v>
      </c>
      <c r="B430">
        <v>353</v>
      </c>
      <c r="C430" s="35">
        <f t="shared" si="56"/>
        <v>0</v>
      </c>
      <c r="D430" s="35"/>
      <c r="E430" s="35"/>
      <c r="F430" s="35"/>
      <c r="G430" s="35"/>
    </row>
    <row r="431" spans="1:7" hidden="1" outlineLevel="1">
      <c r="A431">
        <f t="shared" si="57"/>
        <v>30</v>
      </c>
      <c r="B431">
        <v>354</v>
      </c>
      <c r="C431" s="35">
        <f t="shared" si="56"/>
        <v>0</v>
      </c>
      <c r="D431" s="35"/>
      <c r="E431" s="35"/>
      <c r="F431" s="35"/>
      <c r="G431" s="35"/>
    </row>
    <row r="432" spans="1:7" hidden="1" outlineLevel="1">
      <c r="A432">
        <f t="shared" si="57"/>
        <v>30</v>
      </c>
      <c r="B432">
        <v>355</v>
      </c>
      <c r="C432" s="35">
        <f t="shared" si="56"/>
        <v>0</v>
      </c>
      <c r="D432" s="35"/>
      <c r="E432" s="35"/>
      <c r="F432" s="35"/>
      <c r="G432" s="35"/>
    </row>
    <row r="433" spans="1:7" hidden="1" outlineLevel="1">
      <c r="A433">
        <f t="shared" si="57"/>
        <v>30</v>
      </c>
      <c r="B433">
        <v>356</v>
      </c>
      <c r="C433" s="35">
        <f t="shared" si="56"/>
        <v>0</v>
      </c>
      <c r="D433" s="35"/>
      <c r="E433" s="35"/>
      <c r="F433" s="35"/>
      <c r="G433" s="35"/>
    </row>
    <row r="434" spans="1:7" hidden="1" outlineLevel="1">
      <c r="A434">
        <f t="shared" si="57"/>
        <v>30</v>
      </c>
      <c r="B434">
        <v>357</v>
      </c>
      <c r="C434" s="35">
        <f t="shared" si="56"/>
        <v>0</v>
      </c>
      <c r="D434" s="35"/>
      <c r="E434" s="35"/>
      <c r="F434" s="35"/>
      <c r="G434" s="35"/>
    </row>
    <row r="435" spans="1:7" hidden="1" outlineLevel="1">
      <c r="A435">
        <f t="shared" si="57"/>
        <v>30</v>
      </c>
      <c r="B435">
        <v>358</v>
      </c>
      <c r="C435" s="35">
        <f t="shared" si="56"/>
        <v>0</v>
      </c>
      <c r="D435" s="35"/>
      <c r="E435" s="35"/>
      <c r="F435" s="35"/>
      <c r="G435" s="35"/>
    </row>
    <row r="436" spans="1:7" hidden="1" outlineLevel="1">
      <c r="A436">
        <f t="shared" si="57"/>
        <v>30</v>
      </c>
      <c r="B436">
        <v>359</v>
      </c>
      <c r="C436" s="35">
        <f t="shared" si="56"/>
        <v>0</v>
      </c>
      <c r="D436" s="35"/>
      <c r="E436" s="35"/>
      <c r="F436" s="35"/>
      <c r="G436" s="35"/>
    </row>
    <row r="437" spans="1:7" hidden="1" outlineLevel="1">
      <c r="A437">
        <f t="shared" si="57"/>
        <v>30</v>
      </c>
      <c r="B437">
        <v>360</v>
      </c>
      <c r="C437" s="35">
        <f t="shared" si="56"/>
        <v>0</v>
      </c>
      <c r="D437" s="35"/>
      <c r="E437" s="35"/>
      <c r="F437" s="35"/>
      <c r="G437" s="35"/>
    </row>
    <row r="438" spans="1:7" collapsed="1">
      <c r="B438" s="68" t="s">
        <v>129</v>
      </c>
      <c r="C438" s="69">
        <f>SUM(C78:C437)</f>
        <v>0</v>
      </c>
      <c r="D438" s="69">
        <f t="shared" ref="D438:G438" si="58">SUM(D78:D437)</f>
        <v>0</v>
      </c>
      <c r="E438" s="69">
        <f t="shared" si="58"/>
        <v>0</v>
      </c>
      <c r="F438" s="69">
        <f t="shared" si="58"/>
        <v>0</v>
      </c>
      <c r="G438" s="69">
        <f t="shared" si="58"/>
        <v>0</v>
      </c>
    </row>
  </sheetData>
  <sheetProtection sheet="1" objects="1" scenarios="1" selectLockedCells="1"/>
  <mergeCells count="1">
    <mergeCell ref="E1:F1"/>
  </mergeCells>
  <conditionalFormatting sqref="C13:G13">
    <cfRule type="cellIs" dxfId="1" priority="6" operator="lessThan">
      <formula>4160</formula>
    </cfRule>
  </conditionalFormatting>
  <conditionalFormatting sqref="C23:G23 C32:G32 C41:G41">
    <cfRule type="cellIs" dxfId="0" priority="5" operator="lessThan">
      <formula>5540</formula>
    </cfRule>
  </conditionalFormatting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>
    <tabColor theme="6"/>
  </sheetPr>
  <dimension ref="A1:E5"/>
  <sheetViews>
    <sheetView workbookViewId="0">
      <selection activeCell="E7" sqref="E7"/>
    </sheetView>
  </sheetViews>
  <sheetFormatPr defaultRowHeight="15"/>
  <cols>
    <col min="1" max="1" width="28.42578125" customWidth="1"/>
    <col min="4" max="4" width="10.7109375" bestFit="1" customWidth="1"/>
    <col min="5" max="5" width="69.28515625" customWidth="1"/>
  </cols>
  <sheetData>
    <row r="1" spans="1:5">
      <c r="A1" t="s">
        <v>144</v>
      </c>
      <c r="B1" t="s">
        <v>93</v>
      </c>
      <c r="D1" s="70"/>
    </row>
    <row r="2" spans="1:5">
      <c r="A2" t="s">
        <v>48</v>
      </c>
      <c r="B2" t="s">
        <v>52</v>
      </c>
      <c r="D2" s="70"/>
    </row>
    <row r="3" spans="1:5">
      <c r="A3" t="s">
        <v>49</v>
      </c>
      <c r="B3" t="s">
        <v>94</v>
      </c>
      <c r="D3" s="70"/>
    </row>
    <row r="4" spans="1:5">
      <c r="A4" t="s">
        <v>145</v>
      </c>
      <c r="B4" t="s">
        <v>95</v>
      </c>
    </row>
    <row r="5" spans="1:5">
      <c r="A5" t="s">
        <v>50</v>
      </c>
      <c r="B5" t="s">
        <v>51</v>
      </c>
      <c r="D5" s="70"/>
      <c r="E5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kosten</vt:lpstr>
      <vt:lpstr>interesten</vt:lpstr>
      <vt:lpstr>opzeggingen</vt:lpstr>
      <vt:lpstr>bankeninterest</vt:lpstr>
      <vt:lpstr>leenbedragafhreserver</vt:lpstr>
      <vt:lpstr>linkleenkostleenbedrag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2009-03-08T17:23:28Z</dcterms:created>
  <dcterms:modified xsi:type="dcterms:W3CDTF">2009-04-04T14:47:07Z</dcterms:modified>
</cp:coreProperties>
</file>